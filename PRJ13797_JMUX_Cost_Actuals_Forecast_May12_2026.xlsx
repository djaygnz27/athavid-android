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 Breakdown" sheetId="1" state="visible" r:id="rId1"/>
    <sheet xmlns:r="http://schemas.openxmlformats.org/officeDocument/2006/relationships" name="PAR Site Detail" sheetId="2" state="visible" r:id="rId2"/>
    <sheet xmlns:r="http://schemas.openxmlformats.org/officeDocument/2006/relationships" name="Variance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BDD7EE"/>
      <sz val="10"/>
    </font>
    <font>
      <b val="1"/>
      <color rgb="00FFFFFF"/>
      <sz val="9"/>
    </font>
    <font>
      <b val="1"/>
      <color rgb="00FFFFFF"/>
      <sz val="10"/>
    </font>
    <font>
      <color rgb="00000000"/>
      <sz val="9"/>
    </font>
    <font>
      <sz val="9"/>
    </font>
    <font>
      <b val="1"/>
      <color rgb="00000000"/>
      <sz val="9"/>
    </font>
    <font>
      <b val="1"/>
      <sz val="9"/>
    </font>
    <font>
      <b val="1"/>
      <color rgb="001F3864"/>
      <sz val="10"/>
    </font>
    <font>
      <color rgb="00404040"/>
      <sz val="9"/>
    </font>
    <font>
      <b val="1"/>
      <color rgb="00FFFFFF"/>
      <sz val="13"/>
    </font>
    <font>
      <b val="1"/>
      <color rgb="00FFB3B3"/>
      <sz val="9"/>
    </font>
    <font>
      <i val="1"/>
      <color rgb="00595959"/>
      <sz val="9"/>
    </font>
    <font>
      <b val="1"/>
      <color rgb="00C00000"/>
      <sz val="9"/>
    </font>
    <font>
      <i val="1"/>
      <color rgb="00375623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DDEE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right" vertical="center" wrapText="1"/>
    </xf>
    <xf numFmtId="0" fontId="4" fillId="8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left" vertical="center" wrapText="1"/>
    </xf>
    <xf numFmtId="164" fontId="4" fillId="2" borderId="2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164" fontId="14" fillId="3" borderId="1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right" vertical="center" wrapText="1"/>
    </xf>
    <xf numFmtId="0" fontId="15" fillId="3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right" vertical="center" wrapText="1"/>
    </xf>
    <xf numFmtId="0" fontId="1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PRJ13797 — JMUX REPLACEMENT PROJECT</t>
        </is>
      </c>
    </row>
    <row r="2">
      <c r="A2" s="2" t="inlineStr">
        <is>
          <t>Cost Actuals &amp; Forecast — Monthly Breakdown  |  As of May 12, 2026  |  CONFIDENTIAL</t>
        </is>
      </c>
    </row>
    <row r="3">
      <c r="A3" s="3" t="inlineStr"/>
    </row>
    <row r="4">
      <c r="A4" s="4" t="inlineStr">
        <is>
          <t>Cost Category / Line Item</t>
        </is>
      </c>
      <c r="B4" s="4" t="inlineStr">
        <is>
          <t>May-26</t>
        </is>
      </c>
      <c r="C4" s="4" t="inlineStr">
        <is>
          <t>Jun-26</t>
        </is>
      </c>
      <c r="D4" s="4" t="inlineStr">
        <is>
          <t>Jul-26</t>
        </is>
      </c>
      <c r="E4" s="4" t="inlineStr">
        <is>
          <t>Aug-26</t>
        </is>
      </c>
      <c r="F4" s="4" t="inlineStr">
        <is>
          <t>Sep-26</t>
        </is>
      </c>
      <c r="G4" s="4" t="inlineStr">
        <is>
          <t>Oct-26</t>
        </is>
      </c>
      <c r="H4" s="4" t="inlineStr">
        <is>
          <t>Nov-26</t>
        </is>
      </c>
      <c r="I4" s="4" t="inlineStr">
        <is>
          <t>Dec-26</t>
        </is>
      </c>
      <c r="J4" s="4" t="inlineStr">
        <is>
          <t>TOTAL 2026</t>
        </is>
      </c>
      <c r="K4" s="4" t="inlineStr">
        <is>
          <t>2027 (est)</t>
        </is>
      </c>
      <c r="L4" s="4" t="inlineStr">
        <is>
          <t>GRAND TOTAL</t>
        </is>
      </c>
    </row>
    <row r="5">
      <c r="A5" s="5" t="inlineStr">
        <is>
          <t xml:space="preserve">  A.  PAR CIRCUIT MIGRATION — Phase 2 (Unbudgeted New Scope)</t>
        </is>
      </c>
    </row>
    <row r="6">
      <c r="A6" s="6" t="inlineStr">
        <is>
          <t xml:space="preserve">    RC-30 Equipment — Iniven (6 units @ ~$10K ea)</t>
        </is>
      </c>
      <c r="B6" s="7" t="n"/>
      <c r="C6" s="7" t="n">
        <v>30000</v>
      </c>
      <c r="D6" s="7" t="n">
        <v>30000</v>
      </c>
      <c r="E6" s="7" t="n"/>
      <c r="F6" s="7" t="n"/>
      <c r="G6" s="7" t="n"/>
      <c r="H6" s="7" t="n"/>
      <c r="I6" s="7" t="n"/>
      <c r="J6" s="7" t="n">
        <v>60000</v>
      </c>
      <c r="K6" s="7" t="n"/>
      <c r="L6" s="7" t="n">
        <v>60000</v>
      </c>
    </row>
    <row r="7">
      <c r="A7" s="8" t="inlineStr">
        <is>
          <t xml:space="preserve">    C37.94 Protocol Card — Northport (bundled Ph2 PO)</t>
        </is>
      </c>
      <c r="B7" s="9" t="n"/>
      <c r="C7" s="9" t="n">
        <v>5000</v>
      </c>
      <c r="D7" s="9" t="n"/>
      <c r="E7" s="9" t="n"/>
      <c r="F7" s="9" t="n"/>
      <c r="G7" s="9" t="n"/>
      <c r="H7" s="9" t="n"/>
      <c r="I7" s="9" t="n"/>
      <c r="J7" s="9" t="n">
        <v>5000</v>
      </c>
      <c r="K7" s="9" t="n"/>
      <c r="L7" s="9" t="n">
        <v>5000</v>
      </c>
    </row>
    <row r="8">
      <c r="A8" s="6" t="inlineStr">
        <is>
          <t xml:space="preserve">    Chakrapani Team — Engineering Design (6 sites)</t>
        </is>
      </c>
      <c r="B8" s="7" t="n">
        <v>20000</v>
      </c>
      <c r="C8" s="7" t="n">
        <v>40000</v>
      </c>
      <c r="D8" s="7" t="n">
        <v>60000</v>
      </c>
      <c r="E8" s="7" t="n">
        <v>60000</v>
      </c>
      <c r="F8" s="7" t="n">
        <v>40000</v>
      </c>
      <c r="G8" s="7" t="n">
        <v>20000</v>
      </c>
      <c r="H8" s="7" t="n"/>
      <c r="I8" s="7" t="n"/>
      <c r="J8" s="7" t="n">
        <v>240000</v>
      </c>
      <c r="K8" s="7" t="n"/>
      <c r="L8" s="7" t="n">
        <v>240000</v>
      </c>
    </row>
    <row r="9">
      <c r="A9" s="8" t="inlineStr">
        <is>
          <t xml:space="preserve">    Johnny's Relay Team — Installation Labor (6 sites)</t>
        </is>
      </c>
      <c r="B9" s="9" t="n"/>
      <c r="C9" s="9" t="n"/>
      <c r="D9" s="9" t="n"/>
      <c r="E9" s="9" t="n">
        <v>80000</v>
      </c>
      <c r="F9" s="9" t="n">
        <v>120000</v>
      </c>
      <c r="G9" s="9" t="n">
        <v>80000</v>
      </c>
      <c r="H9" s="9" t="n">
        <v>20000</v>
      </c>
      <c r="I9" s="9" t="n"/>
      <c r="J9" s="9" t="n">
        <v>300000</v>
      </c>
      <c r="K9" s="9" t="n"/>
      <c r="L9" s="9" t="n">
        <v>300000</v>
      </c>
    </row>
    <row r="10">
      <c r="A10" s="10" t="inlineStr">
        <is>
          <t xml:space="preserve">  PAR TOTAL</t>
        </is>
      </c>
      <c r="B10" s="11">
        <f>SUM(B6:B9)</f>
        <v/>
      </c>
      <c r="C10" s="11">
        <f>SUM(C6:C9)</f>
        <v/>
      </c>
      <c r="D10" s="11">
        <f>SUM(D6:D9)</f>
        <v/>
      </c>
      <c r="E10" s="11">
        <f>SUM(E6:E9)</f>
        <v/>
      </c>
      <c r="F10" s="11">
        <f>SUM(F6:F9)</f>
        <v/>
      </c>
      <c r="G10" s="11">
        <f>SUM(G6:G9)</f>
        <v/>
      </c>
      <c r="H10" s="11">
        <f>SUM(H6:H9)</f>
        <v/>
      </c>
      <c r="I10" s="11">
        <f>SUM(I6:I9)</f>
        <v/>
      </c>
      <c r="J10" s="11">
        <f>SUM(J6:J9)</f>
        <v/>
      </c>
      <c r="K10" s="11">
        <f>SUM(K6:K9)</f>
        <v/>
      </c>
      <c r="L10" s="11">
        <f>SUM(L6:L9)</f>
        <v/>
      </c>
      <c r="M10" s="11">
        <f>SUM(M6:M9)</f>
        <v/>
      </c>
    </row>
    <row r="11"/>
    <row r="12">
      <c r="A12" s="12" t="inlineStr">
        <is>
          <t xml:space="preserve">  B.  PHASE 3 ENGINEERING — Accelerated into Phase 2 Staging</t>
        </is>
      </c>
    </row>
    <row r="13">
      <c r="A13" s="6" t="inlineStr">
        <is>
          <t xml:space="preserve">    Hawkeye Site Surveys — 31 Ph3 sites (in existing SOW)</t>
        </is>
      </c>
      <c r="B13" s="7" t="n"/>
      <c r="C13" s="7" t="n"/>
      <c r="D13" s="7" t="n"/>
      <c r="E13" s="7" t="n">
        <v>30000</v>
      </c>
      <c r="F13" s="7" t="n">
        <v>30000</v>
      </c>
      <c r="G13" s="7" t="n">
        <v>20000</v>
      </c>
      <c r="H13" s="7" t="n"/>
      <c r="I13" s="7" t="n"/>
      <c r="J13" s="7" t="n">
        <v>80000</v>
      </c>
      <c r="K13" s="7" t="n"/>
      <c r="L13" s="7" t="n">
        <v>80000</v>
      </c>
    </row>
    <row r="14">
      <c r="A14" s="8" t="inlineStr">
        <is>
          <t xml:space="preserve">    B&amp;M Engineering — Ph3 IFR/IFC Design (31 sites)</t>
        </is>
      </c>
      <c r="B14" s="9" t="n"/>
      <c r="C14" s="9" t="n"/>
      <c r="D14" s="9" t="n"/>
      <c r="E14" s="9" t="n">
        <v>100000</v>
      </c>
      <c r="F14" s="9" t="n">
        <v>150000</v>
      </c>
      <c r="G14" s="9" t="n">
        <v>150000</v>
      </c>
      <c r="H14" s="9" t="n">
        <v>100000</v>
      </c>
      <c r="I14" s="9" t="n">
        <v>100000</v>
      </c>
      <c r="J14" s="9" t="n">
        <v>600000</v>
      </c>
      <c r="K14" s="9" t="n">
        <v>400000</v>
      </c>
      <c r="L14" s="9" t="n">
        <v>1000000</v>
      </c>
    </row>
    <row r="15">
      <c r="A15" s="6" t="inlineStr">
        <is>
          <t xml:space="preserve">    Nokia Equipment Pre-Order — Ph3 Nodes (Q3 2026 PO)</t>
        </is>
      </c>
      <c r="B15" s="7" t="n"/>
      <c r="C15" s="7" t="n"/>
      <c r="D15" s="7" t="n"/>
      <c r="E15" s="7" t="n">
        <v>150000</v>
      </c>
      <c r="F15" s="7" t="n"/>
      <c r="G15" s="7" t="n"/>
      <c r="H15" s="7" t="n"/>
      <c r="I15" s="7" t="n"/>
      <c r="J15" s="7" t="n">
        <v>150000</v>
      </c>
      <c r="K15" s="7" t="n"/>
      <c r="L15" s="7" t="n">
        <v>150000</v>
      </c>
    </row>
    <row r="16">
      <c r="A16" s="13" t="inlineStr">
        <is>
          <t xml:space="preserve">  PHASE 3 ACCELERATION TOTAL</t>
        </is>
      </c>
      <c r="B16" s="14">
        <f>SUM(B13:B15)</f>
        <v/>
      </c>
      <c r="C16" s="14">
        <f>SUM(C13:C15)</f>
        <v/>
      </c>
      <c r="D16" s="14">
        <f>SUM(D13:D15)</f>
        <v/>
      </c>
      <c r="E16" s="14">
        <f>SUM(E13:E15)</f>
        <v/>
      </c>
      <c r="F16" s="14">
        <f>SUM(F13:F15)</f>
        <v/>
      </c>
      <c r="G16" s="14">
        <f>SUM(G13:G15)</f>
        <v/>
      </c>
      <c r="H16" s="14">
        <f>SUM(H13:H15)</f>
        <v/>
      </c>
      <c r="I16" s="14">
        <f>SUM(I13:I15)</f>
        <v/>
      </c>
      <c r="J16" s="14">
        <f>SUM(J13:J15)</f>
        <v/>
      </c>
      <c r="K16" s="14">
        <f>SUM(K13:K15)</f>
        <v/>
      </c>
      <c r="L16" s="14">
        <f>SUM(L13:L15)</f>
        <v/>
      </c>
      <c r="M16" s="14">
        <f>SUM(M13:M15)</f>
        <v/>
      </c>
    </row>
    <row r="17"/>
    <row r="18">
      <c r="A18" s="15" t="inlineStr">
        <is>
          <t xml:space="preserve">  C.  BASELINED SCOPE — On Track (Reference Only)</t>
        </is>
      </c>
    </row>
    <row r="19">
      <c r="A19" s="6" t="inlineStr">
        <is>
          <t xml:space="preserve">    B&amp;M Engineering — Phase 1 &amp; 2 (baselined)</t>
        </is>
      </c>
      <c r="B19" s="7" t="n">
        <v>80000</v>
      </c>
      <c r="C19" s="7" t="n">
        <v>80000</v>
      </c>
      <c r="D19" s="7" t="n">
        <v>80000</v>
      </c>
      <c r="E19" s="7" t="n">
        <v>80000</v>
      </c>
      <c r="F19" s="7" t="n">
        <v>60000</v>
      </c>
      <c r="G19" s="7" t="n">
        <v>40000</v>
      </c>
      <c r="H19" s="7" t="n">
        <v>20000</v>
      </c>
      <c r="I19" s="7" t="n">
        <v>20000</v>
      </c>
      <c r="J19" s="7" t="n">
        <v>460000</v>
      </c>
      <c r="K19" s="7" t="n"/>
      <c r="L19" s="7" t="n">
        <v>460000</v>
      </c>
    </row>
    <row r="20">
      <c r="A20" s="8" t="inlineStr">
        <is>
          <t xml:space="preserve">    Nokia Equipment — Phase 2 Nodes (26 nodes, on order)</t>
        </is>
      </c>
      <c r="B20" s="9" t="n"/>
      <c r="C20" s="9" t="n">
        <v>200000</v>
      </c>
      <c r="D20" s="9" t="n">
        <v>200000</v>
      </c>
      <c r="E20" s="9" t="n"/>
      <c r="F20" s="9" t="n"/>
      <c r="G20" s="9" t="n"/>
      <c r="H20" s="9" t="n"/>
      <c r="I20" s="9" t="n"/>
      <c r="J20" s="9" t="n">
        <v>400000</v>
      </c>
      <c r="K20" s="9" t="n"/>
      <c r="L20" s="9" t="n">
        <v>400000</v>
      </c>
    </row>
    <row r="21">
      <c r="A21" s="6" t="inlineStr">
        <is>
          <t xml:space="preserve">    Hawkeye Construction — Phase 2 (Aug start)</t>
        </is>
      </c>
      <c r="B21" s="7" t="n"/>
      <c r="C21" s="7" t="n"/>
      <c r="D21" s="7" t="n"/>
      <c r="E21" s="7" t="n">
        <v>200000</v>
      </c>
      <c r="F21" s="7" t="n">
        <v>250000</v>
      </c>
      <c r="G21" s="7" t="n">
        <v>200000</v>
      </c>
      <c r="H21" s="7" t="n">
        <v>100000</v>
      </c>
      <c r="I21" s="7" t="n">
        <v>50000</v>
      </c>
      <c r="J21" s="7" t="n">
        <v>800000</v>
      </c>
      <c r="K21" s="7" t="n"/>
      <c r="L21" s="7" t="n">
        <v>800000</v>
      </c>
    </row>
    <row r="22">
      <c r="A22" s="8" t="inlineStr">
        <is>
          <t xml:space="preserve">    Graybar Ancillary Equipment — Phase 2</t>
        </is>
      </c>
      <c r="B22" s="9" t="n">
        <v>20000</v>
      </c>
      <c r="C22" s="9" t="n">
        <v>30000</v>
      </c>
      <c r="D22" s="9" t="n">
        <v>20000</v>
      </c>
      <c r="E22" s="9" t="n">
        <v>10000</v>
      </c>
      <c r="F22" s="9" t="n"/>
      <c r="G22" s="9" t="n"/>
      <c r="H22" s="9" t="n"/>
      <c r="I22" s="9" t="n"/>
      <c r="J22" s="9" t="n">
        <v>80000</v>
      </c>
      <c r="K22" s="9" t="n"/>
      <c r="L22" s="9" t="n">
        <v>80000</v>
      </c>
    </row>
    <row r="23">
      <c r="A23" s="6" t="inlineStr">
        <is>
          <t xml:space="preserve">    Nokia Training — First Week June 2026</t>
        </is>
      </c>
      <c r="B23" s="7" t="n"/>
      <c r="C23" s="7" t="n">
        <v>30000</v>
      </c>
      <c r="D23" s="7" t="n"/>
      <c r="E23" s="7" t="n"/>
      <c r="F23" s="7" t="n"/>
      <c r="G23" s="7" t="n"/>
      <c r="H23" s="7" t="n"/>
      <c r="I23" s="7" t="n"/>
      <c r="J23" s="7" t="n">
        <v>30000</v>
      </c>
      <c r="K23" s="7" t="n"/>
      <c r="L23" s="7" t="n">
        <v>30000</v>
      </c>
    </row>
    <row r="24">
      <c r="A24" s="16" t="inlineStr">
        <is>
          <t xml:space="preserve">  BASELINED SCOPE TOTAL</t>
        </is>
      </c>
      <c r="B24" s="17">
        <f>SUM(B19:B23)</f>
        <v/>
      </c>
      <c r="C24" s="17">
        <f>SUM(C19:C23)</f>
        <v/>
      </c>
      <c r="D24" s="17">
        <f>SUM(D19:D23)</f>
        <v/>
      </c>
      <c r="E24" s="17">
        <f>SUM(E19:E23)</f>
        <v/>
      </c>
      <c r="F24" s="17">
        <f>SUM(F19:F23)</f>
        <v/>
      </c>
      <c r="G24" s="17">
        <f>SUM(G19:G23)</f>
        <v/>
      </c>
      <c r="H24" s="17">
        <f>SUM(H19:H23)</f>
        <v/>
      </c>
      <c r="I24" s="17">
        <f>SUM(I19:I23)</f>
        <v/>
      </c>
      <c r="J24" s="17">
        <f>SUM(J19:J23)</f>
        <v/>
      </c>
      <c r="K24" s="17">
        <f>SUM(K19:K23)</f>
        <v/>
      </c>
      <c r="L24" s="17">
        <f>SUM(L19:L23)</f>
        <v/>
      </c>
      <c r="M24" s="17">
        <f>SUM(M19:M23)</f>
        <v/>
      </c>
    </row>
    <row r="25"/>
    <row r="26">
      <c r="A26" s="18" t="inlineStr">
        <is>
          <t>GRAND TOTAL — ALL SCOPE</t>
        </is>
      </c>
      <c r="B26" s="19">
        <f>B10+B16+B24</f>
        <v/>
      </c>
      <c r="C26" s="19">
        <f>C10+C16+C24</f>
        <v/>
      </c>
      <c r="D26" s="19">
        <f>D10+D16+D24</f>
        <v/>
      </c>
      <c r="E26" s="19">
        <f>E10+E16+E24</f>
        <v/>
      </c>
      <c r="F26" s="19">
        <f>F10+F16+F24</f>
        <v/>
      </c>
      <c r="G26" s="19">
        <f>G10+G16+G24</f>
        <v/>
      </c>
      <c r="H26" s="19">
        <f>H10+H16+H24</f>
        <v/>
      </c>
      <c r="I26" s="19">
        <f>I10+I16+I24</f>
        <v/>
      </c>
      <c r="J26" s="19">
        <f>J10+J16+J24</f>
        <v/>
      </c>
      <c r="K26" s="19">
        <f>K10+K16+K24</f>
        <v/>
      </c>
      <c r="L26" s="19">
        <f>L10+L16+L24</f>
        <v/>
      </c>
      <c r="M26" s="19">
        <f>M10+M16+M24</f>
        <v/>
      </c>
    </row>
    <row r="28">
      <c r="A28" s="20" t="inlineStr">
        <is>
          <t>NOTES &amp; ASSUMPTIONS</t>
        </is>
      </c>
    </row>
    <row r="29">
      <c r="A29" s="21" t="inlineStr">
        <is>
          <t>1. Actuals to date: $0 for PAR and Phase 3 acceleration — no charges posted yet as of May 12, 2026.</t>
        </is>
      </c>
    </row>
    <row r="30">
      <c r="A30" s="22" t="inlineStr">
        <is>
          <t>2. PAR CRITICAL GAP: Chad's current forecast includes only $120K (Apr–Jun) for equipment + design. Relay labor ($200K–$495K) is NOT yet in Chad's forecast. Reconciliation meeting required week of May 18.</t>
        </is>
      </c>
    </row>
    <row r="31">
      <c r="A31" s="21" t="inlineStr">
        <is>
          <t>3. Phase 3 engineering costs assume B&amp;M quote of $900K–$1.29M total. $600K allocated to 2026; $400K to 2027.</t>
        </is>
      </c>
    </row>
    <row r="32">
      <c r="A32" s="22" t="inlineStr">
        <is>
          <t>4. Chakrapani design rate: $115.34/hr (under audit). Johnny relay team rate: $1,100–$1,200/hr.</t>
        </is>
      </c>
    </row>
    <row r="33">
      <c r="A33" s="21" t="inlineStr">
        <is>
          <t>5. Nokia equipment pre-order timing assumes PO placed Q3 2026 to meet Phase 3 construction schedule.</t>
        </is>
      </c>
    </row>
    <row r="34">
      <c r="A34" s="22" t="inlineStr">
        <is>
          <t>6. All numbers are estimates pending Chad/B&amp;M/Hawkeye confirmed quotes by end of May 2026.</t>
        </is>
      </c>
    </row>
    <row r="35">
      <c r="A35" s="21" t="inlineStr">
        <is>
          <t>7. Total projected variance: -$668K (total project) / -$797K (2026 capital only).</t>
        </is>
      </c>
    </row>
  </sheetData>
  <mergeCells count="15">
    <mergeCell ref="A1:M1"/>
    <mergeCell ref="A5:M5"/>
    <mergeCell ref="A32:M32"/>
    <mergeCell ref="A26"/>
    <mergeCell ref="A31:M31"/>
    <mergeCell ref="A33:M33"/>
    <mergeCell ref="A34:M34"/>
    <mergeCell ref="A12:M12"/>
    <mergeCell ref="A18:M18"/>
    <mergeCell ref="A35:M35"/>
    <mergeCell ref="A3:M3"/>
    <mergeCell ref="A30:M30"/>
    <mergeCell ref="A29:M29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23" t="inlineStr">
        <is>
          <t>PAR CIRCUIT MIGRATION — SITE-BY-SITE COST &amp; STATUS</t>
        </is>
      </c>
    </row>
    <row r="2">
      <c r="A2" s="24" t="inlineStr">
        <is>
          <t>PRJ13797  |  As of May 12, 2026</t>
        </is>
      </c>
    </row>
    <row r="4">
      <c r="A4" s="25" t="inlineStr">
        <is>
          <t>Site</t>
        </is>
      </c>
      <c r="B4" s="25" t="inlineStr">
        <is>
          <t>Substation ID</t>
        </is>
      </c>
      <c r="C4" s="25" t="inlineStr">
        <is>
          <t>RC-30 Ordered</t>
        </is>
      </c>
      <c r="D4" s="25" t="inlineStr">
        <is>
          <t>RC-30 PO#</t>
        </is>
      </c>
      <c r="E4" s="25" t="inlineStr">
        <is>
          <t>Est. Delivery</t>
        </is>
      </c>
      <c r="F4" s="25" t="inlineStr">
        <is>
          <t>Design Status</t>
        </is>
      </c>
      <c r="G4" s="25" t="inlineStr">
        <is>
          <t>Design Owner</t>
        </is>
      </c>
      <c r="H4" s="25" t="inlineStr">
        <is>
          <t>Equipment ($)</t>
        </is>
      </c>
      <c r="I4" s="25" t="inlineStr">
        <is>
          <t>Design ($)</t>
        </is>
      </c>
      <c r="J4" s="25" t="inlineStr">
        <is>
          <t>Install Labor ($)</t>
        </is>
      </c>
    </row>
    <row r="5">
      <c r="A5" s="6" t="inlineStr">
        <is>
          <t>Northport</t>
        </is>
      </c>
      <c r="B5" s="6" t="inlineStr">
        <is>
          <t>Northport</t>
        </is>
      </c>
      <c r="C5" s="6" t="inlineStr">
        <is>
          <t>Yes</t>
        </is>
      </c>
      <c r="D5" s="6" t="inlineStr">
        <is>
          <t>TBD</t>
        </is>
      </c>
      <c r="E5" s="6" t="inlineStr">
        <is>
          <t>TBD (8-wk)</t>
        </is>
      </c>
      <c r="F5" s="6" t="inlineStr">
        <is>
          <t>In Progress</t>
        </is>
      </c>
      <c r="G5" s="6" t="inlineStr">
        <is>
          <t>TBD</t>
        </is>
      </c>
      <c r="H5" s="7" t="n">
        <v>15000</v>
      </c>
      <c r="I5" s="7" t="n">
        <v>5000</v>
      </c>
      <c r="J5" s="7" t="n">
        <v>40000</v>
      </c>
    </row>
    <row r="6">
      <c r="A6" s="8" t="inlineStr">
        <is>
          <t>Hicksville (5HK)</t>
        </is>
      </c>
      <c r="B6" s="8" t="inlineStr">
        <is>
          <t>5HK</t>
        </is>
      </c>
      <c r="C6" s="8" t="inlineStr">
        <is>
          <t>Yes</t>
        </is>
      </c>
      <c r="D6" s="8" t="inlineStr">
        <is>
          <t>TBD</t>
        </is>
      </c>
      <c r="E6" s="8" t="inlineStr">
        <is>
          <t>TBD (8-wk)</t>
        </is>
      </c>
      <c r="F6" s="8" t="inlineStr">
        <is>
          <t>Not Started</t>
        </is>
      </c>
      <c r="G6" s="8" t="inlineStr">
        <is>
          <t>TBD</t>
        </is>
      </c>
      <c r="H6" s="9" t="n">
        <v>10000</v>
      </c>
      <c r="I6" s="9" t="n">
        <v>5000</v>
      </c>
      <c r="J6" s="9" t="n">
        <v>40000</v>
      </c>
    </row>
    <row r="7">
      <c r="A7" s="6" t="inlineStr">
        <is>
          <t>Melville</t>
        </is>
      </c>
      <c r="B7" s="6" t="inlineStr">
        <is>
          <t>Melville</t>
        </is>
      </c>
      <c r="C7" s="6" t="inlineStr">
        <is>
          <t>Yes</t>
        </is>
      </c>
      <c r="D7" s="6" t="inlineStr">
        <is>
          <t>TBD</t>
        </is>
      </c>
      <c r="E7" s="6" t="inlineStr">
        <is>
          <t>TBD (8-wk)</t>
        </is>
      </c>
      <c r="F7" s="6" t="inlineStr">
        <is>
          <t>Not Started</t>
        </is>
      </c>
      <c r="G7" s="6" t="inlineStr">
        <is>
          <t>TBD</t>
        </is>
      </c>
      <c r="H7" s="7" t="n">
        <v>10000</v>
      </c>
      <c r="I7" s="7" t="n">
        <v>5000</v>
      </c>
      <c r="J7" s="7" t="n">
        <v>40000</v>
      </c>
    </row>
    <row r="8">
      <c r="A8" s="8" t="inlineStr">
        <is>
          <t>Lindenhurst (7Z)</t>
        </is>
      </c>
      <c r="B8" s="8" t="inlineStr">
        <is>
          <t>7Z</t>
        </is>
      </c>
      <c r="C8" s="8" t="inlineStr">
        <is>
          <t>Yes</t>
        </is>
      </c>
      <c r="D8" s="8" t="inlineStr">
        <is>
          <t>TBD</t>
        </is>
      </c>
      <c r="E8" s="8" t="inlineStr">
        <is>
          <t>TBD (8-wk)</t>
        </is>
      </c>
      <c r="F8" s="8" t="inlineStr">
        <is>
          <t>Not Started</t>
        </is>
      </c>
      <c r="G8" s="8" t="inlineStr">
        <is>
          <t>TBD</t>
        </is>
      </c>
      <c r="H8" s="9" t="n">
        <v>10000</v>
      </c>
      <c r="I8" s="9" t="n">
        <v>5000</v>
      </c>
      <c r="J8" s="9" t="n">
        <v>40000</v>
      </c>
    </row>
    <row r="9">
      <c r="A9" s="6" t="inlineStr">
        <is>
          <t>Far Rockaway (2H)</t>
        </is>
      </c>
      <c r="B9" s="6" t="inlineStr">
        <is>
          <t>2H</t>
        </is>
      </c>
      <c r="C9" s="6" t="inlineStr">
        <is>
          <t>Yes</t>
        </is>
      </c>
      <c r="D9" s="6" t="inlineStr">
        <is>
          <t>TBD</t>
        </is>
      </c>
      <c r="E9" s="6" t="inlineStr">
        <is>
          <t>TBD (8-wk)</t>
        </is>
      </c>
      <c r="F9" s="6" t="inlineStr">
        <is>
          <t>Not Started</t>
        </is>
      </c>
      <c r="G9" s="6" t="inlineStr">
        <is>
          <t>TBD</t>
        </is>
      </c>
      <c r="H9" s="7" t="n">
        <v>10000</v>
      </c>
      <c r="I9" s="7" t="n">
        <v>5000</v>
      </c>
      <c r="J9" s="7" t="n">
        <v>40000</v>
      </c>
    </row>
    <row r="10">
      <c r="A10" s="8" t="inlineStr">
        <is>
          <t>Hewlett (2R)</t>
        </is>
      </c>
      <c r="B10" s="8" t="inlineStr">
        <is>
          <t>2R</t>
        </is>
      </c>
      <c r="C10" s="8" t="inlineStr">
        <is>
          <t>Yes</t>
        </is>
      </c>
      <c r="D10" s="8" t="inlineStr">
        <is>
          <t>TBD</t>
        </is>
      </c>
      <c r="E10" s="8" t="inlineStr">
        <is>
          <t>TBD (8-wk)</t>
        </is>
      </c>
      <c r="F10" s="8" t="inlineStr">
        <is>
          <t>Not Started</t>
        </is>
      </c>
      <c r="G10" s="8" t="inlineStr">
        <is>
          <t>TBD</t>
        </is>
      </c>
      <c r="H10" s="9" t="n">
        <v>10000</v>
      </c>
      <c r="I10" s="9" t="n">
        <v>5000</v>
      </c>
      <c r="J10" s="9" t="n">
        <v>40000</v>
      </c>
    </row>
    <row r="11">
      <c r="A11" s="26" t="inlineStr">
        <is>
          <t>TOTAL — ALL 6 SITES</t>
        </is>
      </c>
      <c r="B11" s="27" t="n"/>
      <c r="C11" s="27" t="n"/>
      <c r="D11" s="27" t="n"/>
      <c r="E11" s="27" t="n"/>
      <c r="F11" s="27" t="n"/>
      <c r="G11" s="27" t="n"/>
      <c r="H11" s="11">
        <f>SUM(H5:H10)</f>
        <v/>
      </c>
      <c r="I11" s="11">
        <f>SUM(I5:I10)</f>
        <v/>
      </c>
      <c r="J11" s="11">
        <f>SUM(J5:J10)</f>
        <v/>
      </c>
    </row>
    <row r="13">
      <c r="A13" s="28" t="inlineStr">
        <is>
          <t>NOTE: Northport equipment includes additional $5,000 for C37.94 protocol card. All install labor estimates based on $1,100–$1,200/hr Johnny team rate. All numbers pending Chakrapani design confirmation.</t>
        </is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9" t="inlineStr">
        <is>
          <t>BUDGET VARIANCE DASHBOARD  |  PRJ13797  |  May 12, 2026</t>
        </is>
      </c>
    </row>
    <row r="3">
      <c r="A3" s="4" t="inlineStr">
        <is>
          <t>Category</t>
        </is>
      </c>
      <c r="B3" s="4" t="inlineStr">
        <is>
          <t>Original Budget</t>
        </is>
      </c>
      <c r="C3" s="4" t="inlineStr">
        <is>
          <t>Actuals to Date</t>
        </is>
      </c>
      <c r="D3" s="4" t="inlineStr">
        <is>
          <t>Forecast to Complete</t>
        </is>
      </c>
      <c r="E3" s="4" t="inlineStr">
        <is>
          <t>Projected Final</t>
        </is>
      </c>
      <c r="F3" s="4" t="inlineStr">
        <is>
          <t>Variance</t>
        </is>
      </c>
    </row>
    <row r="4">
      <c r="A4" s="6" t="inlineStr">
        <is>
          <t>PAR Migration (new scope)</t>
        </is>
      </c>
      <c r="B4" s="7" t="n">
        <v>35000</v>
      </c>
      <c r="C4" s="7" t="n">
        <v>0</v>
      </c>
      <c r="D4" s="7" t="n">
        <v>530000</v>
      </c>
      <c r="E4" s="7" t="n">
        <v>530000</v>
      </c>
      <c r="F4" s="30" t="n">
        <v>-495000</v>
      </c>
    </row>
    <row r="5">
      <c r="A5" s="8" t="inlineStr">
        <is>
          <t>Phase 3 Engineering (accelerated)</t>
        </is>
      </c>
      <c r="B5" s="9" t="n">
        <v>0</v>
      </c>
      <c r="C5" s="9" t="n">
        <v>0</v>
      </c>
      <c r="D5" s="9" t="n">
        <v>600000</v>
      </c>
      <c r="E5" s="9" t="n">
        <v>1000000</v>
      </c>
      <c r="F5" s="31" t="inlineStr">
        <is>
          <t>On Track / TBD</t>
        </is>
      </c>
    </row>
    <row r="6">
      <c r="A6" s="6" t="inlineStr">
        <is>
          <t>B&amp;M Engineering (Phase 1+2)</t>
        </is>
      </c>
      <c r="B6" s="32" t="inlineStr">
        <is>
          <t>On Track / TBD</t>
        </is>
      </c>
      <c r="C6" s="32" t="inlineStr">
        <is>
          <t>On Track / TBD</t>
        </is>
      </c>
      <c r="D6" s="32" t="inlineStr">
        <is>
          <t>On Track / TBD</t>
        </is>
      </c>
      <c r="E6" s="32" t="inlineStr">
        <is>
          <t>On Track / TBD</t>
        </is>
      </c>
      <c r="F6" s="7" t="n">
        <v>0</v>
      </c>
    </row>
    <row r="7">
      <c r="A7" s="8" t="inlineStr">
        <is>
          <t>Nokia Equipment (Phase 1+2)</t>
        </is>
      </c>
      <c r="B7" s="31" t="inlineStr">
        <is>
          <t>On Track / TBD</t>
        </is>
      </c>
      <c r="C7" s="31" t="inlineStr">
        <is>
          <t>On Track / TBD</t>
        </is>
      </c>
      <c r="D7" s="31" t="inlineStr">
        <is>
          <t>On Track / TBD</t>
        </is>
      </c>
      <c r="E7" s="31" t="inlineStr">
        <is>
          <t>On Track / TBD</t>
        </is>
      </c>
      <c r="F7" s="9" t="n">
        <v>0</v>
      </c>
    </row>
    <row r="8">
      <c r="A8" s="6" t="inlineStr">
        <is>
          <t>Hawkeye Construction</t>
        </is>
      </c>
      <c r="B8" s="32" t="inlineStr">
        <is>
          <t>On Track / TBD</t>
        </is>
      </c>
      <c r="C8" s="32" t="inlineStr">
        <is>
          <t>On Track / TBD</t>
        </is>
      </c>
      <c r="D8" s="32" t="inlineStr">
        <is>
          <t>On Track / TBD</t>
        </is>
      </c>
      <c r="E8" s="32" t="inlineStr">
        <is>
          <t>On Track / TBD</t>
        </is>
      </c>
      <c r="F8" s="7" t="n">
        <v>0</v>
      </c>
    </row>
    <row r="9">
      <c r="A9" s="8" t="inlineStr">
        <is>
          <t>Graybar Ancillary</t>
        </is>
      </c>
      <c r="B9" s="31" t="inlineStr">
        <is>
          <t>On Track / TBD</t>
        </is>
      </c>
      <c r="C9" s="31" t="inlineStr">
        <is>
          <t>On Track / TBD</t>
        </is>
      </c>
      <c r="D9" s="31" t="inlineStr">
        <is>
          <t>On Track / TBD</t>
        </is>
      </c>
      <c r="E9" s="31" t="inlineStr">
        <is>
          <t>On Track / TBD</t>
        </is>
      </c>
      <c r="F9" s="9" t="n">
        <v>0</v>
      </c>
    </row>
    <row r="10">
      <c r="A10" s="6" t="inlineStr">
        <is>
          <t>Labor Overcharges (PQA/relay/assess.)</t>
        </is>
      </c>
      <c r="B10" s="32" t="inlineStr">
        <is>
          <t>On Track / TBD</t>
        </is>
      </c>
      <c r="C10" s="32" t="inlineStr">
        <is>
          <t>On Track / TBD</t>
        </is>
      </c>
      <c r="D10" s="32" t="inlineStr">
        <is>
          <t>On Track / TBD</t>
        </is>
      </c>
      <c r="E10" s="32" t="inlineStr">
        <is>
          <t>On Track / TBD</t>
        </is>
      </c>
      <c r="F10" s="32" t="inlineStr">
        <is>
          <t>On Track / TBD</t>
        </is>
      </c>
    </row>
    <row r="11">
      <c r="A11" s="18" t="inlineStr">
        <is>
          <t>TOTAL PROJECTED VARIANCE</t>
        </is>
      </c>
      <c r="B11" s="33" t="inlineStr">
        <is>
          <t>Baselined</t>
        </is>
      </c>
      <c r="C11" s="33" t="inlineStr">
        <is>
          <t>$0 actuals</t>
        </is>
      </c>
      <c r="D11" s="33" t="inlineStr">
        <is>
          <t>~$1.13M+</t>
        </is>
      </c>
      <c r="E11" s="33" t="inlineStr">
        <is>
          <t>~$1.53M+</t>
        </is>
      </c>
      <c r="F11" s="33" t="inlineStr">
        <is>
          <t>-$668K total
-$797K 2026 cap</t>
        </is>
      </c>
    </row>
    <row r="13">
      <c r="A13" s="5" t="inlineStr">
        <is>
          <t>OPEN ITEMS REQUIRING LEADERSHIP DECISION</t>
        </is>
      </c>
    </row>
    <row r="14">
      <c r="A14" s="34" t="inlineStr">
        <is>
          <t>1.  PAR Funding Approval — $530K Change Request required. NERC-CIP mandatory. No alternative path.</t>
        </is>
      </c>
    </row>
    <row r="15">
      <c r="A15" s="34" t="inlineStr">
        <is>
          <t>2.  Phase 3 Budget Acceleration — Confirm Ph3 engineering ($900K–$1.29M) can be front-loaded into 2026 capital.</t>
        </is>
      </c>
    </row>
    <row r="16">
      <c r="A16" s="34" t="inlineStr">
        <is>
          <t>3.  Chad Reconciliation — Week of May 18. Add $495K relay labor to PAR forecast.</t>
        </is>
      </c>
    </row>
    <row r="17">
      <c r="A17" s="34" t="inlineStr">
        <is>
          <t>4.  Chakrapani Confirmation — Design owners unassigned for 5 of 6 PAR sites. RC-30 PO# and delivery date unknown.</t>
        </is>
      </c>
    </row>
  </sheetData>
  <mergeCells count="6">
    <mergeCell ref="A16:F16"/>
    <mergeCell ref="A13:F13"/>
    <mergeCell ref="A14:F14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2026-05-12T17:40:39Z</dcterms:created>
  <dcterms:modified xmlns:dcterms="http://purl.org/dc/terms/" xmlns:xsi="http://www.w3.org/2001/XMLSchema-instance" xsi:type="dcterms:W3CDTF">2026-05-12T17:40:40Z</dcterms:modified>
</cp:coreProperties>
</file>