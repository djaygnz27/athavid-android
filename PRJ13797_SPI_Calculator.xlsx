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 Calculator" sheetId="1" state="visible" r:id="rId1"/>
    <sheet name="EV &amp; PV Deep Dive" sheetId="2" state="visible" r:id="rId2"/>
    <sheet name="JMUX PV Examples" sheetId="3" state="visible" r:id="rId3"/>
    <sheet name="Step-by-Step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7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1"/>
    </font>
    <font>
      <b val="1"/>
      <color rgb="001E3A5F"/>
      <sz val="11"/>
    </font>
    <font>
      <color rgb="00000000"/>
      <sz val="10"/>
    </font>
    <font>
      <i val="1"/>
      <color rgb="00374151"/>
      <sz val="10"/>
    </font>
    <font>
      <b val="1"/>
      <color rgb="00FFFFFF"/>
      <sz val="11"/>
    </font>
    <font>
      <b val="1"/>
      <color rgb="001E3A5F"/>
      <sz val="10"/>
    </font>
    <font>
      <i val="1"/>
      <color rgb="0094A3B8"/>
      <sz val="10"/>
    </font>
    <font>
      <color rgb="00000000"/>
      <sz val="11"/>
    </font>
    <font>
      <b val="1"/>
      <color rgb="00000000"/>
      <sz val="11"/>
    </font>
    <font>
      <b val="1"/>
      <color rgb="00FFFFFF"/>
      <sz val="12"/>
    </font>
    <font>
      <b val="1"/>
      <color rgb="00FFFFFF"/>
      <sz val="13"/>
    </font>
    <font>
      <b val="1"/>
      <color rgb="001E3A5F"/>
      <sz val="12"/>
    </font>
    <font>
      <b val="1"/>
      <color rgb="001E3A5F"/>
      <sz val="20"/>
    </font>
    <font>
      <b val="1"/>
      <color rgb="00000000"/>
      <sz val="12"/>
    </font>
    <font>
      <b val="1"/>
      <color rgb="002563EB"/>
      <sz val="10"/>
    </font>
    <font>
      <b val="1"/>
      <color rgb="0016A34A"/>
      <sz val="10"/>
    </font>
    <font>
      <b val="1"/>
      <color rgb="00CA8A04"/>
      <sz val="10"/>
    </font>
    <font>
      <b val="1"/>
      <color rgb="00EA580C"/>
      <sz val="10"/>
    </font>
    <font>
      <b val="1"/>
      <color rgb="00DC2626"/>
      <sz val="10"/>
    </font>
    <font>
      <i val="1"/>
      <color rgb="001E3A5F"/>
      <sz val="10"/>
    </font>
    <font>
      <b val="1"/>
      <color rgb="0016A34A"/>
      <sz val="11"/>
    </font>
    <font>
      <b val="1"/>
      <color rgb="00374151"/>
      <sz val="10"/>
    </font>
    <font>
      <b val="1"/>
      <color rgb="007C3AED"/>
      <sz val="10"/>
    </font>
    <font>
      <i val="1"/>
      <color rgb="0064748B"/>
      <sz val="9"/>
    </font>
    <font>
      <b val="1"/>
      <color rgb="00EA580C"/>
      <sz val="11"/>
    </font>
    <font>
      <b val="1"/>
      <color rgb="00CA8A04"/>
      <sz val="11"/>
    </font>
    <font>
      <b val="1"/>
      <color rgb="00FFFFFF"/>
      <sz val="10"/>
    </font>
    <font>
      <i val="1"/>
      <color rgb="002563EB"/>
      <sz val="9"/>
    </font>
    <font>
      <name val="Calibri"/>
      <b val="1"/>
      <color rgb="00FFFFFF"/>
      <sz val="14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1E293B"/>
      <sz val="11"/>
    </font>
    <font>
      <name val="Calibri"/>
      <i val="1"/>
      <color rgb="0064748B"/>
      <sz val="10"/>
    </font>
    <font>
      <name val="Calibri"/>
      <b val="1"/>
      <color rgb="007C3AED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C3AED"/>
      <sz val="10"/>
    </font>
    <font>
      <name val="Calibri"/>
      <color rgb="00374151"/>
      <sz val="10"/>
    </font>
    <font>
      <name val="Calibri"/>
      <b val="1"/>
      <color rgb="0016A34A"/>
      <sz val="10"/>
    </font>
    <font>
      <name val="Calibri"/>
      <b val="1"/>
      <color rgb="00FFFFFF"/>
      <sz val="11"/>
    </font>
    <font>
      <name val="Calibri"/>
      <b val="1"/>
      <color rgb="0016A34A"/>
      <sz val="11"/>
    </font>
    <font>
      <name val="Calibri"/>
      <color rgb="00000000"/>
      <sz val="14"/>
    </font>
    <font>
      <name val="Calibri"/>
      <i val="1"/>
      <color rgb="002563EB"/>
      <sz val="9"/>
    </font>
    <font>
      <name val="Calibri"/>
      <b val="1"/>
      <color rgb="001E3A5F"/>
      <sz val="11"/>
    </font>
    <font>
      <name val="Calibri"/>
      <b val="1"/>
      <color rgb="007C3AED"/>
      <sz val="12"/>
    </font>
    <font>
      <name val="Calibri"/>
      <color rgb="00DC2626"/>
      <sz val="10"/>
    </font>
    <font>
      <name val="Calibri"/>
      <b val="1"/>
      <color rgb="00DC2626"/>
      <sz val="13"/>
    </font>
    <font>
      <name val="Calibri"/>
      <color rgb="0016A34A"/>
      <sz val="10"/>
    </font>
    <font>
      <name val="Calibri"/>
      <b val="1"/>
      <color rgb="0016A34A"/>
      <sz val="13"/>
    </font>
    <font>
      <name val="Calibri"/>
      <b val="1"/>
      <color rgb="00FFFFFF"/>
      <sz val="13"/>
    </font>
    <font>
      <name val="Calibri"/>
      <b val="1"/>
      <color rgb="00EA580C"/>
      <sz val="12"/>
    </font>
    <font>
      <name val="Calibri"/>
      <b val="1"/>
      <color rgb="00EA580C"/>
      <sz val="13"/>
    </font>
    <font>
      <name val="Calibri"/>
      <color rgb="00000000"/>
      <sz val="12"/>
    </font>
    <font>
      <name val="Calibri"/>
      <b val="1"/>
      <color rgb="00DC2626"/>
      <sz val="10"/>
    </font>
    <font>
      <name val="Calibri"/>
      <i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7C3AED"/>
      </patternFill>
    </fill>
    <fill>
      <patternFill patternType="solid">
        <fgColor rgb="00F5F3FF"/>
      </patternFill>
    </fill>
    <fill>
      <patternFill patternType="solid">
        <fgColor rgb="00EDE9FE"/>
      </patternFill>
    </fill>
    <fill>
      <patternFill patternType="solid">
        <fgColor rgb="00FAFAFA"/>
      </patternFill>
    </fill>
    <fill>
      <patternFill patternType="solid">
        <fgColor rgb="0016A34A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DC2626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medium">
        <color rgb="001E3A5F"/>
      </top>
      <bottom/>
      <diagonal/>
    </border>
    <border>
      <left/>
      <right style="medium">
        <color rgb="001E3A5F"/>
      </right>
      <top style="medium">
        <color rgb="001E3A5F"/>
      </top>
      <bottom/>
      <diagonal/>
    </border>
    <border>
      <left/>
      <right style="medium">
        <color rgb="001E3A5F"/>
      </right>
      <top style="medium">
        <color rgb="001E3A5F"/>
      </top>
      <bottom style="medium">
        <color rgb="001E3A5F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2" fontId="9" fillId="0" borderId="1" applyAlignment="1" pivotButton="0" quotePrefix="0" xfId="0">
      <alignment horizontal="center" vertical="center" wrapText="1"/>
    </xf>
    <xf numFmtId="2" fontId="10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2" fontId="11" fillId="2" borderId="2" applyAlignment="1" pivotButton="0" quotePrefix="0" xfId="0">
      <alignment horizontal="center" vertical="center" wrapText="1"/>
    </xf>
    <xf numFmtId="2" fontId="12" fillId="2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2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29" fillId="5" borderId="1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5" pivotButton="0" quotePrefix="0" xfId="0"/>
    <xf numFmtId="0" fontId="30" fillId="2" borderId="0" applyAlignment="1" pivotButton="0" quotePrefix="0" xfId="0">
      <alignment horizontal="center" vertical="center" wrapText="1"/>
    </xf>
    <xf numFmtId="0" fontId="31" fillId="3" borderId="0" applyAlignment="1" pivotButton="0" quotePrefix="0" xfId="0">
      <alignment horizontal="center" vertical="center" wrapText="1"/>
    </xf>
    <xf numFmtId="0" fontId="32" fillId="12" borderId="0" applyAlignment="1" pivotButton="0" quotePrefix="0" xfId="0">
      <alignment horizontal="left" vertical="center" wrapText="1"/>
    </xf>
    <xf numFmtId="0" fontId="33" fillId="13" borderId="0" applyAlignment="1" pivotButton="0" quotePrefix="0" xfId="0">
      <alignment horizontal="left" vertical="center" wrapText="1"/>
    </xf>
    <xf numFmtId="0" fontId="34" fillId="13" borderId="0" applyAlignment="1" pivotButton="0" quotePrefix="0" xfId="0">
      <alignment horizontal="left" vertical="center" wrapText="1"/>
    </xf>
    <xf numFmtId="0" fontId="35" fillId="14" borderId="0" applyAlignment="1" pivotButton="0" quotePrefix="0" xfId="0">
      <alignment horizontal="center" vertical="center" wrapText="1"/>
    </xf>
    <xf numFmtId="0" fontId="36" fillId="12" borderId="1" applyAlignment="1" pivotButton="0" quotePrefix="0" xfId="0">
      <alignment horizontal="center" vertical="center" wrapText="1"/>
    </xf>
    <xf numFmtId="0" fontId="37" fillId="15" borderId="1" applyAlignment="1" pivotButton="0" quotePrefix="0" xfId="0">
      <alignment horizontal="left" vertical="center" wrapText="1"/>
    </xf>
    <xf numFmtId="0" fontId="38" fillId="15" borderId="1" applyAlignment="1" pivotButton="0" quotePrefix="0" xfId="0">
      <alignment horizontal="center" vertical="center" wrapText="1"/>
    </xf>
    <xf numFmtId="0" fontId="39" fillId="15" borderId="1" applyAlignment="1" pivotButton="0" quotePrefix="0" xfId="0">
      <alignment horizontal="center" vertical="center" wrapText="1"/>
    </xf>
    <xf numFmtId="0" fontId="40" fillId="15" borderId="1" applyAlignment="1" pivotButton="0" quotePrefix="0" xfId="0">
      <alignment horizontal="center" vertical="center" wrapText="1"/>
    </xf>
    <xf numFmtId="0" fontId="37" fillId="13" borderId="1" applyAlignment="1" pivotButton="0" quotePrefix="0" xfId="0">
      <alignment horizontal="left" vertical="center" wrapText="1"/>
    </xf>
    <xf numFmtId="0" fontId="38" fillId="13" borderId="1" applyAlignment="1" pivotButton="0" quotePrefix="0" xfId="0">
      <alignment horizontal="center" vertical="center" wrapText="1"/>
    </xf>
    <xf numFmtId="0" fontId="39" fillId="13" borderId="1" applyAlignment="1" pivotButton="0" quotePrefix="0" xfId="0">
      <alignment horizontal="center" vertical="center" wrapText="1"/>
    </xf>
    <xf numFmtId="0" fontId="40" fillId="13" borderId="1" applyAlignment="1" pivotButton="0" quotePrefix="0" xfId="0">
      <alignment horizontal="center" vertical="center" wrapText="1"/>
    </xf>
    <xf numFmtId="0" fontId="41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32" fillId="16" borderId="0" applyAlignment="1" pivotButton="0" quotePrefix="0" xfId="0">
      <alignment horizontal="left" vertical="center" wrapText="1"/>
    </xf>
    <xf numFmtId="0" fontId="33" fillId="17" borderId="0" applyAlignment="1" pivotButton="0" quotePrefix="0" xfId="0">
      <alignment horizontal="left" vertical="center" wrapText="1"/>
    </xf>
    <xf numFmtId="0" fontId="34" fillId="17" borderId="0" applyAlignment="1" pivotButton="0" quotePrefix="0" xfId="0">
      <alignment horizontal="left" vertical="center" wrapText="1"/>
    </xf>
    <xf numFmtId="0" fontId="42" fillId="7" borderId="0" applyAlignment="1" pivotButton="0" quotePrefix="0" xfId="0">
      <alignment horizontal="center" vertical="center" wrapText="1"/>
    </xf>
    <xf numFmtId="0" fontId="43" fillId="17" borderId="1" applyAlignment="1" pivotButton="0" quotePrefix="0" xfId="0">
      <alignment horizontal="center" vertical="center" wrapText="1"/>
    </xf>
    <xf numFmtId="0" fontId="40" fillId="17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top" wrapText="1"/>
    </xf>
    <xf numFmtId="0" fontId="44" fillId="5" borderId="1" applyAlignment="1" pivotButton="0" quotePrefix="0" xfId="0">
      <alignment horizontal="left" vertical="top" wrapText="1"/>
    </xf>
    <xf numFmtId="0" fontId="32" fillId="2" borderId="0" applyAlignment="1" pivotButton="0" quotePrefix="0" xfId="0">
      <alignment horizontal="left" vertical="center" wrapText="1"/>
    </xf>
    <xf numFmtId="0" fontId="34" fillId="6" borderId="0" applyAlignment="1" pivotButton="0" quotePrefix="0" xfId="0">
      <alignment horizontal="left" vertical="center" wrapText="1"/>
    </xf>
    <xf numFmtId="0" fontId="36" fillId="2" borderId="1" applyAlignment="1" pivotButton="0" quotePrefix="0" xfId="0">
      <alignment horizontal="center" vertical="center" wrapText="1"/>
    </xf>
    <xf numFmtId="0" fontId="45" fillId="15" borderId="1" applyAlignment="1" pivotButton="0" quotePrefix="0" xfId="0">
      <alignment horizontal="center" vertical="center" wrapText="1"/>
    </xf>
    <xf numFmtId="0" fontId="46" fillId="15" borderId="1" applyAlignment="1" pivotButton="0" quotePrefix="0" xfId="0">
      <alignment horizontal="center" vertical="center" wrapText="1"/>
    </xf>
    <xf numFmtId="0" fontId="47" fillId="18" borderId="1" applyAlignment="1" pivotButton="0" quotePrefix="0" xfId="0">
      <alignment horizontal="left" vertical="center" wrapText="1"/>
    </xf>
    <xf numFmtId="0" fontId="48" fillId="10" borderId="1" applyAlignment="1" pivotButton="0" quotePrefix="0" xfId="0">
      <alignment horizontal="center" vertical="center" wrapText="1"/>
    </xf>
    <xf numFmtId="0" fontId="45" fillId="17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left" vertical="center" wrapText="1"/>
    </xf>
    <xf numFmtId="0" fontId="46" fillId="17" borderId="1" applyAlignment="1" pivotButton="0" quotePrefix="0" xfId="0">
      <alignment horizontal="center" vertical="center" wrapText="1"/>
    </xf>
    <xf numFmtId="0" fontId="49" fillId="17" borderId="1" applyAlignment="1" pivotButton="0" quotePrefix="0" xfId="0">
      <alignment horizontal="left" vertical="center" wrapText="1"/>
    </xf>
    <xf numFmtId="0" fontId="50" fillId="7" borderId="1" applyAlignment="1" pivotButton="0" quotePrefix="0" xfId="0">
      <alignment horizontal="center" vertical="center" wrapText="1"/>
    </xf>
    <xf numFmtId="0" fontId="41" fillId="2" borderId="2" applyAlignment="1" pivotButton="0" quotePrefix="0" xfId="0">
      <alignment horizontal="center" vertical="center" wrapText="1"/>
    </xf>
    <xf numFmtId="0" fontId="51" fillId="12" borderId="2" applyAlignment="1" pivotButton="0" quotePrefix="0" xfId="0">
      <alignment horizontal="center" vertical="center" wrapText="1"/>
    </xf>
    <xf numFmtId="0" fontId="36" fillId="2" borderId="2" applyAlignment="1" pivotButton="0" quotePrefix="0" xfId="0">
      <alignment horizontal="center" vertical="center" wrapText="1"/>
    </xf>
    <xf numFmtId="0" fontId="51" fillId="16" borderId="2" applyAlignment="1" pivotButton="0" quotePrefix="0" xfId="0">
      <alignment horizontal="center" vertical="center" wrapText="1"/>
    </xf>
    <xf numFmtId="0" fontId="52" fillId="9" borderId="2" applyAlignment="1" pivotButton="0" quotePrefix="0" xfId="0">
      <alignment horizontal="center" vertical="center" wrapText="1"/>
    </xf>
    <xf numFmtId="0" fontId="53" fillId="9" borderId="2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left" vertical="center" wrapText="1"/>
    </xf>
    <xf numFmtId="0" fontId="54" fillId="18" borderId="1" applyAlignment="1" pivotButton="0" quotePrefix="0" xfId="0">
      <alignment horizontal="center" vertical="center" wrapText="1"/>
    </xf>
    <xf numFmtId="0" fontId="55" fillId="18" borderId="1" applyAlignment="1" pivotButton="0" quotePrefix="0" xfId="0">
      <alignment horizontal="left" vertical="center" wrapText="1"/>
    </xf>
    <xf numFmtId="0" fontId="56" fillId="2" borderId="0" applyAlignment="1" pivotButton="0" quotePrefix="0" xfId="0">
      <alignment horizontal="center" vertical="center" wrapText="1"/>
    </xf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</cols>
  <sheetData>
    <row r="1" ht="36" customHeight="1">
      <c r="A1" s="1" t="inlineStr">
        <is>
          <t>📊  SPI CALCULATOR — PRJ13797 JMUX Replacement</t>
        </is>
      </c>
    </row>
    <row r="2" ht="22" customHeight="1">
      <c r="A2" s="2" t="inlineStr">
        <is>
          <t>Schedule Performance Index (SPI) = Earned Value (EV) ÷ Planned Value (PV)</t>
        </is>
      </c>
    </row>
    <row r="4" ht="20" customHeight="1">
      <c r="A4" s="3" t="inlineStr">
        <is>
          <t>WHAT IS SPI? (Plain English)</t>
        </is>
      </c>
    </row>
    <row r="5">
      <c r="A5" s="4" t="inlineStr">
        <is>
          <t>SPI tells you how much work you ACTUALLY completed vs. how much you PLANNED to complete by a certain date.</t>
        </is>
      </c>
    </row>
    <row r="6" ht="18" customHeight="1">
      <c r="A6" s="5" t="inlineStr">
        <is>
          <t xml:space="preserve">  • SPI = 1.0 → Exactly on schedule     • SPI &gt; 1.0 → Ahead of schedule     • SPI &lt; 1.0 → Behind schedule</t>
        </is>
      </c>
    </row>
    <row r="8" ht="22" customHeight="1">
      <c r="A8" s="6" t="inlineStr">
        <is>
          <t>► ENTER YOUR NUMBERS BELOW</t>
        </is>
      </c>
    </row>
    <row r="9" ht="36" customHeight="1">
      <c r="A9" s="7" t="inlineStr">
        <is>
          <t>Description</t>
        </is>
      </c>
      <c r="B9" s="7" t="inlineStr">
        <is>
          <t>PV — Planned Value
(what you planned to finish)</t>
        </is>
      </c>
      <c r="C9" s="7" t="inlineStr">
        <is>
          <t>EV — Earned Value
(what you actually finished)</t>
        </is>
      </c>
      <c r="D9" s="7" t="inlineStr">
        <is>
          <t>SPI = EV ÷ PV</t>
        </is>
      </c>
    </row>
    <row r="10">
      <c r="A10" s="8" t="inlineStr">
        <is>
          <t>Enter milestone / task 1</t>
        </is>
      </c>
      <c r="B10" s="9" t="n">
        <v>0</v>
      </c>
      <c r="C10" s="9" t="n">
        <v>0</v>
      </c>
      <c r="D10" s="10">
        <f>IF(B10=0,"—",C10/B10)</f>
        <v/>
      </c>
    </row>
    <row r="11">
      <c r="A11" s="8" t="inlineStr">
        <is>
          <t>Enter milestone / task 2</t>
        </is>
      </c>
      <c r="B11" s="9" t="n">
        <v>0</v>
      </c>
      <c r="C11" s="9" t="n">
        <v>0</v>
      </c>
      <c r="D11" s="10">
        <f>IF(B11=0,"—",C11/B11)</f>
        <v/>
      </c>
    </row>
    <row r="12">
      <c r="A12" s="8" t="inlineStr">
        <is>
          <t>Enter milestone / task 3</t>
        </is>
      </c>
      <c r="B12" s="9" t="n">
        <v>0</v>
      </c>
      <c r="C12" s="9" t="n">
        <v>0</v>
      </c>
      <c r="D12" s="10">
        <f>IF(B12=0,"—",C12/B12)</f>
        <v/>
      </c>
    </row>
    <row r="13">
      <c r="A13" s="8" t="inlineStr">
        <is>
          <t>Enter milestone / task 4</t>
        </is>
      </c>
      <c r="B13" s="9" t="n">
        <v>0</v>
      </c>
      <c r="C13" s="9" t="n">
        <v>0</v>
      </c>
      <c r="D13" s="10">
        <f>IF(B13=0,"—",C13/B13)</f>
        <v/>
      </c>
    </row>
    <row r="14">
      <c r="A14" s="8" t="inlineStr">
        <is>
          <t>Enter milestone / task 5</t>
        </is>
      </c>
      <c r="B14" s="9" t="n">
        <v>0</v>
      </c>
      <c r="C14" s="9" t="n">
        <v>0</v>
      </c>
      <c r="D14" s="10">
        <f>IF(B14=0,"—",C14/B14)</f>
        <v/>
      </c>
    </row>
    <row r="15">
      <c r="A15" s="8" t="inlineStr">
        <is>
          <t>Enter milestone / task 6</t>
        </is>
      </c>
      <c r="B15" s="9" t="n">
        <v>0</v>
      </c>
      <c r="C15" s="9" t="n">
        <v>0</v>
      </c>
      <c r="D15" s="10">
        <f>IF(B15=0,"—",C15/B15)</f>
        <v/>
      </c>
    </row>
    <row r="16">
      <c r="A16" s="8" t="inlineStr">
        <is>
          <t>Enter milestone / task 7</t>
        </is>
      </c>
      <c r="B16" s="9" t="n">
        <v>0</v>
      </c>
      <c r="C16" s="9" t="n">
        <v>0</v>
      </c>
      <c r="D16" s="10">
        <f>IF(B16=0,"—",C16/B16)</f>
        <v/>
      </c>
    </row>
    <row r="17">
      <c r="A17" s="8" t="inlineStr">
        <is>
          <t>Enter milestone / task 8</t>
        </is>
      </c>
      <c r="B17" s="9" t="n">
        <v>0</v>
      </c>
      <c r="C17" s="9" t="n">
        <v>0</v>
      </c>
      <c r="D17" s="10">
        <f>IF(B17=0,"—",C17/B17)</f>
        <v/>
      </c>
    </row>
    <row r="18">
      <c r="A18" s="8" t="inlineStr">
        <is>
          <t>Enter milestone / task 9</t>
        </is>
      </c>
      <c r="B18" s="9" t="n">
        <v>0</v>
      </c>
      <c r="C18" s="9" t="n">
        <v>0</v>
      </c>
      <c r="D18" s="10">
        <f>IF(B18=0,"—",C18/B18)</f>
        <v/>
      </c>
    </row>
    <row r="19">
      <c r="A19" s="8" t="inlineStr">
        <is>
          <t>Enter milestone / task 10</t>
        </is>
      </c>
      <c r="B19" s="9" t="n">
        <v>0</v>
      </c>
      <c r="C19" s="9" t="n">
        <v>0</v>
      </c>
      <c r="D19" s="10">
        <f>IF(B19=0,"—",C19/B19)</f>
        <v/>
      </c>
    </row>
    <row r="20" ht="28" customHeight="1">
      <c r="A20" s="11" t="inlineStr">
        <is>
          <t>TOTALS</t>
        </is>
      </c>
      <c r="B20" s="12">
        <f>SUM(B10:B19)</f>
        <v/>
      </c>
      <c r="C20" s="12">
        <f>SUM(C10:C19)</f>
        <v/>
      </c>
      <c r="D20" s="13">
        <f>IF(B20=0,"—",C20/B20)</f>
        <v/>
      </c>
    </row>
    <row r="22" ht="28" customHeight="1">
      <c r="A22" s="14" t="inlineStr">
        <is>
          <t>YOUR OVERALL SPI:</t>
        </is>
      </c>
      <c r="B22" s="45" t="n"/>
      <c r="C22" s="15">
        <f>IF(B20=0,"Enter values above",C20/B20)</f>
        <v/>
      </c>
      <c r="D22" s="45" t="n"/>
    </row>
    <row r="23" ht="28" customHeight="1">
      <c r="A23" s="14" t="inlineStr">
        <is>
          <t>STATUS:</t>
        </is>
      </c>
      <c r="B23" s="45" t="n"/>
      <c r="C23" s="16">
        <f>IF(B20=0,"—",IF(C22&gt;1.1,"🔵 AHEAD OF SCHEDULE",IF(C22&gt;=0.9,"🟢 ON TRACK",IF(C22&gt;=0.7,"🟡 YELLOW — MONITOR",IF(C22&gt;=0.5,"🟠 ORANGE — ACT NOW","🔴 CRITICAL — ESCALATE")))))</f>
        <v/>
      </c>
      <c r="D23" s="45" t="n"/>
    </row>
    <row r="25" ht="22" customHeight="1">
      <c r="A25" s="17" t="inlineStr">
        <is>
          <t>SPI REFERENCE SCALE</t>
        </is>
      </c>
    </row>
    <row r="26" ht="20" customHeight="1">
      <c r="A26" s="18" t="inlineStr">
        <is>
          <t>Above 1.10</t>
        </is>
      </c>
      <c r="B26" s="46" t="n"/>
      <c r="C26" s="18" t="inlineStr">
        <is>
          <t>🔵 Ahead of Schedule</t>
        </is>
      </c>
      <c r="D26" s="46" t="n"/>
    </row>
    <row r="27" ht="20" customHeight="1">
      <c r="A27" s="19" t="inlineStr">
        <is>
          <t>0.90 – 1.10</t>
        </is>
      </c>
      <c r="B27" s="46" t="n"/>
      <c r="C27" s="19" t="inlineStr">
        <is>
          <t>🟢 On Track</t>
        </is>
      </c>
      <c r="D27" s="46" t="n"/>
    </row>
    <row r="28" ht="20" customHeight="1">
      <c r="A28" s="20" t="inlineStr">
        <is>
          <t>0.70 – 0.90</t>
        </is>
      </c>
      <c r="B28" s="46" t="n"/>
      <c r="C28" s="20" t="inlineStr">
        <is>
          <t>🟡 Yellow — Monitor Closely</t>
        </is>
      </c>
      <c r="D28" s="46" t="n"/>
    </row>
    <row r="29" ht="20" customHeight="1">
      <c r="A29" s="21" t="inlineStr">
        <is>
          <t>0.50 – 0.70</t>
        </is>
      </c>
      <c r="B29" s="46" t="n"/>
      <c r="C29" s="21" t="inlineStr">
        <is>
          <t>🟠 Orange — Action Required</t>
        </is>
      </c>
      <c r="D29" s="46" t="n"/>
    </row>
    <row r="30" ht="20" customHeight="1">
      <c r="A30" s="22" t="inlineStr">
        <is>
          <t>Below 0.50</t>
        </is>
      </c>
      <c r="B30" s="46" t="n"/>
      <c r="C30" s="22" t="inlineStr">
        <is>
          <t>🔴 Critical — Escalate to CIO/SVP</t>
        </is>
      </c>
      <c r="D30" s="46" t="n"/>
    </row>
  </sheetData>
  <mergeCells count="21">
    <mergeCell ref="A5:D5"/>
    <mergeCell ref="A30:B30"/>
    <mergeCell ref="A8:D8"/>
    <mergeCell ref="C30:D30"/>
    <mergeCell ref="A4:D4"/>
    <mergeCell ref="C26:D26"/>
    <mergeCell ref="C29:D29"/>
    <mergeCell ref="C22:D22"/>
    <mergeCell ref="A27:B27"/>
    <mergeCell ref="A1:D1"/>
    <mergeCell ref="A26:B26"/>
    <mergeCell ref="A6:D6"/>
    <mergeCell ref="C27:D27"/>
    <mergeCell ref="A25:D25"/>
    <mergeCell ref="A23:B23"/>
    <mergeCell ref="C23:D23"/>
    <mergeCell ref="A22:B22"/>
    <mergeCell ref="A29:B29"/>
    <mergeCell ref="A28:B28"/>
    <mergeCell ref="C28:D2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8" customWidth="1" min="4" max="4"/>
    <col width="22" customWidth="1" min="5" max="5"/>
  </cols>
  <sheetData>
    <row r="1" ht="36" customHeight="1">
      <c r="A1" s="47" t="inlineStr">
        <is>
          <t>EV &amp; PV DEEP DIVE — How to Calculate Planned Value &amp; Earned Value</t>
        </is>
      </c>
    </row>
    <row r="2" ht="22" customHeight="1">
      <c r="A2" s="48" t="inlineStr">
        <is>
          <t>Using real milestones from PRJ13797 JMUX Replacement — PSEG Long Island</t>
        </is>
      </c>
    </row>
    <row r="4" ht="26" customHeight="1">
      <c r="A4" s="49" t="inlineStr">
        <is>
          <t>SECTION 1:  WHAT IS PLANNED VALUE (PV)?</t>
        </is>
      </c>
    </row>
    <row r="5" ht="22" customHeight="1">
      <c r="A5" s="50" t="inlineStr">
        <is>
          <t>PV = the budgeted cost (or milestone weight) of ALL work scheduled to be completed by a specific date.</t>
        </is>
      </c>
    </row>
    <row r="6" ht="20" customHeight="1">
      <c r="A6" s="51" t="inlineStr">
        <is>
          <t>Think of PV as your PROMISE to management. It's what your project schedule SAID would be done.</t>
        </is>
      </c>
    </row>
    <row r="8" ht="22" customHeight="1">
      <c r="A8" s="52" t="inlineStr">
        <is>
          <t>3 WAYS TO ASSIGN PV VALUE — Choose ONE method and stick with it</t>
        </is>
      </c>
    </row>
    <row r="9" ht="36" customHeight="1">
      <c r="A9" s="53" t="inlineStr">
        <is>
          <t>Task</t>
        </is>
      </c>
      <c r="B9" s="53" t="inlineStr">
        <is>
          <t>METHOD 1: Milestone Count
(Simplest ✅ Used on JMUX)</t>
        </is>
      </c>
      <c r="C9" s="53" t="inlineStr">
        <is>
          <t>METHOD 2: Percentage Weight
(Best for mixed-size tasks)</t>
        </is>
      </c>
      <c r="D9" s="53" t="inlineStr">
        <is>
          <t>METHOD 3: Dollar Value
(Best for budget tracking)</t>
        </is>
      </c>
      <c r="E9" s="53" t="inlineStr">
        <is>
          <t>JMUX Used This?</t>
        </is>
      </c>
    </row>
    <row r="10" ht="20" customHeight="1">
      <c r="A10" s="54" t="inlineStr">
        <is>
          <t>BGP Design Approved</t>
        </is>
      </c>
      <c r="B10" s="55" t="inlineStr">
        <is>
          <t>1 milestone = 1</t>
        </is>
      </c>
      <c r="C10" s="56" t="inlineStr">
        <is>
          <t>20% of network tasks</t>
        </is>
      </c>
      <c r="D10" s="56" t="inlineStr">
        <is>
          <t>$25,000 (BGP design fee)</t>
        </is>
      </c>
      <c r="E10" s="57" t="inlineStr">
        <is>
          <t>✅ Method 1</t>
        </is>
      </c>
    </row>
    <row r="11" ht="20" customHeight="1">
      <c r="A11" s="58" t="inlineStr">
        <is>
          <t>Northport DC Power Complete</t>
        </is>
      </c>
      <c r="B11" s="59" t="inlineStr">
        <is>
          <t>1 milestone = 1</t>
        </is>
      </c>
      <c r="C11" s="60" t="inlineStr">
        <is>
          <t>10% of infra tasks</t>
        </is>
      </c>
      <c r="D11" s="60" t="inlineStr">
        <is>
          <t>$18,000 (power install)</t>
        </is>
      </c>
      <c r="E11" s="61" t="inlineStr">
        <is>
          <t>✅ Method 1</t>
        </is>
      </c>
    </row>
    <row r="12" ht="20" customHeight="1">
      <c r="A12" s="54" t="inlineStr">
        <is>
          <t>OTDR Test — Hicksville Link</t>
        </is>
      </c>
      <c r="B12" s="55" t="inlineStr">
        <is>
          <t>1 milestone = 1</t>
        </is>
      </c>
      <c r="C12" s="56" t="inlineStr">
        <is>
          <t>15% of testing tasks</t>
        </is>
      </c>
      <c r="D12" s="56" t="inlineStr">
        <is>
          <t>$8,500 (testing labor)</t>
        </is>
      </c>
      <c r="E12" s="57" t="inlineStr">
        <is>
          <t>✅ Method 1</t>
        </is>
      </c>
    </row>
    <row r="13" ht="20" customHeight="1">
      <c r="A13" s="58" t="inlineStr">
        <is>
          <t>NSP Fiber Run &amp; Terminated</t>
        </is>
      </c>
      <c r="B13" s="59" t="inlineStr">
        <is>
          <t>1 milestone = 1</t>
        </is>
      </c>
      <c r="C13" s="60" t="inlineStr">
        <is>
          <t>25% of cabling tasks</t>
        </is>
      </c>
      <c r="D13" s="60" t="inlineStr">
        <is>
          <t>$12,000 (Hawkeye labor)</t>
        </is>
      </c>
      <c r="E13" s="61" t="inlineStr">
        <is>
          <t>✅ Method 1</t>
        </is>
      </c>
    </row>
    <row r="14" ht="20" customHeight="1">
      <c r="A14" s="54" t="inlineStr">
        <is>
          <t>Phase 2 IFR Packages x3</t>
        </is>
      </c>
      <c r="B14" s="55" t="inlineStr">
        <is>
          <t>1 milestone = 1</t>
        </is>
      </c>
      <c r="C14" s="56" t="inlineStr">
        <is>
          <t>30% of design tasks</t>
        </is>
      </c>
      <c r="D14" s="56" t="inlineStr">
        <is>
          <t>$45,000 (BMcD design fee)</t>
        </is>
      </c>
      <c r="E14" s="57" t="inlineStr">
        <is>
          <t>✅ Method 1</t>
        </is>
      </c>
    </row>
    <row r="15" ht="24" customHeight="1">
      <c r="A15" s="62" t="inlineStr">
        <is>
          <t>TOTAL PV</t>
        </is>
      </c>
      <c r="B15" s="62" t="inlineStr">
        <is>
          <t>PV = 5  (5 milestones)</t>
        </is>
      </c>
      <c r="C15" s="62" t="inlineStr">
        <is>
          <t>PV = 100%</t>
        </is>
      </c>
      <c r="D15" s="62" t="inlineStr">
        <is>
          <t>PV = $108,500</t>
        </is>
      </c>
      <c r="E15" s="63" t="inlineStr"/>
    </row>
    <row r="17" ht="26" customHeight="1">
      <c r="A17" s="64" t="inlineStr">
        <is>
          <t>SECTION 2:  WHAT IS EARNED VALUE (EV)?</t>
        </is>
      </c>
    </row>
    <row r="18" ht="22" customHeight="1">
      <c r="A18" s="65" t="inlineStr">
        <is>
          <t>EV = the budgeted value of work ACTUALLY completed to date. You only earn value when a task is DONE.</t>
        </is>
      </c>
    </row>
    <row r="19" ht="20" customHeight="1">
      <c r="A19" s="66" t="inlineStr">
        <is>
          <t>Think of EV as your SCORECARD. It's what you actually earned based on real completed work — not effort or time spent.</t>
        </is>
      </c>
    </row>
    <row r="21" ht="22" customHeight="1">
      <c r="A21" s="67" t="inlineStr">
        <is>
          <t>THE GOLDEN RULES OF EV — Critical for accurate SPI</t>
        </is>
      </c>
    </row>
    <row r="22" ht="52" customHeight="1">
      <c r="A22" s="68" t="inlineStr">
        <is>
          <t>✅</t>
        </is>
      </c>
      <c r="B22" s="69" t="inlineStr">
        <is>
          <t>RULE 1: 0% or 100% only (Binary Method)</t>
        </is>
      </c>
      <c r="C22" s="70" t="inlineStr">
        <is>
          <t>A task is either DONE or NOT DONE. No partial credit.
If BGP execution is 80% complete — EV = 0 until it's fully done.</t>
        </is>
      </c>
      <c r="D22" s="71" t="inlineStr">
        <is>
          <t>JMUX Feb 2026: Northport ILO was blocked. It was 0% — EV = 0, not 0.5</t>
        </is>
      </c>
    </row>
    <row r="23" ht="52" customHeight="1">
      <c r="A23" s="68" t="inlineStr">
        <is>
          <t>✅</t>
        </is>
      </c>
      <c r="B23" s="69" t="inlineStr">
        <is>
          <t>RULE 2: Use the SAME unit as PV</t>
        </is>
      </c>
      <c r="C23" s="70" t="inlineStr">
        <is>
          <t>If PV uses milestones, EV counts completed milestones.
If PV uses dollars, EV uses the budgeted dollar value of completed work.</t>
        </is>
      </c>
      <c r="D23" s="71" t="inlineStr">
        <is>
          <t>JMUX uses milestone count (1 per task). 3 done out of 5 = EV of 3</t>
        </is>
      </c>
    </row>
    <row r="24" ht="52" customHeight="1">
      <c r="A24" s="68" t="inlineStr">
        <is>
          <t>✅</t>
        </is>
      </c>
      <c r="B24" s="69" t="inlineStr">
        <is>
          <t>RULE 3: EV is based on PLANNED value — not actual cost</t>
        </is>
      </c>
      <c r="C24" s="70" t="inlineStr">
        <is>
          <t>If a task was planned at $25K and you completed it spending $30K,
EV is still $25K. Actual cost is tracked separately (CPI, not SPI).</t>
        </is>
      </c>
      <c r="D24" s="71" t="inlineStr">
        <is>
          <t>JMUX: BGP design budgeted at $25K. Regardless of actual spend, EV = $25K when done.</t>
        </is>
      </c>
    </row>
    <row r="25" ht="52" customHeight="1">
      <c r="A25" s="68" t="inlineStr">
        <is>
          <t>✅</t>
        </is>
      </c>
      <c r="B25" s="69" t="inlineStr">
        <is>
          <t>RULE 4: EV can never exceed PV for a task</t>
        </is>
      </c>
      <c r="C25" s="70" t="inlineStr">
        <is>
          <t>You cannot earn more than what was planned.
Doing extra work that wasn't planned does NOT increase EV.</t>
        </is>
      </c>
      <c r="D25" s="71" t="inlineStr">
        <is>
          <t>JMUX: Hawkeye moved Phase 2 equipment early. Not in PV — so EV = 0 for that task.</t>
        </is>
      </c>
    </row>
    <row r="27" ht="26" customHeight="1">
      <c r="A27" s="72" t="inlineStr">
        <is>
          <t>SECTION 3:  FULL WORKED EXAMPLE — February 2026 (JMUX PRJ13797)</t>
        </is>
      </c>
    </row>
    <row r="28" ht="20" customHeight="1">
      <c r="A28" s="73" t="inlineStr">
        <is>
          <t>Scenario: End of February 2026. You need to report SPI to the CIO. Here is exactly how to do it.</t>
        </is>
      </c>
    </row>
    <row r="29" ht="36" customHeight="1">
      <c r="A29" s="74" t="inlineStr">
        <is>
          <t>#</t>
        </is>
      </c>
      <c r="B29" s="74" t="inlineStr">
        <is>
          <t>Planned Milestone</t>
        </is>
      </c>
      <c r="C29" s="74" t="inlineStr">
        <is>
          <t>PV Value
(assigned at start)</t>
        </is>
      </c>
      <c r="D29" s="74" t="inlineStr">
        <is>
          <t>Completed?
(honest answer)</t>
        </is>
      </c>
      <c r="E29" s="74" t="inlineStr">
        <is>
          <t>EV Earned
(only if 100% done)</t>
        </is>
      </c>
    </row>
    <row r="30" ht="30" customHeight="1">
      <c r="A30" s="75" t="n">
        <v>1</v>
      </c>
      <c r="B30" s="54" t="inlineStr">
        <is>
          <t>Northport ILO port configuration complete</t>
        </is>
      </c>
      <c r="C30" s="76" t="n">
        <v>1</v>
      </c>
      <c r="D30" s="77" t="inlineStr">
        <is>
          <t>❌ NO — DC power fuse tripping blocked all ILO work</t>
        </is>
      </c>
      <c r="E30" s="78" t="n">
        <v>0</v>
      </c>
    </row>
    <row r="31" ht="30" customHeight="1">
      <c r="A31" s="79" t="n">
        <v>2</v>
      </c>
      <c r="B31" s="80" t="inlineStr">
        <is>
          <t>OTDR test — Hicksville to Syosset link active</t>
        </is>
      </c>
      <c r="C31" s="81" t="n">
        <v>1</v>
      </c>
      <c r="D31" s="82" t="inlineStr">
        <is>
          <t>✅ YES — Bad filter replaced. Link confirmed active.</t>
        </is>
      </c>
      <c r="E31" s="83" t="n">
        <v>1</v>
      </c>
    </row>
    <row r="32" ht="30" customHeight="1">
      <c r="A32" s="75" t="n">
        <v>3</v>
      </c>
      <c r="B32" s="54" t="inlineStr">
        <is>
          <t>NSP fiber cable run &amp; terminated at Hicksville</t>
        </is>
      </c>
      <c r="C32" s="76" t="n">
        <v>1</v>
      </c>
      <c r="D32" s="82" t="inlineStr">
        <is>
          <t>✅ YES — Hawkeye completed fiber run to NSP rack.</t>
        </is>
      </c>
      <c r="E32" s="83" t="n">
        <v>1</v>
      </c>
    </row>
    <row r="33" ht="30" customHeight="1">
      <c r="A33" s="79" t="n">
        <v>4</v>
      </c>
      <c r="B33" s="80" t="inlineStr">
        <is>
          <t>Phase 2 IFRs — Far Rockaway, Valley Stream, Cedarhurst</t>
        </is>
      </c>
      <c r="C33" s="81" t="n">
        <v>1</v>
      </c>
      <c r="D33" s="82" t="inlineStr">
        <is>
          <t>✅ YES — Burns &amp; McDonnell submitted all 3 packages.</t>
        </is>
      </c>
      <c r="E33" s="83" t="n">
        <v>1</v>
      </c>
    </row>
    <row r="34" ht="28" customHeight="1">
      <c r="A34" t="inlineStr"/>
      <c r="B34" s="84" t="inlineStr">
        <is>
          <t>TOTALS</t>
        </is>
      </c>
      <c r="C34" s="85" t="inlineStr">
        <is>
          <t>PV = 4</t>
        </is>
      </c>
      <c r="D34" s="86" t="inlineStr">
        <is>
          <t>3 tasks completed ✅   |   1 task blocked ❌</t>
        </is>
      </c>
      <c r="E34" s="87" t="inlineStr">
        <is>
          <t>EV = 3</t>
        </is>
      </c>
    </row>
    <row r="35" ht="30" customHeight="1">
      <c r="A35" s="88" t="inlineStr">
        <is>
          <t>SPI CALCULATION:</t>
        </is>
      </c>
      <c r="C35" s="89" t="inlineStr">
        <is>
          <t>SPI  =  EV ÷ PV  =  3 ÷ 4  =  0.75   →   🟠 ORANGE — Action Required</t>
        </is>
      </c>
    </row>
    <row r="37" ht="26" customHeight="1">
      <c r="A37" s="90" t="inlineStr">
        <is>
          <t>SECTION 4:  COMMON MISTAKES — What NOT to Do</t>
        </is>
      </c>
    </row>
    <row r="38" ht="52" customHeight="1">
      <c r="A38" s="91" t="inlineStr">
        <is>
          <t>❌ Mistake 1</t>
        </is>
      </c>
      <c r="B38" s="92" t="inlineStr">
        <is>
          <t>Giving partial EV credit</t>
        </is>
      </c>
      <c r="C38" s="70" t="inlineStr">
        <is>
          <t>Saying 'ILO is 50% done so EV = 0.5' — WRONG.
EV is 0 until the task is fully complete.</t>
        </is>
      </c>
      <c r="D38" s="71" t="inlineStr">
        <is>
          <t>JMUX: ILO blocked in Feb. EV = 0, not 0.5. That honesty is what flagged the schedule risk.</t>
        </is>
      </c>
    </row>
    <row r="39" ht="52" customHeight="1">
      <c r="A39" s="91" t="inlineStr">
        <is>
          <t>❌ Mistake 2</t>
        </is>
      </c>
      <c r="B39" s="92" t="inlineStr">
        <is>
          <t>Counting effort instead of output</t>
        </is>
      </c>
      <c r="C39" s="70" t="inlineStr">
        <is>
          <t>Saying 'we worked 40 hours on BGP so we earned 0.5' — WRONG.
EV is about deliverables completed, not hours spent.</t>
        </is>
      </c>
      <c r="D39" s="71" t="inlineStr">
        <is>
          <t>JMUX: Hawkeye spent weeks on NSP wiring. EV = 0 until fiber was run AND terminated.</t>
        </is>
      </c>
    </row>
    <row r="40" ht="52" customHeight="1">
      <c r="A40" s="91" t="inlineStr">
        <is>
          <t>❌ Mistake 3</t>
        </is>
      </c>
      <c r="B40" s="92" t="inlineStr">
        <is>
          <t>Changing PV mid-project without approval</t>
        </is>
      </c>
      <c r="C40" s="70" t="inlineStr">
        <is>
          <t>Reducing PV to make SPI look better is data manipulation.
If scope changes, get formal change control approval first.</t>
        </is>
      </c>
      <c r="D40" s="71" t="inlineStr">
        <is>
          <t>JMUX: If ILO was removed from PV without a change request, SPI would look artificially good.</t>
        </is>
      </c>
    </row>
    <row r="41" ht="52" customHeight="1">
      <c r="A41" s="91" t="inlineStr">
        <is>
          <t>❌ Mistake 4</t>
        </is>
      </c>
      <c r="B41" s="92" t="inlineStr">
        <is>
          <t>Not updating EV regularly</t>
        </is>
      </c>
      <c r="C41" s="70" t="inlineStr">
        <is>
          <t>SPI is only useful if updated consistently — weekly or monthly.
Stale data gives stale decisions.</t>
        </is>
      </c>
      <c r="D41" s="71" t="inlineStr">
        <is>
          <t>JMUX: Jay updates SPI monthly for CIO reporting. Weekly for internal team tracking.</t>
        </is>
      </c>
    </row>
    <row r="43" ht="22" customHeight="1">
      <c r="A43" s="93" t="inlineStr">
        <is>
          <t>PRJ13797 JMUX Replacement — PSEG Long Island  |  PM: Jay Gunaratne  |  Built by Sachi</t>
        </is>
      </c>
    </row>
  </sheetData>
  <mergeCells count="28">
    <mergeCell ref="C23"/>
    <mergeCell ref="A1:E1"/>
    <mergeCell ref="D22:E22"/>
    <mergeCell ref="D40:E40"/>
    <mergeCell ref="A6:E6"/>
    <mergeCell ref="C24"/>
    <mergeCell ref="A37:E37"/>
    <mergeCell ref="D41:E41"/>
    <mergeCell ref="A18:E18"/>
    <mergeCell ref="A27:E27"/>
    <mergeCell ref="A21:E21"/>
    <mergeCell ref="A2:E2"/>
    <mergeCell ref="C25"/>
    <mergeCell ref="A5:E5"/>
    <mergeCell ref="A8:E8"/>
    <mergeCell ref="A17:E17"/>
    <mergeCell ref="C22"/>
    <mergeCell ref="A35:B35"/>
    <mergeCell ref="D25:E25"/>
    <mergeCell ref="D39:E39"/>
    <mergeCell ref="A4:E4"/>
    <mergeCell ref="D24:E24"/>
    <mergeCell ref="A43:E43"/>
    <mergeCell ref="A28:E28"/>
    <mergeCell ref="A19:E19"/>
    <mergeCell ref="D23:E23"/>
    <mergeCell ref="D38:E38"/>
    <mergeCell ref="C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23" t="inlineStr">
        <is>
          <t>HOW TO CALCULATE PV — Real JMUX Project Examples (PRJ13797)</t>
        </is>
      </c>
    </row>
    <row r="2" ht="20" customHeight="1">
      <c r="A2" s="24" t="inlineStr">
        <is>
          <t>PV = the total value of work you PLANNED to complete by a specific date. Each milestone = 1 point on this project.</t>
        </is>
      </c>
    </row>
    <row r="4" ht="22" customHeight="1">
      <c r="A4" s="25" t="inlineStr">
        <is>
          <t>JANUARY 2026 — On Track</t>
        </is>
      </c>
      <c r="B4" s="94" t="n"/>
      <c r="C4" s="94" t="n"/>
      <c r="D4" s="94" t="n"/>
      <c r="E4" s="46" t="n"/>
    </row>
    <row r="5" ht="18" customHeight="1">
      <c r="A5" s="26" t="inlineStr">
        <is>
          <t>#</t>
        </is>
      </c>
      <c r="B5" s="26" t="inlineStr">
        <is>
          <t>Planned Milestone</t>
        </is>
      </c>
      <c r="C5" s="26" t="inlineStr">
        <is>
          <t>PV Value</t>
        </is>
      </c>
      <c r="D5" s="26" t="inlineStr">
        <is>
          <t>EV (Done?)</t>
        </is>
      </c>
      <c r="E5" s="26" t="inlineStr">
        <is>
          <t>Notes</t>
        </is>
      </c>
    </row>
    <row r="6" ht="18" customHeight="1">
      <c r="A6" s="27" t="n">
        <v>1</v>
      </c>
      <c r="B6" s="28" t="inlineStr">
        <is>
          <t>Complete Northport DC power installation</t>
        </is>
      </c>
      <c r="C6" s="29" t="n">
        <v>1</v>
      </c>
      <c r="D6" s="19" t="inlineStr">
        <is>
          <t>✅ Done</t>
        </is>
      </c>
      <c r="E6" s="30" t="inlineStr"/>
    </row>
    <row r="7" ht="18" customHeight="1">
      <c r="A7" s="27" t="n">
        <v>2</v>
      </c>
      <c r="B7" s="28" t="inlineStr">
        <is>
          <t>Hawkeye completes router racking at 5 Phase 1 sites</t>
        </is>
      </c>
      <c r="C7" s="29" t="n">
        <v>1</v>
      </c>
      <c r="D7" s="19" t="inlineStr">
        <is>
          <t>✅ Done</t>
        </is>
      </c>
      <c r="E7" s="30" t="inlineStr"/>
    </row>
    <row r="8" ht="18" customHeight="1">
      <c r="A8" s="27" t="n">
        <v>3</v>
      </c>
      <c r="B8" s="28" t="inlineStr">
        <is>
          <t>BGP design draft submitted to Lee Blackman</t>
        </is>
      </c>
      <c r="C8" s="29" t="n">
        <v>1</v>
      </c>
      <c r="D8" s="19" t="inlineStr">
        <is>
          <t>✅ Done</t>
        </is>
      </c>
      <c r="E8" s="30" t="inlineStr"/>
    </row>
    <row r="9" ht="18" customHeight="1">
      <c r="A9" s="27" t="n">
        <v>4</v>
      </c>
      <c r="B9" s="28" t="inlineStr">
        <is>
          <t>Phase 2 site surveys continue — 10 sites</t>
        </is>
      </c>
      <c r="C9" s="29" t="n">
        <v>1</v>
      </c>
      <c r="D9" s="19" t="inlineStr">
        <is>
          <t>✅ Done</t>
        </is>
      </c>
      <c r="E9" s="30" t="inlineStr"/>
    </row>
    <row r="10" ht="18" customHeight="1">
      <c r="A10" s="27" t="n">
        <v>5</v>
      </c>
      <c r="B10" s="28" t="inlineStr">
        <is>
          <t>Phase 1 IFC document review complete</t>
        </is>
      </c>
      <c r="C10" s="29" t="n">
        <v>1</v>
      </c>
      <c r="D10" s="19" t="inlineStr">
        <is>
          <t>✅ Done</t>
        </is>
      </c>
      <c r="E10" s="30" t="inlineStr"/>
    </row>
    <row r="11" ht="22" customHeight="1">
      <c r="B11" s="19" t="inlineStr">
        <is>
          <t>TOTAL</t>
        </is>
      </c>
      <c r="C11" s="31" t="inlineStr">
        <is>
          <t>PV = 5</t>
        </is>
      </c>
      <c r="D11" s="19" t="inlineStr">
        <is>
          <t>EV = 5</t>
        </is>
      </c>
      <c r="E11" s="32" t="inlineStr">
        <is>
          <t>SPI = 5/5 = 1.00</t>
        </is>
      </c>
    </row>
    <row r="13" ht="22" customHeight="1">
      <c r="A13" s="33" t="inlineStr">
        <is>
          <t>FEBRUARY 2026 — Northport DC Power Issue</t>
        </is>
      </c>
      <c r="B13" s="94" t="n"/>
      <c r="C13" s="94" t="n"/>
      <c r="D13" s="94" t="n"/>
      <c r="E13" s="46" t="n"/>
    </row>
    <row r="14" ht="18" customHeight="1">
      <c r="A14" s="26" t="inlineStr">
        <is>
          <t>#</t>
        </is>
      </c>
      <c r="B14" s="26" t="inlineStr">
        <is>
          <t>Planned Milestone</t>
        </is>
      </c>
      <c r="C14" s="26" t="inlineStr">
        <is>
          <t>PV Value</t>
        </is>
      </c>
      <c r="D14" s="26" t="inlineStr">
        <is>
          <t>EV (Done?)</t>
        </is>
      </c>
      <c r="E14" s="26" t="inlineStr">
        <is>
          <t>Notes</t>
        </is>
      </c>
    </row>
    <row r="15" ht="18" customHeight="1">
      <c r="A15" s="27" t="n">
        <v>1</v>
      </c>
      <c r="B15" s="28" t="inlineStr">
        <is>
          <t>Northport ILO port configuration complete</t>
        </is>
      </c>
      <c r="C15" s="29" t="n">
        <v>1</v>
      </c>
      <c r="D15" s="22" t="inlineStr">
        <is>
          <t>❌ Not Done</t>
        </is>
      </c>
      <c r="E15" s="30" t="inlineStr">
        <is>
          <t>❌ DC power fuse tripping — ILO work blocked</t>
        </is>
      </c>
    </row>
    <row r="16" ht="18" customHeight="1">
      <c r="A16" s="27" t="n">
        <v>2</v>
      </c>
      <c r="B16" s="28" t="inlineStr">
        <is>
          <t>OTDR test Hicksville–Syosset link confirmed active</t>
        </is>
      </c>
      <c r="C16" s="29" t="n">
        <v>1</v>
      </c>
      <c r="D16" s="19" t="inlineStr">
        <is>
          <t>✅ Done</t>
        </is>
      </c>
      <c r="E16" s="30" t="inlineStr">
        <is>
          <t>✅ Bad filter found &amp; replaced. Link active.</t>
        </is>
      </c>
    </row>
    <row r="17" ht="18" customHeight="1">
      <c r="A17" s="27" t="n">
        <v>3</v>
      </c>
      <c r="B17" s="28" t="inlineStr">
        <is>
          <t>NSP fiber cabling run and terminated at Hicksville</t>
        </is>
      </c>
      <c r="C17" s="29" t="n">
        <v>1</v>
      </c>
      <c r="D17" s="19" t="inlineStr">
        <is>
          <t>✅ Done</t>
        </is>
      </c>
      <c r="E17" s="30" t="inlineStr">
        <is>
          <t>✅ Hawkeye completed fiber run</t>
        </is>
      </c>
    </row>
    <row r="18" ht="18" customHeight="1">
      <c r="A18" s="27" t="n">
        <v>4</v>
      </c>
      <c r="B18" s="28" t="inlineStr">
        <is>
          <t>Phase 2 IFR packages — Far Rockaway, Valley Stream, Cedarhurst</t>
        </is>
      </c>
      <c r="C18" s="29" t="n">
        <v>1</v>
      </c>
      <c r="D18" s="19" t="inlineStr">
        <is>
          <t>✅ Done</t>
        </is>
      </c>
      <c r="E18" s="30" t="inlineStr">
        <is>
          <t>✅ Submitted by BMcD</t>
        </is>
      </c>
    </row>
    <row r="19" ht="22" customHeight="1">
      <c r="B19" s="21" t="inlineStr">
        <is>
          <t>TOTAL</t>
        </is>
      </c>
      <c r="C19" s="34" t="inlineStr">
        <is>
          <t>PV = 4</t>
        </is>
      </c>
      <c r="D19" s="21" t="inlineStr">
        <is>
          <t>EV = 3</t>
        </is>
      </c>
      <c r="E19" s="35" t="inlineStr">
        <is>
          <t>SPI = 3/4 = 0.75</t>
        </is>
      </c>
    </row>
    <row r="21" ht="22" customHeight="1">
      <c r="A21" s="36" t="inlineStr">
        <is>
          <t>MARCH 2026 — Recovery Underway</t>
        </is>
      </c>
      <c r="B21" s="94" t="n"/>
      <c r="C21" s="94" t="n"/>
      <c r="D21" s="94" t="n"/>
      <c r="E21" s="46" t="n"/>
    </row>
    <row r="22" ht="18" customHeight="1">
      <c r="A22" s="26" t="inlineStr">
        <is>
          <t>#</t>
        </is>
      </c>
      <c r="B22" s="26" t="inlineStr">
        <is>
          <t>Planned Milestone</t>
        </is>
      </c>
      <c r="C22" s="26" t="inlineStr">
        <is>
          <t>PV Value</t>
        </is>
      </c>
      <c r="D22" s="26" t="inlineStr">
        <is>
          <t>EV (Done?)</t>
        </is>
      </c>
      <c r="E22" s="26" t="inlineStr">
        <is>
          <t>Notes</t>
        </is>
      </c>
    </row>
    <row r="23" ht="18" customHeight="1">
      <c r="A23" s="27" t="n">
        <v>1</v>
      </c>
      <c r="B23" s="28" t="inlineStr">
        <is>
          <t>iLO configuration complete at Hicksville &amp; Melville</t>
        </is>
      </c>
      <c r="C23" s="29" t="n">
        <v>1</v>
      </c>
      <c r="D23" s="22" t="inlineStr">
        <is>
          <t>❌ Not Done</t>
        </is>
      </c>
      <c r="E23" s="30" t="inlineStr">
        <is>
          <t>⏳ In progress — Rahiq &amp; Brianna on-site this week</t>
        </is>
      </c>
    </row>
    <row r="24" ht="18" customHeight="1">
      <c r="A24" s="27" t="n">
        <v>2</v>
      </c>
      <c r="B24" s="28" t="inlineStr">
        <is>
          <t>BGP design approved by Vikas Vohra</t>
        </is>
      </c>
      <c r="C24" s="29" t="n">
        <v>1</v>
      </c>
      <c r="D24" s="19" t="inlineStr">
        <is>
          <t>✅ Done</t>
        </is>
      </c>
      <c r="E24" s="30" t="inlineStr">
        <is>
          <t>✅ Approved March 16</t>
        </is>
      </c>
    </row>
    <row r="25" ht="18" customHeight="1">
      <c r="A25" s="27" t="n">
        <v>3</v>
      </c>
      <c r="B25" s="28" t="inlineStr">
        <is>
          <t>Nokia NSP equipment wiring complete at Hicksville</t>
        </is>
      </c>
      <c r="C25" s="29" t="n">
        <v>1</v>
      </c>
      <c r="D25" s="19" t="inlineStr">
        <is>
          <t>✅ Done</t>
        </is>
      </c>
      <c r="E25" s="30" t="inlineStr">
        <is>
          <t>✅ Hawkeye completed March 24</t>
        </is>
      </c>
    </row>
    <row r="26" ht="18" customHeight="1">
      <c r="A26" s="27" t="n">
        <v>4</v>
      </c>
      <c r="B26" s="28" t="inlineStr">
        <is>
          <t>BGP Change Review Board approval</t>
        </is>
      </c>
      <c r="C26" s="29" t="n">
        <v>1</v>
      </c>
      <c r="D26" s="22" t="inlineStr">
        <is>
          <t>❌ Not Done</t>
        </is>
      </c>
      <c r="E26" s="30" t="inlineStr">
        <is>
          <t>⏳ Target March 31 — peer review underway</t>
        </is>
      </c>
    </row>
    <row r="27" ht="18" customHeight="1">
      <c r="A27" s="27" t="n">
        <v>5</v>
      </c>
      <c r="B27" s="28" t="inlineStr">
        <is>
          <t>BGP execution at Hicksville (Apr 1) &amp; Melville (Apr 2)</t>
        </is>
      </c>
      <c r="C27" s="29" t="n">
        <v>1</v>
      </c>
      <c r="D27" s="22" t="inlineStr">
        <is>
          <t>❌ Not Done</t>
        </is>
      </c>
      <c r="E27" s="30" t="inlineStr">
        <is>
          <t>📅 Scheduled April 1–2</t>
        </is>
      </c>
    </row>
    <row r="28" ht="22" customHeight="1">
      <c r="B28" s="20" t="inlineStr">
        <is>
          <t>TOTAL</t>
        </is>
      </c>
      <c r="C28" s="37" t="inlineStr">
        <is>
          <t>PV = 5</t>
        </is>
      </c>
      <c r="D28" s="20" t="inlineStr">
        <is>
          <t>EV = 2</t>
        </is>
      </c>
      <c r="E28" s="38" t="inlineStr">
        <is>
          <t>SPI = 2/5 = 0.40</t>
        </is>
      </c>
    </row>
    <row r="30" ht="24" customHeight="1">
      <c r="A30" s="39" t="inlineStr">
        <is>
          <t>💡 PRO TIP: Each milestone = 1 point keeps it simple. You can also use dollar values (e.g. BGP config = $50K). Stay consistent throughout the project!</t>
        </is>
      </c>
    </row>
  </sheetData>
  <mergeCells count="6">
    <mergeCell ref="A21:E21"/>
    <mergeCell ref="A30:E30"/>
    <mergeCell ref="A4:E4"/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35" customWidth="1" min="3" max="3"/>
  </cols>
  <sheetData>
    <row r="1" ht="32" customHeight="1">
      <c r="A1" s="1" t="inlineStr">
        <is>
          <t>HOW TO CALCULATE SPI — Step by Step Guide</t>
        </is>
      </c>
    </row>
    <row r="3" ht="22" customHeight="1">
      <c r="A3" s="40" t="inlineStr">
        <is>
          <t>1</t>
        </is>
      </c>
      <c r="B3" s="41" t="inlineStr">
        <is>
          <t>List all milestones for the period</t>
        </is>
      </c>
    </row>
    <row r="4" ht="45" customHeight="1">
      <c r="B4" s="42" t="inlineStr">
        <is>
          <t>What did your schedule say should be DONE by the end of this month?
Write down every task, deliverable, or milestone. Be specific.</t>
        </is>
      </c>
      <c r="C4" s="43" t="inlineStr">
        <is>
          <t>JMUX Example: BGP design approved, NSP wiring complete, ILO configured, Phase 2 surveys done</t>
        </is>
      </c>
    </row>
    <row r="6" ht="22" customHeight="1">
      <c r="A6" s="40" t="inlineStr">
        <is>
          <t>2</t>
        </is>
      </c>
      <c r="B6" s="41" t="inlineStr">
        <is>
          <t>Assign a value to each milestone</t>
        </is>
      </c>
    </row>
    <row r="7" ht="45" customHeight="1">
      <c r="B7" s="42" t="inlineStr">
        <is>
          <t>Give each task a number. On JMUX we use 1 per milestone.
You can also use dollar values — just be consistent.</t>
        </is>
      </c>
      <c r="C7" s="43" t="inlineStr">
        <is>
          <t>JMUX Example: 5 milestones planned in March → PV = 5</t>
        </is>
      </c>
    </row>
    <row r="9" ht="22" customHeight="1">
      <c r="A9" s="40" t="inlineStr">
        <is>
          <t>3</t>
        </is>
      </c>
      <c r="B9" s="41" t="inlineStr">
        <is>
          <t>Add them all up — that is your PV</t>
        </is>
      </c>
    </row>
    <row r="10" ht="45" customHeight="1">
      <c r="B10" s="42" t="inlineStr">
        <is>
          <t>PV = Planned Value = the total of all milestone values you planned to complete.</t>
        </is>
      </c>
      <c r="C10" s="43" t="inlineStr">
        <is>
          <t>JMUX Example: Jan PV=5, Feb PV=4, Mar PV=5</t>
        </is>
      </c>
    </row>
    <row r="12" ht="22" customHeight="1">
      <c r="A12" s="40" t="inlineStr">
        <is>
          <t>4</t>
        </is>
      </c>
      <c r="B12" s="41" t="inlineStr">
        <is>
          <t>Go through the list — mark what actually got done</t>
        </is>
      </c>
    </row>
    <row r="13" ht="45" customHeight="1">
      <c r="B13" s="42" t="inlineStr">
        <is>
          <t>Check each milestone. Did it actually get completed this period?
Only count things FULLY done — partial credit = 0 on a binary scale.</t>
        </is>
      </c>
      <c r="C13" s="43" t="inlineStr">
        <is>
          <t>JMUX Example: Feb — Northport ILO NOT done (DC power blocked). 3 out of 4 done → EV = 3</t>
        </is>
      </c>
    </row>
    <row r="15" ht="22" customHeight="1">
      <c r="A15" s="40" t="inlineStr">
        <is>
          <t>5</t>
        </is>
      </c>
      <c r="B15" s="41" t="inlineStr">
        <is>
          <t>Add up completed milestones — that is your EV</t>
        </is>
      </c>
    </row>
    <row r="16" ht="45" customHeight="1">
      <c r="B16" s="42" t="inlineStr">
        <is>
          <t>EV = Earned Value = total value of work ACTUALLY completed.</t>
        </is>
      </c>
      <c r="C16" s="43" t="inlineStr">
        <is>
          <t>JMUX Example: Feb EV = 3 (one milestone blocked by Northport power issue)</t>
        </is>
      </c>
    </row>
    <row r="18" ht="22" customHeight="1">
      <c r="A18" s="40" t="inlineStr">
        <is>
          <t>6</t>
        </is>
      </c>
      <c r="B18" s="41" t="inlineStr">
        <is>
          <t>Divide EV ÷ PV = SPI</t>
        </is>
      </c>
    </row>
    <row r="19" ht="45" customHeight="1">
      <c r="B19" s="42" t="inlineStr">
        <is>
          <t>That's it. The formula is simple. The hard part is being honest about what's done.</t>
        </is>
      </c>
      <c r="C19" s="43" t="inlineStr">
        <is>
          <t>JMUX Example: Feb SPI = 3 ÷ 4 = 0.75 → Orange (action required)</t>
        </is>
      </c>
    </row>
    <row r="21" ht="28" customHeight="1">
      <c r="A21" s="44" t="inlineStr">
        <is>
          <t>THE FORMULA:   SPI = EV ÷ PV     |     EV = work done     |     PV = work planned</t>
        </is>
      </c>
    </row>
  </sheetData>
  <mergeCells count="2">
    <mergeCell ref="A1:C1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2026-03-25T17:11:35Z</dcterms:created>
  <dcterms:modified xsi:type="dcterms:W3CDTF">2026-03-25T17:33:09Z</dcterms:modified>
</cp:coreProperties>
</file>