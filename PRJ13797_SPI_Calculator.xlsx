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I Calculator" sheetId="1" state="visible" r:id="rId1"/>
    <sheet name="JMUX PV Examples" sheetId="2" state="visible" r:id="rId2"/>
    <sheet name="Step-by-Step 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Calibri"/>
      <family val="2"/>
      <color theme="1"/>
      <sz val="11"/>
      <scheme val="minor"/>
    </font>
    <font>
      <b val="1"/>
      <color rgb="00FFFFFF"/>
      <sz val="14"/>
    </font>
    <font>
      <color rgb="00FFFFFF"/>
      <sz val="11"/>
    </font>
    <font>
      <b val="1"/>
      <color rgb="001E3A5F"/>
      <sz val="11"/>
    </font>
    <font>
      <color rgb="00000000"/>
      <sz val="10"/>
    </font>
    <font>
      <i val="1"/>
      <color rgb="00374151"/>
      <sz val="10"/>
    </font>
    <font>
      <b val="1"/>
      <color rgb="00FFFFFF"/>
      <sz val="11"/>
    </font>
    <font>
      <b val="1"/>
      <color rgb="001E3A5F"/>
      <sz val="10"/>
    </font>
    <font>
      <i val="1"/>
      <color rgb="0094A3B8"/>
      <sz val="10"/>
    </font>
    <font>
      <color rgb="00000000"/>
      <sz val="11"/>
    </font>
    <font>
      <b val="1"/>
      <color rgb="00000000"/>
      <sz val="11"/>
    </font>
    <font>
      <b val="1"/>
      <color rgb="00FFFFFF"/>
      <sz val="12"/>
    </font>
    <font>
      <b val="1"/>
      <color rgb="00FFFFFF"/>
      <sz val="13"/>
    </font>
    <font>
      <b val="1"/>
      <color rgb="001E3A5F"/>
      <sz val="12"/>
    </font>
    <font>
      <b val="1"/>
      <color rgb="001E3A5F"/>
      <sz val="20"/>
    </font>
    <font>
      <b val="1"/>
      <color rgb="00000000"/>
      <sz val="12"/>
    </font>
    <font>
      <b val="1"/>
      <color rgb="002563EB"/>
      <sz val="10"/>
    </font>
    <font>
      <b val="1"/>
      <color rgb="0016A34A"/>
      <sz val="10"/>
    </font>
    <font>
      <b val="1"/>
      <color rgb="00CA8A04"/>
      <sz val="10"/>
    </font>
    <font>
      <b val="1"/>
      <color rgb="00EA580C"/>
      <sz val="10"/>
    </font>
    <font>
      <b val="1"/>
      <color rgb="00DC2626"/>
      <sz val="10"/>
    </font>
    <font>
      <i val="1"/>
      <color rgb="001E3A5F"/>
      <sz val="10"/>
    </font>
    <font>
      <b val="1"/>
      <color rgb="0016A34A"/>
      <sz val="11"/>
    </font>
    <font>
      <b val="1"/>
      <color rgb="00374151"/>
      <sz val="10"/>
    </font>
    <font>
      <b val="1"/>
      <color rgb="007C3AED"/>
      <sz val="10"/>
    </font>
    <font>
      <i val="1"/>
      <color rgb="0064748B"/>
      <sz val="9"/>
    </font>
    <font>
      <b val="1"/>
      <color rgb="00EA580C"/>
      <sz val="11"/>
    </font>
    <font>
      <b val="1"/>
      <color rgb="00CA8A04"/>
      <sz val="11"/>
    </font>
    <font>
      <b val="1"/>
      <color rgb="00FFFFFF"/>
      <sz val="10"/>
    </font>
    <font>
      <i val="1"/>
      <color rgb="002563EB"/>
      <sz val="9"/>
    </font>
  </fonts>
  <fills count="12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2563EB"/>
      </patternFill>
    </fill>
    <fill>
      <patternFill patternType="solid">
        <fgColor rgb="00EFF6FF"/>
      </patternFill>
    </fill>
    <fill>
      <patternFill patternType="solid">
        <fgColor rgb="00DBEAFE"/>
      </patternFill>
    </fill>
    <fill>
      <patternFill patternType="solid">
        <fgColor rgb="00F8FAFC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FEDD5"/>
      </patternFill>
    </fill>
    <fill>
      <patternFill patternType="solid">
        <fgColor rgb="00FEE2E2"/>
      </patternFill>
    </fill>
    <fill>
      <patternFill patternType="solid">
        <fgColor rgb="00F1F5F9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1E3A5F"/>
      </left>
      <right style="medium">
        <color rgb="001E3A5F"/>
      </right>
      <top style="medium">
        <color rgb="001E3A5F"/>
      </top>
      <bottom style="medium">
        <color rgb="001E3A5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2" fontId="9" fillId="0" borderId="1" applyAlignment="1" pivotButton="0" quotePrefix="0" xfId="0">
      <alignment horizontal="center" vertical="center" wrapText="1"/>
    </xf>
    <xf numFmtId="2" fontId="10" fillId="0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2" fontId="11" fillId="2" borderId="2" applyAlignment="1" pivotButton="0" quotePrefix="0" xfId="0">
      <alignment horizontal="center" vertical="center" wrapText="1"/>
    </xf>
    <xf numFmtId="2" fontId="12" fillId="2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2" fontId="14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21" fillId="4" borderId="0" applyAlignment="1" pivotButton="0" quotePrefix="0" xfId="0">
      <alignment horizontal="left" vertical="center" wrapText="1"/>
    </xf>
    <xf numFmtId="0" fontId="22" fillId="7" borderId="1" applyAlignment="1" pivotButton="0" quotePrefix="0" xfId="0">
      <alignment horizontal="left" vertical="center" wrapText="1"/>
    </xf>
    <xf numFmtId="0" fontId="23" fillId="11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center" vertical="center" wrapText="1"/>
    </xf>
    <xf numFmtId="0" fontId="25" fillId="0" borderId="1" applyAlignment="1" pivotButton="0" quotePrefix="0" xfId="0">
      <alignment horizontal="left" vertical="center" wrapText="1"/>
    </xf>
    <xf numFmtId="0" fontId="24" fillId="7" borderId="1" applyAlignment="1" pivotButton="0" quotePrefix="0" xfId="0">
      <alignment horizontal="center" vertical="center" wrapText="1"/>
    </xf>
    <xf numFmtId="0" fontId="22" fillId="7" borderId="1" applyAlignment="1" pivotButton="0" quotePrefix="0" xfId="0">
      <alignment horizontal="center" vertical="center" wrapText="1"/>
    </xf>
    <xf numFmtId="0" fontId="26" fillId="9" borderId="1" applyAlignment="1" pivotButton="0" quotePrefix="0" xfId="0">
      <alignment horizontal="left" vertical="center" wrapText="1"/>
    </xf>
    <xf numFmtId="0" fontId="24" fillId="9" borderId="1" applyAlignment="1" pivotButton="0" quotePrefix="0" xfId="0">
      <alignment horizontal="center" vertical="center" wrapText="1"/>
    </xf>
    <xf numFmtId="0" fontId="26" fillId="9" borderId="1" applyAlignment="1" pivotButton="0" quotePrefix="0" xfId="0">
      <alignment horizontal="center" vertical="center" wrapText="1"/>
    </xf>
    <xf numFmtId="0" fontId="27" fillId="8" borderId="1" applyAlignment="1" pivotButton="0" quotePrefix="0" xfId="0">
      <alignment horizontal="left" vertical="center" wrapText="1"/>
    </xf>
    <xf numFmtId="0" fontId="24" fillId="8" borderId="1" applyAlignment="1" pivotButton="0" quotePrefix="0" xfId="0">
      <alignment horizontal="center" vertical="center" wrapText="1"/>
    </xf>
    <xf numFmtId="0" fontId="27" fillId="8" borderId="1" applyAlignment="1" pivotButton="0" quotePrefix="0" xfId="0">
      <alignment horizontal="center" vertical="center" wrapText="1"/>
    </xf>
    <xf numFmtId="0" fontId="28" fillId="2" borderId="0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top" wrapText="1"/>
    </xf>
    <xf numFmtId="0" fontId="29" fillId="5" borderId="1" applyAlignment="1" pivotButton="0" quotePrefix="0" xfId="0">
      <alignment horizontal="left" vertical="top" wrapText="1"/>
    </xf>
    <xf numFmtId="0" fontId="1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5" customWidth="1" min="1" max="1"/>
    <col width="22" customWidth="1" min="2" max="2"/>
    <col width="22" customWidth="1" min="3" max="3"/>
    <col width="22" customWidth="1" min="4" max="4"/>
  </cols>
  <sheetData>
    <row r="1" ht="36" customHeight="1">
      <c r="A1" s="1" t="inlineStr">
        <is>
          <t>📊  SPI CALCULATOR — PRJ13797 JMUX Replacement</t>
        </is>
      </c>
    </row>
    <row r="2" ht="22" customHeight="1">
      <c r="A2" s="2" t="inlineStr">
        <is>
          <t>Schedule Performance Index (SPI) = Earned Value (EV) ÷ Planned Value (PV)</t>
        </is>
      </c>
    </row>
    <row r="4" ht="20" customHeight="1">
      <c r="A4" s="3" t="inlineStr">
        <is>
          <t>WHAT IS SPI? (Plain English)</t>
        </is>
      </c>
    </row>
    <row r="5">
      <c r="A5" s="4" t="inlineStr">
        <is>
          <t>SPI tells you how much work you ACTUALLY completed vs. how much you PLANNED to complete by a certain date.</t>
        </is>
      </c>
    </row>
    <row r="6" ht="18" customHeight="1">
      <c r="A6" s="5" t="inlineStr">
        <is>
          <t xml:space="preserve">  • SPI = 1.0 → Exactly on schedule     • SPI &gt; 1.0 → Ahead of schedule     • SPI &lt; 1.0 → Behind schedule</t>
        </is>
      </c>
    </row>
    <row r="8" ht="22" customHeight="1">
      <c r="A8" s="6" t="inlineStr">
        <is>
          <t>► ENTER YOUR NUMBERS BELOW</t>
        </is>
      </c>
    </row>
    <row r="9" ht="36" customHeight="1">
      <c r="A9" s="7" t="inlineStr">
        <is>
          <t>Description</t>
        </is>
      </c>
      <c r="B9" s="7" t="inlineStr">
        <is>
          <t>PV — Planned Value
(what you planned to finish)</t>
        </is>
      </c>
      <c r="C9" s="7" t="inlineStr">
        <is>
          <t>EV — Earned Value
(what you actually finished)</t>
        </is>
      </c>
      <c r="D9" s="7" t="inlineStr">
        <is>
          <t>SPI = EV ÷ PV</t>
        </is>
      </c>
    </row>
    <row r="10">
      <c r="A10" s="8" t="inlineStr">
        <is>
          <t>Enter milestone / task 1</t>
        </is>
      </c>
      <c r="B10" s="9" t="n">
        <v>0</v>
      </c>
      <c r="C10" s="9" t="n">
        <v>0</v>
      </c>
      <c r="D10" s="10">
        <f>IF(B10=0,"—",C10/B10)</f>
        <v/>
      </c>
    </row>
    <row r="11">
      <c r="A11" s="8" t="inlineStr">
        <is>
          <t>Enter milestone / task 2</t>
        </is>
      </c>
      <c r="B11" s="9" t="n">
        <v>0</v>
      </c>
      <c r="C11" s="9" t="n">
        <v>0</v>
      </c>
      <c r="D11" s="10">
        <f>IF(B11=0,"—",C11/B11)</f>
        <v/>
      </c>
    </row>
    <row r="12">
      <c r="A12" s="8" t="inlineStr">
        <is>
          <t>Enter milestone / task 3</t>
        </is>
      </c>
      <c r="B12" s="9" t="n">
        <v>0</v>
      </c>
      <c r="C12" s="9" t="n">
        <v>0</v>
      </c>
      <c r="D12" s="10">
        <f>IF(B12=0,"—",C12/B12)</f>
        <v/>
      </c>
    </row>
    <row r="13">
      <c r="A13" s="8" t="inlineStr">
        <is>
          <t>Enter milestone / task 4</t>
        </is>
      </c>
      <c r="B13" s="9" t="n">
        <v>0</v>
      </c>
      <c r="C13" s="9" t="n">
        <v>0</v>
      </c>
      <c r="D13" s="10">
        <f>IF(B13=0,"—",C13/B13)</f>
        <v/>
      </c>
    </row>
    <row r="14">
      <c r="A14" s="8" t="inlineStr">
        <is>
          <t>Enter milestone / task 5</t>
        </is>
      </c>
      <c r="B14" s="9" t="n">
        <v>0</v>
      </c>
      <c r="C14" s="9" t="n">
        <v>0</v>
      </c>
      <c r="D14" s="10">
        <f>IF(B14=0,"—",C14/B14)</f>
        <v/>
      </c>
    </row>
    <row r="15">
      <c r="A15" s="8" t="inlineStr">
        <is>
          <t>Enter milestone / task 6</t>
        </is>
      </c>
      <c r="B15" s="9" t="n">
        <v>0</v>
      </c>
      <c r="C15" s="9" t="n">
        <v>0</v>
      </c>
      <c r="D15" s="10">
        <f>IF(B15=0,"—",C15/B15)</f>
        <v/>
      </c>
    </row>
    <row r="16">
      <c r="A16" s="8" t="inlineStr">
        <is>
          <t>Enter milestone / task 7</t>
        </is>
      </c>
      <c r="B16" s="9" t="n">
        <v>0</v>
      </c>
      <c r="C16" s="9" t="n">
        <v>0</v>
      </c>
      <c r="D16" s="10">
        <f>IF(B16=0,"—",C16/B16)</f>
        <v/>
      </c>
    </row>
    <row r="17">
      <c r="A17" s="8" t="inlineStr">
        <is>
          <t>Enter milestone / task 8</t>
        </is>
      </c>
      <c r="B17" s="9" t="n">
        <v>0</v>
      </c>
      <c r="C17" s="9" t="n">
        <v>0</v>
      </c>
      <c r="D17" s="10">
        <f>IF(B17=0,"—",C17/B17)</f>
        <v/>
      </c>
    </row>
    <row r="18">
      <c r="A18" s="8" t="inlineStr">
        <is>
          <t>Enter milestone / task 9</t>
        </is>
      </c>
      <c r="B18" s="9" t="n">
        <v>0</v>
      </c>
      <c r="C18" s="9" t="n">
        <v>0</v>
      </c>
      <c r="D18" s="10">
        <f>IF(B18=0,"—",C18/B18)</f>
        <v/>
      </c>
    </row>
    <row r="19">
      <c r="A19" s="8" t="inlineStr">
        <is>
          <t>Enter milestone / task 10</t>
        </is>
      </c>
      <c r="B19" s="9" t="n">
        <v>0</v>
      </c>
      <c r="C19" s="9" t="n">
        <v>0</v>
      </c>
      <c r="D19" s="10">
        <f>IF(B19=0,"—",C19/B19)</f>
        <v/>
      </c>
    </row>
    <row r="20" ht="28" customHeight="1">
      <c r="A20" s="11" t="inlineStr">
        <is>
          <t>TOTALS</t>
        </is>
      </c>
      <c r="B20" s="12">
        <f>SUM(B10:B19)</f>
        <v/>
      </c>
      <c r="C20" s="12">
        <f>SUM(C10:C19)</f>
        <v/>
      </c>
      <c r="D20" s="13">
        <f>IF(B20=0,"—",C20/B20)</f>
        <v/>
      </c>
    </row>
    <row r="22" ht="28" customHeight="1">
      <c r="A22" s="14" t="inlineStr">
        <is>
          <t>YOUR OVERALL SPI:</t>
        </is>
      </c>
      <c r="C22" s="15">
        <f>IF(B20=0,"Enter values above",C20/B20)</f>
        <v/>
      </c>
    </row>
    <row r="23" ht="28" customHeight="1">
      <c r="A23" s="14" t="inlineStr">
        <is>
          <t>STATUS:</t>
        </is>
      </c>
      <c r="C23" s="16">
        <f>IF(B20=0,"—",IF(C22&gt;1.1,"🔵 AHEAD OF SCHEDULE",IF(C22&gt;=0.9,"🟢 ON TRACK",IF(C22&gt;=0.7,"🟡 YELLOW — MONITOR",IF(C22&gt;=0.5,"🟠 ORANGE — ACT NOW","🔴 CRITICAL — ESCALATE")))))</f>
        <v/>
      </c>
    </row>
    <row r="25" ht="22" customHeight="1">
      <c r="A25" s="17" t="inlineStr">
        <is>
          <t>SPI REFERENCE SCALE</t>
        </is>
      </c>
    </row>
    <row r="26" ht="20" customHeight="1">
      <c r="A26" s="18" t="inlineStr">
        <is>
          <t>Above 1.10</t>
        </is>
      </c>
      <c r="C26" s="18" t="inlineStr">
        <is>
          <t>🔵 Ahead of Schedule</t>
        </is>
      </c>
    </row>
    <row r="27" ht="20" customHeight="1">
      <c r="A27" s="19" t="inlineStr">
        <is>
          <t>0.90 – 1.10</t>
        </is>
      </c>
      <c r="C27" s="19" t="inlineStr">
        <is>
          <t>🟢 On Track</t>
        </is>
      </c>
    </row>
    <row r="28" ht="20" customHeight="1">
      <c r="A28" s="20" t="inlineStr">
        <is>
          <t>0.70 – 0.90</t>
        </is>
      </c>
      <c r="C28" s="20" t="inlineStr">
        <is>
          <t>🟡 Yellow — Monitor Closely</t>
        </is>
      </c>
    </row>
    <row r="29" ht="20" customHeight="1">
      <c r="A29" s="21" t="inlineStr">
        <is>
          <t>0.50 – 0.70</t>
        </is>
      </c>
      <c r="C29" s="21" t="inlineStr">
        <is>
          <t>🟠 Orange — Action Required</t>
        </is>
      </c>
    </row>
    <row r="30" ht="20" customHeight="1">
      <c r="A30" s="22" t="inlineStr">
        <is>
          <t>Below 0.50</t>
        </is>
      </c>
      <c r="C30" s="22" t="inlineStr">
        <is>
          <t>🔴 Critical — Escalate to CIO/SVP</t>
        </is>
      </c>
    </row>
  </sheetData>
  <mergeCells count="21">
    <mergeCell ref="A5:D5"/>
    <mergeCell ref="A30:B30"/>
    <mergeCell ref="A8:D8"/>
    <mergeCell ref="C30:D30"/>
    <mergeCell ref="A4:D4"/>
    <mergeCell ref="C26:D26"/>
    <mergeCell ref="C29:D29"/>
    <mergeCell ref="C22:D22"/>
    <mergeCell ref="A27:B27"/>
    <mergeCell ref="A1:D1"/>
    <mergeCell ref="A26:B26"/>
    <mergeCell ref="A6:D6"/>
    <mergeCell ref="C27:D27"/>
    <mergeCell ref="A25:D25"/>
    <mergeCell ref="A23:B23"/>
    <mergeCell ref="C23:D23"/>
    <mergeCell ref="A22:B22"/>
    <mergeCell ref="A29:B29"/>
    <mergeCell ref="A28:B28"/>
    <mergeCell ref="C28:D28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8" customWidth="1" min="1" max="1"/>
    <col width="48" customWidth="1" min="2" max="2"/>
    <col width="14" customWidth="1" min="3" max="3"/>
    <col width="14" customWidth="1" min="4" max="4"/>
    <col width="14" customWidth="1" min="5" max="5"/>
  </cols>
  <sheetData>
    <row r="1" ht="32" customHeight="1">
      <c r="A1" s="23" t="inlineStr">
        <is>
          <t>HOW TO CALCULATE PV — Real JMUX Project Examples (PRJ13797)</t>
        </is>
      </c>
    </row>
    <row r="2" ht="20" customHeight="1">
      <c r="A2" s="24" t="inlineStr">
        <is>
          <t>PV = the total value of work you PLANNED to complete by a specific date. Each milestone = 1 point on this project.</t>
        </is>
      </c>
    </row>
    <row r="4" ht="22" customHeight="1">
      <c r="A4" s="25" t="inlineStr">
        <is>
          <t>JANUARY 2026 — On Track</t>
        </is>
      </c>
    </row>
    <row r="5" ht="18" customHeight="1">
      <c r="A5" s="26" t="inlineStr">
        <is>
          <t>#</t>
        </is>
      </c>
      <c r="B5" s="26" t="inlineStr">
        <is>
          <t>Planned Milestone</t>
        </is>
      </c>
      <c r="C5" s="26" t="inlineStr">
        <is>
          <t>PV Value</t>
        </is>
      </c>
      <c r="D5" s="26" t="inlineStr">
        <is>
          <t>EV (Done?)</t>
        </is>
      </c>
      <c r="E5" s="26" t="inlineStr">
        <is>
          <t>Notes</t>
        </is>
      </c>
    </row>
    <row r="6" ht="18" customHeight="1">
      <c r="A6" s="27" t="n">
        <v>1</v>
      </c>
      <c r="B6" s="28" t="inlineStr">
        <is>
          <t>Complete Northport DC power installation</t>
        </is>
      </c>
      <c r="C6" s="29" t="n">
        <v>1</v>
      </c>
      <c r="D6" s="19" t="inlineStr">
        <is>
          <t>✅ Done</t>
        </is>
      </c>
      <c r="E6" s="30" t="inlineStr"/>
    </row>
    <row r="7" ht="18" customHeight="1">
      <c r="A7" s="27" t="n">
        <v>2</v>
      </c>
      <c r="B7" s="28" t="inlineStr">
        <is>
          <t>Hawkeye completes router racking at 5 Phase 1 sites</t>
        </is>
      </c>
      <c r="C7" s="29" t="n">
        <v>1</v>
      </c>
      <c r="D7" s="19" t="inlineStr">
        <is>
          <t>✅ Done</t>
        </is>
      </c>
      <c r="E7" s="30" t="inlineStr"/>
    </row>
    <row r="8" ht="18" customHeight="1">
      <c r="A8" s="27" t="n">
        <v>3</v>
      </c>
      <c r="B8" s="28" t="inlineStr">
        <is>
          <t>BGP design draft submitted to Lee Blackman</t>
        </is>
      </c>
      <c r="C8" s="29" t="n">
        <v>1</v>
      </c>
      <c r="D8" s="19" t="inlineStr">
        <is>
          <t>✅ Done</t>
        </is>
      </c>
      <c r="E8" s="30" t="inlineStr"/>
    </row>
    <row r="9" ht="18" customHeight="1">
      <c r="A9" s="27" t="n">
        <v>4</v>
      </c>
      <c r="B9" s="28" t="inlineStr">
        <is>
          <t>Phase 2 site surveys continue — 10 sites</t>
        </is>
      </c>
      <c r="C9" s="29" t="n">
        <v>1</v>
      </c>
      <c r="D9" s="19" t="inlineStr">
        <is>
          <t>✅ Done</t>
        </is>
      </c>
      <c r="E9" s="30" t="inlineStr"/>
    </row>
    <row r="10" ht="18" customHeight="1">
      <c r="A10" s="27" t="n">
        <v>5</v>
      </c>
      <c r="B10" s="28" t="inlineStr">
        <is>
          <t>Phase 1 IFC document review complete</t>
        </is>
      </c>
      <c r="C10" s="29" t="n">
        <v>1</v>
      </c>
      <c r="D10" s="19" t="inlineStr">
        <is>
          <t>✅ Done</t>
        </is>
      </c>
      <c r="E10" s="30" t="inlineStr"/>
    </row>
    <row r="11" ht="22" customHeight="1">
      <c r="A11" t="inlineStr"/>
      <c r="B11" s="19" t="inlineStr">
        <is>
          <t>TOTAL</t>
        </is>
      </c>
      <c r="C11" s="31" t="inlineStr">
        <is>
          <t>PV = 5</t>
        </is>
      </c>
      <c r="D11" s="19" t="inlineStr">
        <is>
          <t>EV = 5</t>
        </is>
      </c>
      <c r="E11" s="32" t="inlineStr">
        <is>
          <t>SPI = 5/5 = 1.00</t>
        </is>
      </c>
    </row>
    <row r="13" ht="22" customHeight="1">
      <c r="A13" s="33" t="inlineStr">
        <is>
          <t>FEBRUARY 2026 — Northport DC Power Issue</t>
        </is>
      </c>
    </row>
    <row r="14" ht="18" customHeight="1">
      <c r="A14" s="26" t="inlineStr">
        <is>
          <t>#</t>
        </is>
      </c>
      <c r="B14" s="26" t="inlineStr">
        <is>
          <t>Planned Milestone</t>
        </is>
      </c>
      <c r="C14" s="26" t="inlineStr">
        <is>
          <t>PV Value</t>
        </is>
      </c>
      <c r="D14" s="26" t="inlineStr">
        <is>
          <t>EV (Done?)</t>
        </is>
      </c>
      <c r="E14" s="26" t="inlineStr">
        <is>
          <t>Notes</t>
        </is>
      </c>
    </row>
    <row r="15" ht="18" customHeight="1">
      <c r="A15" s="27" t="n">
        <v>1</v>
      </c>
      <c r="B15" s="28" t="inlineStr">
        <is>
          <t>Northport ILO port configuration complete</t>
        </is>
      </c>
      <c r="C15" s="29" t="n">
        <v>1</v>
      </c>
      <c r="D15" s="22" t="inlineStr">
        <is>
          <t>❌ Not Done</t>
        </is>
      </c>
      <c r="E15" s="30" t="inlineStr">
        <is>
          <t>❌ DC power fuse tripping — ILO work blocked</t>
        </is>
      </c>
    </row>
    <row r="16" ht="18" customHeight="1">
      <c r="A16" s="27" t="n">
        <v>2</v>
      </c>
      <c r="B16" s="28" t="inlineStr">
        <is>
          <t>OTDR test Hicksville–Syosset link confirmed active</t>
        </is>
      </c>
      <c r="C16" s="29" t="n">
        <v>1</v>
      </c>
      <c r="D16" s="19" t="inlineStr">
        <is>
          <t>✅ Done</t>
        </is>
      </c>
      <c r="E16" s="30" t="inlineStr">
        <is>
          <t>✅ Bad filter found &amp; replaced. Link active.</t>
        </is>
      </c>
    </row>
    <row r="17" ht="18" customHeight="1">
      <c r="A17" s="27" t="n">
        <v>3</v>
      </c>
      <c r="B17" s="28" t="inlineStr">
        <is>
          <t>NSP fiber cabling run and terminated at Hicksville</t>
        </is>
      </c>
      <c r="C17" s="29" t="n">
        <v>1</v>
      </c>
      <c r="D17" s="19" t="inlineStr">
        <is>
          <t>✅ Done</t>
        </is>
      </c>
      <c r="E17" s="30" t="inlineStr">
        <is>
          <t>✅ Hawkeye completed fiber run</t>
        </is>
      </c>
    </row>
    <row r="18" ht="18" customHeight="1">
      <c r="A18" s="27" t="n">
        <v>4</v>
      </c>
      <c r="B18" s="28" t="inlineStr">
        <is>
          <t>Phase 2 IFR packages — Far Rockaway, Valley Stream, Cedarhurst</t>
        </is>
      </c>
      <c r="C18" s="29" t="n">
        <v>1</v>
      </c>
      <c r="D18" s="19" t="inlineStr">
        <is>
          <t>✅ Done</t>
        </is>
      </c>
      <c r="E18" s="30" t="inlineStr">
        <is>
          <t>✅ Submitted by BMcD</t>
        </is>
      </c>
    </row>
    <row r="19" ht="22" customHeight="1">
      <c r="A19" t="inlineStr"/>
      <c r="B19" s="21" t="inlineStr">
        <is>
          <t>TOTAL</t>
        </is>
      </c>
      <c r="C19" s="34" t="inlineStr">
        <is>
          <t>PV = 4</t>
        </is>
      </c>
      <c r="D19" s="21" t="inlineStr">
        <is>
          <t>EV = 3</t>
        </is>
      </c>
      <c r="E19" s="35" t="inlineStr">
        <is>
          <t>SPI = 3/4 = 0.75</t>
        </is>
      </c>
    </row>
    <row r="21" ht="22" customHeight="1">
      <c r="A21" s="36" t="inlineStr">
        <is>
          <t>MARCH 2026 — Recovery Underway</t>
        </is>
      </c>
    </row>
    <row r="22" ht="18" customHeight="1">
      <c r="A22" s="26" t="inlineStr">
        <is>
          <t>#</t>
        </is>
      </c>
      <c r="B22" s="26" t="inlineStr">
        <is>
          <t>Planned Milestone</t>
        </is>
      </c>
      <c r="C22" s="26" t="inlineStr">
        <is>
          <t>PV Value</t>
        </is>
      </c>
      <c r="D22" s="26" t="inlineStr">
        <is>
          <t>EV (Done?)</t>
        </is>
      </c>
      <c r="E22" s="26" t="inlineStr">
        <is>
          <t>Notes</t>
        </is>
      </c>
    </row>
    <row r="23" ht="18" customHeight="1">
      <c r="A23" s="27" t="n">
        <v>1</v>
      </c>
      <c r="B23" s="28" t="inlineStr">
        <is>
          <t>iLO configuration complete at Hicksville &amp; Melville</t>
        </is>
      </c>
      <c r="C23" s="29" t="n">
        <v>1</v>
      </c>
      <c r="D23" s="22" t="inlineStr">
        <is>
          <t>❌ Not Done</t>
        </is>
      </c>
      <c r="E23" s="30" t="inlineStr">
        <is>
          <t>⏳ In progress — Rahiq &amp; Brianna on-site this week</t>
        </is>
      </c>
    </row>
    <row r="24" ht="18" customHeight="1">
      <c r="A24" s="27" t="n">
        <v>2</v>
      </c>
      <c r="B24" s="28" t="inlineStr">
        <is>
          <t>BGP design approved by Vikas Vohra</t>
        </is>
      </c>
      <c r="C24" s="29" t="n">
        <v>1</v>
      </c>
      <c r="D24" s="19" t="inlineStr">
        <is>
          <t>✅ Done</t>
        </is>
      </c>
      <c r="E24" s="30" t="inlineStr">
        <is>
          <t>✅ Approved March 16</t>
        </is>
      </c>
    </row>
    <row r="25" ht="18" customHeight="1">
      <c r="A25" s="27" t="n">
        <v>3</v>
      </c>
      <c r="B25" s="28" t="inlineStr">
        <is>
          <t>Nokia NSP equipment wiring complete at Hicksville</t>
        </is>
      </c>
      <c r="C25" s="29" t="n">
        <v>1</v>
      </c>
      <c r="D25" s="19" t="inlineStr">
        <is>
          <t>✅ Done</t>
        </is>
      </c>
      <c r="E25" s="30" t="inlineStr">
        <is>
          <t>✅ Hawkeye completed March 24</t>
        </is>
      </c>
    </row>
    <row r="26" ht="18" customHeight="1">
      <c r="A26" s="27" t="n">
        <v>4</v>
      </c>
      <c r="B26" s="28" t="inlineStr">
        <is>
          <t>BGP Change Review Board approval</t>
        </is>
      </c>
      <c r="C26" s="29" t="n">
        <v>1</v>
      </c>
      <c r="D26" s="22" t="inlineStr">
        <is>
          <t>❌ Not Done</t>
        </is>
      </c>
      <c r="E26" s="30" t="inlineStr">
        <is>
          <t>⏳ Target March 31 — peer review underway</t>
        </is>
      </c>
    </row>
    <row r="27" ht="18" customHeight="1">
      <c r="A27" s="27" t="n">
        <v>5</v>
      </c>
      <c r="B27" s="28" t="inlineStr">
        <is>
          <t>BGP execution at Hicksville (Apr 1) &amp; Melville (Apr 2)</t>
        </is>
      </c>
      <c r="C27" s="29" t="n">
        <v>1</v>
      </c>
      <c r="D27" s="22" t="inlineStr">
        <is>
          <t>❌ Not Done</t>
        </is>
      </c>
      <c r="E27" s="30" t="inlineStr">
        <is>
          <t>📅 Scheduled April 1–2</t>
        </is>
      </c>
    </row>
    <row r="28" ht="22" customHeight="1">
      <c r="A28" t="inlineStr"/>
      <c r="B28" s="20" t="inlineStr">
        <is>
          <t>TOTAL</t>
        </is>
      </c>
      <c r="C28" s="37" t="inlineStr">
        <is>
          <t>PV = 5</t>
        </is>
      </c>
      <c r="D28" s="20" t="inlineStr">
        <is>
          <t>EV = 2</t>
        </is>
      </c>
      <c r="E28" s="38" t="inlineStr">
        <is>
          <t>SPI = 2/5 = 0.40</t>
        </is>
      </c>
    </row>
    <row r="30" ht="24" customHeight="1">
      <c r="A30" s="39" t="inlineStr">
        <is>
          <t>💡 PRO TIP: Each milestone = 1 point keeps it simple. You can also use dollar values (e.g. BGP config = $50K). Stay consistent throughout the project!</t>
        </is>
      </c>
    </row>
  </sheetData>
  <mergeCells count="6">
    <mergeCell ref="A21:E21"/>
    <mergeCell ref="A30:E30"/>
    <mergeCell ref="A4:E4"/>
    <mergeCell ref="A2:E2"/>
    <mergeCell ref="A1:E1"/>
    <mergeCell ref="A13:E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35" customWidth="1" min="3" max="3"/>
  </cols>
  <sheetData>
    <row r="1" ht="32" customHeight="1">
      <c r="A1" s="1" t="inlineStr">
        <is>
          <t>HOW TO CALCULATE SPI — Step by Step Guide</t>
        </is>
      </c>
    </row>
    <row r="3" ht="22" customHeight="1">
      <c r="A3" s="40" t="inlineStr">
        <is>
          <t>1</t>
        </is>
      </c>
      <c r="B3" s="41" t="inlineStr">
        <is>
          <t>List all milestones for the period</t>
        </is>
      </c>
    </row>
    <row r="4" ht="45" customHeight="1">
      <c r="A4" t="inlineStr"/>
      <c r="B4" s="42" t="inlineStr">
        <is>
          <t>What did your schedule say should be DONE by the end of this month?
Write down every task, deliverable, or milestone. Be specific.</t>
        </is>
      </c>
      <c r="C4" s="43" t="inlineStr">
        <is>
          <t>JMUX Example: BGP design approved, NSP wiring complete, ILO configured, Phase 2 surveys done</t>
        </is>
      </c>
    </row>
    <row r="6" ht="22" customHeight="1">
      <c r="A6" s="40" t="inlineStr">
        <is>
          <t>2</t>
        </is>
      </c>
      <c r="B6" s="41" t="inlineStr">
        <is>
          <t>Assign a value to each milestone</t>
        </is>
      </c>
    </row>
    <row r="7" ht="45" customHeight="1">
      <c r="A7" t="inlineStr"/>
      <c r="B7" s="42" t="inlineStr">
        <is>
          <t>Give each task a number. On JMUX we use 1 per milestone.
You can also use dollar values — just be consistent.</t>
        </is>
      </c>
      <c r="C7" s="43" t="inlineStr">
        <is>
          <t>JMUX Example: 5 milestones planned in March → PV = 5</t>
        </is>
      </c>
    </row>
    <row r="9" ht="22" customHeight="1">
      <c r="A9" s="40" t="inlineStr">
        <is>
          <t>3</t>
        </is>
      </c>
      <c r="B9" s="41" t="inlineStr">
        <is>
          <t>Add them all up — that is your PV</t>
        </is>
      </c>
    </row>
    <row r="10" ht="45" customHeight="1">
      <c r="A10" t="inlineStr"/>
      <c r="B10" s="42" t="inlineStr">
        <is>
          <t>PV = Planned Value = the total of all milestone values you planned to complete.</t>
        </is>
      </c>
      <c r="C10" s="43" t="inlineStr">
        <is>
          <t>JMUX Example: Jan PV=5, Feb PV=4, Mar PV=5</t>
        </is>
      </c>
    </row>
    <row r="12" ht="22" customHeight="1">
      <c r="A12" s="40" t="inlineStr">
        <is>
          <t>4</t>
        </is>
      </c>
      <c r="B12" s="41" t="inlineStr">
        <is>
          <t>Go through the list — mark what actually got done</t>
        </is>
      </c>
    </row>
    <row r="13" ht="45" customHeight="1">
      <c r="A13" t="inlineStr"/>
      <c r="B13" s="42" t="inlineStr">
        <is>
          <t>Check each milestone. Did it actually get completed this period?
Only count things FULLY done — partial credit = 0 on a binary scale.</t>
        </is>
      </c>
      <c r="C13" s="43" t="inlineStr">
        <is>
          <t>JMUX Example: Feb — Northport ILO NOT done (DC power blocked). 3 out of 4 done → EV = 3</t>
        </is>
      </c>
    </row>
    <row r="15" ht="22" customHeight="1">
      <c r="A15" s="40" t="inlineStr">
        <is>
          <t>5</t>
        </is>
      </c>
      <c r="B15" s="41" t="inlineStr">
        <is>
          <t>Add up completed milestones — that is your EV</t>
        </is>
      </c>
    </row>
    <row r="16" ht="45" customHeight="1">
      <c r="A16" t="inlineStr"/>
      <c r="B16" s="42" t="inlineStr">
        <is>
          <t>EV = Earned Value = total value of work ACTUALLY completed.</t>
        </is>
      </c>
      <c r="C16" s="43" t="inlineStr">
        <is>
          <t>JMUX Example: Feb EV = 3 (one milestone blocked by Northport power issue)</t>
        </is>
      </c>
    </row>
    <row r="18" ht="22" customHeight="1">
      <c r="A18" s="40" t="inlineStr">
        <is>
          <t>6</t>
        </is>
      </c>
      <c r="B18" s="41" t="inlineStr">
        <is>
          <t>Divide EV ÷ PV = SPI</t>
        </is>
      </c>
    </row>
    <row r="19" ht="45" customHeight="1">
      <c r="A19" t="inlineStr"/>
      <c r="B19" s="42" t="inlineStr">
        <is>
          <t>That's it. The formula is simple. The hard part is being honest about what's done.</t>
        </is>
      </c>
      <c r="C19" s="43" t="inlineStr">
        <is>
          <t>JMUX Example: Feb SPI = 3 ÷ 4 = 0.75 → Orange (action required)</t>
        </is>
      </c>
    </row>
    <row r="21" ht="28" customHeight="1">
      <c r="A21" s="44" t="inlineStr">
        <is>
          <t>THE FORMULA:   SPI = EV ÷ PV     |     EV = work done     |     PV = work planned</t>
        </is>
      </c>
    </row>
  </sheetData>
  <mergeCells count="2">
    <mergeCell ref="A1:C1"/>
    <mergeCell ref="A21:C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2026-03-25T17:11:35Z</dcterms:created>
  <dcterms:modified xsi:type="dcterms:W3CDTF">2026-03-25T17:11:35Z</dcterms:modified>
</cp:coreProperties>
</file>