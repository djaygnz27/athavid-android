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nsmcd.sharepoint.com/sites/PSEG_Telecom/Shared Documents/Long Island/Projects/Long Island Private Network/Project Controls/Design Estimates/"/>
    </mc:Choice>
  </mc:AlternateContent>
  <xr:revisionPtr revIDLastSave="576" documentId="8_{46F70E3B-9ADC-45B6-8A5C-0368BF878E66}" xr6:coauthVersionLast="47" xr6:coauthVersionMax="47" xr10:uidLastSave="{763D5748-296A-4753-9182-5D195A724EC4}"/>
  <bookViews>
    <workbookView xWindow="12270" yWindow="-21795" windowWidth="38640" windowHeight="21120" activeTab="2" xr2:uid="{9F111E2D-0AD8-4315-9FA3-E31A6E379A36}"/>
  </bookViews>
  <sheets>
    <sheet name="Phase 1 Cost Summary" sheetId="2" r:id="rId1"/>
    <sheet name="Phase 2 Cost Breakdown" sheetId="3" r:id="rId2"/>
    <sheet name="Phase 3 Cost Breakdow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D6" i="4" s="1"/>
</calcChain>
</file>

<file path=xl/sharedStrings.xml><?xml version="1.0" encoding="utf-8"?>
<sst xmlns="http://schemas.openxmlformats.org/spreadsheetml/2006/main" count="211" uniqueCount="144">
  <si>
    <t>Site Code</t>
  </si>
  <si>
    <t>Site Name</t>
  </si>
  <si>
    <t>Total Cost</t>
  </si>
  <si>
    <t>IFR Cost</t>
  </si>
  <si>
    <t>IFC Cost</t>
  </si>
  <si>
    <t>As-Built Cost</t>
  </si>
  <si>
    <t>5HK</t>
  </si>
  <si>
    <t>Hicksville Primary Room</t>
  </si>
  <si>
    <t>Hicksville Secondary Room</t>
  </si>
  <si>
    <t>5M</t>
  </si>
  <si>
    <t>Newbridge</t>
  </si>
  <si>
    <t>ACC</t>
  </si>
  <si>
    <t>6U</t>
  </si>
  <si>
    <t>Ruland</t>
  </si>
  <si>
    <t>MEL</t>
  </si>
  <si>
    <t>Melville</t>
  </si>
  <si>
    <t>6BR</t>
  </si>
  <si>
    <t>Bagatelle</t>
  </si>
  <si>
    <t>6DL</t>
  </si>
  <si>
    <t>Pilgrim</t>
  </si>
  <si>
    <t>6P</t>
  </si>
  <si>
    <t>Pulaski</t>
  </si>
  <si>
    <t>6P1</t>
  </si>
  <si>
    <t>Pulaski Radio Shelter</t>
  </si>
  <si>
    <t>6Fo</t>
  </si>
  <si>
    <t>Northport Outdoor</t>
  </si>
  <si>
    <t>6Fi</t>
  </si>
  <si>
    <t>Northport Indoor</t>
  </si>
  <si>
    <t>6RL</t>
  </si>
  <si>
    <t>Elwood</t>
  </si>
  <si>
    <t>6UL</t>
  </si>
  <si>
    <t>Greenlawn</t>
  </si>
  <si>
    <t>6UL1</t>
  </si>
  <si>
    <t>Greenlawn Radio Shelter</t>
  </si>
  <si>
    <t>6Q</t>
  </si>
  <si>
    <t>Oakwood</t>
  </si>
  <si>
    <t>5K</t>
  </si>
  <si>
    <t>Syosset</t>
  </si>
  <si>
    <t>5K1</t>
  </si>
  <si>
    <t>Syosset Radio Shelter</t>
  </si>
  <si>
    <t>5SK</t>
  </si>
  <si>
    <t>Plainview</t>
  </si>
  <si>
    <t>4F</t>
  </si>
  <si>
    <t>Freeport (Intertie)</t>
  </si>
  <si>
    <t>5BK</t>
  </si>
  <si>
    <t>Brooklyne Ave</t>
  </si>
  <si>
    <t>5RK</t>
  </si>
  <si>
    <t>North Bellmore</t>
  </si>
  <si>
    <t>5R</t>
  </si>
  <si>
    <t>Bellmore</t>
  </si>
  <si>
    <t>5RS</t>
  </si>
  <si>
    <t>Round Swamp</t>
  </si>
  <si>
    <t>6M</t>
  </si>
  <si>
    <t>Deposit</t>
  </si>
  <si>
    <t>Deliverable</t>
  </si>
  <si>
    <t>Substation Site Surveys</t>
  </si>
  <si>
    <t>MPLS Network Node Template</t>
  </si>
  <si>
    <t>Communications Enclosure Estimate</t>
  </si>
  <si>
    <t>Low Level Design</t>
  </si>
  <si>
    <t>Procurement and Construction Bids</t>
  </si>
  <si>
    <t>MPLS Network Node Design</t>
  </si>
  <si>
    <t>MPLS Network Node Design Total</t>
  </si>
  <si>
    <t>Payment Amount</t>
  </si>
  <si>
    <t>Phase 1 Total</t>
  </si>
  <si>
    <t>MPLS Network Node Design Site List and Cost Breakdown</t>
  </si>
  <si>
    <t>JMUX Replacement Phase 1 Cost Breakdown</t>
  </si>
  <si>
    <t>Network Test Plan</t>
  </si>
  <si>
    <t>Lab Testing</t>
  </si>
  <si>
    <t>3AF</t>
  </si>
  <si>
    <t>Lake Success</t>
  </si>
  <si>
    <t>3AF1</t>
  </si>
  <si>
    <t xml:space="preserve">Lake Success - Shelter </t>
  </si>
  <si>
    <t>3KG</t>
  </si>
  <si>
    <t>Herricks</t>
  </si>
  <si>
    <t>4AH</t>
  </si>
  <si>
    <t>Carle Place</t>
  </si>
  <si>
    <t>4MG</t>
  </si>
  <si>
    <t>Mitchell Gardens</t>
  </si>
  <si>
    <t>4H</t>
  </si>
  <si>
    <t>E. Garden City</t>
  </si>
  <si>
    <t>3D</t>
  </si>
  <si>
    <t>Manhasset</t>
  </si>
  <si>
    <t>Manhasset Shelter</t>
  </si>
  <si>
    <t>CR1</t>
  </si>
  <si>
    <t>MPLS Network Node Design CR1 Total</t>
  </si>
  <si>
    <t>JMUX Replacement Phase 2 Cost Breakdown</t>
  </si>
  <si>
    <t>Site Count: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</si>
  <si>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</si>
  <si>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</si>
  <si>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</si>
  <si>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</si>
  <si>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</si>
  <si>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</si>
  <si>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</si>
  <si>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</si>
  <si>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Site 9</t>
  </si>
  <si>
    <t>Site 10</t>
  </si>
  <si>
    <t>Site 11</t>
  </si>
  <si>
    <t>Site 12</t>
  </si>
  <si>
    <t>Site 13</t>
  </si>
  <si>
    <t>Site 14</t>
  </si>
  <si>
    <t>Site 15</t>
  </si>
  <si>
    <t>Site 16</t>
  </si>
  <si>
    <t>Site 17</t>
  </si>
  <si>
    <t>Site 18</t>
  </si>
  <si>
    <t>Site 19</t>
  </si>
  <si>
    <t>Site 20</t>
  </si>
  <si>
    <t>Site 21</t>
  </si>
  <si>
    <t>Site 22</t>
  </si>
  <si>
    <t>Site 23</t>
  </si>
  <si>
    <t>Site 24</t>
  </si>
  <si>
    <t>Site 25</t>
  </si>
  <si>
    <t>Site 26</t>
  </si>
  <si>
    <t>Site 27</t>
  </si>
  <si>
    <t>Site 28</t>
  </si>
  <si>
    <t>Site 29</t>
  </si>
  <si>
    <t>Site 30</t>
  </si>
  <si>
    <t>Site 31</t>
  </si>
  <si>
    <t>Site 32</t>
  </si>
  <si>
    <t>Site 33</t>
  </si>
  <si>
    <t>Site 34</t>
  </si>
  <si>
    <t>Site 35</t>
  </si>
  <si>
    <t>Site 36</t>
  </si>
  <si>
    <t>Phase 2 Substation Site Surveys</t>
  </si>
  <si>
    <t>Phase 2 MPLS Network Node Design</t>
  </si>
  <si>
    <t>Phase 1 Staging Support (2 weeks, 2 people)</t>
  </si>
  <si>
    <t>Phase 2 Total</t>
  </si>
  <si>
    <t>Scope</t>
  </si>
  <si>
    <t>Phase 2 Staging Support (2 weeks, 2 people)</t>
  </si>
  <si>
    <t>Phase 3 Substation Site Surveys</t>
  </si>
  <si>
    <t>Phase 3 MPLS Network Node Design</t>
  </si>
  <si>
    <t>Site 37</t>
  </si>
  <si>
    <t>Site 38</t>
  </si>
  <si>
    <t>Phase 1 Construction/Commissioning Support (8 months)</t>
  </si>
  <si>
    <t>Phase 2 Construction/Commissioning Support (8 months)</t>
  </si>
  <si>
    <t>Site 39</t>
  </si>
  <si>
    <t>Phase 3 Staging Support (2 weeks, 2 people)</t>
  </si>
  <si>
    <t>JMUX Replacement Phase 3 Cost Breakdown</t>
  </si>
  <si>
    <t>Phase 1 Reduced Total</t>
  </si>
  <si>
    <t>Phase 2 Reduced Total</t>
  </si>
  <si>
    <t>Phase 3 Total</t>
  </si>
  <si>
    <t>Phase 2 Reduced Construction Support (6months)</t>
  </si>
  <si>
    <t>Phase 1 Reduced Construction Support (6 months)</t>
  </si>
  <si>
    <t>Phase 3 Construction/Commissioning Support (8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</si>
</sst>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1" xfId="0" applyFont="1" applyBorder="1"/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44" fontId="0" fillId="0" borderId="4" xfId="0" applyNumberFormat="1" applyBorder="1"/>
    <xf numFmtId="0" fontId="3" fillId="0" borderId="0" xfId="0" applyFont="1" applyAlignment="1">
      <alignment horizontal="right"/>
    </xf>
    <xf numFmtId="44" fontId="0" fillId="0" borderId="0" xfId="1" applyFont="1" applyBorder="1"/>
    <xf numFmtId="0" fontId="2" fillId="2" borderId="1" xfId="0" applyFont="1" applyFill="1" applyBorder="1"/>
    <xf numFmtId="44" fontId="0" fillId="3" borderId="1" xfId="0" applyNumberFormat="1" applyFill="1" applyBorder="1"/>
    <xf numFmtId="44" fontId="0" fillId="0" borderId="0" xfId="0" applyNumberFormat="1"/>
    <xf numFmtId="4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3" xfId="0" applyNumberFormat="1" applyBorder="1"/>
    <xf numFmtId="44" fontId="0" fillId="0" borderId="3" xfId="0" applyNumberFormat="1" applyBorder="1" applyAlignment="1">
      <alignment horizontal="center"/>
    </xf>
    <xf numFmtId="44" fontId="0" fillId="0" borderId="6" xfId="1" applyFont="1" applyFill="1" applyBorder="1"/>
    <xf numFmtId="0" fontId="2" fillId="2" borderId="3" xfId="0" applyFont="1" applyFill="1" applyBorder="1"/>
    <xf numFmtId="0" fontId="2" fillId="2" borderId="6" xfId="0" applyFont="1" applyFill="1" applyBorder="1"/>
    <xf numFmtId="44" fontId="0" fillId="0" borderId="0" xfId="1" applyFont="1"/>
    <xf numFmtId="0" fontId="0" fillId="0" borderId="0" xfId="0" applyAlignment="1">
      <alignment horizontal="right"/>
    </xf>
    <xf numFmtId="0" fontId="2" fillId="2" borderId="2" xfId="0" applyFont="1" applyFill="1" applyBorder="1"/>
    <xf numFmtId="44" fontId="0" fillId="0" borderId="2" xfId="1" applyFont="1" applyFill="1" applyBorder="1"/>
    <xf numFmtId="44" fontId="0" fillId="0" borderId="2" xfId="1" applyFont="1" applyBorder="1"/>
    <xf numFmtId="0" fontId="0" fillId="3" borderId="1" xfId="0" applyFill="1" applyBorder="1"/>
    <xf numFmtId="44" fontId="0" fillId="3" borderId="3" xfId="0" applyNumberFormat="1" applyFill="1" applyBorder="1" applyAlignment="1">
      <alignment horizontal="center"/>
    </xf>
    <xf numFmtId="44" fontId="0" fillId="3" borderId="2" xfId="1" applyFont="1" applyFill="1" applyBorder="1"/>
    <xf numFmtId="0" fontId="0" fillId="0" borderId="7" xfId="0" applyBorder="1" applyAlignment="1">
      <alignment horizontal="right"/>
    </xf>
    <xf numFmtId="44" fontId="1" fillId="0" borderId="8" xfId="1" applyFont="1" applyBorder="1"/>
    <xf numFmtId="44" fontId="1" fillId="0" borderId="9" xfId="1" applyFont="1" applyBorder="1"/>
    <xf numFmtId="0" fontId="0" fillId="0" borderId="10" xfId="0" applyBorder="1" applyAlignment="1">
      <alignment horizontal="right"/>
    </xf>
    <xf numFmtId="44" fontId="1" fillId="0" borderId="4" xfId="1" applyFont="1" applyBorder="1"/>
    <xf numFmtId="44" fontId="0" fillId="0" borderId="11" xfId="0" applyNumberFormat="1" applyBorder="1"/>
    <xf numFmtId="0" fontId="0" fillId="3" borderId="5" xfId="0" applyFill="1" applyBorder="1"/>
    <xf numFmtId="44" fontId="0" fillId="3" borderId="5" xfId="0" applyNumberFormat="1" applyFill="1" applyBorder="1"/>
    <xf numFmtId="44" fontId="0" fillId="3" borderId="5" xfId="0" applyNumberFormat="1" applyFill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8" fontId="1" fillId="0" borderId="8" xfId="1" applyNumberFormat="1" applyFont="1" applyBorder="1"/>
    <xf numFmtId="8" fontId="1" fillId="0" borderId="4" xfId="1" applyNumberFormat="1" applyFont="1" applyBorder="1"/>
    <xf numFmtId="8" fontId="0" fillId="0" borderId="4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DEC5-71CE-44D6-9293-59F22F693223}">
  <dimension ref="A1:F58"/>
  <sheetViews>
    <sheetView zoomScale="90" zoomScaleNormal="90" workbookViewId="0">
      <selection activeCell="J6" sqref="J6"/>
    </sheetView>
  </sheetViews>
  <sheetFormatPr defaultRowHeight="14.4" x14ac:dyDescent="0.3"/>
  <cols>
    <col min="1" max="1" width="51.33203125" bestFit="1" customWidth="1"/>
    <col min="2" max="2" width="24.33203125" bestFit="1" customWidth="1"/>
    <col min="3" max="3" width="13.33203125" bestFit="1" customWidth="1"/>
    <col min="4" max="4" width="15" bestFit="1" customWidth="1"/>
    <col min="5" max="5" width="13.33203125" bestFit="1" customWidth="1"/>
    <col min="6" max="6" width="12.33203125" bestFit="1" customWidth="1"/>
  </cols>
  <sheetData>
    <row r="1" spans="1:5" x14ac:dyDescent="0.3">
      <c r="A1" s="37" t="s">
        <v>65</v>
      </c>
      <c r="B1" s="38"/>
    </row>
    <row r="3" spans="1:5" x14ac:dyDescent="0.3">
      <c r="A3" s="8" t="s">
        <v>54</v>
      </c>
      <c r="B3" s="20" t="s">
        <v>62</v>
      </c>
      <c r="C3" s="20">
        <v>2024</v>
      </c>
      <c r="D3" s="20">
        <v>2025</v>
      </c>
      <c r="E3" s="20">
        <v>2026</v>
      </c>
    </row>
    <row r="4" spans="1:5" ht="14.4" customHeight="1" x14ac:dyDescent="0.3">
      <c r="A4" s="2" t="s">
        <v>55</v>
      </c>
      <c r="B4" s="21">
        <v>78870</v>
      </c>
      <c r="C4" s="4">
        <v>29875</v>
      </c>
      <c r="D4" s="4">
        <v>48995</v>
      </c>
      <c r="E4" s="2"/>
    </row>
    <row r="5" spans="1:5" x14ac:dyDescent="0.3">
      <c r="A5" s="2" t="s">
        <v>56</v>
      </c>
      <c r="B5" s="21">
        <v>18950</v>
      </c>
      <c r="C5" s="21">
        <v>18950</v>
      </c>
      <c r="D5" s="12"/>
      <c r="E5" s="2"/>
    </row>
    <row r="6" spans="1:5" x14ac:dyDescent="0.3">
      <c r="A6" s="2" t="s">
        <v>57</v>
      </c>
      <c r="B6" s="25"/>
      <c r="C6" s="12"/>
      <c r="D6" s="21"/>
      <c r="E6" s="2"/>
    </row>
    <row r="7" spans="1:5" x14ac:dyDescent="0.3">
      <c r="A7" s="2" t="s">
        <v>58</v>
      </c>
      <c r="B7" s="21">
        <v>51250</v>
      </c>
      <c r="C7" s="21"/>
      <c r="D7" s="21">
        <v>51250</v>
      </c>
      <c r="E7" s="2"/>
    </row>
    <row r="8" spans="1:5" x14ac:dyDescent="0.3">
      <c r="A8" s="2" t="s">
        <v>66</v>
      </c>
      <c r="B8" s="21">
        <v>14750</v>
      </c>
      <c r="C8" s="12"/>
      <c r="D8" s="21">
        <v>14750</v>
      </c>
      <c r="E8" s="2"/>
    </row>
    <row r="9" spans="1:5" x14ac:dyDescent="0.3">
      <c r="A9" s="2" t="s">
        <v>67</v>
      </c>
      <c r="B9" s="25"/>
      <c r="C9" s="21"/>
      <c r="D9" s="12"/>
      <c r="E9" s="2"/>
    </row>
    <row r="10" spans="1:5" x14ac:dyDescent="0.3">
      <c r="A10" s="2" t="s">
        <v>59</v>
      </c>
      <c r="B10" s="21">
        <v>12750</v>
      </c>
      <c r="C10" s="12"/>
      <c r="D10" s="21">
        <v>12750</v>
      </c>
      <c r="E10" s="2"/>
    </row>
    <row r="11" spans="1:5" x14ac:dyDescent="0.3">
      <c r="A11" s="2" t="s">
        <v>60</v>
      </c>
      <c r="B11" s="22">
        <v>787050</v>
      </c>
      <c r="C11" s="2"/>
      <c r="D11" s="4">
        <v>787050</v>
      </c>
      <c r="E11" s="2"/>
    </row>
    <row r="12" spans="1:5" x14ac:dyDescent="0.3">
      <c r="A12" s="2" t="s">
        <v>125</v>
      </c>
      <c r="B12" s="21">
        <v>57300</v>
      </c>
      <c r="C12" s="11"/>
      <c r="D12" s="11">
        <v>57300</v>
      </c>
      <c r="E12" s="2"/>
    </row>
    <row r="13" spans="1:5" x14ac:dyDescent="0.3">
      <c r="A13" s="2" t="s">
        <v>133</v>
      </c>
      <c r="B13" s="21">
        <v>490800</v>
      </c>
      <c r="C13" s="11"/>
      <c r="D13" s="11">
        <v>384125</v>
      </c>
      <c r="E13" s="11">
        <v>106675</v>
      </c>
    </row>
    <row r="14" spans="1:5" ht="15" thickBot="1" x14ac:dyDescent="0.35">
      <c r="A14" s="32" t="s">
        <v>142</v>
      </c>
      <c r="B14" s="33">
        <v>368100</v>
      </c>
      <c r="C14" s="34"/>
      <c r="D14" s="34">
        <v>164625</v>
      </c>
      <c r="E14" s="34">
        <v>203475</v>
      </c>
    </row>
    <row r="15" spans="1:5" x14ac:dyDescent="0.3">
      <c r="A15" s="35" t="s">
        <v>63</v>
      </c>
      <c r="B15" s="27">
        <v>1511720</v>
      </c>
      <c r="C15" s="27">
        <v>48825</v>
      </c>
      <c r="D15" s="27">
        <v>1356220</v>
      </c>
      <c r="E15" s="28">
        <v>106675</v>
      </c>
    </row>
    <row r="16" spans="1:5" ht="15" thickBot="1" x14ac:dyDescent="0.35">
      <c r="A16" s="36" t="s">
        <v>138</v>
      </c>
      <c r="B16" s="30">
        <v>1389020</v>
      </c>
      <c r="C16" s="5">
        <v>48825</v>
      </c>
      <c r="D16" s="5">
        <v>1136720</v>
      </c>
      <c r="E16" s="31">
        <v>203475</v>
      </c>
    </row>
    <row r="17" spans="1:6" ht="15" thickTop="1" x14ac:dyDescent="0.3">
      <c r="A17" s="6"/>
      <c r="B17" s="7"/>
    </row>
    <row r="18" spans="1:6" x14ac:dyDescent="0.3">
      <c r="A18" s="37" t="s">
        <v>64</v>
      </c>
      <c r="B18" s="38"/>
    </row>
    <row r="19" spans="1:6" x14ac:dyDescent="0.3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</row>
    <row r="20" spans="1:6" x14ac:dyDescent="0.3">
      <c r="A20" s="2" t="s">
        <v>6</v>
      </c>
      <c r="B20" s="2" t="s">
        <v>7</v>
      </c>
      <c r="C20" s="3">
        <v>23850</v>
      </c>
      <c r="D20" s="4">
        <v>16695</v>
      </c>
      <c r="E20" s="4">
        <v>5963</v>
      </c>
      <c r="F20" s="4">
        <v>1192</v>
      </c>
    </row>
    <row r="21" spans="1:6" x14ac:dyDescent="0.3">
      <c r="A21" s="2" t="s">
        <v>6</v>
      </c>
      <c r="B21" s="2" t="s">
        <v>8</v>
      </c>
      <c r="C21" s="3">
        <v>23850</v>
      </c>
      <c r="D21" s="4">
        <v>16695</v>
      </c>
      <c r="E21" s="4">
        <v>5963</v>
      </c>
      <c r="F21" s="4">
        <v>1192</v>
      </c>
    </row>
    <row r="22" spans="1:6" x14ac:dyDescent="0.3">
      <c r="A22" s="2" t="s">
        <v>9</v>
      </c>
      <c r="B22" s="2" t="s">
        <v>10</v>
      </c>
      <c r="C22" s="3">
        <v>23850</v>
      </c>
      <c r="D22" s="4">
        <v>16695</v>
      </c>
      <c r="E22" s="4">
        <v>5963</v>
      </c>
      <c r="F22" s="4">
        <v>1192</v>
      </c>
    </row>
    <row r="23" spans="1:6" x14ac:dyDescent="0.3">
      <c r="A23" s="2" t="s">
        <v>11</v>
      </c>
      <c r="B23" s="2" t="s">
        <v>11</v>
      </c>
      <c r="C23" s="3">
        <v>23850</v>
      </c>
      <c r="D23" s="4">
        <v>16695</v>
      </c>
      <c r="E23" s="4">
        <v>5963</v>
      </c>
      <c r="F23" s="4">
        <v>1192</v>
      </c>
    </row>
    <row r="24" spans="1:6" x14ac:dyDescent="0.3">
      <c r="A24" s="2" t="s">
        <v>12</v>
      </c>
      <c r="B24" s="2" t="s">
        <v>13</v>
      </c>
      <c r="C24" s="3">
        <v>23850</v>
      </c>
      <c r="D24" s="4">
        <v>16695</v>
      </c>
      <c r="E24" s="4">
        <v>5963</v>
      </c>
      <c r="F24" s="4">
        <v>1192</v>
      </c>
    </row>
    <row r="25" spans="1:6" x14ac:dyDescent="0.3">
      <c r="A25" s="2" t="s">
        <v>14</v>
      </c>
      <c r="B25" s="2" t="s">
        <v>15</v>
      </c>
      <c r="C25" s="3">
        <v>23850</v>
      </c>
      <c r="D25" s="4">
        <v>16695</v>
      </c>
      <c r="E25" s="4">
        <v>5963</v>
      </c>
      <c r="F25" s="4">
        <v>1192</v>
      </c>
    </row>
    <row r="26" spans="1:6" x14ac:dyDescent="0.3">
      <c r="A26" s="2" t="s">
        <v>16</v>
      </c>
      <c r="B26" s="2" t="s">
        <v>17</v>
      </c>
      <c r="C26" s="3">
        <v>23850</v>
      </c>
      <c r="D26" s="4">
        <v>16695</v>
      </c>
      <c r="E26" s="4">
        <v>5963</v>
      </c>
      <c r="F26" s="4">
        <v>1192</v>
      </c>
    </row>
    <row r="27" spans="1:6" x14ac:dyDescent="0.3">
      <c r="A27" s="2" t="s">
        <v>18</v>
      </c>
      <c r="B27" s="2" t="s">
        <v>19</v>
      </c>
      <c r="C27" s="3">
        <v>23850</v>
      </c>
      <c r="D27" s="4">
        <v>16695</v>
      </c>
      <c r="E27" s="4">
        <v>5963</v>
      </c>
      <c r="F27" s="4">
        <v>1192</v>
      </c>
    </row>
    <row r="28" spans="1:6" x14ac:dyDescent="0.3">
      <c r="A28" s="2" t="s">
        <v>20</v>
      </c>
      <c r="B28" s="2" t="s">
        <v>21</v>
      </c>
      <c r="C28" s="3">
        <v>23850</v>
      </c>
      <c r="D28" s="4">
        <v>16695</v>
      </c>
      <c r="E28" s="4">
        <v>5963</v>
      </c>
      <c r="F28" s="4">
        <v>1192</v>
      </c>
    </row>
    <row r="29" spans="1:6" x14ac:dyDescent="0.3">
      <c r="A29" s="2" t="s">
        <v>22</v>
      </c>
      <c r="B29" s="2" t="s">
        <v>23</v>
      </c>
      <c r="C29" s="3">
        <v>23850</v>
      </c>
      <c r="D29" s="4">
        <v>16695</v>
      </c>
      <c r="E29" s="4">
        <v>5963</v>
      </c>
      <c r="F29" s="4">
        <v>1192</v>
      </c>
    </row>
    <row r="30" spans="1:6" x14ac:dyDescent="0.3">
      <c r="A30" s="2" t="s">
        <v>24</v>
      </c>
      <c r="B30" s="2" t="s">
        <v>25</v>
      </c>
      <c r="C30" s="3">
        <v>23850</v>
      </c>
      <c r="D30" s="4">
        <v>16695</v>
      </c>
      <c r="E30" s="4">
        <v>5963</v>
      </c>
      <c r="F30" s="4">
        <v>1192</v>
      </c>
    </row>
    <row r="31" spans="1:6" x14ac:dyDescent="0.3">
      <c r="A31" s="2" t="s">
        <v>26</v>
      </c>
      <c r="B31" s="2" t="s">
        <v>27</v>
      </c>
      <c r="C31" s="3">
        <v>23850</v>
      </c>
      <c r="D31" s="4">
        <v>16695</v>
      </c>
      <c r="E31" s="4">
        <v>5963</v>
      </c>
      <c r="F31" s="4">
        <v>1192</v>
      </c>
    </row>
    <row r="32" spans="1:6" x14ac:dyDescent="0.3">
      <c r="A32" s="2" t="s">
        <v>28</v>
      </c>
      <c r="B32" s="2" t="s">
        <v>29</v>
      </c>
      <c r="C32" s="3">
        <v>23850</v>
      </c>
      <c r="D32" s="4">
        <v>16695</v>
      </c>
      <c r="E32" s="4">
        <v>5963</v>
      </c>
      <c r="F32" s="4">
        <v>1192</v>
      </c>
    </row>
    <row r="33" spans="1:6" x14ac:dyDescent="0.3">
      <c r="A33" s="2" t="s">
        <v>30</v>
      </c>
      <c r="B33" s="2" t="s">
        <v>31</v>
      </c>
      <c r="C33" s="3">
        <v>23850</v>
      </c>
      <c r="D33" s="4">
        <v>16695</v>
      </c>
      <c r="E33" s="4">
        <v>5963</v>
      </c>
      <c r="F33" s="4">
        <v>1192</v>
      </c>
    </row>
    <row r="34" spans="1:6" x14ac:dyDescent="0.3">
      <c r="A34" s="2" t="s">
        <v>32</v>
      </c>
      <c r="B34" s="2" t="s">
        <v>33</v>
      </c>
      <c r="C34" s="3">
        <v>23850</v>
      </c>
      <c r="D34" s="4">
        <v>16695</v>
      </c>
      <c r="E34" s="4">
        <v>5963</v>
      </c>
      <c r="F34" s="4">
        <v>1192</v>
      </c>
    </row>
    <row r="35" spans="1:6" x14ac:dyDescent="0.3">
      <c r="A35" s="2" t="s">
        <v>34</v>
      </c>
      <c r="B35" s="2" t="s">
        <v>35</v>
      </c>
      <c r="C35" s="3">
        <v>23850</v>
      </c>
      <c r="D35" s="4">
        <v>16695</v>
      </c>
      <c r="E35" s="4">
        <v>5963</v>
      </c>
      <c r="F35" s="4">
        <v>1192</v>
      </c>
    </row>
    <row r="36" spans="1:6" x14ac:dyDescent="0.3">
      <c r="A36" s="2" t="s">
        <v>36</v>
      </c>
      <c r="B36" s="2" t="s">
        <v>37</v>
      </c>
      <c r="C36" s="3">
        <v>23850</v>
      </c>
      <c r="D36" s="4">
        <v>16695</v>
      </c>
      <c r="E36" s="4">
        <v>5963</v>
      </c>
      <c r="F36" s="4">
        <v>1192</v>
      </c>
    </row>
    <row r="37" spans="1:6" x14ac:dyDescent="0.3">
      <c r="A37" s="2" t="s">
        <v>38</v>
      </c>
      <c r="B37" s="2" t="s">
        <v>39</v>
      </c>
      <c r="C37" s="3">
        <v>23850</v>
      </c>
      <c r="D37" s="4">
        <v>16695</v>
      </c>
      <c r="E37" s="4">
        <v>5963</v>
      </c>
      <c r="F37" s="4">
        <v>1192</v>
      </c>
    </row>
    <row r="38" spans="1:6" x14ac:dyDescent="0.3">
      <c r="A38" s="2" t="s">
        <v>40</v>
      </c>
      <c r="B38" s="2" t="s">
        <v>41</v>
      </c>
      <c r="C38" s="3">
        <v>23850</v>
      </c>
      <c r="D38" s="4">
        <v>16695</v>
      </c>
      <c r="E38" s="4">
        <v>5963</v>
      </c>
      <c r="F38" s="4">
        <v>1192</v>
      </c>
    </row>
    <row r="39" spans="1:6" x14ac:dyDescent="0.3">
      <c r="A39" s="2" t="s">
        <v>42</v>
      </c>
      <c r="B39" s="2" t="s">
        <v>43</v>
      </c>
      <c r="C39" s="3">
        <v>23850</v>
      </c>
      <c r="D39" s="4">
        <v>16695</v>
      </c>
      <c r="E39" s="4">
        <v>5963</v>
      </c>
      <c r="F39" s="4">
        <v>1192</v>
      </c>
    </row>
    <row r="40" spans="1:6" x14ac:dyDescent="0.3">
      <c r="A40" s="2" t="s">
        <v>44</v>
      </c>
      <c r="B40" s="2" t="s">
        <v>45</v>
      </c>
      <c r="C40" s="3">
        <v>23850</v>
      </c>
      <c r="D40" s="4">
        <v>16695</v>
      </c>
      <c r="E40" s="4">
        <v>5963</v>
      </c>
      <c r="F40" s="4">
        <v>1192</v>
      </c>
    </row>
    <row r="41" spans="1:6" x14ac:dyDescent="0.3">
      <c r="A41" s="2" t="s">
        <v>46</v>
      </c>
      <c r="B41" s="2" t="s">
        <v>47</v>
      </c>
      <c r="C41" s="3">
        <v>23850</v>
      </c>
      <c r="D41" s="4">
        <v>16695</v>
      </c>
      <c r="E41" s="4">
        <v>5963</v>
      </c>
      <c r="F41" s="4">
        <v>1192</v>
      </c>
    </row>
    <row r="42" spans="1:6" x14ac:dyDescent="0.3">
      <c r="A42" s="2" t="s">
        <v>48</v>
      </c>
      <c r="B42" s="2" t="s">
        <v>49</v>
      </c>
      <c r="C42" s="3">
        <v>23850</v>
      </c>
      <c r="D42" s="4">
        <v>16695</v>
      </c>
      <c r="E42" s="4">
        <v>5963</v>
      </c>
      <c r="F42" s="4">
        <v>1192</v>
      </c>
    </row>
    <row r="43" spans="1:6" x14ac:dyDescent="0.3">
      <c r="A43" s="2" t="s">
        <v>50</v>
      </c>
      <c r="B43" s="2" t="s">
        <v>51</v>
      </c>
      <c r="C43" s="3">
        <v>23850</v>
      </c>
      <c r="D43" s="4">
        <v>16695</v>
      </c>
      <c r="E43" s="4">
        <v>5963</v>
      </c>
      <c r="F43" s="4">
        <v>1192</v>
      </c>
    </row>
    <row r="44" spans="1:6" x14ac:dyDescent="0.3">
      <c r="A44" s="2" t="s">
        <v>52</v>
      </c>
      <c r="B44" s="2" t="s">
        <v>53</v>
      </c>
      <c r="C44" s="3">
        <v>23850</v>
      </c>
      <c r="D44" s="4">
        <v>16695</v>
      </c>
      <c r="E44" s="4">
        <v>5963</v>
      </c>
      <c r="F44" s="4">
        <v>1192</v>
      </c>
    </row>
    <row r="45" spans="1:6" ht="15" thickBot="1" x14ac:dyDescent="0.35">
      <c r="A45" s="39" t="s">
        <v>61</v>
      </c>
      <c r="B45" s="40"/>
      <c r="C45" s="5">
        <v>596250</v>
      </c>
      <c r="D45" s="5">
        <v>417375</v>
      </c>
      <c r="E45" s="5">
        <v>149075</v>
      </c>
      <c r="F45" s="5">
        <v>29800</v>
      </c>
    </row>
    <row r="46" spans="1:6" ht="15" thickTop="1" x14ac:dyDescent="0.3"/>
    <row r="47" spans="1:6" x14ac:dyDescent="0.3">
      <c r="A47" t="s">
        <v>83</v>
      </c>
    </row>
    <row r="48" spans="1:6" x14ac:dyDescent="0.3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</row>
    <row r="49" spans="1:6" x14ac:dyDescent="0.3">
      <c r="A49" t="s">
        <v>68</v>
      </c>
      <c r="B49" t="s">
        <v>69</v>
      </c>
      <c r="C49" s="3">
        <v>23850</v>
      </c>
      <c r="D49" s="4">
        <v>16695</v>
      </c>
      <c r="E49" s="4">
        <v>5963</v>
      </c>
      <c r="F49" s="4">
        <v>1192</v>
      </c>
    </row>
    <row r="50" spans="1:6" x14ac:dyDescent="0.3">
      <c r="A50" t="s">
        <v>70</v>
      </c>
      <c r="B50" t="s">
        <v>71</v>
      </c>
      <c r="C50" s="3">
        <v>23850</v>
      </c>
      <c r="D50" s="4">
        <v>16695</v>
      </c>
      <c r="E50" s="4">
        <v>5963</v>
      </c>
      <c r="F50" s="4">
        <v>1192</v>
      </c>
    </row>
    <row r="51" spans="1:6" x14ac:dyDescent="0.3">
      <c r="A51" t="s">
        <v>72</v>
      </c>
      <c r="B51" t="s">
        <v>73</v>
      </c>
      <c r="C51" s="3">
        <v>23850</v>
      </c>
      <c r="D51" s="4">
        <v>16695</v>
      </c>
      <c r="E51" s="4">
        <v>5963</v>
      </c>
      <c r="F51" s="4">
        <v>1192</v>
      </c>
    </row>
    <row r="52" spans="1:6" x14ac:dyDescent="0.3">
      <c r="A52" t="s">
        <v>74</v>
      </c>
      <c r="B52" t="s">
        <v>75</v>
      </c>
      <c r="C52" s="3">
        <v>23850</v>
      </c>
      <c r="D52" s="4">
        <v>16695</v>
      </c>
      <c r="E52" s="4">
        <v>5963</v>
      </c>
      <c r="F52" s="4">
        <v>1192</v>
      </c>
    </row>
    <row r="53" spans="1:6" x14ac:dyDescent="0.3">
      <c r="A53" t="s">
        <v>76</v>
      </c>
      <c r="B53" t="s">
        <v>77</v>
      </c>
      <c r="C53" s="3">
        <v>23850</v>
      </c>
      <c r="D53" s="4">
        <v>16695</v>
      </c>
      <c r="E53" s="4">
        <v>5963</v>
      </c>
      <c r="F53" s="4">
        <v>1192</v>
      </c>
    </row>
    <row r="54" spans="1:6" x14ac:dyDescent="0.3">
      <c r="A54" t="s">
        <v>78</v>
      </c>
      <c r="B54" t="s">
        <v>79</v>
      </c>
      <c r="C54" s="3">
        <v>23850</v>
      </c>
      <c r="D54" s="4">
        <v>16695</v>
      </c>
      <c r="E54" s="4">
        <v>5963</v>
      </c>
      <c r="F54" s="4">
        <v>1192</v>
      </c>
    </row>
    <row r="55" spans="1:6" x14ac:dyDescent="0.3">
      <c r="A55" t="s">
        <v>80</v>
      </c>
      <c r="B55" t="s">
        <v>81</v>
      </c>
      <c r="C55" s="3">
        <v>23850</v>
      </c>
      <c r="D55" s="4">
        <v>16695</v>
      </c>
      <c r="E55" s="4">
        <v>5963</v>
      </c>
      <c r="F55" s="4">
        <v>1192</v>
      </c>
    </row>
    <row r="56" spans="1:6" x14ac:dyDescent="0.3">
      <c r="A56" t="s">
        <v>80</v>
      </c>
      <c r="B56" t="s">
        <v>82</v>
      </c>
      <c r="C56" s="3">
        <v>23850</v>
      </c>
      <c r="D56" s="4">
        <v>16695</v>
      </c>
      <c r="E56" s="4">
        <v>5963</v>
      </c>
      <c r="F56" s="4">
        <v>1192</v>
      </c>
    </row>
    <row r="57" spans="1:6" ht="15" thickBot="1" x14ac:dyDescent="0.35">
      <c r="A57" s="39" t="s">
        <v>84</v>
      </c>
      <c r="B57" s="40"/>
      <c r="C57" s="5">
        <v>190800</v>
      </c>
      <c r="D57" s="5">
        <v>133560</v>
      </c>
      <c r="E57" s="5">
        <v>47704</v>
      </c>
      <c r="F57" s="5">
        <v>9536</v>
      </c>
    </row>
    <row r="58" spans="1:6" ht="15" thickTop="1" x14ac:dyDescent="0.3"/>
  </sheetData>
  <mergeCells count="4">
    <mergeCell ref="A1:B1"/>
    <mergeCell ref="A18:B18"/>
    <mergeCell ref="A45:B45"/>
    <mergeCell ref="A57:B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EAF8-0B88-49D1-B0B0-B6D794927EC8}">
  <dimension ref="A1:I53"/>
  <sheetViews>
    <sheetView zoomScale="120" zoomScaleNormal="120" workbookViewId="0">
      <selection activeCell="I7" sqref="I7"/>
    </sheetView>
  </sheetViews>
  <sheetFormatPr defaultRowHeight="14.4" x14ac:dyDescent="0.3"/>
  <cols>
    <col min="1" max="1" width="48.6640625" bestFit="1" customWidth="1"/>
    <col min="2" max="2" width="24.33203125" bestFit="1" customWidth="1"/>
    <col min="3" max="5" width="12.77734375" bestFit="1" customWidth="1"/>
    <col min="6" max="6" width="12.33203125" bestFit="1" customWidth="1"/>
    <col min="7" max="7" width="12.44140625" bestFit="1" customWidth="1"/>
    <col min="9" max="9" width="11.6640625" bestFit="1" customWidth="1"/>
  </cols>
  <sheetData>
    <row r="1" spans="1:9" x14ac:dyDescent="0.3">
      <c r="A1" s="37" t="s">
        <v>85</v>
      </c>
      <c r="B1" s="38"/>
    </row>
    <row r="3" spans="1:9" x14ac:dyDescent="0.3">
      <c r="A3" s="8" t="s">
        <v>127</v>
      </c>
      <c r="B3" s="17" t="s">
        <v>2</v>
      </c>
      <c r="C3" s="16">
        <v>2025</v>
      </c>
      <c r="D3" s="8">
        <v>2026</v>
      </c>
    </row>
    <row r="4" spans="1:9" x14ac:dyDescent="0.3">
      <c r="A4" s="2" t="s">
        <v>123</v>
      </c>
      <c r="B4" s="15">
        <v>86040</v>
      </c>
      <c r="C4" s="13">
        <v>57360</v>
      </c>
      <c r="D4" s="4">
        <v>28680</v>
      </c>
      <c r="F4" s="10"/>
      <c r="I4" s="10"/>
    </row>
    <row r="5" spans="1:9" x14ac:dyDescent="0.3">
      <c r="A5" s="2" t="s">
        <v>128</v>
      </c>
      <c r="B5" s="15">
        <v>57300</v>
      </c>
      <c r="C5" s="14"/>
      <c r="D5" s="14">
        <v>57300</v>
      </c>
      <c r="F5" s="10"/>
    </row>
    <row r="6" spans="1:9" x14ac:dyDescent="0.3">
      <c r="A6" s="2" t="s">
        <v>134</v>
      </c>
      <c r="B6" s="15">
        <v>490800</v>
      </c>
      <c r="C6" s="14"/>
      <c r="D6" s="15">
        <v>490800</v>
      </c>
      <c r="E6" s="10"/>
    </row>
    <row r="7" spans="1:9" x14ac:dyDescent="0.3">
      <c r="A7" s="23" t="s">
        <v>141</v>
      </c>
      <c r="B7" s="9">
        <v>368100</v>
      </c>
      <c r="C7" s="24"/>
      <c r="D7" s="9">
        <v>368100</v>
      </c>
      <c r="E7" s="10"/>
    </row>
    <row r="8" spans="1:9" ht="15" thickBot="1" x14ac:dyDescent="0.35">
      <c r="A8" s="2" t="s">
        <v>124</v>
      </c>
      <c r="B8" s="15">
        <v>858600</v>
      </c>
      <c r="C8" s="14">
        <v>453160</v>
      </c>
      <c r="D8" s="11">
        <v>405440</v>
      </c>
      <c r="F8" s="10"/>
      <c r="G8" s="10"/>
    </row>
    <row r="9" spans="1:9" x14ac:dyDescent="0.3">
      <c r="A9" s="26" t="s">
        <v>126</v>
      </c>
      <c r="B9" s="41">
        <v>1492740</v>
      </c>
      <c r="C9" s="27">
        <v>510520</v>
      </c>
      <c r="D9" s="41">
        <v>982220</v>
      </c>
    </row>
    <row r="10" spans="1:9" ht="15" thickBot="1" x14ac:dyDescent="0.35">
      <c r="A10" s="29" t="s">
        <v>139</v>
      </c>
      <c r="B10" s="42">
        <v>1370040</v>
      </c>
      <c r="C10" s="5">
        <v>510520</v>
      </c>
      <c r="D10" s="43">
        <v>859520</v>
      </c>
    </row>
    <row r="11" spans="1:9" ht="15" thickTop="1" x14ac:dyDescent="0.3">
      <c r="A11" s="6"/>
      <c r="B11" s="7"/>
    </row>
    <row r="12" spans="1:9" x14ac:dyDescent="0.3">
      <c r="A12" s="37" t="s">
        <v>64</v>
      </c>
      <c r="B12" s="38"/>
      <c r="D12" s="8" t="s">
        <v>86</v>
      </c>
      <c r="E12" s="8">
        <v>36</v>
      </c>
    </row>
    <row r="13" spans="1:9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</row>
    <row r="14" spans="1:9" x14ac:dyDescent="0.3">
      <c r="A14" s="2">
        <v>1</v>
      </c>
      <c r="B14" s="2" t="s">
        <v>87</v>
      </c>
      <c r="C14" s="3">
        <v>23850</v>
      </c>
      <c r="D14" s="4">
        <v>16695</v>
      </c>
      <c r="E14" s="4">
        <v>5963</v>
      </c>
      <c r="F14" s="4">
        <v>1192</v>
      </c>
    </row>
    <row r="15" spans="1:9" x14ac:dyDescent="0.3">
      <c r="A15" s="2">
        <v>2</v>
      </c>
      <c r="B15" s="2" t="s">
        <v>88</v>
      </c>
      <c r="C15" s="3">
        <v>23850</v>
      </c>
      <c r="D15" s="4">
        <v>16695</v>
      </c>
      <c r="E15" s="4">
        <v>5963</v>
      </c>
      <c r="F15" s="4">
        <v>1192</v>
      </c>
    </row>
    <row r="16" spans="1:9" x14ac:dyDescent="0.3">
      <c r="A16" s="2">
        <v>3</v>
      </c>
      <c r="B16" s="2" t="s">
        <v>89</v>
      </c>
      <c r="C16" s="3">
        <v>23850</v>
      </c>
      <c r="D16" s="4">
        <v>16695</v>
      </c>
      <c r="E16" s="4">
        <v>5963</v>
      </c>
      <c r="F16" s="4">
        <v>1192</v>
      </c>
    </row>
    <row r="17" spans="1:6" x14ac:dyDescent="0.3">
      <c r="A17" s="2">
        <v>4</v>
      </c>
      <c r="B17" s="2" t="s">
        <v>90</v>
      </c>
      <c r="C17" s="3">
        <v>23850</v>
      </c>
      <c r="D17" s="4">
        <v>16695</v>
      </c>
      <c r="E17" s="4">
        <v>5963</v>
      </c>
      <c r="F17" s="4">
        <v>1192</v>
      </c>
    </row>
    <row r="18" spans="1:6" x14ac:dyDescent="0.3">
      <c r="A18" s="2">
        <v>5</v>
      </c>
      <c r="B18" s="2" t="s">
        <v>91</v>
      </c>
      <c r="C18" s="3">
        <v>23850</v>
      </c>
      <c r="D18" s="4">
        <v>16695</v>
      </c>
      <c r="E18" s="4">
        <v>5963</v>
      </c>
      <c r="F18" s="4">
        <v>1192</v>
      </c>
    </row>
    <row r="19" spans="1:6" x14ac:dyDescent="0.3">
      <c r="A19" s="2">
        <v>6</v>
      </c>
      <c r="B19" s="2" t="s">
        <v>92</v>
      </c>
      <c r="C19" s="3">
        <v>23850</v>
      </c>
      <c r="D19" s="4">
        <v>16695</v>
      </c>
      <c r="E19" s="4">
        <v>5963</v>
      </c>
      <c r="F19" s="4">
        <v>1192</v>
      </c>
    </row>
    <row r="20" spans="1:6" x14ac:dyDescent="0.3">
      <c r="A20" s="2">
        <v>7</v>
      </c>
      <c r="B20" s="2" t="s">
        <v>93</v>
      </c>
      <c r="C20" s="3">
        <v>23850</v>
      </c>
      <c r="D20" s="4">
        <v>16695</v>
      </c>
      <c r="E20" s="4">
        <v>5963</v>
      </c>
      <c r="F20" s="4">
        <v>1192</v>
      </c>
    </row>
    <row r="21" spans="1:6" x14ac:dyDescent="0.3">
      <c r="A21" s="2">
        <v>8</v>
      </c>
      <c r="B21" s="2" t="s">
        <v>94</v>
      </c>
      <c r="C21" s="3">
        <v>23850</v>
      </c>
      <c r="D21" s="4">
        <v>16695</v>
      </c>
      <c r="E21" s="4">
        <v>5963</v>
      </c>
      <c r="F21" s="4">
        <v>1192</v>
      </c>
    </row>
    <row r="22" spans="1:6" x14ac:dyDescent="0.3">
      <c r="A22" s="2">
        <v>9</v>
      </c>
      <c r="B22" s="2" t="s">
        <v>95</v>
      </c>
      <c r="C22" s="3">
        <v>23850</v>
      </c>
      <c r="D22" s="4">
        <v>16695</v>
      </c>
      <c r="E22" s="4">
        <v>5963</v>
      </c>
      <c r="F22" s="4">
        <v>1192</v>
      </c>
    </row>
    <row r="23" spans="1:6" x14ac:dyDescent="0.3">
      <c r="A23" s="2">
        <v>10</v>
      </c>
      <c r="B23" s="2" t="s">
        <v>96</v>
      </c>
      <c r="C23" s="3">
        <v>23850</v>
      </c>
      <c r="D23" s="4">
        <v>16695</v>
      </c>
      <c r="E23" s="4">
        <v>5963</v>
      </c>
      <c r="F23" s="4">
        <v>1192</v>
      </c>
    </row>
    <row r="24" spans="1:6" x14ac:dyDescent="0.3">
      <c r="A24" s="2">
        <v>11</v>
      </c>
      <c r="B24" s="2" t="s">
        <v>97</v>
      </c>
      <c r="C24" s="3">
        <v>23850</v>
      </c>
      <c r="D24" s="4">
        <v>16695</v>
      </c>
      <c r="E24" s="4">
        <v>5963</v>
      </c>
      <c r="F24" s="4">
        <v>1192</v>
      </c>
    </row>
    <row r="25" spans="1:6" x14ac:dyDescent="0.3">
      <c r="A25" s="2">
        <v>12</v>
      </c>
      <c r="B25" s="2" t="s">
        <v>98</v>
      </c>
      <c r="C25" s="3">
        <v>23850</v>
      </c>
      <c r="D25" s="4">
        <v>16695</v>
      </c>
      <c r="E25" s="4">
        <v>5963</v>
      </c>
      <c r="F25" s="4">
        <v>1192</v>
      </c>
    </row>
    <row r="26" spans="1:6" x14ac:dyDescent="0.3">
      <c r="A26" s="2">
        <v>13</v>
      </c>
      <c r="B26" s="2" t="s">
        <v>99</v>
      </c>
      <c r="C26" s="3">
        <v>23850</v>
      </c>
      <c r="D26" s="4">
        <v>16695</v>
      </c>
      <c r="E26" s="4">
        <v>5963</v>
      </c>
      <c r="F26" s="4">
        <v>1192</v>
      </c>
    </row>
    <row r="27" spans="1:6" x14ac:dyDescent="0.3">
      <c r="A27" s="2">
        <v>14</v>
      </c>
      <c r="B27" s="2" t="s">
        <v>100</v>
      </c>
      <c r="C27" s="3">
        <v>23850</v>
      </c>
      <c r="D27" s="4">
        <v>16695</v>
      </c>
      <c r="E27" s="4">
        <v>5963</v>
      </c>
      <c r="F27" s="4">
        <v>1192</v>
      </c>
    </row>
    <row r="28" spans="1:6" x14ac:dyDescent="0.3">
      <c r="A28" s="2">
        <v>15</v>
      </c>
      <c r="B28" s="2" t="s">
        <v>101</v>
      </c>
      <c r="C28" s="3">
        <v>23850</v>
      </c>
      <c r="D28" s="4">
        <v>16695</v>
      </c>
      <c r="E28" s="4">
        <v>5963</v>
      </c>
      <c r="F28" s="4">
        <v>1192</v>
      </c>
    </row>
    <row r="29" spans="1:6" x14ac:dyDescent="0.3">
      <c r="A29" s="2">
        <v>16</v>
      </c>
      <c r="B29" s="2" t="s">
        <v>102</v>
      </c>
      <c r="C29" s="3">
        <v>23850</v>
      </c>
      <c r="D29" s="4">
        <v>16695</v>
      </c>
      <c r="E29" s="4">
        <v>5963</v>
      </c>
      <c r="F29" s="4">
        <v>1192</v>
      </c>
    </row>
    <row r="30" spans="1:6" x14ac:dyDescent="0.3">
      <c r="A30" s="2">
        <v>17</v>
      </c>
      <c r="B30" s="2" t="s">
        <v>103</v>
      </c>
      <c r="C30" s="3">
        <v>23850</v>
      </c>
      <c r="D30" s="4">
        <v>16695</v>
      </c>
      <c r="E30" s="4">
        <v>5963</v>
      </c>
      <c r="F30" s="4">
        <v>1192</v>
      </c>
    </row>
    <row r="31" spans="1:6" x14ac:dyDescent="0.3">
      <c r="A31" s="2">
        <v>18</v>
      </c>
      <c r="B31" s="2" t="s">
        <v>104</v>
      </c>
      <c r="C31" s="3">
        <v>23850</v>
      </c>
      <c r="D31" s="4">
        <v>16695</v>
      </c>
      <c r="E31" s="4">
        <v>5963</v>
      </c>
      <c r="F31" s="4">
        <v>1192</v>
      </c>
    </row>
    <row r="32" spans="1:6" x14ac:dyDescent="0.3">
      <c r="A32" s="2">
        <v>19</v>
      </c>
      <c r="B32" s="2" t="s">
        <v>105</v>
      </c>
      <c r="C32" s="3">
        <v>23850</v>
      </c>
      <c r="D32" s="4">
        <v>16695</v>
      </c>
      <c r="E32" s="4">
        <v>5963</v>
      </c>
      <c r="F32" s="4">
        <v>1192</v>
      </c>
    </row>
    <row r="33" spans="1:6" x14ac:dyDescent="0.3">
      <c r="A33" s="2">
        <v>20</v>
      </c>
      <c r="B33" s="2" t="s">
        <v>106</v>
      </c>
      <c r="C33" s="3">
        <v>23850</v>
      </c>
      <c r="D33" s="4">
        <v>16695</v>
      </c>
      <c r="E33" s="4">
        <v>5963</v>
      </c>
      <c r="F33" s="4">
        <v>1192</v>
      </c>
    </row>
    <row r="34" spans="1:6" x14ac:dyDescent="0.3">
      <c r="A34" s="2">
        <v>21</v>
      </c>
      <c r="B34" s="2" t="s">
        <v>107</v>
      </c>
      <c r="C34" s="3">
        <v>23850</v>
      </c>
      <c r="D34" s="4">
        <v>16695</v>
      </c>
      <c r="E34" s="4">
        <v>5963</v>
      </c>
      <c r="F34" s="4">
        <v>1192</v>
      </c>
    </row>
    <row r="35" spans="1:6" x14ac:dyDescent="0.3">
      <c r="A35" s="2">
        <v>22</v>
      </c>
      <c r="B35" s="2" t="s">
        <v>108</v>
      </c>
      <c r="C35" s="3">
        <v>23850</v>
      </c>
      <c r="D35" s="4">
        <v>16695</v>
      </c>
      <c r="E35" s="4">
        <v>5963</v>
      </c>
      <c r="F35" s="4">
        <v>1192</v>
      </c>
    </row>
    <row r="36" spans="1:6" x14ac:dyDescent="0.3">
      <c r="A36" s="2">
        <v>23</v>
      </c>
      <c r="B36" s="2" t="s">
        <v>109</v>
      </c>
      <c r="C36" s="3">
        <v>23850</v>
      </c>
      <c r="D36" s="4">
        <v>16695</v>
      </c>
      <c r="E36" s="4">
        <v>5963</v>
      </c>
      <c r="F36" s="4">
        <v>1192</v>
      </c>
    </row>
    <row r="37" spans="1:6" x14ac:dyDescent="0.3">
      <c r="A37" s="2">
        <v>24</v>
      </c>
      <c r="B37" s="2" t="s">
        <v>110</v>
      </c>
      <c r="C37" s="3">
        <v>23850</v>
      </c>
      <c r="D37" s="4">
        <v>16695</v>
      </c>
      <c r="E37" s="4">
        <v>5963</v>
      </c>
      <c r="F37" s="4">
        <v>1192</v>
      </c>
    </row>
    <row r="38" spans="1:6" x14ac:dyDescent="0.3">
      <c r="A38" s="2">
        <v>25</v>
      </c>
      <c r="B38" s="2" t="s">
        <v>111</v>
      </c>
      <c r="C38" s="3">
        <v>23850</v>
      </c>
      <c r="D38" s="4">
        <v>16695</v>
      </c>
      <c r="E38" s="4">
        <v>5963</v>
      </c>
      <c r="F38" s="4">
        <v>1192</v>
      </c>
    </row>
    <row r="39" spans="1:6" x14ac:dyDescent="0.3">
      <c r="A39" s="2">
        <v>26</v>
      </c>
      <c r="B39" s="2" t="s">
        <v>112</v>
      </c>
      <c r="C39" s="3">
        <v>23850</v>
      </c>
      <c r="D39" s="4">
        <v>16695</v>
      </c>
      <c r="E39" s="4">
        <v>5963</v>
      </c>
      <c r="F39" s="4">
        <v>1192</v>
      </c>
    </row>
    <row r="40" spans="1:6" x14ac:dyDescent="0.3">
      <c r="A40" s="2">
        <v>27</v>
      </c>
      <c r="B40" s="2" t="s">
        <v>113</v>
      </c>
      <c r="C40" s="3">
        <v>23850</v>
      </c>
      <c r="D40" s="4">
        <v>16695</v>
      </c>
      <c r="E40" s="4">
        <v>5963</v>
      </c>
      <c r="F40" s="4">
        <v>1192</v>
      </c>
    </row>
    <row r="41" spans="1:6" x14ac:dyDescent="0.3">
      <c r="A41" s="2">
        <v>28</v>
      </c>
      <c r="B41" s="2" t="s">
        <v>114</v>
      </c>
      <c r="C41" s="3">
        <v>23850</v>
      </c>
      <c r="D41" s="4">
        <v>16695</v>
      </c>
      <c r="E41" s="4">
        <v>5963</v>
      </c>
      <c r="F41" s="4">
        <v>1192</v>
      </c>
    </row>
    <row r="42" spans="1:6" x14ac:dyDescent="0.3">
      <c r="A42" s="2">
        <v>29</v>
      </c>
      <c r="B42" s="2" t="s">
        <v>115</v>
      </c>
      <c r="C42" s="3">
        <v>23850</v>
      </c>
      <c r="D42" s="4">
        <v>16695</v>
      </c>
      <c r="E42" s="4">
        <v>5963</v>
      </c>
      <c r="F42" s="4">
        <v>1192</v>
      </c>
    </row>
    <row r="43" spans="1:6" x14ac:dyDescent="0.3">
      <c r="A43" s="2">
        <v>30</v>
      </c>
      <c r="B43" s="2" t="s">
        <v>116</v>
      </c>
      <c r="C43" s="3">
        <v>23850</v>
      </c>
      <c r="D43" s="4">
        <v>16695</v>
      </c>
      <c r="E43" s="4">
        <v>5963</v>
      </c>
      <c r="F43" s="4">
        <v>1192</v>
      </c>
    </row>
    <row r="44" spans="1:6" x14ac:dyDescent="0.3">
      <c r="A44" s="2">
        <v>31</v>
      </c>
      <c r="B44" s="2" t="s">
        <v>117</v>
      </c>
      <c r="C44" s="3">
        <v>23850</v>
      </c>
      <c r="D44" s="4">
        <v>16695</v>
      </c>
      <c r="E44" s="4">
        <v>5963</v>
      </c>
      <c r="F44" s="4">
        <v>1192</v>
      </c>
    </row>
    <row r="45" spans="1:6" x14ac:dyDescent="0.3">
      <c r="A45" s="2">
        <v>32</v>
      </c>
      <c r="B45" s="2" t="s">
        <v>118</v>
      </c>
      <c r="C45" s="3">
        <v>23850</v>
      </c>
      <c r="D45" s="4">
        <v>16695</v>
      </c>
      <c r="E45" s="4">
        <v>5963</v>
      </c>
      <c r="F45" s="4">
        <v>1192</v>
      </c>
    </row>
    <row r="46" spans="1:6" x14ac:dyDescent="0.3">
      <c r="A46" s="2">
        <v>33</v>
      </c>
      <c r="B46" s="2" t="s">
        <v>119</v>
      </c>
      <c r="C46" s="3">
        <v>23850</v>
      </c>
      <c r="D46" s="4">
        <v>16695</v>
      </c>
      <c r="E46" s="4">
        <v>5963</v>
      </c>
      <c r="F46" s="4">
        <v>1192</v>
      </c>
    </row>
    <row r="47" spans="1:6" x14ac:dyDescent="0.3">
      <c r="A47" s="2">
        <v>34</v>
      </c>
      <c r="B47" s="2" t="s">
        <v>120</v>
      </c>
      <c r="C47" s="3">
        <v>23850</v>
      </c>
      <c r="D47" s="4">
        <v>16695</v>
      </c>
      <c r="E47" s="4">
        <v>5963</v>
      </c>
      <c r="F47" s="4">
        <v>1192</v>
      </c>
    </row>
    <row r="48" spans="1:6" x14ac:dyDescent="0.3">
      <c r="A48" s="2">
        <v>35</v>
      </c>
      <c r="B48" s="2" t="s">
        <v>121</v>
      </c>
      <c r="C48" s="3">
        <v>23850</v>
      </c>
      <c r="D48" s="4">
        <v>16695</v>
      </c>
      <c r="E48" s="4">
        <v>5963</v>
      </c>
      <c r="F48" s="4">
        <v>1192</v>
      </c>
    </row>
    <row r="49" spans="1:6" x14ac:dyDescent="0.3">
      <c r="A49" s="2">
        <v>36</v>
      </c>
      <c r="B49" s="2" t="s">
        <v>122</v>
      </c>
      <c r="C49" s="3">
        <v>23850</v>
      </c>
      <c r="D49" s="4">
        <v>16695</v>
      </c>
      <c r="E49" s="4">
        <v>5963</v>
      </c>
      <c r="F49" s="4">
        <v>1192</v>
      </c>
    </row>
    <row r="50" spans="1:6" x14ac:dyDescent="0.3">
      <c r="A50" s="2">
        <v>37</v>
      </c>
      <c r="B50" s="2" t="s">
        <v>131</v>
      </c>
      <c r="C50" s="3">
        <v>23850</v>
      </c>
      <c r="D50" s="4">
        <v>16695</v>
      </c>
      <c r="E50" s="4">
        <v>5963</v>
      </c>
      <c r="F50" s="4">
        <v>1192</v>
      </c>
    </row>
    <row r="51" spans="1:6" x14ac:dyDescent="0.3">
      <c r="A51" s="2">
        <v>38</v>
      </c>
      <c r="B51" s="2" t="s">
        <v>132</v>
      </c>
      <c r="C51" s="3">
        <v>23850</v>
      </c>
      <c r="D51" s="4">
        <v>16695</v>
      </c>
      <c r="E51" s="4">
        <v>5963</v>
      </c>
      <c r="F51" s="4">
        <v>1192</v>
      </c>
    </row>
    <row r="52" spans="1:6" ht="15" thickBot="1" x14ac:dyDescent="0.35">
      <c r="A52" s="39" t="s">
        <v>61</v>
      </c>
      <c r="B52" s="40"/>
      <c r="C52" s="5">
        <v>906300</v>
      </c>
      <c r="D52" s="5">
        <v>634410</v>
      </c>
      <c r="E52" s="5">
        <v>226594</v>
      </c>
      <c r="F52" s="5">
        <v>45296</v>
      </c>
    </row>
    <row r="53" spans="1:6" ht="15" thickTop="1" x14ac:dyDescent="0.3"/>
  </sheetData>
  <mergeCells count="3">
    <mergeCell ref="A1:B1"/>
    <mergeCell ref="A12:B12"/>
    <mergeCell ref="A52:B5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B640-20C6-44F4-A3FB-33FAC1101353}">
  <dimension ref="A1:M52"/>
  <sheetViews>
    <sheetView tabSelected="1" zoomScale="120" zoomScaleNormal="120" workbookViewId="0">
      <selection activeCell="G6" sqref="G6"/>
    </sheetView>
  </sheetViews>
  <sheetFormatPr defaultRowHeight="14.4" x14ac:dyDescent="0.3"/>
  <cols>
    <col min="1" max="1" width="49.33203125" bestFit="1" customWidth="1"/>
    <col min="2" max="2" width="24.33203125" bestFit="1" customWidth="1"/>
    <col min="3" max="3" width="12.77734375" bestFit="1" customWidth="1"/>
    <col min="4" max="4" width="13.88671875" bestFit="1" customWidth="1"/>
    <col min="5" max="5" width="12.77734375" bestFit="1" customWidth="1"/>
    <col min="6" max="6" width="12.33203125" bestFit="1" customWidth="1"/>
    <col min="7" max="7" width="14.44140625" bestFit="1" customWidth="1"/>
    <col min="8" max="8" width="14.109375" bestFit="1" customWidth="1"/>
    <col min="11" max="11" width="36.109375" bestFit="1" customWidth="1"/>
    <col min="12" max="12" width="14.44140625" bestFit="1" customWidth="1"/>
    <col min="13" max="13" width="11.6640625" bestFit="1" customWidth="1"/>
    <col min="14" max="14" width="14.6640625" bestFit="1" customWidth="1"/>
  </cols>
  <sheetData>
    <row r="1" spans="1:13" x14ac:dyDescent="0.3">
      <c r="A1" s="37" t="s">
        <v>137</v>
      </c>
      <c r="B1" s="38"/>
    </row>
    <row r="2" spans="1:13" x14ac:dyDescent="0.3">
      <c r="L2" s="18"/>
      <c r="M2" s="10"/>
    </row>
    <row r="3" spans="1:13" x14ac:dyDescent="0.3">
      <c r="A3" s="8" t="s">
        <v>127</v>
      </c>
      <c r="B3" s="17" t="s">
        <v>2</v>
      </c>
      <c r="C3" s="16">
        <v>2026</v>
      </c>
      <c r="D3" s="8">
        <v>2027</v>
      </c>
      <c r="L3" s="18"/>
      <c r="M3" s="10"/>
    </row>
    <row r="4" spans="1:13" x14ac:dyDescent="0.3">
      <c r="A4" s="2" t="s">
        <v>129</v>
      </c>
      <c r="B4" s="15">
        <v>89481.600000000006</v>
      </c>
      <c r="C4" s="13">
        <v>44740.800000000003</v>
      </c>
      <c r="D4" s="4">
        <v>44740.800000000003</v>
      </c>
      <c r="F4" s="10"/>
      <c r="L4" s="18"/>
      <c r="M4" s="10"/>
    </row>
    <row r="5" spans="1:13" x14ac:dyDescent="0.3">
      <c r="A5" s="2" t="s">
        <v>136</v>
      </c>
      <c r="B5" s="15">
        <v>59592</v>
      </c>
      <c r="C5" s="14">
        <v>59592</v>
      </c>
      <c r="D5" s="12"/>
      <c r="F5" s="10"/>
      <c r="G5" s="18"/>
      <c r="L5" s="18"/>
      <c r="M5" s="10"/>
    </row>
    <row r="6" spans="1:13" x14ac:dyDescent="0.3">
      <c r="A6" s="2" t="s">
        <v>143</v>
      </c>
      <c r="B6" s="15">
        <f>(61350*1.04)*8</f>
        <v>510432</v>
      </c>
      <c r="C6" s="14"/>
      <c r="D6" s="11">
        <f>B6</f>
        <v>510432</v>
      </c>
      <c r="G6" s="10"/>
      <c r="K6" s="19"/>
      <c r="L6" s="18"/>
      <c r="M6" s="10"/>
    </row>
    <row r="7" spans="1:13" ht="15" thickBot="1" x14ac:dyDescent="0.35">
      <c r="A7" s="2" t="s">
        <v>130</v>
      </c>
      <c r="B7" s="15">
        <v>967356</v>
      </c>
      <c r="C7" s="14">
        <v>483678</v>
      </c>
      <c r="D7" s="11">
        <v>483678</v>
      </c>
      <c r="G7" s="10"/>
      <c r="K7" s="19"/>
      <c r="L7" s="18"/>
      <c r="M7" s="10"/>
    </row>
    <row r="8" spans="1:13" x14ac:dyDescent="0.3">
      <c r="A8" s="35" t="s">
        <v>140</v>
      </c>
      <c r="B8" s="41">
        <v>1626861.6</v>
      </c>
      <c r="C8" s="27">
        <v>588010.80000000005</v>
      </c>
      <c r="D8" s="41">
        <v>1038850.8</v>
      </c>
      <c r="G8" s="10"/>
    </row>
    <row r="9" spans="1:13" x14ac:dyDescent="0.3">
      <c r="A9" s="6"/>
      <c r="B9" s="7"/>
    </row>
    <row r="10" spans="1:13" x14ac:dyDescent="0.3">
      <c r="A10" s="37" t="s">
        <v>64</v>
      </c>
      <c r="B10" s="38"/>
      <c r="D10" s="8" t="s">
        <v>86</v>
      </c>
      <c r="E10" s="8">
        <v>39</v>
      </c>
    </row>
    <row r="11" spans="1:13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</row>
    <row r="12" spans="1:13" x14ac:dyDescent="0.3">
      <c r="A12" s="2">
        <v>1</v>
      </c>
      <c r="B12" s="2" t="s">
        <v>87</v>
      </c>
      <c r="C12" s="3">
        <v>24804</v>
      </c>
      <c r="D12" s="4">
        <v>17362.8</v>
      </c>
      <c r="E12" s="4">
        <v>6201</v>
      </c>
      <c r="F12" s="4">
        <v>1240.2000000000007</v>
      </c>
    </row>
    <row r="13" spans="1:13" x14ac:dyDescent="0.3">
      <c r="A13" s="2">
        <v>2</v>
      </c>
      <c r="B13" s="2" t="s">
        <v>88</v>
      </c>
      <c r="C13" s="3">
        <v>24804</v>
      </c>
      <c r="D13" s="4">
        <v>17362.8</v>
      </c>
      <c r="E13" s="4">
        <v>6201</v>
      </c>
      <c r="F13" s="4">
        <v>1240.2000000000007</v>
      </c>
    </row>
    <row r="14" spans="1:13" x14ac:dyDescent="0.3">
      <c r="A14" s="2">
        <v>3</v>
      </c>
      <c r="B14" s="2" t="s">
        <v>89</v>
      </c>
      <c r="C14" s="3">
        <v>24804</v>
      </c>
      <c r="D14" s="4">
        <v>17362.8</v>
      </c>
      <c r="E14" s="4">
        <v>6201</v>
      </c>
      <c r="F14" s="4">
        <v>1240.2000000000007</v>
      </c>
    </row>
    <row r="15" spans="1:13" x14ac:dyDescent="0.3">
      <c r="A15" s="2">
        <v>4</v>
      </c>
      <c r="B15" s="2" t="s">
        <v>90</v>
      </c>
      <c r="C15" s="3">
        <v>24804</v>
      </c>
      <c r="D15" s="4">
        <v>17362.8</v>
      </c>
      <c r="E15" s="4">
        <v>6201</v>
      </c>
      <c r="F15" s="4">
        <v>1240.2000000000007</v>
      </c>
    </row>
    <row r="16" spans="1:13" x14ac:dyDescent="0.3">
      <c r="A16" s="2">
        <v>5</v>
      </c>
      <c r="B16" s="2" t="s">
        <v>91</v>
      </c>
      <c r="C16" s="3">
        <v>24804</v>
      </c>
      <c r="D16" s="4">
        <v>17362.8</v>
      </c>
      <c r="E16" s="4">
        <v>6201</v>
      </c>
      <c r="F16" s="4">
        <v>1240.2000000000007</v>
      </c>
    </row>
    <row r="17" spans="1:6" x14ac:dyDescent="0.3">
      <c r="A17" s="2">
        <v>6</v>
      </c>
      <c r="B17" s="2" t="s">
        <v>92</v>
      </c>
      <c r="C17" s="3">
        <v>24804</v>
      </c>
      <c r="D17" s="4">
        <v>17362.8</v>
      </c>
      <c r="E17" s="4">
        <v>6201</v>
      </c>
      <c r="F17" s="4">
        <v>1240.2000000000007</v>
      </c>
    </row>
    <row r="18" spans="1:6" x14ac:dyDescent="0.3">
      <c r="A18" s="2">
        <v>7</v>
      </c>
      <c r="B18" s="2" t="s">
        <v>93</v>
      </c>
      <c r="C18" s="3">
        <v>24804</v>
      </c>
      <c r="D18" s="4">
        <v>17362.8</v>
      </c>
      <c r="E18" s="4">
        <v>6201</v>
      </c>
      <c r="F18" s="4">
        <v>1240.2000000000007</v>
      </c>
    </row>
    <row r="19" spans="1:6" x14ac:dyDescent="0.3">
      <c r="A19" s="2">
        <v>8</v>
      </c>
      <c r="B19" s="2" t="s">
        <v>94</v>
      </c>
      <c r="C19" s="3">
        <v>24804</v>
      </c>
      <c r="D19" s="4">
        <v>17362.8</v>
      </c>
      <c r="E19" s="4">
        <v>6201</v>
      </c>
      <c r="F19" s="4">
        <v>1240.2000000000007</v>
      </c>
    </row>
    <row r="20" spans="1:6" x14ac:dyDescent="0.3">
      <c r="A20" s="2">
        <v>9</v>
      </c>
      <c r="B20" s="2" t="s">
        <v>95</v>
      </c>
      <c r="C20" s="3">
        <v>24804</v>
      </c>
      <c r="D20" s="4">
        <v>17362.8</v>
      </c>
      <c r="E20" s="4">
        <v>6201</v>
      </c>
      <c r="F20" s="4">
        <v>1240.2000000000007</v>
      </c>
    </row>
    <row r="21" spans="1:6" x14ac:dyDescent="0.3">
      <c r="A21" s="2">
        <v>10</v>
      </c>
      <c r="B21" s="2" t="s">
        <v>96</v>
      </c>
      <c r="C21" s="3">
        <v>24804</v>
      </c>
      <c r="D21" s="4">
        <v>17362.8</v>
      </c>
      <c r="E21" s="4">
        <v>6201</v>
      </c>
      <c r="F21" s="4">
        <v>1240.2000000000007</v>
      </c>
    </row>
    <row r="22" spans="1:6" x14ac:dyDescent="0.3">
      <c r="A22" s="2">
        <v>11</v>
      </c>
      <c r="B22" s="2" t="s">
        <v>97</v>
      </c>
      <c r="C22" s="3">
        <v>24804</v>
      </c>
      <c r="D22" s="4">
        <v>17362.8</v>
      </c>
      <c r="E22" s="4">
        <v>6201</v>
      </c>
      <c r="F22" s="4">
        <v>1240.2000000000007</v>
      </c>
    </row>
    <row r="23" spans="1:6" x14ac:dyDescent="0.3">
      <c r="A23" s="2">
        <v>12</v>
      </c>
      <c r="B23" s="2" t="s">
        <v>98</v>
      </c>
      <c r="C23" s="3">
        <v>24804</v>
      </c>
      <c r="D23" s="4">
        <v>17362.8</v>
      </c>
      <c r="E23" s="4">
        <v>6201</v>
      </c>
      <c r="F23" s="4">
        <v>1240.2000000000007</v>
      </c>
    </row>
    <row r="24" spans="1:6" x14ac:dyDescent="0.3">
      <c r="A24" s="2">
        <v>13</v>
      </c>
      <c r="B24" s="2" t="s">
        <v>99</v>
      </c>
      <c r="C24" s="3">
        <v>24804</v>
      </c>
      <c r="D24" s="4">
        <v>17362.8</v>
      </c>
      <c r="E24" s="4">
        <v>6201</v>
      </c>
      <c r="F24" s="4">
        <v>1240.2000000000007</v>
      </c>
    </row>
    <row r="25" spans="1:6" x14ac:dyDescent="0.3">
      <c r="A25" s="2">
        <v>14</v>
      </c>
      <c r="B25" s="2" t="s">
        <v>100</v>
      </c>
      <c r="C25" s="3">
        <v>24804</v>
      </c>
      <c r="D25" s="4">
        <v>17362.8</v>
      </c>
      <c r="E25" s="4">
        <v>6201</v>
      </c>
      <c r="F25" s="4">
        <v>1240.2000000000007</v>
      </c>
    </row>
    <row r="26" spans="1:6" x14ac:dyDescent="0.3">
      <c r="A26" s="2">
        <v>15</v>
      </c>
      <c r="B26" s="2" t="s">
        <v>101</v>
      </c>
      <c r="C26" s="3">
        <v>24804</v>
      </c>
      <c r="D26" s="4">
        <v>17362.8</v>
      </c>
      <c r="E26" s="4">
        <v>6201</v>
      </c>
      <c r="F26" s="4">
        <v>1240.2000000000007</v>
      </c>
    </row>
    <row r="27" spans="1:6" x14ac:dyDescent="0.3">
      <c r="A27" s="2">
        <v>16</v>
      </c>
      <c r="B27" s="2" t="s">
        <v>102</v>
      </c>
      <c r="C27" s="3">
        <v>24804</v>
      </c>
      <c r="D27" s="4">
        <v>17362.8</v>
      </c>
      <c r="E27" s="4">
        <v>6201</v>
      </c>
      <c r="F27" s="4">
        <v>1240.2000000000007</v>
      </c>
    </row>
    <row r="28" spans="1:6" x14ac:dyDescent="0.3">
      <c r="A28" s="2">
        <v>17</v>
      </c>
      <c r="B28" s="2" t="s">
        <v>103</v>
      </c>
      <c r="C28" s="3">
        <v>24804</v>
      </c>
      <c r="D28" s="4">
        <v>17362.8</v>
      </c>
      <c r="E28" s="4">
        <v>6201</v>
      </c>
      <c r="F28" s="4">
        <v>1240.2000000000007</v>
      </c>
    </row>
    <row r="29" spans="1:6" x14ac:dyDescent="0.3">
      <c r="A29" s="2">
        <v>18</v>
      </c>
      <c r="B29" s="2" t="s">
        <v>104</v>
      </c>
      <c r="C29" s="3">
        <v>24804</v>
      </c>
      <c r="D29" s="4">
        <v>17362.8</v>
      </c>
      <c r="E29" s="4">
        <v>6201</v>
      </c>
      <c r="F29" s="4">
        <v>1240.2000000000007</v>
      </c>
    </row>
    <row r="30" spans="1:6" x14ac:dyDescent="0.3">
      <c r="A30" s="2">
        <v>19</v>
      </c>
      <c r="B30" s="2" t="s">
        <v>105</v>
      </c>
      <c r="C30" s="3">
        <v>24804</v>
      </c>
      <c r="D30" s="4">
        <v>17362.8</v>
      </c>
      <c r="E30" s="4">
        <v>6201</v>
      </c>
      <c r="F30" s="4">
        <v>1240.2000000000007</v>
      </c>
    </row>
    <row r="31" spans="1:6" x14ac:dyDescent="0.3">
      <c r="A31" s="2">
        <v>20</v>
      </c>
      <c r="B31" s="2" t="s">
        <v>106</v>
      </c>
      <c r="C31" s="3">
        <v>24804</v>
      </c>
      <c r="D31" s="4">
        <v>17362.8</v>
      </c>
      <c r="E31" s="4">
        <v>6201</v>
      </c>
      <c r="F31" s="4">
        <v>1240.2000000000007</v>
      </c>
    </row>
    <row r="32" spans="1:6" x14ac:dyDescent="0.3">
      <c r="A32" s="2">
        <v>21</v>
      </c>
      <c r="B32" s="2" t="s">
        <v>107</v>
      </c>
      <c r="C32" s="3">
        <v>24804</v>
      </c>
      <c r="D32" s="4">
        <v>17362.8</v>
      </c>
      <c r="E32" s="4">
        <v>6201</v>
      </c>
      <c r="F32" s="4">
        <v>1240.2000000000007</v>
      </c>
    </row>
    <row r="33" spans="1:6" x14ac:dyDescent="0.3">
      <c r="A33" s="2">
        <v>22</v>
      </c>
      <c r="B33" s="2" t="s">
        <v>108</v>
      </c>
      <c r="C33" s="3">
        <v>24804</v>
      </c>
      <c r="D33" s="4">
        <v>17362.8</v>
      </c>
      <c r="E33" s="4">
        <v>6201</v>
      </c>
      <c r="F33" s="4">
        <v>1240.2000000000007</v>
      </c>
    </row>
    <row r="34" spans="1:6" x14ac:dyDescent="0.3">
      <c r="A34" s="2">
        <v>23</v>
      </c>
      <c r="B34" s="2" t="s">
        <v>109</v>
      </c>
      <c r="C34" s="3">
        <v>24804</v>
      </c>
      <c r="D34" s="4">
        <v>17362.8</v>
      </c>
      <c r="E34" s="4">
        <v>6201</v>
      </c>
      <c r="F34" s="4">
        <v>1240.2000000000007</v>
      </c>
    </row>
    <row r="35" spans="1:6" x14ac:dyDescent="0.3">
      <c r="A35" s="2">
        <v>24</v>
      </c>
      <c r="B35" s="2" t="s">
        <v>110</v>
      </c>
      <c r="C35" s="3">
        <v>24804</v>
      </c>
      <c r="D35" s="4">
        <v>17362.8</v>
      </c>
      <c r="E35" s="4">
        <v>6201</v>
      </c>
      <c r="F35" s="4">
        <v>1240.2000000000007</v>
      </c>
    </row>
    <row r="36" spans="1:6" x14ac:dyDescent="0.3">
      <c r="A36" s="2">
        <v>25</v>
      </c>
      <c r="B36" s="2" t="s">
        <v>111</v>
      </c>
      <c r="C36" s="3">
        <v>24804</v>
      </c>
      <c r="D36" s="4">
        <v>17362.8</v>
      </c>
      <c r="E36" s="4">
        <v>6201</v>
      </c>
      <c r="F36" s="4">
        <v>1240.2000000000007</v>
      </c>
    </row>
    <row r="37" spans="1:6" x14ac:dyDescent="0.3">
      <c r="A37" s="2">
        <v>26</v>
      </c>
      <c r="B37" s="2" t="s">
        <v>112</v>
      </c>
      <c r="C37" s="3">
        <v>24804</v>
      </c>
      <c r="D37" s="4">
        <v>17362.8</v>
      </c>
      <c r="E37" s="4">
        <v>6201</v>
      </c>
      <c r="F37" s="4">
        <v>1240.2000000000007</v>
      </c>
    </row>
    <row r="38" spans="1:6" x14ac:dyDescent="0.3">
      <c r="A38" s="2">
        <v>27</v>
      </c>
      <c r="B38" s="2" t="s">
        <v>113</v>
      </c>
      <c r="C38" s="3">
        <v>24804</v>
      </c>
      <c r="D38" s="4">
        <v>17362.8</v>
      </c>
      <c r="E38" s="4">
        <v>6201</v>
      </c>
      <c r="F38" s="4">
        <v>1240.2000000000007</v>
      </c>
    </row>
    <row r="39" spans="1:6" x14ac:dyDescent="0.3">
      <c r="A39" s="2">
        <v>28</v>
      </c>
      <c r="B39" s="2" t="s">
        <v>114</v>
      </c>
      <c r="C39" s="3">
        <v>24804</v>
      </c>
      <c r="D39" s="4">
        <v>17362.8</v>
      </c>
      <c r="E39" s="4">
        <v>6201</v>
      </c>
      <c r="F39" s="4">
        <v>1240.2000000000007</v>
      </c>
    </row>
    <row r="40" spans="1:6" x14ac:dyDescent="0.3">
      <c r="A40" s="2">
        <v>29</v>
      </c>
      <c r="B40" s="2" t="s">
        <v>115</v>
      </c>
      <c r="C40" s="3">
        <v>24804</v>
      </c>
      <c r="D40" s="4">
        <v>17362.8</v>
      </c>
      <c r="E40" s="4">
        <v>6201</v>
      </c>
      <c r="F40" s="4">
        <v>1240.2000000000007</v>
      </c>
    </row>
    <row r="41" spans="1:6" x14ac:dyDescent="0.3">
      <c r="A41" s="2">
        <v>30</v>
      </c>
      <c r="B41" s="2" t="s">
        <v>116</v>
      </c>
      <c r="C41" s="3">
        <v>24804</v>
      </c>
      <c r="D41" s="4">
        <v>17362.8</v>
      </c>
      <c r="E41" s="4">
        <v>6201</v>
      </c>
      <c r="F41" s="4">
        <v>1240.2000000000007</v>
      </c>
    </row>
    <row r="42" spans="1:6" x14ac:dyDescent="0.3">
      <c r="A42" s="2">
        <v>31</v>
      </c>
      <c r="B42" s="2" t="s">
        <v>117</v>
      </c>
      <c r="C42" s="3">
        <v>24804</v>
      </c>
      <c r="D42" s="4">
        <v>17362.8</v>
      </c>
      <c r="E42" s="4">
        <v>6201</v>
      </c>
      <c r="F42" s="4">
        <v>1240.2000000000007</v>
      </c>
    </row>
    <row r="43" spans="1:6" x14ac:dyDescent="0.3">
      <c r="A43" s="2">
        <v>32</v>
      </c>
      <c r="B43" s="2" t="s">
        <v>118</v>
      </c>
      <c r="C43" s="3">
        <v>24804</v>
      </c>
      <c r="D43" s="4">
        <v>17362.8</v>
      </c>
      <c r="E43" s="4">
        <v>6201</v>
      </c>
      <c r="F43" s="4">
        <v>1240.2000000000007</v>
      </c>
    </row>
    <row r="44" spans="1:6" x14ac:dyDescent="0.3">
      <c r="A44" s="2">
        <v>33</v>
      </c>
      <c r="B44" s="2" t="s">
        <v>119</v>
      </c>
      <c r="C44" s="3">
        <v>24804</v>
      </c>
      <c r="D44" s="4">
        <v>17362.8</v>
      </c>
      <c r="E44" s="4">
        <v>6201</v>
      </c>
      <c r="F44" s="4">
        <v>1240.2000000000007</v>
      </c>
    </row>
    <row r="45" spans="1:6" x14ac:dyDescent="0.3">
      <c r="A45" s="2">
        <v>34</v>
      </c>
      <c r="B45" s="2" t="s">
        <v>120</v>
      </c>
      <c r="C45" s="3">
        <v>24804</v>
      </c>
      <c r="D45" s="4">
        <v>17362.8</v>
      </c>
      <c r="E45" s="4">
        <v>6201</v>
      </c>
      <c r="F45" s="4">
        <v>1240.2000000000007</v>
      </c>
    </row>
    <row r="46" spans="1:6" x14ac:dyDescent="0.3">
      <c r="A46" s="2">
        <v>35</v>
      </c>
      <c r="B46" s="2" t="s">
        <v>121</v>
      </c>
      <c r="C46" s="3">
        <v>24804</v>
      </c>
      <c r="D46" s="4">
        <v>17362.8</v>
      </c>
      <c r="E46" s="4">
        <v>6201</v>
      </c>
      <c r="F46" s="4">
        <v>1240.2000000000007</v>
      </c>
    </row>
    <row r="47" spans="1:6" x14ac:dyDescent="0.3">
      <c r="A47" s="2">
        <v>36</v>
      </c>
      <c r="B47" s="2" t="s">
        <v>122</v>
      </c>
      <c r="C47" s="3">
        <v>24804</v>
      </c>
      <c r="D47" s="4">
        <v>17362.8</v>
      </c>
      <c r="E47" s="4">
        <v>6201</v>
      </c>
      <c r="F47" s="4">
        <v>1240.2000000000007</v>
      </c>
    </row>
    <row r="48" spans="1:6" x14ac:dyDescent="0.3">
      <c r="A48" s="2">
        <v>37</v>
      </c>
      <c r="B48" s="2" t="s">
        <v>131</v>
      </c>
      <c r="C48" s="3">
        <v>24804</v>
      </c>
      <c r="D48" s="4">
        <v>17362.8</v>
      </c>
      <c r="E48" s="4">
        <v>6201</v>
      </c>
      <c r="F48" s="4">
        <v>1240.2000000000007</v>
      </c>
    </row>
    <row r="49" spans="1:6" x14ac:dyDescent="0.3">
      <c r="A49" s="2">
        <v>38</v>
      </c>
      <c r="B49" s="2" t="s">
        <v>132</v>
      </c>
      <c r="C49" s="3">
        <v>24804</v>
      </c>
      <c r="D49" s="4">
        <v>17362.8</v>
      </c>
      <c r="E49" s="4">
        <v>6201</v>
      </c>
      <c r="F49" s="4">
        <v>1240.2000000000007</v>
      </c>
    </row>
    <row r="50" spans="1:6" x14ac:dyDescent="0.3">
      <c r="A50" s="2">
        <v>39</v>
      </c>
      <c r="B50" s="2" t="s">
        <v>135</v>
      </c>
      <c r="C50" s="3">
        <v>24804</v>
      </c>
      <c r="D50" s="4">
        <v>17362.8</v>
      </c>
      <c r="E50" s="4">
        <v>6201</v>
      </c>
      <c r="F50" s="4">
        <v>1240.2000000000007</v>
      </c>
    </row>
    <row r="51" spans="1:6" ht="15" thickBot="1" x14ac:dyDescent="0.35">
      <c r="A51" s="39" t="s">
        <v>61</v>
      </c>
      <c r="B51" s="40"/>
      <c r="C51" s="5">
        <v>967356</v>
      </c>
      <c r="D51" s="5">
        <v>677149.20000000019</v>
      </c>
      <c r="E51" s="5">
        <v>241839</v>
      </c>
      <c r="F51" s="5">
        <v>48367.799999999988</v>
      </c>
    </row>
    <row r="52" spans="1:6" ht="15" thickTop="1" x14ac:dyDescent="0.3"/>
  </sheetData>
  <mergeCells count="3">
    <mergeCell ref="A1:B1"/>
    <mergeCell ref="A10:B10"/>
    <mergeCell ref="A51:B51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me xmlns="31d231d3-d8f5-416d-97d7-7c7a4a49ea8b" xsi:nil="true"/>
    <lcf76f155ced4ddcb4097134ff3c332f xmlns="31d231d3-d8f5-416d-97d7-7c7a4a49ea8b">
      <Terms xmlns="http://schemas.microsoft.com/office/infopath/2007/PartnerControls"/>
    </lcf76f155ced4ddcb4097134ff3c332f>
    <TaxCatchAll xmlns="1693087e-babd-4d9b-97b8-cdb8216df792" xsi:nil="true"/>
    <SitePath xmlns="31d231d3-d8f5-416d-97d7-7c7a4a49ea8b" xsi:nil="true"/>
    <hiddenfolderpath xmlns="31d231d3-d8f5-416d-97d7-7c7a4a49ea8b">Shared Documents/</hiddenfolderpath>
    <hiddenfolderpath xmlns="1693087e-babd-4d9b-97b8-cdb8216df792">Shared Documents/</hiddenfolderpath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E435B805EED241AEDE18E8B15CCE1B" ma:contentTypeVersion="29" ma:contentTypeDescription="Create a new document." ma:contentTypeScope="" ma:versionID="c3e2df6a0cba04dc36c5dc0939093dd0">
  <xsd:schema xmlns:xsd="http://www.w3.org/2001/XMLSchema" xmlns:xs="http://www.w3.org/2001/XMLSchema" xmlns:p="http://schemas.microsoft.com/office/2006/metadata/properties" xmlns:ns2="31d231d3-d8f5-416d-97d7-7c7a4a49ea8b" xmlns:ns3="1693087e-babd-4d9b-97b8-cdb8216df792" targetNamespace="http://schemas.microsoft.com/office/2006/metadata/properties" ma:root="true" ma:fieldsID="d4cdf3590bb3bf68b513c5a480d1568f" ns2:_="" ns3:_="">
    <xsd:import namespace="31d231d3-d8f5-416d-97d7-7c7a4a49ea8b"/>
    <xsd:import namespace="1693087e-babd-4d9b-97b8-cdb8216df7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Time" minOccurs="0"/>
                <xsd:element ref="ns2:MediaServiceObjectDetectorVersions" minOccurs="0"/>
                <xsd:element ref="ns2:MediaServiceSearchProperties" minOccurs="0"/>
                <xsd:element ref="ns2:SitePath" minOccurs="0"/>
                <xsd:element ref="ns2:hiddenfolderpath" minOccurs="0"/>
                <xsd:element ref="ns3:hiddenfolderpath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231d3-d8f5-416d-97d7-7c7a4a49e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cf32eec-7bc8-4e8a-bbcd-8d0e930e2d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ime" ma:index="24" nillable="true" ma:displayName="Time" ma:format="DateTime" ma:internalName="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itePath" ma:index="27" nillable="true" ma:displayName="SitePath" ma:format="Dropdown" ma:internalName="SitePath">
      <xsd:simpleType>
        <xsd:restriction base="dms:Text">
          <xsd:maxLength value="255"/>
        </xsd:restriction>
      </xsd:simpleType>
    </xsd:element>
    <xsd:element name="hiddenfolderpath" ma:index="28" nillable="true" ma:displayName="hiddenfolderpath" ma:default="Shared Documents/" ma:format="Dropdown" ma:internalName="hiddenfolderpath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3087e-babd-4d9b-97b8-cdb8216df79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4d88861-576e-4bfa-ada5-14d090c09a29}" ma:internalName="TaxCatchAll" ma:showField="CatchAllData" ma:web="1693087e-babd-4d9b-97b8-cdb8216df7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iddenfolderpath" ma:index="29" nillable="true" ma:displayName="hiddenfolderpaths" ma:default="Shared Documents/" ma:hidden="true" ma:internalName="hiddenfolderpath0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17F6F9-57CA-449A-9FFE-3CA202877D53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purl.org/dc/terms/"/>
    <ds:schemaRef ds:uri="1693087e-babd-4d9b-97b8-cdb8216df792"/>
    <ds:schemaRef ds:uri="http://schemas.microsoft.com/office/2006/metadata/properties"/>
    <ds:schemaRef ds:uri="http://schemas.microsoft.com/office/infopath/2007/PartnerControls"/>
    <ds:schemaRef ds:uri="31d231d3-d8f5-416d-97d7-7c7a4a49ea8b"/>
  </ds:schemaRefs>
</ds:datastoreItem>
</file>

<file path=customXml/itemProps2.xml><?xml version="1.0" encoding="utf-8"?>
<ds:datastoreItem xmlns:ds="http://schemas.openxmlformats.org/officeDocument/2006/customXml" ds:itemID="{B856528B-28AB-4795-A5FE-704F62682A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7A0657-27F8-402F-8B73-579C0E28BF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d231d3-d8f5-416d-97d7-7c7a4a49ea8b"/>
    <ds:schemaRef ds:uri="1693087e-babd-4d9b-97b8-cdb8216df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 1 Cost Summary</vt:lpstr>
      <vt:lpstr>Phase 2 Cost Breakdown</vt:lpstr>
      <vt:lpstr>Phase 3 Cost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Lenox, Alexander (Alex)</dc:creator>
  <cp:lastModifiedBy>Lenox, Alexander (Alex)</cp:lastModifiedBy>
  <dcterms:created xsi:type="dcterms:W3CDTF">2024-08-21T21:45:45Z</dcterms:created>
  <dcterms:modified xsi:type="dcterms:W3CDTF">2026-03-11T19:46:40Z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0x01010050E435B805EED241AEDE18E8B15CCE1B</vt:lpwstr>
  </property>
  <property fmtid="{D5CDD505-2E9C-101B-9397-08002B2CF9AE}" pid="3" name="MediaServiceImageTags">
    <vt:lpwstr/>
  </property>
  <property fmtid="{D5CDD505-2E9C-101B-9397-08002B2CF9AE}" pid="4" name="Folder_Number">
    <vt:lpwstr/>
  </property>
  <property fmtid="{D5CDD505-2E9C-101B-9397-08002B2CF9AE}" pid="5" name="Folder_Code">
    <vt:lpwstr/>
  </property>
  <property fmtid="{D5CDD505-2E9C-101B-9397-08002B2CF9AE}" pid="6" name="Folder_Name">
    <vt:lpwstr/>
  </property>
  <property fmtid="{D5CDD505-2E9C-101B-9397-08002B2CF9AE}" pid="7" name="Folder_Description">
    <vt:lpwstr/>
  </property>
  <property fmtid="{D5CDD505-2E9C-101B-9397-08002B2CF9AE}" pid="8" name="/Folder_Name/">
    <vt:lpwstr/>
  </property>
  <property fmtid="{D5CDD505-2E9C-101B-9397-08002B2CF9AE}" pid="9" name="/Folder_Description/">
    <vt:lpwstr/>
  </property>
  <property fmtid="{D5CDD505-2E9C-101B-9397-08002B2CF9AE}" pid="10" name="Folder_Version">
    <vt:lpwstr/>
  </property>
  <property fmtid="{D5CDD505-2E9C-101B-9397-08002B2CF9AE}" pid="11" name="Folder_VersionSeq">
    <vt:lpwstr/>
  </property>
  <property fmtid="{D5CDD505-2E9C-101B-9397-08002B2CF9AE}" pid="12" name="Folder_Manager">
    <vt:lpwstr/>
  </property>
  <property fmtid="{D5CDD505-2E9C-101B-9397-08002B2CF9AE}" pid="13" name="Folder_ManagerDesc">
    <vt:lpwstr/>
  </property>
  <property fmtid="{D5CDD505-2E9C-101B-9397-08002B2CF9AE}" pid="14" name="Folder_Storage">
    <vt:lpwstr/>
  </property>
  <property fmtid="{D5CDD505-2E9C-101B-9397-08002B2CF9AE}" pid="15" name="Folder_StorageDesc">
    <vt:lpwstr/>
  </property>
  <property fmtid="{D5CDD505-2E9C-101B-9397-08002B2CF9AE}" pid="16" name="Folder_Creator">
    <vt:lpwstr/>
  </property>
  <property fmtid="{D5CDD505-2E9C-101B-9397-08002B2CF9AE}" pid="17" name="Folder_CreatorDesc">
    <vt:lpwstr/>
  </property>
  <property fmtid="{D5CDD505-2E9C-101B-9397-08002B2CF9AE}" pid="18" name="Folder_CreateDate">
    <vt:lpwstr/>
  </property>
  <property fmtid="{D5CDD505-2E9C-101B-9397-08002B2CF9AE}" pid="19" name="Folder_Updater">
    <vt:lpwstr/>
  </property>
  <property fmtid="{D5CDD505-2E9C-101B-9397-08002B2CF9AE}" pid="20" name="Folder_UpdaterDesc">
    <vt:lpwstr/>
  </property>
  <property fmtid="{D5CDD505-2E9C-101B-9397-08002B2CF9AE}" pid="21" name="Folder_UpdateDate">
    <vt:lpwstr/>
  </property>
  <property fmtid="{D5CDD505-2E9C-101B-9397-08002B2CF9AE}" pid="22" name="Document_Number">
    <vt:lpwstr/>
  </property>
  <property fmtid="{D5CDD505-2E9C-101B-9397-08002B2CF9AE}" pid="23" name="Document_Name">
    <vt:lpwstr/>
  </property>
  <property fmtid="{D5CDD505-2E9C-101B-9397-08002B2CF9AE}" pid="24" name="Document_FileName">
    <vt:lpwstr/>
  </property>
  <property fmtid="{D5CDD505-2E9C-101B-9397-08002B2CF9AE}" pid="25" name="Document_Version">
    <vt:lpwstr/>
  </property>
  <property fmtid="{D5CDD505-2E9C-101B-9397-08002B2CF9AE}" pid="26" name="Document_VersionSeq">
    <vt:lpwstr/>
  </property>
  <property fmtid="{D5CDD505-2E9C-101B-9397-08002B2CF9AE}" pid="27" name="Document_Creator">
    <vt:lpwstr/>
  </property>
  <property fmtid="{D5CDD505-2E9C-101B-9397-08002B2CF9AE}" pid="28" name="Document_CreatorDesc">
    <vt:lpwstr/>
  </property>
  <property fmtid="{D5CDD505-2E9C-101B-9397-08002B2CF9AE}" pid="29" name="Document_CreateDate">
    <vt:lpwstr/>
  </property>
  <property fmtid="{D5CDD505-2E9C-101B-9397-08002B2CF9AE}" pid="30" name="Document_Updater">
    <vt:lpwstr/>
  </property>
  <property fmtid="{D5CDD505-2E9C-101B-9397-08002B2CF9AE}" pid="31" name="Document_UpdaterDesc">
    <vt:lpwstr/>
  </property>
  <property fmtid="{D5CDD505-2E9C-101B-9397-08002B2CF9AE}" pid="32" name="Document_UpdateDate">
    <vt:lpwstr/>
  </property>
  <property fmtid="{D5CDD505-2E9C-101B-9397-08002B2CF9AE}" pid="33" name="Document_Size">
    <vt:lpwstr/>
  </property>
  <property fmtid="{D5CDD505-2E9C-101B-9397-08002B2CF9AE}" pid="34" name="Document_Storage">
    <vt:lpwstr/>
  </property>
  <property fmtid="{D5CDD505-2E9C-101B-9397-08002B2CF9AE}" pid="35" name="Document_StorageDesc">
    <vt:lpwstr/>
  </property>
  <property fmtid="{D5CDD505-2E9C-101B-9397-08002B2CF9AE}" pid="36" name="Document_Department">
    <vt:lpwstr/>
  </property>
  <property fmtid="{D5CDD505-2E9C-101B-9397-08002B2CF9AE}" pid="37" name="Document_DepartmentDesc">
    <vt:lpwstr/>
  </property>
</Properties>
</file>