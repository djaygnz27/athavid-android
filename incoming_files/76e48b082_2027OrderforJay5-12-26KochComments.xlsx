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burnsmcd-my.sharepoint.com/personal/ekoch2_burnsmcd_com/Documents/Documents/Clients/PSEG LI/Network Replacement/Equipment/Phase 3 Materials/"/>
    </mc:Choice>
  </mc:AlternateContent>
  <xr:revisionPtr revIDLastSave="16" documentId="8_{B915F793-53AB-4ED2-9877-A26FC3BE5205}" xr6:coauthVersionLast="47" xr6:coauthVersionMax="47" xr10:uidLastSave="{5891C9B9-6C33-4AA5-B59E-D1E31B29A3F8}"/>
  <bookViews>
    <workbookView xWindow="-38520" yWindow="-5595" windowWidth="38640" windowHeight="21120" xr2:uid="{90A666F9-3622-4AC6-A194-6EA38283D79B}"/>
  </bookViews>
  <sheets>
    <sheet name="2027 Equip." sheetId="8" r:id="rId1"/>
  </sheets>
  <definedNames>
    <definedName name="_xlnm._FilterDatabase" localSheetId="0" hidden="1">'2027 Equip.'!$A$1:$H$17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8" l="1"/>
  <c r="G18" i="8"/>
</calcChain>
</file>

<file path=xl/sharedStrings.xml><?xml version="1.0" encoding="utf-8"?>
<sst xmlns="http://schemas.openxmlformats.org/spreadsheetml/2006/main" count="74" uniqueCount="58">
  <si>
    <t>Sales Doc.</t>
  </si>
  <si>
    <t>Item</t>
  </si>
  <si>
    <t>Material</t>
  </si>
  <si>
    <t>Description</t>
  </si>
  <si>
    <t>Order Quantity</t>
  </si>
  <si>
    <t>Net price</t>
  </si>
  <si>
    <t>Net value</t>
  </si>
  <si>
    <t>Tax amount</t>
  </si>
  <si>
    <t>10</t>
  </si>
  <si>
    <t>3HE06791BA</t>
  </si>
  <si>
    <t>SAR-8 SHELF V2/CONFORMAL COATED</t>
  </si>
  <si>
    <t>20</t>
  </si>
  <si>
    <t>3HE02774CB</t>
  </si>
  <si>
    <t>CTL SWITCH MODULE V2  -48/+24 VDC  cc</t>
  </si>
  <si>
    <t>30</t>
  </si>
  <si>
    <t>3HE06792FA</t>
  </si>
  <si>
    <t>FAN/ALARM MODULE SAR-8 V2 -48/+24VDC cc</t>
  </si>
  <si>
    <t>40</t>
  </si>
  <si>
    <t>3HE07943BA</t>
  </si>
  <si>
    <t>6P 2x10GE, 4X1GE 10G CARD CC</t>
  </si>
  <si>
    <t>50</t>
  </si>
  <si>
    <t>3HE03391BC</t>
  </si>
  <si>
    <t>12P SERIAL DATA CARD V3 -48/+24VDC cc</t>
  </si>
  <si>
    <t>60</t>
  </si>
  <si>
    <t>3HE12410AA</t>
  </si>
  <si>
    <t>DCE CABLE for SDI V3</t>
  </si>
  <si>
    <t>70</t>
  </si>
  <si>
    <t>3HE12442AA</t>
  </si>
  <si>
    <t>4 PORT RS232 DIST PANEL,SDIv3 ONLY</t>
  </si>
  <si>
    <t>80</t>
  </si>
  <si>
    <t>3HE03126BA</t>
  </si>
  <si>
    <t>6P E and M CARD cc</t>
  </si>
  <si>
    <t>90</t>
  </si>
  <si>
    <t>3HE02784UA</t>
  </si>
  <si>
    <t>SAR RELEASE 24.x BASIC OS LICENSE</t>
  </si>
  <si>
    <t>100</t>
  </si>
  <si>
    <t>3HE07942BA</t>
  </si>
  <si>
    <t>INTEGRATED SERVICES CARD (ISC) cc</t>
  </si>
  <si>
    <t>110</t>
  </si>
  <si>
    <t>3HE07354AH</t>
  </si>
  <si>
    <t>RTU - MDDB LICENSE (ADDITIONAL NODES)</t>
  </si>
  <si>
    <t>120</t>
  </si>
  <si>
    <t>130</t>
  </si>
  <si>
    <t>140</t>
  </si>
  <si>
    <t>3HE00028CA</t>
  </si>
  <si>
    <t>SFP - GIGE LX - LC ROHS 6/6 DDM -40/85C</t>
  </si>
  <si>
    <t>150</t>
  </si>
  <si>
    <t>3HE16016AA</t>
  </si>
  <si>
    <t>NSP IP CONTROL CLASS 1 NODE</t>
  </si>
  <si>
    <t>3HE00062CB</t>
  </si>
  <si>
    <t>SFP - GIGE BASE-T RJ45 R6/6 DDM -40/85C</t>
  </si>
  <si>
    <t>3HE07161CA</t>
  </si>
  <si>
    <t>SFP+ 10GE CWDM 1471 40km R6/6 DDM 0/70C</t>
  </si>
  <si>
    <t>14937998</t>
  </si>
  <si>
    <t>Balance</t>
  </si>
  <si>
    <t>RMA'd</t>
  </si>
  <si>
    <t>Remove from this order</t>
  </si>
  <si>
    <t>We should add (4) additional optics of the 1491 wavelength option in addition to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</si>
</sst>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18">
    <xf numFmtId="0" fontId="18" fillId="0" borderId="0" xfId="0" applyFont="1"/>
    <xf numFmtId="0" fontId="0" fillId="0" borderId="0" xfId="0"/>
    <xf numFmtId="0" fontId="0" fillId="33" borderId="10" xfId="0" applyFill="1" applyBorder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34" borderId="10" xfId="0" applyFill="1" applyBorder="1"/>
    <xf numFmtId="164" fontId="0" fillId="34" borderId="10" xfId="0" applyNumberFormat="1" applyFill="1" applyBorder="1" applyAlignment="1">
      <alignment horizontal="right"/>
    </xf>
    <xf numFmtId="4" fontId="0" fillId="34" borderId="10" xfId="0" applyNumberFormat="1" applyFill="1" applyBorder="1" applyAlignment="1">
      <alignment horizontal="right"/>
    </xf>
    <xf numFmtId="44" fontId="18" fillId="0" borderId="0" xfId="42" applyFont="1"/>
    <xf numFmtId="0" fontId="0" fillId="35" borderId="0" xfId="0" applyFill="1"/>
    <xf numFmtId="164" fontId="0" fillId="35" borderId="0" xfId="0" applyNumberFormat="1" applyFill="1" applyAlignment="1">
      <alignment horizontal="right"/>
    </xf>
    <xf numFmtId="4" fontId="0" fillId="35" borderId="0" xfId="0" applyNumberFormat="1" applyFill="1" applyAlignment="1">
      <alignment horizontal="right"/>
    </xf>
    <xf numFmtId="0" fontId="7" fillId="3" borderId="0" xfId="7"/>
    <xf numFmtId="164" fontId="7" fillId="3" borderId="0" xfId="7" applyNumberFormat="1" applyAlignment="1">
      <alignment horizontal="right"/>
    </xf>
    <xf numFmtId="4" fontId="7" fillId="3" borderId="0" xfId="7" applyNumberFormat="1" applyAlignment="1">
      <alignment horizontal="right"/>
    </xf>
    <xf numFmtId="0" fontId="6" fillId="2" borderId="0" xfId="6"/>
    <xf numFmtId="164" fontId="6" fillId="2" borderId="0" xfId="6" applyNumberFormat="1" applyAlignment="1">
      <alignment horizontal="right"/>
    </xf>
    <xf numFmtId="4" fontId="6" fillId="2" borderId="0" xfId="6" applyNumberForma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7AC6-D07E-4820-99D5-140B6D477458}">
  <sheetPr codeName="Sheet7"/>
  <dimension ref="A1:J19"/>
  <sheetViews>
    <sheetView tabSelected="1" workbookViewId="0">
      <pane ySplit="1" topLeftCell="A2" activePane="bottomLeft" state="frozen"/>
      <selection pane="bottomLeft" activeCell="N23" sqref="N23"/>
    </sheetView>
  </sheetViews>
  <sheetFormatPr defaultColWidth="10.88671875" defaultRowHeight="13.2" x14ac:dyDescent="0.25"/>
  <cols>
    <col min="1" max="1" width="9.5546875" bestFit="1" customWidth="1"/>
    <col min="2" max="2" width="4.44140625" bestFit="1" customWidth="1"/>
    <col min="3" max="3" width="11.5546875" bestFit="1" customWidth="1"/>
    <col min="4" max="4" width="41.44140625" bestFit="1" customWidth="1"/>
    <col min="5" max="5" width="12.6640625" bestFit="1" customWidth="1"/>
    <col min="6" max="6" width="8" bestFit="1" customWidth="1"/>
    <col min="7" max="7" width="12.109375" bestFit="1" customWidth="1"/>
    <col min="8" max="8" width="10.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 x14ac:dyDescent="0.25">
      <c r="A2" s="1" t="s">
        <v>53</v>
      </c>
      <c r="B2" s="1" t="s">
        <v>8</v>
      </c>
      <c r="C2" s="1" t="s">
        <v>49</v>
      </c>
      <c r="D2" s="1" t="s">
        <v>50</v>
      </c>
      <c r="E2" s="3">
        <v>14</v>
      </c>
      <c r="F2" s="4">
        <v>106.26</v>
      </c>
      <c r="G2" s="4">
        <v>1487.64</v>
      </c>
      <c r="H2" s="4">
        <v>130.16999999999999</v>
      </c>
    </row>
    <row r="3" spans="1:10" x14ac:dyDescent="0.25">
      <c r="A3" s="1" t="s">
        <v>53</v>
      </c>
      <c r="B3" s="1" t="s">
        <v>11</v>
      </c>
      <c r="C3" s="1" t="s">
        <v>44</v>
      </c>
      <c r="D3" s="1" t="s">
        <v>45</v>
      </c>
      <c r="E3" s="3">
        <v>14</v>
      </c>
      <c r="F3" s="4">
        <v>111.44</v>
      </c>
      <c r="G3" s="4">
        <v>1560.16</v>
      </c>
      <c r="H3" s="4">
        <v>136.51</v>
      </c>
    </row>
    <row r="4" spans="1:10" x14ac:dyDescent="0.25">
      <c r="A4" s="1" t="s">
        <v>53</v>
      </c>
      <c r="B4" s="1" t="s">
        <v>14</v>
      </c>
      <c r="C4" s="1" t="s">
        <v>24</v>
      </c>
      <c r="D4" s="1" t="s">
        <v>25</v>
      </c>
      <c r="E4" s="3">
        <v>14</v>
      </c>
      <c r="F4" s="4">
        <v>245</v>
      </c>
      <c r="G4" s="4">
        <v>3430</v>
      </c>
      <c r="H4" s="4">
        <v>300.12</v>
      </c>
    </row>
    <row r="5" spans="1:10" x14ac:dyDescent="0.25">
      <c r="A5" s="1" t="s">
        <v>53</v>
      </c>
      <c r="B5" s="1" t="s">
        <v>17</v>
      </c>
      <c r="C5" s="1" t="s">
        <v>33</v>
      </c>
      <c r="D5" s="1" t="s">
        <v>34</v>
      </c>
      <c r="E5" s="3">
        <v>14</v>
      </c>
      <c r="F5" s="4">
        <v>297.5</v>
      </c>
      <c r="G5" s="4">
        <v>4165</v>
      </c>
      <c r="H5" s="4">
        <v>364.44</v>
      </c>
    </row>
    <row r="6" spans="1:10" x14ac:dyDescent="0.25">
      <c r="A6" s="9" t="s">
        <v>53</v>
      </c>
      <c r="B6" s="9" t="s">
        <v>20</v>
      </c>
      <c r="C6" s="9" t="s">
        <v>47</v>
      </c>
      <c r="D6" s="9" t="s">
        <v>48</v>
      </c>
      <c r="E6" s="10">
        <v>56</v>
      </c>
      <c r="F6" s="11">
        <v>140</v>
      </c>
      <c r="G6" s="11">
        <v>7840</v>
      </c>
      <c r="H6" s="11">
        <v>686</v>
      </c>
      <c r="J6" t="s">
        <v>55</v>
      </c>
    </row>
    <row r="7" spans="1:10" x14ac:dyDescent="0.25">
      <c r="A7" s="1" t="s">
        <v>53</v>
      </c>
      <c r="B7" s="1" t="s">
        <v>23</v>
      </c>
      <c r="C7" s="1" t="s">
        <v>27</v>
      </c>
      <c r="D7" s="1" t="s">
        <v>28</v>
      </c>
      <c r="E7" s="3">
        <v>14</v>
      </c>
      <c r="F7" s="4">
        <v>595</v>
      </c>
      <c r="G7" s="4">
        <v>8330</v>
      </c>
      <c r="H7" s="4">
        <v>728.88</v>
      </c>
    </row>
    <row r="8" spans="1:10" x14ac:dyDescent="0.25">
      <c r="A8" s="1" t="s">
        <v>53</v>
      </c>
      <c r="B8" s="1" t="s">
        <v>26</v>
      </c>
      <c r="C8" s="1" t="s">
        <v>15</v>
      </c>
      <c r="D8" s="1" t="s">
        <v>16</v>
      </c>
      <c r="E8" s="3">
        <v>14</v>
      </c>
      <c r="F8" s="4">
        <v>630</v>
      </c>
      <c r="G8" s="4">
        <v>8820</v>
      </c>
      <c r="H8" s="4">
        <v>771.75</v>
      </c>
    </row>
    <row r="9" spans="1:10" x14ac:dyDescent="0.25">
      <c r="A9" s="1" t="s">
        <v>53</v>
      </c>
      <c r="B9" s="1" t="s">
        <v>29</v>
      </c>
      <c r="C9" s="1" t="s">
        <v>39</v>
      </c>
      <c r="D9" s="1" t="s">
        <v>40</v>
      </c>
      <c r="E9" s="3">
        <v>14</v>
      </c>
      <c r="F9" s="4">
        <v>700</v>
      </c>
      <c r="G9" s="4">
        <v>9800</v>
      </c>
      <c r="H9" s="4">
        <v>857.5</v>
      </c>
    </row>
    <row r="10" spans="1:10" x14ac:dyDescent="0.25">
      <c r="A10" s="1" t="s">
        <v>53</v>
      </c>
      <c r="B10" s="1" t="s">
        <v>32</v>
      </c>
      <c r="C10" s="1" t="s">
        <v>9</v>
      </c>
      <c r="D10" s="1" t="s">
        <v>10</v>
      </c>
      <c r="E10" s="3">
        <v>14</v>
      </c>
      <c r="F10" s="4">
        <v>1050</v>
      </c>
      <c r="G10" s="4">
        <v>14700</v>
      </c>
      <c r="H10" s="4">
        <v>1286.25</v>
      </c>
    </row>
    <row r="11" spans="1:10" ht="14.4" x14ac:dyDescent="0.3">
      <c r="A11" s="12" t="s">
        <v>53</v>
      </c>
      <c r="B11" s="12" t="s">
        <v>35</v>
      </c>
      <c r="C11" s="12" t="s">
        <v>30</v>
      </c>
      <c r="D11" s="12" t="s">
        <v>31</v>
      </c>
      <c r="E11" s="13">
        <v>14</v>
      </c>
      <c r="F11" s="14">
        <v>1662.5</v>
      </c>
      <c r="G11" s="14">
        <v>23275</v>
      </c>
      <c r="H11" s="14">
        <v>2036.56</v>
      </c>
      <c r="J11" t="s">
        <v>56</v>
      </c>
    </row>
    <row r="12" spans="1:10" x14ac:dyDescent="0.25">
      <c r="A12" s="1" t="s">
        <v>53</v>
      </c>
      <c r="B12" s="1" t="s">
        <v>38</v>
      </c>
      <c r="C12" s="1" t="s">
        <v>36</v>
      </c>
      <c r="D12" s="1" t="s">
        <v>37</v>
      </c>
      <c r="E12" s="3">
        <v>14</v>
      </c>
      <c r="F12" s="4">
        <v>2100</v>
      </c>
      <c r="G12" s="4">
        <v>29400</v>
      </c>
      <c r="H12" s="4">
        <v>2572.5</v>
      </c>
    </row>
    <row r="13" spans="1:10" ht="14.4" x14ac:dyDescent="0.3">
      <c r="A13" s="15" t="s">
        <v>53</v>
      </c>
      <c r="B13" s="15" t="s">
        <v>41</v>
      </c>
      <c r="C13" s="15" t="s">
        <v>51</v>
      </c>
      <c r="D13" s="15" t="s">
        <v>52</v>
      </c>
      <c r="E13" s="16">
        <v>28</v>
      </c>
      <c r="F13" s="17">
        <v>1175.51</v>
      </c>
      <c r="G13" s="17">
        <v>32914.28</v>
      </c>
      <c r="H13" s="17">
        <v>2880</v>
      </c>
      <c r="J13" t="s">
        <v>57</v>
      </c>
    </row>
    <row r="14" spans="1:10" x14ac:dyDescent="0.25">
      <c r="A14" s="1" t="s">
        <v>53</v>
      </c>
      <c r="B14" s="1" t="s">
        <v>42</v>
      </c>
      <c r="C14" s="1" t="s">
        <v>12</v>
      </c>
      <c r="D14" s="1" t="s">
        <v>13</v>
      </c>
      <c r="E14" s="3">
        <v>28</v>
      </c>
      <c r="F14" s="4">
        <v>1417.5</v>
      </c>
      <c r="G14" s="4">
        <v>39690</v>
      </c>
      <c r="H14" s="4">
        <v>3472.88</v>
      </c>
    </row>
    <row r="15" spans="1:10" x14ac:dyDescent="0.25">
      <c r="A15" s="1" t="s">
        <v>53</v>
      </c>
      <c r="B15" s="1" t="s">
        <v>43</v>
      </c>
      <c r="C15" s="1" t="s">
        <v>21</v>
      </c>
      <c r="D15" s="1" t="s">
        <v>22</v>
      </c>
      <c r="E15" s="3">
        <v>14</v>
      </c>
      <c r="F15" s="4">
        <v>3780</v>
      </c>
      <c r="G15" s="4">
        <v>52920</v>
      </c>
      <c r="H15" s="4">
        <v>4630.5</v>
      </c>
    </row>
    <row r="16" spans="1:10" x14ac:dyDescent="0.25">
      <c r="A16" s="1" t="s">
        <v>53</v>
      </c>
      <c r="B16" s="1" t="s">
        <v>46</v>
      </c>
      <c r="C16" s="1" t="s">
        <v>18</v>
      </c>
      <c r="D16" s="1" t="s">
        <v>19</v>
      </c>
      <c r="E16" s="3">
        <v>28</v>
      </c>
      <c r="F16" s="4">
        <v>5600</v>
      </c>
      <c r="G16" s="4">
        <v>156800</v>
      </c>
      <c r="H16" s="4">
        <v>13720</v>
      </c>
    </row>
    <row r="17" spans="1:8" x14ac:dyDescent="0.25">
      <c r="A17" s="5"/>
      <c r="B17" s="5"/>
      <c r="C17" s="5"/>
      <c r="D17" s="5"/>
      <c r="E17" s="6"/>
      <c r="F17" s="7"/>
      <c r="G17" s="7">
        <v>395132.08</v>
      </c>
      <c r="H17" s="7"/>
    </row>
    <row r="18" spans="1:8" x14ac:dyDescent="0.25">
      <c r="A18" s="1" t="s">
        <v>55</v>
      </c>
      <c r="D18" s="1" t="s">
        <v>48</v>
      </c>
      <c r="G18" s="8">
        <f>G6</f>
        <v>7840</v>
      </c>
    </row>
    <row r="19" spans="1:8" x14ac:dyDescent="0.25">
      <c r="E19" t="s">
        <v>54</v>
      </c>
      <c r="G19" s="8">
        <f>G17-G18</f>
        <v>387292.08</v>
      </c>
    </row>
  </sheetData>
  <autoFilter ref="A1:H17" xr:uid="{B10B6F5C-EECD-4B3E-8521-C1291B76F4B3}"/>
  <pageMargins left="0.75" right="0.75" top="1" bottom="1" header="0.5" footer="0.5"/>
  <pageSetup paperSize="9" orientation="portrait" verticalDpi="0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Equip.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Basarath (Nokia)</dc:creator>
  <cp:lastModifiedBy>Koch, Ethan</cp:lastModifiedBy>
  <dcterms:created xsi:type="dcterms:W3CDTF">2025-11-04T16:40:42Z</dcterms:created>
  <dcterms:modified xsi:type="dcterms:W3CDTF">2026-05-13T19:03:04Z</dcterms:modified>
</cp:coreProperties>
</file>