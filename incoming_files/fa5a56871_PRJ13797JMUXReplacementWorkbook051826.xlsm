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defaultThemeVersion="166925"/>
  <mc:AlternateContent xmlns:mc="http://schemas.openxmlformats.org/markup-compatibility/2006">
    <mc:Choice Requires="x15">
      <x15ac:absPath xmlns:x15ac="http://schemas.microsoft.com/office/spreadsheetml/2010/11/ac" url="https://pseg-my.sharepoint.us/personal/chad_boyett_pseg_com/Documents/Documents/"/>
    </mc:Choice>
  </mc:AlternateContent>
  <xr:revisionPtr revIDLastSave="0" documentId="14_{532007AF-D179-4869-8054-B0C6ED2ECFF9}" xr6:coauthVersionLast="47" xr6:coauthVersionMax="47" xr10:uidLastSave="{00000000-0000-0000-0000-000000000000}"/>
  <bookViews>
    <workbookView xWindow="-110" yWindow="-110" windowWidth="19420" windowHeight="10300" firstSheet="4" activeTab="4" xr2:uid="{00000000-000D-0000-FFFF-FFFF00000000}"/>
  </bookViews>
  <sheets>
    <sheet name="1. Tool Instructions" sheetId="41" state="hidden" r:id="rId1"/>
    <sheet name="5. Forecast vs. Actuals" sheetId="47" state="hidden" r:id="rId2"/>
    <sheet name="Dashboard" sheetId="69" state="hidden" r:id="rId3"/>
    <sheet name="Budget Breakdown by Year" sheetId="66" state="hidden" r:id="rId4"/>
    <sheet name="Detailed Forecast vs Actuals" sheetId="56" r:id="rId5"/>
    <sheet name="Sheet12" sheetId="92" r:id="rId6"/>
    <sheet name="Monthly Summary_031126" sheetId="83" r:id="rId7"/>
    <sheet name="Sheet6" sheetId="75" state="hidden" r:id="rId8"/>
    <sheet name="Sheet9" sheetId="86" state="hidden" r:id="rId9"/>
    <sheet name="Sheet4" sheetId="73" state="hidden" r:id="rId10"/>
    <sheet name="Sheet5" sheetId="74" state="hidden" r:id="rId11"/>
    <sheet name="Sheet1" sheetId="70" state="hidden" r:id="rId12"/>
    <sheet name="Sheet2" sheetId="71" state="hidden" r:id="rId13"/>
    <sheet name="Sheet3" sheetId="72" state="hidden" r:id="rId14"/>
    <sheet name="Initial Estimates" sheetId="68" state="hidden" r:id="rId15"/>
    <sheet name="Summary Estimation Sheet" sheetId="63" state="hidden" r:id="rId16"/>
    <sheet name="8. Budget &amp; JD Requests" sheetId="51" state="hidden" r:id="rId17"/>
    <sheet name="7. Accruals" sheetId="14" state="hidden" r:id="rId18"/>
    <sheet name="9. Actuals SAP Extract" sheetId="45" r:id="rId19"/>
    <sheet name="Sheet10" sheetId="89" r:id="rId20"/>
    <sheet name="PO invoice summary" sheetId="81" r:id="rId21"/>
    <sheet name="Sheet7" sheetId="87" r:id="rId22"/>
    <sheet name="PO Commitments" sheetId="55" state="hidden" r:id="rId23"/>
  </sheets>
  <externalReferences>
    <externalReference r:id="rId24"/>
    <externalReference r:id="rId25"/>
  </externalReferences>
  <definedNames>
    <definedName name="_2" localSheetId="16">#REF!</definedName>
    <definedName name="_2" localSheetId="18">#REF!</definedName>
    <definedName name="_2">#REF!</definedName>
    <definedName name="_xlnm._FilterDatabase" localSheetId="18" hidden="1">'9. Actuals SAP Extract'!$A$1:$W$2719</definedName>
    <definedName name="_xlnm._FilterDatabase" localSheetId="20" hidden="1">'PO invoice summary'!$A$1:$G$70</definedName>
    <definedName name="_xlnm._FilterDatabase" localSheetId="11" hidden="1">Sheet1!$A$15:$F$85</definedName>
    <definedName name="_xleta.SUM" hidden="1" xlm="1">#NAME?</definedName>
    <definedName name="a" localSheetId="16">#REF!</definedName>
    <definedName name="a" localSheetId="18">#REF!</definedName>
    <definedName name="a">#REF!</definedName>
    <definedName name="All_Act_and_commit_lines" localSheetId="16">#REF!</definedName>
    <definedName name="All_Act_and_commit_lines" localSheetId="18">#REF!</definedName>
    <definedName name="All_Act_and_commit_lines">#REF!</definedName>
    <definedName name="All_Act_Lines" localSheetId="16">#REF!</definedName>
    <definedName name="All_Act_Lines" localSheetId="18">#REF!</definedName>
    <definedName name="All_Act_Lines">#REF!</definedName>
    <definedName name="All_Commit_Lines">#REF!</definedName>
    <definedName name="Money_Type">[1]Rates!$A$14:$A$15</definedName>
    <definedName name="ProjectType">#REF!</definedName>
    <definedName name="Trnas" localSheetId="16">#REF!</definedName>
    <definedName name="Trnas" localSheetId="18">#REF!</definedName>
    <definedName name="Trnas">#REF!</definedName>
    <definedName name="Yes_No">[2]Lists!$G$6:$G$7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P140" i="56" l="1"/>
  <c r="AP141" i="56"/>
  <c r="AP142" i="56"/>
  <c r="AP143" i="56"/>
  <c r="AP144" i="56"/>
  <c r="AP145" i="56"/>
  <c r="AP146" i="56"/>
  <c r="AP147" i="56"/>
  <c r="AP148" i="56"/>
  <c r="AP139" i="56"/>
  <c r="AP94" i="56"/>
  <c r="AP95" i="56"/>
  <c r="AP96" i="56"/>
  <c r="AP97" i="56"/>
  <c r="AP98" i="56"/>
  <c r="AP99" i="56"/>
  <c r="AP100" i="56"/>
  <c r="AP101" i="56"/>
  <c r="AP102" i="56"/>
  <c r="AP103" i="56"/>
  <c r="AP104" i="56"/>
  <c r="AP105" i="56"/>
  <c r="AP106" i="56"/>
  <c r="AP107" i="56"/>
  <c r="AP108" i="56"/>
  <c r="AP109" i="56"/>
  <c r="AP110" i="56"/>
  <c r="AP111" i="56"/>
  <c r="AP112" i="56"/>
  <c r="AP113" i="56"/>
  <c r="AP114" i="56"/>
  <c r="AP115" i="56"/>
  <c r="AP116" i="56"/>
  <c r="AP117" i="56"/>
  <c r="AP118" i="56"/>
  <c r="AP119" i="56"/>
  <c r="AP120" i="56"/>
  <c r="AP121" i="56"/>
  <c r="AP122" i="56"/>
  <c r="AP123" i="56"/>
  <c r="AP124" i="56"/>
  <c r="AP125" i="56"/>
  <c r="AP126" i="56"/>
  <c r="AP127" i="56"/>
  <c r="AP128" i="56"/>
  <c r="AP129" i="56"/>
  <c r="AP130" i="56"/>
  <c r="AP131" i="56"/>
  <c r="AP132" i="56"/>
  <c r="AP133" i="56"/>
  <c r="AP93" i="56"/>
  <c r="BC52" i="56"/>
  <c r="BA52" i="56"/>
  <c r="AY52" i="56"/>
  <c r="AW52" i="56"/>
  <c r="AU52" i="56"/>
  <c r="AS52" i="56"/>
  <c r="AQ52" i="56"/>
  <c r="AO52" i="56"/>
  <c r="AM52" i="56"/>
  <c r="AK52" i="56"/>
  <c r="AI52" i="56"/>
  <c r="AG52" i="56"/>
  <c r="AE52" i="56"/>
  <c r="AC52" i="56"/>
  <c r="AA52" i="56"/>
  <c r="Y52" i="56"/>
  <c r="W52" i="56"/>
  <c r="U52" i="56"/>
  <c r="S52" i="56"/>
  <c r="Q52" i="56"/>
  <c r="O52" i="56"/>
  <c r="M52" i="56"/>
  <c r="K52" i="56"/>
  <c r="I52" i="56"/>
  <c r="G52" i="56"/>
  <c r="BC50" i="56"/>
  <c r="BA50" i="56"/>
  <c r="AY50" i="56"/>
  <c r="AW50" i="56"/>
  <c r="AU50" i="56"/>
  <c r="AS50" i="56"/>
  <c r="AQ50" i="56"/>
  <c r="AP50" i="56"/>
  <c r="AO50" i="56"/>
  <c r="AN50" i="56"/>
  <c r="AM50" i="56"/>
  <c r="AL50" i="56"/>
  <c r="AK50" i="56"/>
  <c r="AJ50" i="56"/>
  <c r="AI50" i="56"/>
  <c r="AH50" i="56"/>
  <c r="AG50" i="56"/>
  <c r="AF50" i="56"/>
  <c r="AE50" i="56"/>
  <c r="AD50" i="56"/>
  <c r="AC50" i="56"/>
  <c r="AB50" i="56"/>
  <c r="AA50" i="56"/>
  <c r="Z50" i="56"/>
  <c r="Y50" i="56"/>
  <c r="X50" i="56"/>
  <c r="W50" i="56"/>
  <c r="V50" i="56"/>
  <c r="U50" i="56"/>
  <c r="S50" i="56"/>
  <c r="R50" i="56"/>
  <c r="Q50" i="56"/>
  <c r="O50" i="56"/>
  <c r="N50" i="56"/>
  <c r="M50" i="56"/>
  <c r="L50" i="56"/>
  <c r="K50" i="56"/>
  <c r="J50" i="56"/>
  <c r="I50" i="56"/>
  <c r="H50" i="56"/>
  <c r="G50" i="56"/>
  <c r="BC55" i="56"/>
  <c r="BA55" i="56"/>
  <c r="AY55" i="56"/>
  <c r="AW55" i="56"/>
  <c r="AU55" i="56"/>
  <c r="AS55" i="56"/>
  <c r="AQ55" i="56"/>
  <c r="AO55" i="56"/>
  <c r="AM55" i="56"/>
  <c r="AK55" i="56"/>
  <c r="AI55" i="56"/>
  <c r="AG55" i="56"/>
  <c r="AE55" i="56"/>
  <c r="AC55" i="56"/>
  <c r="AA55" i="56"/>
  <c r="Y55" i="56"/>
  <c r="W55" i="56"/>
  <c r="U55" i="56"/>
  <c r="S55" i="56"/>
  <c r="Q55" i="56"/>
  <c r="O55" i="56"/>
  <c r="M55" i="56"/>
  <c r="K55" i="56"/>
  <c r="I55" i="56"/>
  <c r="G55" i="56"/>
  <c r="BC53" i="56"/>
  <c r="BA53" i="56"/>
  <c r="AY53" i="56"/>
  <c r="AP53" i="56"/>
  <c r="AN53" i="56"/>
  <c r="AM53" i="56"/>
  <c r="AL53" i="56"/>
  <c r="AJ53" i="56"/>
  <c r="AH53" i="56"/>
  <c r="AG53" i="56"/>
  <c r="AF53" i="56"/>
  <c r="AE53" i="56"/>
  <c r="AD53" i="56"/>
  <c r="AC53" i="56"/>
  <c r="AB53" i="56"/>
  <c r="AA53" i="56"/>
  <c r="Z53" i="56"/>
  <c r="Y53" i="56"/>
  <c r="X53" i="56"/>
  <c r="W53" i="56"/>
  <c r="V53" i="56"/>
  <c r="U53" i="56"/>
  <c r="S53" i="56"/>
  <c r="R53" i="56"/>
  <c r="Q53" i="56"/>
  <c r="O53" i="56"/>
  <c r="N53" i="56"/>
  <c r="M53" i="56"/>
  <c r="L53" i="56"/>
  <c r="K53" i="56"/>
  <c r="J53" i="56"/>
  <c r="I53" i="56"/>
  <c r="H53" i="56"/>
  <c r="G53" i="56"/>
  <c r="AN47" i="56"/>
  <c r="BC49" i="56"/>
  <c r="BA49" i="56"/>
  <c r="AY49" i="56"/>
  <c r="AW49" i="56"/>
  <c r="AU49" i="56"/>
  <c r="AS49" i="56"/>
  <c r="AQ49" i="56"/>
  <c r="AO49" i="56"/>
  <c r="AM49" i="56"/>
  <c r="AK49" i="56"/>
  <c r="AI49" i="56"/>
  <c r="AG49" i="56"/>
  <c r="AE49" i="56"/>
  <c r="AC49" i="56"/>
  <c r="AA49" i="56"/>
  <c r="Y49" i="56"/>
  <c r="W49" i="56"/>
  <c r="U49" i="56"/>
  <c r="S49" i="56"/>
  <c r="Q49" i="56"/>
  <c r="O49" i="56"/>
  <c r="M49" i="56"/>
  <c r="K49" i="56"/>
  <c r="I49" i="56"/>
  <c r="G49" i="56"/>
  <c r="BC47" i="56"/>
  <c r="BA47" i="56"/>
  <c r="AY47" i="56"/>
  <c r="AP47" i="56"/>
  <c r="AM47" i="56"/>
  <c r="AL47" i="56"/>
  <c r="AJ47" i="56"/>
  <c r="AH47" i="56"/>
  <c r="AG47" i="56"/>
  <c r="AF47" i="56"/>
  <c r="AE47" i="56"/>
  <c r="AD47" i="56"/>
  <c r="AC47" i="56"/>
  <c r="AB47" i="56"/>
  <c r="AA47" i="56"/>
  <c r="Z47" i="56"/>
  <c r="Y47" i="56"/>
  <c r="X47" i="56"/>
  <c r="W47" i="56"/>
  <c r="V47" i="56"/>
  <c r="U47" i="56"/>
  <c r="S47" i="56"/>
  <c r="R47" i="56"/>
  <c r="Q47" i="56"/>
  <c r="O47" i="56"/>
  <c r="N47" i="56"/>
  <c r="M47" i="56"/>
  <c r="L47" i="56"/>
  <c r="K47" i="56"/>
  <c r="J47" i="56"/>
  <c r="I47" i="56"/>
  <c r="H47" i="56"/>
  <c r="G47" i="56"/>
  <c r="AP17" i="56"/>
  <c r="AP20" i="56"/>
  <c r="AP23" i="56"/>
  <c r="AP26" i="56"/>
  <c r="AP29" i="56"/>
  <c r="AP32" i="56"/>
  <c r="AP35" i="56"/>
  <c r="AP38" i="56"/>
  <c r="AP41" i="56"/>
  <c r="AP44" i="56"/>
  <c r="AP56" i="56"/>
  <c r="AP59" i="56"/>
  <c r="AP62" i="56"/>
  <c r="AP65" i="56"/>
  <c r="AP68" i="56"/>
  <c r="AP71" i="56"/>
  <c r="AP74" i="56"/>
  <c r="AP77" i="56"/>
  <c r="AP80" i="56"/>
  <c r="AP83" i="56"/>
  <c r="AP86" i="56"/>
  <c r="AP14" i="56"/>
  <c r="V2719" i="45"/>
  <c r="AN128" i="56" l="1"/>
  <c r="AL128" i="56"/>
  <c r="AJ128" i="56"/>
  <c r="AH128" i="56"/>
  <c r="AF128" i="56"/>
  <c r="AD128" i="56"/>
  <c r="Z128" i="56"/>
  <c r="X128" i="56"/>
  <c r="V128" i="56"/>
  <c r="T128" i="56"/>
  <c r="R128" i="56"/>
  <c r="P128" i="56"/>
  <c r="N128" i="56"/>
  <c r="L128" i="56"/>
  <c r="J128" i="56"/>
  <c r="H128" i="56"/>
  <c r="X2619" i="45" l="1"/>
  <c r="X2620" i="45"/>
  <c r="X2621" i="45"/>
  <c r="X2622" i="45"/>
  <c r="X2623" i="45"/>
  <c r="X2624" i="45"/>
  <c r="X2625" i="45"/>
  <c r="X2626" i="45"/>
  <c r="X2627" i="45"/>
  <c r="X2628" i="45"/>
  <c r="X2629" i="45"/>
  <c r="X2630" i="45"/>
  <c r="X2631" i="45"/>
  <c r="X2632" i="45"/>
  <c r="X2633" i="45"/>
  <c r="X2634" i="45"/>
  <c r="X2635" i="45"/>
  <c r="X2636" i="45"/>
  <c r="X2637" i="45"/>
  <c r="X2638" i="45"/>
  <c r="X2639" i="45"/>
  <c r="X2640" i="45"/>
  <c r="X2641" i="45"/>
  <c r="X2642" i="45"/>
  <c r="X2643" i="45"/>
  <c r="X2644" i="45"/>
  <c r="X2645" i="45"/>
  <c r="X2646" i="45"/>
  <c r="X2647" i="45"/>
  <c r="X2648" i="45"/>
  <c r="X2649" i="45"/>
  <c r="X2650" i="45"/>
  <c r="X2651" i="45"/>
  <c r="X2652" i="45"/>
  <c r="X2653" i="45"/>
  <c r="X2654" i="45"/>
  <c r="X2655" i="45"/>
  <c r="X2618" i="45"/>
  <c r="V2681" i="45" l="1"/>
  <c r="AN116" i="56" l="1"/>
  <c r="AN117" i="56"/>
  <c r="AN118" i="56"/>
  <c r="AN120" i="56"/>
  <c r="AN121" i="56"/>
  <c r="AN122" i="56"/>
  <c r="AN123" i="56"/>
  <c r="AN124" i="56"/>
  <c r="AN125" i="56"/>
  <c r="AN126" i="56"/>
  <c r="AN140" i="56"/>
  <c r="AN141" i="56"/>
  <c r="AN142" i="56"/>
  <c r="AN143" i="56"/>
  <c r="AN144" i="56"/>
  <c r="AN145" i="56"/>
  <c r="AN146" i="56"/>
  <c r="AN147" i="56"/>
  <c r="AN148" i="56"/>
  <c r="AN139" i="56"/>
  <c r="BC70" i="56"/>
  <c r="BA70" i="56"/>
  <c r="AY70" i="56"/>
  <c r="AW70" i="56"/>
  <c r="AU70" i="56"/>
  <c r="AS70" i="56"/>
  <c r="AQ70" i="56"/>
  <c r="AO70" i="56"/>
  <c r="AM70" i="56"/>
  <c r="AK70" i="56"/>
  <c r="AI70" i="56"/>
  <c r="AG70" i="56"/>
  <c r="AE70" i="56"/>
  <c r="AC70" i="56"/>
  <c r="AA70" i="56"/>
  <c r="Y70" i="56"/>
  <c r="W70" i="56"/>
  <c r="U70" i="56"/>
  <c r="S70" i="56"/>
  <c r="Q70" i="56"/>
  <c r="O70" i="56"/>
  <c r="M70" i="56"/>
  <c r="K70" i="56"/>
  <c r="I70" i="56"/>
  <c r="G70" i="56"/>
  <c r="BC68" i="56"/>
  <c r="BA68" i="56"/>
  <c r="AY68" i="56"/>
  <c r="AN68" i="56"/>
  <c r="AM68" i="56"/>
  <c r="AL68" i="56"/>
  <c r="AJ68" i="56"/>
  <c r="AH68" i="56"/>
  <c r="AG68" i="56"/>
  <c r="AF68" i="56"/>
  <c r="AE68" i="56"/>
  <c r="AD68" i="56"/>
  <c r="AC68" i="56"/>
  <c r="AB68" i="56"/>
  <c r="AA68" i="56"/>
  <c r="Z68" i="56"/>
  <c r="Y68" i="56"/>
  <c r="X68" i="56"/>
  <c r="W68" i="56"/>
  <c r="V68" i="56"/>
  <c r="U68" i="56"/>
  <c r="S68" i="56"/>
  <c r="R68" i="56"/>
  <c r="Q68" i="56"/>
  <c r="P68" i="56"/>
  <c r="O68" i="56"/>
  <c r="N68" i="56"/>
  <c r="M68" i="56"/>
  <c r="L68" i="56"/>
  <c r="K68" i="56"/>
  <c r="J68" i="56"/>
  <c r="I68" i="56"/>
  <c r="H68" i="56"/>
  <c r="G68" i="56"/>
  <c r="BC67" i="56"/>
  <c r="BA67" i="56"/>
  <c r="AY67" i="56"/>
  <c r="AW67" i="56"/>
  <c r="AU67" i="56"/>
  <c r="AS67" i="56"/>
  <c r="AQ67" i="56"/>
  <c r="AO67" i="56"/>
  <c r="AM67" i="56"/>
  <c r="AK67" i="56"/>
  <c r="AI67" i="56"/>
  <c r="AG67" i="56"/>
  <c r="AE67" i="56"/>
  <c r="AC67" i="56"/>
  <c r="AA67" i="56"/>
  <c r="Y67" i="56"/>
  <c r="W67" i="56"/>
  <c r="U67" i="56"/>
  <c r="S67" i="56"/>
  <c r="Q67" i="56"/>
  <c r="O67" i="56"/>
  <c r="M67" i="56"/>
  <c r="K67" i="56"/>
  <c r="I67" i="56"/>
  <c r="G67" i="56"/>
  <c r="BC65" i="56"/>
  <c r="BA65" i="56"/>
  <c r="AY65" i="56"/>
  <c r="AN65" i="56"/>
  <c r="AM65" i="56"/>
  <c r="AL65" i="56"/>
  <c r="AJ65" i="56"/>
  <c r="AH65" i="56"/>
  <c r="AG65" i="56"/>
  <c r="AF65" i="56"/>
  <c r="AE65" i="56"/>
  <c r="AD65" i="56"/>
  <c r="AC65" i="56"/>
  <c r="AB65" i="56"/>
  <c r="AA65" i="56"/>
  <c r="Z65" i="56"/>
  <c r="Y65" i="56"/>
  <c r="X65" i="56"/>
  <c r="W65" i="56"/>
  <c r="V65" i="56"/>
  <c r="U65" i="56"/>
  <c r="S65" i="56"/>
  <c r="R65" i="56"/>
  <c r="Q65" i="56"/>
  <c r="P65" i="56"/>
  <c r="O65" i="56"/>
  <c r="N65" i="56"/>
  <c r="M65" i="56"/>
  <c r="L65" i="56"/>
  <c r="K65" i="56"/>
  <c r="J65" i="56"/>
  <c r="I65" i="56"/>
  <c r="H65" i="56"/>
  <c r="G65" i="56"/>
  <c r="AN95" i="56"/>
  <c r="AN96" i="56"/>
  <c r="AN97" i="56"/>
  <c r="AN98" i="56"/>
  <c r="AN99" i="56"/>
  <c r="AN100" i="56"/>
  <c r="AN101" i="56"/>
  <c r="AN102" i="56"/>
  <c r="AN103" i="56"/>
  <c r="AN104" i="56"/>
  <c r="AN105" i="56"/>
  <c r="AN106" i="56"/>
  <c r="AN107" i="56"/>
  <c r="AN108" i="56"/>
  <c r="AN109" i="56"/>
  <c r="AN110" i="56"/>
  <c r="AN111" i="56"/>
  <c r="AN112" i="56"/>
  <c r="AN113" i="56"/>
  <c r="AN114" i="56"/>
  <c r="AN115" i="56"/>
  <c r="AN127" i="56"/>
  <c r="AN129" i="56"/>
  <c r="AN130" i="56"/>
  <c r="AN131" i="56"/>
  <c r="AN132" i="56"/>
  <c r="AN133" i="56"/>
  <c r="AN134" i="56"/>
  <c r="AN136" i="56"/>
  <c r="AN93" i="56"/>
  <c r="AN94" i="56"/>
  <c r="AN17" i="56"/>
  <c r="AN20" i="56"/>
  <c r="AN23" i="56"/>
  <c r="AN26" i="56"/>
  <c r="AN29" i="56"/>
  <c r="AN32" i="56"/>
  <c r="AN35" i="56"/>
  <c r="AN38" i="56"/>
  <c r="AN41" i="56"/>
  <c r="AN44" i="56"/>
  <c r="AN56" i="56"/>
  <c r="AN59" i="56"/>
  <c r="AN62" i="56"/>
  <c r="AN71" i="56"/>
  <c r="AN74" i="56"/>
  <c r="AN77" i="56"/>
  <c r="AN80" i="56"/>
  <c r="AN14" i="56"/>
  <c r="BC82" i="56" l="1"/>
  <c r="BA82" i="56"/>
  <c r="AY82" i="56"/>
  <c r="AW82" i="56"/>
  <c r="AU82" i="56"/>
  <c r="AS82" i="56"/>
  <c r="AQ82" i="56"/>
  <c r="AO82" i="56"/>
  <c r="AM82" i="56"/>
  <c r="AK82" i="56"/>
  <c r="AI82" i="56"/>
  <c r="AG82" i="56"/>
  <c r="AE82" i="56"/>
  <c r="AC82" i="56"/>
  <c r="AA82" i="56"/>
  <c r="Y82" i="56"/>
  <c r="W82" i="56"/>
  <c r="U82" i="56"/>
  <c r="S82" i="56"/>
  <c r="Q82" i="56"/>
  <c r="O82" i="56"/>
  <c r="M82" i="56"/>
  <c r="K82" i="56"/>
  <c r="I82" i="56"/>
  <c r="G82" i="56"/>
  <c r="BC80" i="56"/>
  <c r="BA80" i="56"/>
  <c r="AY80" i="56"/>
  <c r="AM80" i="56"/>
  <c r="AL80" i="56"/>
  <c r="AJ80" i="56"/>
  <c r="AH80" i="56"/>
  <c r="AG80" i="56"/>
  <c r="AF80" i="56"/>
  <c r="AE80" i="56"/>
  <c r="AD80" i="56"/>
  <c r="AC80" i="56"/>
  <c r="AB80" i="56"/>
  <c r="AA80" i="56"/>
  <c r="Z80" i="56"/>
  <c r="Y80" i="56"/>
  <c r="X80" i="56"/>
  <c r="W80" i="56"/>
  <c r="V80" i="56"/>
  <c r="U80" i="56"/>
  <c r="S80" i="56"/>
  <c r="R80" i="56"/>
  <c r="Q80" i="56"/>
  <c r="P80" i="56"/>
  <c r="O80" i="56"/>
  <c r="N80" i="56"/>
  <c r="M80" i="56"/>
  <c r="L80" i="56"/>
  <c r="K80" i="56"/>
  <c r="J80" i="56"/>
  <c r="I80" i="56"/>
  <c r="G80" i="56"/>
  <c r="E4" i="87" l="1"/>
  <c r="E5" i="87"/>
  <c r="E6" i="87"/>
  <c r="E3" i="87"/>
  <c r="D7" i="87"/>
  <c r="E7" i="87" s="1"/>
  <c r="G7" i="87" s="1"/>
  <c r="G5" i="87" l="1"/>
  <c r="G6" i="87"/>
  <c r="G4" i="87"/>
  <c r="G3" i="87"/>
  <c r="AL110" i="56"/>
  <c r="AL101" i="56"/>
  <c r="AL140" i="56"/>
  <c r="AL141" i="56"/>
  <c r="AL142" i="56"/>
  <c r="AL143" i="56"/>
  <c r="AL144" i="56"/>
  <c r="AL145" i="56"/>
  <c r="AL146" i="56"/>
  <c r="AL147" i="56"/>
  <c r="AL148" i="56"/>
  <c r="AL149" i="56"/>
  <c r="AL93" i="56"/>
  <c r="AL94" i="56"/>
  <c r="AL95" i="56"/>
  <c r="AL96" i="56"/>
  <c r="AL97" i="56"/>
  <c r="AL98" i="56"/>
  <c r="AL100" i="56"/>
  <c r="AL102" i="56"/>
  <c r="AL103" i="56"/>
  <c r="AL104" i="56"/>
  <c r="AL105" i="56"/>
  <c r="AL106" i="56"/>
  <c r="AL107" i="56"/>
  <c r="AL108" i="56"/>
  <c r="AL109" i="56"/>
  <c r="AL111" i="56"/>
  <c r="AL112" i="56"/>
  <c r="AL113" i="56"/>
  <c r="AL114" i="56"/>
  <c r="AL115" i="56"/>
  <c r="AL116" i="56"/>
  <c r="AL117" i="56"/>
  <c r="AL118" i="56"/>
  <c r="AL120" i="56"/>
  <c r="AL121" i="56"/>
  <c r="AL122" i="56"/>
  <c r="AL123" i="56"/>
  <c r="AL124" i="56"/>
  <c r="AL125" i="56"/>
  <c r="AL126" i="56"/>
  <c r="AL127" i="56"/>
  <c r="AL129" i="56"/>
  <c r="AL130" i="56"/>
  <c r="AL131" i="56"/>
  <c r="AL132" i="56"/>
  <c r="AL133" i="56"/>
  <c r="AL134" i="56"/>
  <c r="AL17" i="56"/>
  <c r="AL20" i="56"/>
  <c r="AL23" i="56"/>
  <c r="AL26" i="56"/>
  <c r="AL29" i="56"/>
  <c r="AL32" i="56"/>
  <c r="AL35" i="56"/>
  <c r="AL38" i="56"/>
  <c r="AL41" i="56"/>
  <c r="AL44" i="56"/>
  <c r="AL56" i="56"/>
  <c r="AL59" i="56"/>
  <c r="AL62" i="56"/>
  <c r="AL71" i="56"/>
  <c r="AL74" i="56"/>
  <c r="AL77" i="56"/>
  <c r="AL83" i="56"/>
  <c r="AL139" i="56"/>
  <c r="AL92" i="56"/>
  <c r="AL14" i="56"/>
  <c r="D3" i="83" l="1"/>
  <c r="D4" i="83"/>
  <c r="E5" i="83"/>
  <c r="AJ114" i="56" l="1"/>
  <c r="AH114" i="56"/>
  <c r="AF114" i="56"/>
  <c r="AD114" i="56"/>
  <c r="AB114" i="56"/>
  <c r="Z114" i="56"/>
  <c r="X114" i="56"/>
  <c r="V114" i="56"/>
  <c r="T114" i="56"/>
  <c r="P114" i="56"/>
  <c r="N114" i="56"/>
  <c r="L114" i="56"/>
  <c r="J114" i="56"/>
  <c r="H114" i="56"/>
  <c r="E3" i="86"/>
  <c r="E4" i="86"/>
  <c r="E5" i="86"/>
  <c r="E2" i="86"/>
  <c r="C6" i="86"/>
  <c r="D6" i="86"/>
  <c r="B6" i="86"/>
  <c r="E6" i="86" l="1"/>
  <c r="BC58" i="56" l="1"/>
  <c r="BA58" i="56"/>
  <c r="AY58" i="56"/>
  <c r="AW58" i="56"/>
  <c r="AU58" i="56"/>
  <c r="AS58" i="56"/>
  <c r="AQ58" i="56"/>
  <c r="AO58" i="56"/>
  <c r="AM58" i="56"/>
  <c r="AK58" i="56"/>
  <c r="AI58" i="56"/>
  <c r="AG58" i="56"/>
  <c r="AE58" i="56"/>
  <c r="AC58" i="56"/>
  <c r="AA58" i="56"/>
  <c r="Y58" i="56"/>
  <c r="W58" i="56"/>
  <c r="U58" i="56"/>
  <c r="S58" i="56"/>
  <c r="Q58" i="56"/>
  <c r="O58" i="56"/>
  <c r="M58" i="56"/>
  <c r="K58" i="56"/>
  <c r="I58" i="56"/>
  <c r="G58" i="56"/>
  <c r="BC56" i="56"/>
  <c r="BA56" i="56"/>
  <c r="AY56" i="56"/>
  <c r="AM56" i="56"/>
  <c r="AJ56" i="56"/>
  <c r="AH56" i="56"/>
  <c r="AG56" i="56"/>
  <c r="AF56" i="56"/>
  <c r="AE56" i="56"/>
  <c r="AD56" i="56"/>
  <c r="AC56" i="56"/>
  <c r="AB56" i="56"/>
  <c r="AA56" i="56"/>
  <c r="Z56" i="56"/>
  <c r="Y56" i="56"/>
  <c r="X56" i="56"/>
  <c r="W56" i="56"/>
  <c r="V56" i="56"/>
  <c r="U56" i="56"/>
  <c r="S56" i="56"/>
  <c r="R56" i="56"/>
  <c r="Q56" i="56"/>
  <c r="O56" i="56"/>
  <c r="N56" i="56"/>
  <c r="M56" i="56"/>
  <c r="L56" i="56"/>
  <c r="K56" i="56"/>
  <c r="J56" i="56"/>
  <c r="I56" i="56"/>
  <c r="H56" i="56"/>
  <c r="G56" i="56"/>
  <c r="AJ17" i="56"/>
  <c r="AJ20" i="56"/>
  <c r="AJ23" i="56"/>
  <c r="AJ26" i="56"/>
  <c r="AJ29" i="56"/>
  <c r="AJ32" i="56"/>
  <c r="AJ35" i="56"/>
  <c r="AJ38" i="56"/>
  <c r="AJ41" i="56"/>
  <c r="AJ44" i="56"/>
  <c r="AJ59" i="56"/>
  <c r="AJ62" i="56"/>
  <c r="AJ71" i="56"/>
  <c r="AJ74" i="56"/>
  <c r="AJ77" i="56"/>
  <c r="AJ83" i="56"/>
  <c r="AJ86" i="56"/>
  <c r="AJ14" i="56"/>
  <c r="AJ93" i="56"/>
  <c r="AJ94" i="56"/>
  <c r="AJ95" i="56"/>
  <c r="AJ96" i="56"/>
  <c r="AJ97" i="56"/>
  <c r="AJ98" i="56"/>
  <c r="AJ100" i="56"/>
  <c r="AJ102" i="56"/>
  <c r="AJ103" i="56"/>
  <c r="AJ104" i="56"/>
  <c r="AJ105" i="56"/>
  <c r="AJ106" i="56"/>
  <c r="AJ107" i="56"/>
  <c r="AJ108" i="56"/>
  <c r="AJ109" i="56"/>
  <c r="AJ111" i="56"/>
  <c r="AJ112" i="56"/>
  <c r="AJ113" i="56"/>
  <c r="AJ115" i="56"/>
  <c r="AJ116" i="56"/>
  <c r="AJ117" i="56"/>
  <c r="AJ118" i="56"/>
  <c r="AJ119" i="56"/>
  <c r="AJ120" i="56"/>
  <c r="AJ121" i="56"/>
  <c r="AJ122" i="56"/>
  <c r="AJ123" i="56"/>
  <c r="AJ124" i="56"/>
  <c r="AJ125" i="56"/>
  <c r="AJ126" i="56"/>
  <c r="AJ127" i="56"/>
  <c r="AJ129" i="56"/>
  <c r="AJ130" i="56"/>
  <c r="AJ131" i="56"/>
  <c r="AJ132" i="56"/>
  <c r="AJ133" i="56"/>
  <c r="AJ134" i="56"/>
  <c r="AJ136" i="56"/>
  <c r="AJ92" i="56"/>
  <c r="AJ140" i="56"/>
  <c r="AJ141" i="56"/>
  <c r="AJ142" i="56"/>
  <c r="AJ143" i="56"/>
  <c r="AJ144" i="56"/>
  <c r="AJ145" i="56"/>
  <c r="AJ146" i="56"/>
  <c r="AJ147" i="56"/>
  <c r="AJ148" i="56"/>
  <c r="AJ149" i="56"/>
  <c r="AJ150" i="56"/>
  <c r="AJ151" i="56"/>
  <c r="AJ152" i="56"/>
  <c r="AJ139" i="56"/>
  <c r="AH142" i="56" l="1"/>
  <c r="AF142" i="56"/>
  <c r="AD142" i="56"/>
  <c r="AB142" i="56"/>
  <c r="Z142" i="56"/>
  <c r="X142" i="56"/>
  <c r="V142" i="56"/>
  <c r="T142" i="56"/>
  <c r="R142" i="56"/>
  <c r="AH119" i="56" l="1"/>
  <c r="F13" i="83" l="1"/>
  <c r="F11" i="83"/>
  <c r="F3" i="83"/>
  <c r="F4" i="83"/>
  <c r="F5" i="83"/>
  <c r="F6" i="83"/>
  <c r="F7" i="83"/>
  <c r="F8" i="83"/>
  <c r="F9" i="83"/>
  <c r="F10" i="83"/>
  <c r="F12" i="83"/>
  <c r="F2" i="83"/>
  <c r="B14" i="83"/>
  <c r="D14" i="83"/>
  <c r="E14" i="83"/>
  <c r="C14" i="83"/>
  <c r="I3" i="83" l="1"/>
  <c r="I4" i="83"/>
  <c r="I5" i="83" s="1"/>
  <c r="I2" i="83"/>
  <c r="F14" i="83"/>
  <c r="AL137" i="56" l="1"/>
  <c r="AN137" i="56"/>
  <c r="AP137" i="56"/>
  <c r="AR137" i="56"/>
  <c r="AT137" i="56"/>
  <c r="AV137" i="56"/>
  <c r="AX137" i="56"/>
  <c r="AZ137" i="56"/>
  <c r="BB137" i="56"/>
  <c r="BD137" i="56"/>
  <c r="AJ137" i="56"/>
  <c r="BC116" i="56"/>
  <c r="BC137" i="56" s="1"/>
  <c r="BA116" i="56"/>
  <c r="AY116" i="56"/>
  <c r="AM116" i="56"/>
  <c r="AM137" i="56" s="1"/>
  <c r="AH139" i="56"/>
  <c r="AH140" i="56"/>
  <c r="AH143" i="56"/>
  <c r="AH144" i="56"/>
  <c r="AH145" i="56"/>
  <c r="AH146" i="56"/>
  <c r="AH147" i="56"/>
  <c r="AH148" i="56"/>
  <c r="AH149" i="56"/>
  <c r="AH150" i="56"/>
  <c r="AH151" i="56"/>
  <c r="AH152" i="56"/>
  <c r="AH17" i="56"/>
  <c r="AH20" i="56"/>
  <c r="AH23" i="56"/>
  <c r="AH26" i="56"/>
  <c r="AH29" i="56"/>
  <c r="AH32" i="56"/>
  <c r="AH35" i="56"/>
  <c r="AH38" i="56"/>
  <c r="AH41" i="56"/>
  <c r="AH44" i="56"/>
  <c r="AH59" i="56"/>
  <c r="AH62" i="56"/>
  <c r="AH71" i="56"/>
  <c r="AH74" i="56"/>
  <c r="AH77" i="56"/>
  <c r="AH83" i="56"/>
  <c r="AH14" i="56"/>
  <c r="AH93" i="56"/>
  <c r="AH94" i="56"/>
  <c r="AH95" i="56"/>
  <c r="AH96" i="56"/>
  <c r="AH97" i="56"/>
  <c r="AH98" i="56"/>
  <c r="AH100" i="56"/>
  <c r="AH102" i="56"/>
  <c r="AH103" i="56"/>
  <c r="AH104" i="56"/>
  <c r="AH105" i="56"/>
  <c r="AH106" i="56"/>
  <c r="AH107" i="56"/>
  <c r="AH108" i="56"/>
  <c r="AH109" i="56"/>
  <c r="AH111" i="56"/>
  <c r="AH112" i="56"/>
  <c r="AH113" i="56"/>
  <c r="AH115" i="56"/>
  <c r="AH116" i="56"/>
  <c r="AH117" i="56"/>
  <c r="AH118" i="56"/>
  <c r="AH120" i="56"/>
  <c r="AH121" i="56"/>
  <c r="AH122" i="56"/>
  <c r="AH123" i="56"/>
  <c r="AH124" i="56"/>
  <c r="AH125" i="56"/>
  <c r="AH126" i="56"/>
  <c r="AH127" i="56"/>
  <c r="AH129" i="56"/>
  <c r="AH130" i="56"/>
  <c r="AH131" i="56"/>
  <c r="AH132" i="56"/>
  <c r="AH133" i="56"/>
  <c r="AH136" i="56"/>
  <c r="AH92" i="56"/>
  <c r="AY59" i="56"/>
  <c r="AW12" i="56"/>
  <c r="AU12" i="56"/>
  <c r="AS12" i="56"/>
  <c r="AQ12" i="56"/>
  <c r="AO12" i="56"/>
  <c r="AK12" i="56"/>
  <c r="AI12" i="56"/>
  <c r="BD153" i="56"/>
  <c r="BC153" i="56"/>
  <c r="BD89" i="56"/>
  <c r="BD90" i="56" s="1"/>
  <c r="BC86" i="56"/>
  <c r="BC85" i="56"/>
  <c r="BC83" i="56"/>
  <c r="BC79" i="56"/>
  <c r="BC77" i="56"/>
  <c r="BC76" i="56"/>
  <c r="BC74" i="56"/>
  <c r="BC73" i="56"/>
  <c r="BC71" i="56"/>
  <c r="BC64" i="56"/>
  <c r="BC62" i="56"/>
  <c r="BC61" i="56"/>
  <c r="BC59" i="56"/>
  <c r="BC46" i="56"/>
  <c r="BC44" i="56"/>
  <c r="BC43" i="56"/>
  <c r="BC41" i="56"/>
  <c r="BC40" i="56"/>
  <c r="BC38" i="56"/>
  <c r="BC37" i="56"/>
  <c r="BC35" i="56"/>
  <c r="BC34" i="56"/>
  <c r="BC32" i="56"/>
  <c r="BC31" i="56"/>
  <c r="BC29" i="56"/>
  <c r="BC28" i="56"/>
  <c r="BC26" i="56"/>
  <c r="BC25" i="56"/>
  <c r="BC23" i="56"/>
  <c r="BC22" i="56"/>
  <c r="BC20" i="56"/>
  <c r="BC19" i="56"/>
  <c r="BC17" i="56"/>
  <c r="BC16" i="56"/>
  <c r="BC14" i="56"/>
  <c r="BB153" i="56"/>
  <c r="BA153" i="56"/>
  <c r="BB89" i="56"/>
  <c r="BB90" i="56" s="1"/>
  <c r="BA86" i="56"/>
  <c r="BA85" i="56"/>
  <c r="BA83" i="56"/>
  <c r="BA79" i="56"/>
  <c r="BA77" i="56"/>
  <c r="BA76" i="56"/>
  <c r="BA74" i="56"/>
  <c r="BA73" i="56"/>
  <c r="BA71" i="56"/>
  <c r="BA64" i="56"/>
  <c r="BA62" i="56"/>
  <c r="BA61" i="56"/>
  <c r="BA59" i="56"/>
  <c r="BA46" i="56"/>
  <c r="BA44" i="56"/>
  <c r="BA43" i="56"/>
  <c r="BA41" i="56"/>
  <c r="BA40" i="56"/>
  <c r="BA38" i="56"/>
  <c r="BA37" i="56"/>
  <c r="BA35" i="56"/>
  <c r="BA34" i="56"/>
  <c r="BA32" i="56"/>
  <c r="BA31" i="56"/>
  <c r="BA29" i="56"/>
  <c r="BA28" i="56"/>
  <c r="BA26" i="56"/>
  <c r="BA25" i="56"/>
  <c r="BA23" i="56"/>
  <c r="BA22" i="56"/>
  <c r="BA20" i="56"/>
  <c r="BA19" i="56"/>
  <c r="BA17" i="56"/>
  <c r="BA16" i="56"/>
  <c r="BA14" i="56"/>
  <c r="AZ153" i="56"/>
  <c r="AY153" i="56"/>
  <c r="AZ89" i="56"/>
  <c r="AZ90" i="56" s="1"/>
  <c r="AY85" i="56"/>
  <c r="AY83" i="56"/>
  <c r="AY79" i="56"/>
  <c r="AY76" i="56"/>
  <c r="AY73" i="56"/>
  <c r="AY71" i="56"/>
  <c r="AY64" i="56"/>
  <c r="AY62" i="56"/>
  <c r="AY61" i="56"/>
  <c r="AY46" i="56"/>
  <c r="AY44" i="56"/>
  <c r="AY43" i="56"/>
  <c r="AY41" i="56"/>
  <c r="AY40" i="56"/>
  <c r="AY38" i="56"/>
  <c r="AY37" i="56"/>
  <c r="AY35" i="56"/>
  <c r="AY34" i="56"/>
  <c r="AY32" i="56"/>
  <c r="AY31" i="56"/>
  <c r="AY29" i="56"/>
  <c r="AY28" i="56"/>
  <c r="AY26" i="56"/>
  <c r="AY25" i="56"/>
  <c r="AY23" i="56"/>
  <c r="AY22" i="56"/>
  <c r="AY20" i="56"/>
  <c r="AY19" i="56"/>
  <c r="AY17" i="56"/>
  <c r="AY16" i="56"/>
  <c r="AY14" i="56"/>
  <c r="AX153" i="56"/>
  <c r="AW153" i="56"/>
  <c r="AX89" i="56"/>
  <c r="AX90" i="56" s="1"/>
  <c r="AW85" i="56"/>
  <c r="AW79" i="56"/>
  <c r="AW76" i="56"/>
  <c r="AW73" i="56"/>
  <c r="AW64" i="56"/>
  <c r="AW61" i="56"/>
  <c r="AW46" i="56"/>
  <c r="AW43" i="56"/>
  <c r="AW40" i="56"/>
  <c r="AW37" i="56"/>
  <c r="AW34" i="56"/>
  <c r="AW31" i="56"/>
  <c r="AW28" i="56"/>
  <c r="AW25" i="56"/>
  <c r="AW22" i="56"/>
  <c r="AW19" i="56"/>
  <c r="AW16" i="56"/>
  <c r="AV153" i="56"/>
  <c r="AU153" i="56"/>
  <c r="AV89" i="56"/>
  <c r="AV90" i="56" s="1"/>
  <c r="AU85" i="56"/>
  <c r="AU79" i="56"/>
  <c r="AU76" i="56"/>
  <c r="AU73" i="56"/>
  <c r="AU64" i="56"/>
  <c r="AU61" i="56"/>
  <c r="AU46" i="56"/>
  <c r="AU43" i="56"/>
  <c r="AU40" i="56"/>
  <c r="AU37" i="56"/>
  <c r="AU34" i="56"/>
  <c r="AU31" i="56"/>
  <c r="AU28" i="56"/>
  <c r="AU25" i="56"/>
  <c r="AU22" i="56"/>
  <c r="AU19" i="56"/>
  <c r="AU16" i="56"/>
  <c r="AT153" i="56"/>
  <c r="AS153" i="56"/>
  <c r="AT89" i="56"/>
  <c r="AT90" i="56" s="1"/>
  <c r="AS85" i="56"/>
  <c r="AS79" i="56"/>
  <c r="AS76" i="56"/>
  <c r="AS73" i="56"/>
  <c r="AS64" i="56"/>
  <c r="AS61" i="56"/>
  <c r="AS46" i="56"/>
  <c r="AS43" i="56"/>
  <c r="AS40" i="56"/>
  <c r="AS37" i="56"/>
  <c r="AS34" i="56"/>
  <c r="AS31" i="56"/>
  <c r="AS28" i="56"/>
  <c r="AS25" i="56"/>
  <c r="AS22" i="56"/>
  <c r="AS19" i="56"/>
  <c r="AS16" i="56"/>
  <c r="AR153" i="56"/>
  <c r="AQ153" i="56"/>
  <c r="AR89" i="56"/>
  <c r="AR90" i="56" s="1"/>
  <c r="AQ79" i="56"/>
  <c r="AQ76" i="56"/>
  <c r="AQ73" i="56"/>
  <c r="AQ64" i="56"/>
  <c r="AQ61" i="56"/>
  <c r="AQ46" i="56"/>
  <c r="AQ43" i="56"/>
  <c r="AQ40" i="56"/>
  <c r="AQ37" i="56"/>
  <c r="AQ34" i="56"/>
  <c r="AQ31" i="56"/>
  <c r="AQ28" i="56"/>
  <c r="AQ25" i="56"/>
  <c r="AQ22" i="56"/>
  <c r="AQ19" i="56"/>
  <c r="AQ16" i="56"/>
  <c r="AP153" i="56"/>
  <c r="AO153" i="56"/>
  <c r="AP89" i="56"/>
  <c r="AP90" i="56" s="1"/>
  <c r="AO79" i="56"/>
  <c r="AO76" i="56"/>
  <c r="AO73" i="56"/>
  <c r="AO64" i="56"/>
  <c r="AO61" i="56"/>
  <c r="AO46" i="56"/>
  <c r="AO43" i="56"/>
  <c r="AO40" i="56"/>
  <c r="AO37" i="56"/>
  <c r="AO34" i="56"/>
  <c r="AO31" i="56"/>
  <c r="AO28" i="56"/>
  <c r="AO25" i="56"/>
  <c r="AO22" i="56"/>
  <c r="AO19" i="56"/>
  <c r="AO16" i="56"/>
  <c r="AN153" i="56"/>
  <c r="AM153" i="56"/>
  <c r="AN89" i="56"/>
  <c r="AN90" i="56" s="1"/>
  <c r="AM86" i="56"/>
  <c r="AM83" i="56"/>
  <c r="AM79" i="56"/>
  <c r="AM77" i="56"/>
  <c r="AM76" i="56"/>
  <c r="AM74" i="56"/>
  <c r="AM73" i="56"/>
  <c r="AM71" i="56"/>
  <c r="AM64" i="56"/>
  <c r="AM62" i="56"/>
  <c r="AM61" i="56"/>
  <c r="AM59" i="56"/>
  <c r="AM46" i="56"/>
  <c r="AM44" i="56"/>
  <c r="AM43" i="56"/>
  <c r="AM41" i="56"/>
  <c r="AM40" i="56"/>
  <c r="AM38" i="56"/>
  <c r="AM37" i="56"/>
  <c r="AM35" i="56"/>
  <c r="AM34" i="56"/>
  <c r="AM32" i="56"/>
  <c r="AM31" i="56"/>
  <c r="AM29" i="56"/>
  <c r="AM28" i="56"/>
  <c r="AM26" i="56"/>
  <c r="AM25" i="56"/>
  <c r="AM23" i="56"/>
  <c r="AM22" i="56"/>
  <c r="AM20" i="56"/>
  <c r="AM19" i="56"/>
  <c r="AM17" i="56"/>
  <c r="AM16" i="56"/>
  <c r="AM14" i="56"/>
  <c r="AL153" i="56"/>
  <c r="AK153" i="56"/>
  <c r="AL89" i="56"/>
  <c r="AL90" i="56" s="1"/>
  <c r="AK85" i="56"/>
  <c r="AK79" i="56"/>
  <c r="AK76" i="56"/>
  <c r="AK73" i="56"/>
  <c r="AK64" i="56"/>
  <c r="AK61" i="56"/>
  <c r="AK46" i="56"/>
  <c r="AK43" i="56"/>
  <c r="AK40" i="56"/>
  <c r="AK37" i="56"/>
  <c r="AK34" i="56"/>
  <c r="AK31" i="56"/>
  <c r="AK28" i="56"/>
  <c r="AK25" i="56"/>
  <c r="AK22" i="56"/>
  <c r="AK19" i="56"/>
  <c r="AK16" i="56"/>
  <c r="AJ153" i="56"/>
  <c r="AI153" i="56"/>
  <c r="AJ89" i="56"/>
  <c r="AJ90" i="56" s="1"/>
  <c r="AI85" i="56"/>
  <c r="AI79" i="56"/>
  <c r="AI76" i="56"/>
  <c r="AI73" i="56"/>
  <c r="AI64" i="56"/>
  <c r="AI61" i="56"/>
  <c r="AI46" i="56"/>
  <c r="AI43" i="56"/>
  <c r="AI40" i="56"/>
  <c r="AI37" i="56"/>
  <c r="AI34" i="56"/>
  <c r="AI31" i="56"/>
  <c r="AI28" i="56"/>
  <c r="AI25" i="56"/>
  <c r="AI22" i="56"/>
  <c r="AI19" i="56"/>
  <c r="AI16" i="56"/>
  <c r="AQ47" i="56" l="1"/>
  <c r="AQ53" i="56"/>
  <c r="AS47" i="56"/>
  <c r="AS53" i="56"/>
  <c r="AI47" i="56"/>
  <c r="AI53" i="56"/>
  <c r="AK53" i="56"/>
  <c r="AK47" i="56"/>
  <c r="AO53" i="56"/>
  <c r="AO47" i="56"/>
  <c r="AU47" i="56"/>
  <c r="AU53" i="56"/>
  <c r="AW53" i="56"/>
  <c r="AW47" i="56"/>
  <c r="AQ89" i="56"/>
  <c r="AQ90" i="56" s="1"/>
  <c r="AS89" i="56"/>
  <c r="AS90" i="56" s="1"/>
  <c r="AO89" i="56"/>
  <c r="AO80" i="56"/>
  <c r="AO68" i="56"/>
  <c r="AO65" i="56"/>
  <c r="AK80" i="56"/>
  <c r="AK65" i="56"/>
  <c r="AK68" i="56"/>
  <c r="AQ80" i="56"/>
  <c r="AQ68" i="56"/>
  <c r="AQ65" i="56"/>
  <c r="AW80" i="56"/>
  <c r="AW65" i="56"/>
  <c r="AW68" i="56"/>
  <c r="AU80" i="56"/>
  <c r="AU68" i="56"/>
  <c r="AU65" i="56"/>
  <c r="AS80" i="56"/>
  <c r="AS68" i="56"/>
  <c r="AS65" i="56"/>
  <c r="AI80" i="56"/>
  <c r="AI68" i="56"/>
  <c r="AI65" i="56"/>
  <c r="AW86" i="56"/>
  <c r="AW56" i="56"/>
  <c r="AQ77" i="56"/>
  <c r="AQ56" i="56"/>
  <c r="AS116" i="56"/>
  <c r="AS137" i="56" s="1"/>
  <c r="AS56" i="56"/>
  <c r="AU74" i="56"/>
  <c r="AU56" i="56"/>
  <c r="AO83" i="56"/>
  <c r="AO56" i="56"/>
  <c r="AI116" i="56"/>
  <c r="AI137" i="56" s="1"/>
  <c r="AI56" i="56"/>
  <c r="AK116" i="56"/>
  <c r="AK137" i="56" s="1"/>
  <c r="AK56" i="56"/>
  <c r="AW20" i="56"/>
  <c r="AO86" i="56"/>
  <c r="AI89" i="56"/>
  <c r="AI90" i="56" s="1"/>
  <c r="AW35" i="56"/>
  <c r="AW74" i="56"/>
  <c r="AS35" i="56"/>
  <c r="AO26" i="56"/>
  <c r="AO38" i="56"/>
  <c r="AK20" i="56"/>
  <c r="AO62" i="56"/>
  <c r="AO14" i="56"/>
  <c r="AW44" i="56"/>
  <c r="AW32" i="56"/>
  <c r="AW77" i="56"/>
  <c r="AU29" i="56"/>
  <c r="AS77" i="56"/>
  <c r="AK71" i="56"/>
  <c r="AW23" i="56"/>
  <c r="AW59" i="56"/>
  <c r="AI44" i="56"/>
  <c r="AK44" i="56"/>
  <c r="AK74" i="56"/>
  <c r="AK29" i="56"/>
  <c r="AS23" i="56"/>
  <c r="AT156" i="56"/>
  <c r="AK41" i="56"/>
  <c r="AI32" i="56"/>
  <c r="AI74" i="56"/>
  <c r="AI20" i="56"/>
  <c r="AK17" i="56"/>
  <c r="AK32" i="56"/>
  <c r="AK86" i="56"/>
  <c r="AS59" i="56"/>
  <c r="AU59" i="56"/>
  <c r="BA89" i="56"/>
  <c r="BA90" i="56" s="1"/>
  <c r="AM89" i="56"/>
  <c r="AM90" i="56" s="1"/>
  <c r="AM156" i="56" s="1"/>
  <c r="AO17" i="56"/>
  <c r="AO29" i="56"/>
  <c r="AO41" i="56"/>
  <c r="AO71" i="56"/>
  <c r="AS14" i="56"/>
  <c r="AS26" i="56"/>
  <c r="AS38" i="56"/>
  <c r="AS62" i="56"/>
  <c r="AS83" i="56"/>
  <c r="AO77" i="56"/>
  <c r="AQ14" i="56"/>
  <c r="AS17" i="56"/>
  <c r="AS29" i="56"/>
  <c r="AS41" i="56"/>
  <c r="AS71" i="56"/>
  <c r="AS86" i="56"/>
  <c r="AU77" i="56"/>
  <c r="AW14" i="56"/>
  <c r="AW26" i="56"/>
  <c r="AW38" i="56"/>
  <c r="AW62" i="56"/>
  <c r="AW83" i="56"/>
  <c r="AO23" i="56"/>
  <c r="AO35" i="56"/>
  <c r="AO59" i="56"/>
  <c r="AU89" i="56"/>
  <c r="AU90" i="56" s="1"/>
  <c r="AO20" i="56"/>
  <c r="AO32" i="56"/>
  <c r="AO44" i="56"/>
  <c r="AU17" i="56"/>
  <c r="AS20" i="56"/>
  <c r="AS32" i="56"/>
  <c r="AS44" i="56"/>
  <c r="AS74" i="56"/>
  <c r="AW17" i="56"/>
  <c r="AW29" i="56"/>
  <c r="AW41" i="56"/>
  <c r="AW71" i="56"/>
  <c r="AY89" i="56"/>
  <c r="AY90" i="56" s="1"/>
  <c r="AH137" i="56"/>
  <c r="AI35" i="56"/>
  <c r="AI38" i="56"/>
  <c r="AI83" i="56"/>
  <c r="AL156" i="56"/>
  <c r="AO90" i="56"/>
  <c r="AU35" i="56"/>
  <c r="AU71" i="56"/>
  <c r="BB156" i="56"/>
  <c r="AO137" i="56"/>
  <c r="AW89" i="56"/>
  <c r="AW90" i="56" s="1"/>
  <c r="BC89" i="56"/>
  <c r="BC90" i="56" s="1"/>
  <c r="BC156" i="56" s="1"/>
  <c r="AI26" i="56"/>
  <c r="AK23" i="56"/>
  <c r="AI86" i="56"/>
  <c r="AK83" i="56"/>
  <c r="AQ116" i="56"/>
  <c r="AQ137" i="56" s="1"/>
  <c r="AR156" i="56"/>
  <c r="AI23" i="56"/>
  <c r="AI59" i="56"/>
  <c r="AI77" i="56"/>
  <c r="AI14" i="56"/>
  <c r="AI62" i="56"/>
  <c r="AK35" i="56"/>
  <c r="AK59" i="56"/>
  <c r="AK77" i="56"/>
  <c r="AZ156" i="56"/>
  <c r="AI17" i="56"/>
  <c r="AI29" i="56"/>
  <c r="AI41" i="56"/>
  <c r="AI71" i="56"/>
  <c r="AK14" i="56"/>
  <c r="AK26" i="56"/>
  <c r="AK38" i="56"/>
  <c r="AK62" i="56"/>
  <c r="AP156" i="56"/>
  <c r="AQ26" i="56"/>
  <c r="AK89" i="56"/>
  <c r="AK90" i="56" s="1"/>
  <c r="AQ62" i="56"/>
  <c r="AU23" i="56"/>
  <c r="AV156" i="56"/>
  <c r="AX156" i="56"/>
  <c r="AU116" i="56"/>
  <c r="AU137" i="56" s="1"/>
  <c r="AW116" i="56"/>
  <c r="AW137" i="56" s="1"/>
  <c r="AU86" i="56"/>
  <c r="AN156" i="56"/>
  <c r="AJ156" i="56"/>
  <c r="BA137" i="56"/>
  <c r="AY86" i="56"/>
  <c r="AY74" i="56"/>
  <c r="AY77" i="56"/>
  <c r="AY137" i="56"/>
  <c r="AU14" i="56"/>
  <c r="AU26" i="56"/>
  <c r="AU38" i="56"/>
  <c r="AU62" i="56"/>
  <c r="AU83" i="56"/>
  <c r="AU41" i="56"/>
  <c r="AU20" i="56"/>
  <c r="AU32" i="56"/>
  <c r="AU44" i="56"/>
  <c r="AQ17" i="56"/>
  <c r="AQ29" i="56"/>
  <c r="AQ41" i="56"/>
  <c r="AQ71" i="56"/>
  <c r="AQ86" i="56"/>
  <c r="AQ38" i="56"/>
  <c r="AQ83" i="56"/>
  <c r="AQ20" i="56"/>
  <c r="AQ32" i="56"/>
  <c r="AQ44" i="56"/>
  <c r="AQ74" i="56"/>
  <c r="AQ23" i="56"/>
  <c r="AQ35" i="56"/>
  <c r="AQ59" i="56"/>
  <c r="AO74" i="56"/>
  <c r="BD156" i="56"/>
  <c r="B3" i="56"/>
  <c r="B2" i="56"/>
  <c r="AQ156" i="56" l="1"/>
  <c r="AK156" i="56"/>
  <c r="BA156" i="56"/>
  <c r="AI156" i="56"/>
  <c r="AS156" i="56"/>
  <c r="AO156" i="56"/>
  <c r="AW156" i="56"/>
  <c r="AY156" i="56"/>
  <c r="AU156" i="56"/>
  <c r="E119" i="56"/>
  <c r="E5" i="56" l="1"/>
  <c r="AF132" i="56"/>
  <c r="AD132" i="56"/>
  <c r="Z132" i="56"/>
  <c r="X132" i="56"/>
  <c r="V132" i="56"/>
  <c r="T132" i="56"/>
  <c r="R132" i="56"/>
  <c r="P132" i="56"/>
  <c r="N132" i="56"/>
  <c r="L132" i="56"/>
  <c r="J132" i="56"/>
  <c r="H132" i="56"/>
  <c r="AF17" i="56"/>
  <c r="AG16" i="56"/>
  <c r="AE16" i="56"/>
  <c r="AC16" i="56"/>
  <c r="AA16" i="56"/>
  <c r="Y16" i="56"/>
  <c r="W16" i="56"/>
  <c r="U16" i="56"/>
  <c r="S16" i="56"/>
  <c r="Q16" i="56"/>
  <c r="O16" i="56"/>
  <c r="M16" i="56"/>
  <c r="K16" i="56"/>
  <c r="I16" i="56"/>
  <c r="G16" i="56"/>
  <c r="AG14" i="56"/>
  <c r="AF14" i="56"/>
  <c r="AE14" i="56"/>
  <c r="AD14" i="56"/>
  <c r="AC14" i="56"/>
  <c r="AB14" i="56"/>
  <c r="AA14" i="56"/>
  <c r="Z14" i="56"/>
  <c r="Y14" i="56"/>
  <c r="X14" i="56"/>
  <c r="W14" i="56"/>
  <c r="V14" i="56"/>
  <c r="U14" i="56"/>
  <c r="T14" i="56"/>
  <c r="S14" i="56"/>
  <c r="R14" i="56"/>
  <c r="Q14" i="56"/>
  <c r="O14" i="56"/>
  <c r="N14" i="56"/>
  <c r="M14" i="56"/>
  <c r="L14" i="56"/>
  <c r="K14" i="56"/>
  <c r="J14" i="56"/>
  <c r="I14" i="56"/>
  <c r="H14" i="56"/>
  <c r="G14" i="56"/>
  <c r="AG79" i="56"/>
  <c r="AE79" i="56"/>
  <c r="AC79" i="56"/>
  <c r="AA79" i="56"/>
  <c r="Y79" i="56"/>
  <c r="W79" i="56"/>
  <c r="U79" i="56"/>
  <c r="S79" i="56"/>
  <c r="Q79" i="56"/>
  <c r="O79" i="56"/>
  <c r="M79" i="56"/>
  <c r="K79" i="56"/>
  <c r="I79" i="56"/>
  <c r="G79" i="56"/>
  <c r="AG77" i="56"/>
  <c r="AF77" i="56"/>
  <c r="AE77" i="56"/>
  <c r="AD77" i="56"/>
  <c r="AC77" i="56"/>
  <c r="AB77" i="56"/>
  <c r="AA77" i="56"/>
  <c r="Z77" i="56"/>
  <c r="Y77" i="56"/>
  <c r="X77" i="56"/>
  <c r="W77" i="56"/>
  <c r="V77" i="56"/>
  <c r="U77" i="56"/>
  <c r="S77" i="56"/>
  <c r="R77" i="56"/>
  <c r="Q77" i="56"/>
  <c r="P77" i="56"/>
  <c r="O77" i="56"/>
  <c r="N77" i="56"/>
  <c r="M77" i="56"/>
  <c r="L77" i="56"/>
  <c r="K77" i="56"/>
  <c r="J77" i="56"/>
  <c r="I77" i="56"/>
  <c r="G77" i="56"/>
  <c r="AG22" i="56"/>
  <c r="AE22" i="56"/>
  <c r="AC22" i="56"/>
  <c r="AA22" i="56"/>
  <c r="Y22" i="56"/>
  <c r="W22" i="56"/>
  <c r="U22" i="56"/>
  <c r="S22" i="56"/>
  <c r="Q22" i="56"/>
  <c r="O22" i="56"/>
  <c r="M22" i="56"/>
  <c r="K22" i="56"/>
  <c r="I22" i="56"/>
  <c r="G22" i="56"/>
  <c r="AG20" i="56"/>
  <c r="AF20" i="56"/>
  <c r="AE20" i="56"/>
  <c r="AD20" i="56"/>
  <c r="AC20" i="56"/>
  <c r="AB20" i="56"/>
  <c r="AA20" i="56"/>
  <c r="Z20" i="56"/>
  <c r="Y20" i="56"/>
  <c r="X20" i="56"/>
  <c r="W20" i="56"/>
  <c r="V20" i="56"/>
  <c r="U20" i="56"/>
  <c r="T20" i="56"/>
  <c r="S20" i="56"/>
  <c r="R20" i="56"/>
  <c r="Q20" i="56"/>
  <c r="O20" i="56"/>
  <c r="N20" i="56"/>
  <c r="M20" i="56"/>
  <c r="L20" i="56"/>
  <c r="K20" i="56"/>
  <c r="J20" i="56"/>
  <c r="I20" i="56"/>
  <c r="H20" i="56"/>
  <c r="G20" i="56"/>
  <c r="AG64" i="56"/>
  <c r="AE64" i="56"/>
  <c r="AC64" i="56"/>
  <c r="AA64" i="56"/>
  <c r="Y64" i="56"/>
  <c r="W64" i="56"/>
  <c r="U64" i="56"/>
  <c r="S64" i="56"/>
  <c r="Q64" i="56"/>
  <c r="O64" i="56"/>
  <c r="M64" i="56"/>
  <c r="K64" i="56"/>
  <c r="I64" i="56"/>
  <c r="G64" i="56"/>
  <c r="AG62" i="56"/>
  <c r="AF62" i="56"/>
  <c r="AE62" i="56"/>
  <c r="AD62" i="56"/>
  <c r="AC62" i="56"/>
  <c r="AB62" i="56"/>
  <c r="AA62" i="56"/>
  <c r="Z62" i="56"/>
  <c r="Y62" i="56"/>
  <c r="X62" i="56"/>
  <c r="W62" i="56"/>
  <c r="V62" i="56"/>
  <c r="U62" i="56"/>
  <c r="S62" i="56"/>
  <c r="R62" i="56"/>
  <c r="Q62" i="56"/>
  <c r="P62" i="56"/>
  <c r="O62" i="56"/>
  <c r="N62" i="56"/>
  <c r="M62" i="56"/>
  <c r="L62" i="56"/>
  <c r="K62" i="56"/>
  <c r="J62" i="56"/>
  <c r="I62" i="56"/>
  <c r="H62" i="56"/>
  <c r="G62" i="56"/>
  <c r="AG73" i="56"/>
  <c r="AE73" i="56"/>
  <c r="AC73" i="56"/>
  <c r="AA73" i="56"/>
  <c r="Y73" i="56"/>
  <c r="W73" i="56"/>
  <c r="U73" i="56"/>
  <c r="S73" i="56"/>
  <c r="Q73" i="56"/>
  <c r="O73" i="56"/>
  <c r="M73" i="56"/>
  <c r="K73" i="56"/>
  <c r="I73" i="56"/>
  <c r="G73" i="56"/>
  <c r="AG71" i="56"/>
  <c r="AF71" i="56"/>
  <c r="AE71" i="56"/>
  <c r="AD71" i="56"/>
  <c r="AC71" i="56"/>
  <c r="AB71" i="56"/>
  <c r="AA71" i="56"/>
  <c r="Z71" i="56"/>
  <c r="Y71" i="56"/>
  <c r="X71" i="56"/>
  <c r="W71" i="56"/>
  <c r="V71" i="56"/>
  <c r="U71" i="56"/>
  <c r="S71" i="56"/>
  <c r="R71" i="56"/>
  <c r="Q71" i="56"/>
  <c r="P71" i="56"/>
  <c r="O71" i="56"/>
  <c r="N71" i="56"/>
  <c r="M71" i="56"/>
  <c r="L71" i="56"/>
  <c r="K71" i="56"/>
  <c r="J71" i="56"/>
  <c r="I71" i="56"/>
  <c r="H71" i="56"/>
  <c r="G71" i="56"/>
  <c r="AF139" i="56" l="1"/>
  <c r="AF140" i="56"/>
  <c r="AF143" i="56"/>
  <c r="AF144" i="56"/>
  <c r="AF145" i="56"/>
  <c r="AF146" i="56"/>
  <c r="AF147" i="56"/>
  <c r="AF148" i="56"/>
  <c r="AG19" i="56"/>
  <c r="AE19" i="56"/>
  <c r="AC19" i="56"/>
  <c r="AA19" i="56"/>
  <c r="Y19" i="56"/>
  <c r="W19" i="56"/>
  <c r="U19" i="56"/>
  <c r="S19" i="56"/>
  <c r="Q19" i="56"/>
  <c r="O19" i="56"/>
  <c r="M19" i="56"/>
  <c r="K19" i="56"/>
  <c r="I19" i="56"/>
  <c r="G19" i="56"/>
  <c r="AG17" i="56"/>
  <c r="AE17" i="56"/>
  <c r="AD17" i="56"/>
  <c r="AC17" i="56"/>
  <c r="AB17" i="56"/>
  <c r="AA17" i="56"/>
  <c r="Z17" i="56"/>
  <c r="Y17" i="56"/>
  <c r="X17" i="56"/>
  <c r="W17" i="56"/>
  <c r="V17" i="56"/>
  <c r="U17" i="56"/>
  <c r="T17" i="56"/>
  <c r="S17" i="56"/>
  <c r="R17" i="56"/>
  <c r="Q17" i="56"/>
  <c r="O17" i="56"/>
  <c r="N17" i="56"/>
  <c r="M17" i="56"/>
  <c r="L17" i="56"/>
  <c r="K17" i="56"/>
  <c r="J17" i="56"/>
  <c r="I17" i="56"/>
  <c r="H17" i="56"/>
  <c r="G17" i="56"/>
  <c r="AF93" i="56"/>
  <c r="AF94" i="56"/>
  <c r="AF95" i="56"/>
  <c r="AF96" i="56"/>
  <c r="AF97" i="56"/>
  <c r="AF98" i="56"/>
  <c r="AF100" i="56"/>
  <c r="AF102" i="56"/>
  <c r="AF103" i="56"/>
  <c r="AF104" i="56"/>
  <c r="AF105" i="56"/>
  <c r="AF106" i="56"/>
  <c r="AF107" i="56"/>
  <c r="AF108" i="56"/>
  <c r="AF109" i="56"/>
  <c r="AF111" i="56"/>
  <c r="AF112" i="56"/>
  <c r="AF113" i="56"/>
  <c r="AF115" i="56"/>
  <c r="AF116" i="56"/>
  <c r="AF117" i="56"/>
  <c r="AF118" i="56"/>
  <c r="AF120" i="56"/>
  <c r="AF121" i="56"/>
  <c r="AF122" i="56"/>
  <c r="AF123" i="56"/>
  <c r="AF124" i="56"/>
  <c r="AF125" i="56"/>
  <c r="AF126" i="56"/>
  <c r="AF127" i="56"/>
  <c r="AF129" i="56"/>
  <c r="AF130" i="56"/>
  <c r="AF131" i="56"/>
  <c r="AF133" i="56"/>
  <c r="AF26" i="56"/>
  <c r="AF29" i="56"/>
  <c r="AF32" i="56"/>
  <c r="AF35" i="56"/>
  <c r="AF38" i="56"/>
  <c r="AF41" i="56"/>
  <c r="AF44" i="56"/>
  <c r="AF59" i="56"/>
  <c r="AF74" i="56"/>
  <c r="AF83" i="56"/>
  <c r="AF92" i="56"/>
  <c r="AF23" i="56"/>
  <c r="AH153" i="56"/>
  <c r="AG153" i="56"/>
  <c r="AG116" i="56"/>
  <c r="AG93" i="56"/>
  <c r="AH89" i="56"/>
  <c r="AH90" i="56" s="1"/>
  <c r="AG88" i="56"/>
  <c r="AG86" i="56"/>
  <c r="AG85" i="56"/>
  <c r="AG83" i="56"/>
  <c r="AG76" i="56"/>
  <c r="AG74" i="56"/>
  <c r="AG61" i="56"/>
  <c r="AG59" i="56"/>
  <c r="AG46" i="56"/>
  <c r="AG44" i="56"/>
  <c r="AG43" i="56"/>
  <c r="AG41" i="56"/>
  <c r="AG40" i="56"/>
  <c r="AG38" i="56"/>
  <c r="AG37" i="56"/>
  <c r="AG35" i="56"/>
  <c r="AG34" i="56"/>
  <c r="AG32" i="56"/>
  <c r="AG31" i="56"/>
  <c r="AG29" i="56"/>
  <c r="AG28" i="56"/>
  <c r="AG26" i="56"/>
  <c r="AG25" i="56"/>
  <c r="AG23" i="56"/>
  <c r="AH156" i="56" l="1"/>
  <c r="AF89" i="56"/>
  <c r="AG89" i="56"/>
  <c r="AG137" i="56"/>
  <c r="AG156" i="56" s="1"/>
  <c r="C8" i="56"/>
  <c r="B5" i="56" l="1"/>
  <c r="B8" i="56" s="1"/>
  <c r="E8" i="56"/>
  <c r="AD121" i="56"/>
  <c r="AD122" i="56"/>
  <c r="AD123" i="56"/>
  <c r="AD124" i="56"/>
  <c r="AD125" i="56"/>
  <c r="AD126" i="56"/>
  <c r="AD127" i="56"/>
  <c r="AD129" i="56"/>
  <c r="AD130" i="56"/>
  <c r="AD131" i="56"/>
  <c r="B14" i="75" l="1"/>
  <c r="B15" i="75" s="1"/>
  <c r="AD139" i="56" l="1"/>
  <c r="AD140" i="56"/>
  <c r="AD143" i="56"/>
  <c r="AD144" i="56"/>
  <c r="AD145" i="56"/>
  <c r="AD98" i="56"/>
  <c r="AD100" i="56"/>
  <c r="AD102" i="56"/>
  <c r="AD103" i="56"/>
  <c r="AD104" i="56"/>
  <c r="AD105" i="56"/>
  <c r="AD106" i="56"/>
  <c r="AD107" i="56"/>
  <c r="AD108" i="56"/>
  <c r="AD109" i="56"/>
  <c r="AD111" i="56"/>
  <c r="AD112" i="56"/>
  <c r="AD113" i="56"/>
  <c r="AD115" i="56"/>
  <c r="AD116" i="56"/>
  <c r="AD117" i="56"/>
  <c r="AD118" i="56"/>
  <c r="AD119" i="56"/>
  <c r="AD120" i="56"/>
  <c r="AD133" i="56"/>
  <c r="AD26" i="56"/>
  <c r="AD29" i="56"/>
  <c r="AD32" i="56"/>
  <c r="AD35" i="56"/>
  <c r="AD38" i="56"/>
  <c r="AD41" i="56"/>
  <c r="AD44" i="56"/>
  <c r="AD59" i="56"/>
  <c r="AD74" i="56"/>
  <c r="AD83" i="56"/>
  <c r="AD23" i="56"/>
  <c r="AC107" i="56" l="1"/>
  <c r="AE116" i="56" l="1"/>
  <c r="AE137" i="56" s="1"/>
  <c r="AD93" i="56" l="1"/>
  <c r="AD94" i="56"/>
  <c r="AD95" i="56"/>
  <c r="AD97" i="56"/>
  <c r="AD92" i="56"/>
  <c r="AA137" i="56"/>
  <c r="AC137" i="56"/>
  <c r="AB139" i="56" l="1"/>
  <c r="AB140" i="56"/>
  <c r="AB143" i="56"/>
  <c r="AB144" i="56"/>
  <c r="AB145" i="56"/>
  <c r="AB146" i="56"/>
  <c r="AB147" i="56"/>
  <c r="AB26" i="56" l="1"/>
  <c r="AB29" i="56"/>
  <c r="AB32" i="56"/>
  <c r="AB35" i="56"/>
  <c r="AB38" i="56"/>
  <c r="AB41" i="56"/>
  <c r="AB44" i="56"/>
  <c r="AB59" i="56"/>
  <c r="AB74" i="56"/>
  <c r="AB83" i="56"/>
  <c r="AB86" i="56"/>
  <c r="AB23" i="56"/>
  <c r="AB93" i="56"/>
  <c r="AB94" i="56"/>
  <c r="AB95" i="56"/>
  <c r="AB96" i="56"/>
  <c r="AB97" i="56"/>
  <c r="AB98" i="56"/>
  <c r="AB100" i="56"/>
  <c r="AB102" i="56"/>
  <c r="AB103" i="56"/>
  <c r="AB104" i="56"/>
  <c r="AB105" i="56"/>
  <c r="AB106" i="56"/>
  <c r="AB107" i="56"/>
  <c r="AB108" i="56"/>
  <c r="AB109" i="56"/>
  <c r="AB111" i="56"/>
  <c r="AB112" i="56"/>
  <c r="AB113" i="56"/>
  <c r="AB115" i="56"/>
  <c r="AB116" i="56"/>
  <c r="AB117" i="56"/>
  <c r="AB118" i="56"/>
  <c r="AB119" i="56"/>
  <c r="AB120" i="56"/>
  <c r="AB92" i="56"/>
  <c r="Z147" i="56"/>
  <c r="C6" i="69" l="1"/>
  <c r="B6" i="69"/>
  <c r="D3" i="69"/>
  <c r="D4" i="69"/>
  <c r="D5" i="69"/>
  <c r="D2" i="69"/>
  <c r="C13" i="69"/>
  <c r="B13" i="69"/>
  <c r="D10" i="69"/>
  <c r="D11" i="69"/>
  <c r="D12" i="69"/>
  <c r="D9" i="69"/>
  <c r="D6" i="69" l="1"/>
  <c r="D13" i="69"/>
  <c r="AD89" i="56"/>
  <c r="AD90" i="56" s="1"/>
  <c r="AB89" i="56"/>
  <c r="AB90" i="56" s="1"/>
  <c r="E8" i="72" l="1"/>
  <c r="D10" i="72" s="1"/>
  <c r="G13" i="71"/>
  <c r="F13" i="71"/>
  <c r="G6" i="71"/>
  <c r="F6" i="71"/>
  <c r="H4" i="71"/>
  <c r="H3" i="71"/>
  <c r="H5" i="71"/>
  <c r="H2" i="71"/>
  <c r="H11" i="71"/>
  <c r="H12" i="71"/>
  <c r="H10" i="71"/>
  <c r="H9" i="71"/>
  <c r="B16" i="71"/>
  <c r="C16" i="71" s="1"/>
  <c r="D85" i="70"/>
  <c r="H13" i="71" l="1"/>
  <c r="H6" i="71"/>
  <c r="Z139" i="56" l="1"/>
  <c r="Z143" i="56"/>
  <c r="Z144" i="56"/>
  <c r="Z145" i="56"/>
  <c r="Z146" i="56"/>
  <c r="Z93" i="56"/>
  <c r="Z94" i="56"/>
  <c r="Z95" i="56"/>
  <c r="Z97" i="56"/>
  <c r="Z98" i="56"/>
  <c r="Z100" i="56"/>
  <c r="Z102" i="56"/>
  <c r="Z103" i="56"/>
  <c r="Z104" i="56"/>
  <c r="Z105" i="56"/>
  <c r="Z106" i="56"/>
  <c r="Z107" i="56"/>
  <c r="Z108" i="56"/>
  <c r="Z109" i="56"/>
  <c r="Z111" i="56"/>
  <c r="Z112" i="56"/>
  <c r="Z113" i="56"/>
  <c r="Z115" i="56"/>
  <c r="Z116" i="56"/>
  <c r="Z117" i="56"/>
  <c r="Z118" i="56"/>
  <c r="Z119" i="56"/>
  <c r="Z120" i="56"/>
  <c r="Z121" i="56"/>
  <c r="Z122" i="56"/>
  <c r="Z123" i="56"/>
  <c r="Z124" i="56"/>
  <c r="Z125" i="56"/>
  <c r="Z126" i="56"/>
  <c r="Z127" i="56"/>
  <c r="Z129" i="56"/>
  <c r="Z130" i="56"/>
  <c r="Z131" i="56"/>
  <c r="Z133" i="56"/>
  <c r="Z135" i="56"/>
  <c r="Z136" i="56"/>
  <c r="Z92" i="56"/>
  <c r="Z137" i="56" l="1"/>
  <c r="Y96" i="56" l="1"/>
  <c r="Y93" i="56"/>
  <c r="X96" i="56" l="1"/>
  <c r="X118" i="56"/>
  <c r="X117" i="56"/>
  <c r="X116" i="56"/>
  <c r="X97" i="56" l="1"/>
  <c r="Y116" i="56" l="1"/>
  <c r="N1459" i="45"/>
  <c r="E10" i="70"/>
  <c r="E11" i="70"/>
  <c r="E12" i="70"/>
  <c r="E9" i="70"/>
  <c r="E3" i="70"/>
  <c r="E4" i="70"/>
  <c r="E5" i="70"/>
  <c r="E2" i="70"/>
  <c r="D6" i="70"/>
  <c r="D13" i="70"/>
  <c r="B13" i="70"/>
  <c r="B6" i="70"/>
  <c r="E13" i="70" l="1"/>
  <c r="E6" i="70"/>
  <c r="I6" i="70"/>
  <c r="I7" i="70" s="1"/>
  <c r="I8" i="70" s="1"/>
  <c r="X112" i="56" l="1"/>
  <c r="V112" i="56"/>
  <c r="T112" i="56"/>
  <c r="R112" i="56"/>
  <c r="O112" i="56"/>
  <c r="N112" i="56"/>
  <c r="M112" i="56"/>
  <c r="L112" i="56"/>
  <c r="J112" i="56"/>
  <c r="H112" i="56"/>
  <c r="V109" i="56"/>
  <c r="V111" i="56"/>
  <c r="X109" i="56"/>
  <c r="X111" i="56"/>
  <c r="X144" i="56"/>
  <c r="X93" i="56"/>
  <c r="X94" i="56"/>
  <c r="X95" i="56"/>
  <c r="X98" i="56"/>
  <c r="X100" i="56"/>
  <c r="X102" i="56"/>
  <c r="X103" i="56"/>
  <c r="X104" i="56"/>
  <c r="X105" i="56"/>
  <c r="X106" i="56"/>
  <c r="X107" i="56"/>
  <c r="X108" i="56"/>
  <c r="X113" i="56"/>
  <c r="X115" i="56"/>
  <c r="X120" i="56"/>
  <c r="X121" i="56"/>
  <c r="X122" i="56"/>
  <c r="X123" i="56"/>
  <c r="X124" i="56"/>
  <c r="X125" i="56"/>
  <c r="X126" i="56"/>
  <c r="X127" i="56"/>
  <c r="X129" i="56"/>
  <c r="X130" i="56"/>
  <c r="X131" i="56"/>
  <c r="X133" i="56"/>
  <c r="X136" i="56"/>
  <c r="X92" i="56"/>
  <c r="X139" i="56"/>
  <c r="X143" i="56"/>
  <c r="X137" i="56" l="1"/>
  <c r="X26" i="56"/>
  <c r="X29" i="56"/>
  <c r="X32" i="56"/>
  <c r="X35" i="56"/>
  <c r="X38" i="56"/>
  <c r="X41" i="56"/>
  <c r="X44" i="56"/>
  <c r="X59" i="56"/>
  <c r="X74" i="56"/>
  <c r="X83" i="56"/>
  <c r="X23" i="56"/>
  <c r="T23" i="56"/>
  <c r="X89" i="56" l="1"/>
  <c r="X90" i="56" s="1"/>
  <c r="V139" i="56"/>
  <c r="V143" i="56"/>
  <c r="T139" i="56"/>
  <c r="T143" i="56"/>
  <c r="V93" i="56"/>
  <c r="V94" i="56"/>
  <c r="V95" i="56"/>
  <c r="V96" i="56"/>
  <c r="V97" i="56"/>
  <c r="V98" i="56"/>
  <c r="V100" i="56"/>
  <c r="V102" i="56"/>
  <c r="V103" i="56"/>
  <c r="V104" i="56"/>
  <c r="V105" i="56"/>
  <c r="V106" i="56"/>
  <c r="V107" i="56"/>
  <c r="V108" i="56"/>
  <c r="V113" i="56"/>
  <c r="V115" i="56"/>
  <c r="V120" i="56"/>
  <c r="V121" i="56"/>
  <c r="V122" i="56"/>
  <c r="V123" i="56"/>
  <c r="V124" i="56"/>
  <c r="V125" i="56"/>
  <c r="V126" i="56"/>
  <c r="V127" i="56"/>
  <c r="V129" i="56"/>
  <c r="V130" i="56"/>
  <c r="V131" i="56"/>
  <c r="V133" i="56"/>
  <c r="V135" i="56"/>
  <c r="V136" i="56"/>
  <c r="T93" i="56"/>
  <c r="T94" i="56"/>
  <c r="T95" i="56"/>
  <c r="T96" i="56"/>
  <c r="T97" i="56"/>
  <c r="T98" i="56"/>
  <c r="T100" i="56"/>
  <c r="T102" i="56"/>
  <c r="T103" i="56"/>
  <c r="T104" i="56"/>
  <c r="T105" i="56"/>
  <c r="T106" i="56"/>
  <c r="T107" i="56"/>
  <c r="T108" i="56"/>
  <c r="T113" i="56"/>
  <c r="T115" i="56"/>
  <c r="T120" i="56"/>
  <c r="T121" i="56"/>
  <c r="T122" i="56"/>
  <c r="T123" i="56"/>
  <c r="T124" i="56"/>
  <c r="T125" i="56"/>
  <c r="T126" i="56"/>
  <c r="T127" i="56"/>
  <c r="T129" i="56"/>
  <c r="T130" i="56"/>
  <c r="T131" i="56"/>
  <c r="T133" i="56"/>
  <c r="T135" i="56"/>
  <c r="T136" i="56"/>
  <c r="V92" i="56"/>
  <c r="T92" i="56"/>
  <c r="R102" i="56" l="1"/>
  <c r="R93" i="56"/>
  <c r="N93" i="56"/>
  <c r="L93" i="56"/>
  <c r="J93" i="56"/>
  <c r="H93" i="56"/>
  <c r="R96" i="56"/>
  <c r="N96" i="56"/>
  <c r="L96" i="56"/>
  <c r="J96" i="56"/>
  <c r="H96" i="56"/>
  <c r="R104" i="56"/>
  <c r="P104" i="56"/>
  <c r="N104" i="56"/>
  <c r="L104" i="56"/>
  <c r="J104" i="56"/>
  <c r="H104" i="56"/>
  <c r="R98" i="56"/>
  <c r="N98" i="56"/>
  <c r="L98" i="56"/>
  <c r="J98" i="56"/>
  <c r="H98" i="56"/>
  <c r="W107" i="56"/>
  <c r="U107" i="56"/>
  <c r="S107" i="56"/>
  <c r="R107" i="56"/>
  <c r="Q107" i="56"/>
  <c r="N107" i="56"/>
  <c r="L107" i="56"/>
  <c r="J107" i="56"/>
  <c r="H107" i="56"/>
  <c r="R139" i="56"/>
  <c r="R143" i="56"/>
  <c r="R94" i="56"/>
  <c r="R95" i="56"/>
  <c r="R97" i="56"/>
  <c r="R100" i="56"/>
  <c r="R103" i="56"/>
  <c r="R105" i="56"/>
  <c r="R106" i="56"/>
  <c r="R108" i="56"/>
  <c r="R113" i="56"/>
  <c r="R120" i="56"/>
  <c r="R121" i="56"/>
  <c r="R122" i="56"/>
  <c r="R123" i="56"/>
  <c r="R124" i="56"/>
  <c r="R125" i="56"/>
  <c r="R126" i="56"/>
  <c r="R127" i="56"/>
  <c r="R129" i="56"/>
  <c r="R130" i="56"/>
  <c r="R131" i="56"/>
  <c r="R133" i="56"/>
  <c r="R135" i="56"/>
  <c r="R136" i="56"/>
  <c r="T89" i="56"/>
  <c r="R23" i="56"/>
  <c r="O113" i="56"/>
  <c r="W108" i="56" l="1"/>
  <c r="U108" i="56"/>
  <c r="S108" i="56"/>
  <c r="Q108" i="56"/>
  <c r="P26" i="56" l="1"/>
  <c r="P29" i="56"/>
  <c r="P32" i="56"/>
  <c r="P35" i="56"/>
  <c r="P38" i="56"/>
  <c r="P41" i="56"/>
  <c r="P59" i="56"/>
  <c r="P74" i="56"/>
  <c r="P83" i="56"/>
  <c r="N59" i="56"/>
  <c r="X185" i="45"/>
  <c r="N139" i="56" l="1"/>
  <c r="M113" i="56" l="1"/>
  <c r="R29" i="56" l="1"/>
  <c r="G153" i="56"/>
  <c r="G137" i="56"/>
  <c r="H133" i="56"/>
  <c r="H131" i="56"/>
  <c r="H130" i="56"/>
  <c r="H129" i="56"/>
  <c r="H127" i="56"/>
  <c r="H126" i="56"/>
  <c r="H125" i="56"/>
  <c r="H124" i="56"/>
  <c r="H123" i="56"/>
  <c r="H122" i="56"/>
  <c r="H121" i="56"/>
  <c r="H120" i="56"/>
  <c r="H115" i="56"/>
  <c r="H113" i="56"/>
  <c r="H108" i="56"/>
  <c r="H106" i="56"/>
  <c r="H105" i="56"/>
  <c r="H103" i="56"/>
  <c r="H100" i="56"/>
  <c r="H97" i="56"/>
  <c r="H95" i="56"/>
  <c r="H94" i="56"/>
  <c r="H92" i="56"/>
  <c r="G88" i="56"/>
  <c r="G86" i="56"/>
  <c r="G85" i="56"/>
  <c r="G83" i="56"/>
  <c r="G76" i="56"/>
  <c r="H74" i="56"/>
  <c r="G74" i="56"/>
  <c r="G61" i="56"/>
  <c r="H59" i="56"/>
  <c r="G59" i="56"/>
  <c r="G46" i="56"/>
  <c r="H44" i="56"/>
  <c r="G44" i="56"/>
  <c r="G43" i="56"/>
  <c r="H41" i="56"/>
  <c r="G41" i="56"/>
  <c r="G40" i="56"/>
  <c r="H38" i="56"/>
  <c r="G38" i="56"/>
  <c r="G37" i="56"/>
  <c r="H35" i="56"/>
  <c r="G35" i="56"/>
  <c r="G34" i="56"/>
  <c r="H32" i="56"/>
  <c r="G32" i="56"/>
  <c r="G31" i="56"/>
  <c r="H29" i="56"/>
  <c r="G29" i="56"/>
  <c r="G28" i="56"/>
  <c r="H26" i="56"/>
  <c r="G26" i="56"/>
  <c r="G25" i="56"/>
  <c r="H23" i="56"/>
  <c r="G23" i="56"/>
  <c r="C4" i="56"/>
  <c r="D4" i="56"/>
  <c r="D6" i="56" s="1"/>
  <c r="E4" i="56"/>
  <c r="F139" i="68"/>
  <c r="G138" i="68"/>
  <c r="G136" i="68"/>
  <c r="C129" i="68"/>
  <c r="C130" i="68" s="1"/>
  <c r="H126" i="68"/>
  <c r="H125" i="68"/>
  <c r="E125" i="68"/>
  <c r="K124" i="68"/>
  <c r="C118" i="68"/>
  <c r="BV111" i="68"/>
  <c r="BU111" i="68"/>
  <c r="BT111" i="68"/>
  <c r="BS111" i="68"/>
  <c r="BR111" i="68"/>
  <c r="BQ111" i="68"/>
  <c r="BP111" i="68"/>
  <c r="BO111" i="68"/>
  <c r="BN111" i="68"/>
  <c r="BM111" i="68"/>
  <c r="BL111" i="68"/>
  <c r="BK111" i="68"/>
  <c r="BC111" i="68"/>
  <c r="BB111" i="68"/>
  <c r="BA111" i="68"/>
  <c r="AZ111" i="68"/>
  <c r="AY111" i="68"/>
  <c r="AX111" i="68"/>
  <c r="AW111" i="68"/>
  <c r="AV111" i="68"/>
  <c r="AU111" i="68"/>
  <c r="AT111" i="68"/>
  <c r="AS111" i="68"/>
  <c r="AR111" i="68"/>
  <c r="AJ111" i="68"/>
  <c r="AI111" i="68"/>
  <c r="AH111" i="68"/>
  <c r="AG111" i="68"/>
  <c r="AF111" i="68"/>
  <c r="AE111" i="68"/>
  <c r="AD111" i="68"/>
  <c r="AC111" i="68"/>
  <c r="AB111" i="68"/>
  <c r="AA111" i="68"/>
  <c r="Z111" i="68"/>
  <c r="Y111" i="68"/>
  <c r="Q111" i="68"/>
  <c r="P111" i="68"/>
  <c r="O111" i="68"/>
  <c r="N111" i="68"/>
  <c r="M111" i="68"/>
  <c r="L111" i="68"/>
  <c r="K111" i="68"/>
  <c r="J111" i="68"/>
  <c r="I111" i="68"/>
  <c r="H111" i="68"/>
  <c r="G111" i="68"/>
  <c r="F111" i="68"/>
  <c r="BW110" i="68"/>
  <c r="BD110" i="68"/>
  <c r="AK110" i="68"/>
  <c r="R110" i="68"/>
  <c r="BW109" i="68"/>
  <c r="BD109" i="68"/>
  <c r="AK109" i="68"/>
  <c r="R109" i="68"/>
  <c r="BW108" i="68"/>
  <c r="BD108" i="68"/>
  <c r="AK108" i="68"/>
  <c r="R108" i="68"/>
  <c r="BW107" i="68"/>
  <c r="BD107" i="68"/>
  <c r="AK107" i="68"/>
  <c r="R107" i="68"/>
  <c r="BW106" i="68"/>
  <c r="BD106" i="68"/>
  <c r="AK106" i="68"/>
  <c r="R106" i="68"/>
  <c r="BW105" i="68"/>
  <c r="BD105" i="68"/>
  <c r="AK105" i="68"/>
  <c r="R105" i="68"/>
  <c r="BW104" i="68"/>
  <c r="BD104" i="68"/>
  <c r="AK104" i="68"/>
  <c r="R104" i="68"/>
  <c r="BW103" i="68"/>
  <c r="BD103" i="68"/>
  <c r="AK103" i="68"/>
  <c r="R103" i="68"/>
  <c r="BW102" i="68"/>
  <c r="BD102" i="68"/>
  <c r="AK102" i="68"/>
  <c r="R102" i="68"/>
  <c r="BW101" i="68"/>
  <c r="BD101" i="68"/>
  <c r="AK101" i="68"/>
  <c r="R101" i="68"/>
  <c r="T97" i="68"/>
  <c r="BU91" i="68"/>
  <c r="BT91" i="68"/>
  <c r="BS91" i="68"/>
  <c r="BK91" i="68"/>
  <c r="AS91" i="68"/>
  <c r="AR91" i="68"/>
  <c r="Z91" i="68"/>
  <c r="Y91" i="68"/>
  <c r="O91" i="68"/>
  <c r="N91" i="68"/>
  <c r="M91" i="68"/>
  <c r="L91" i="68"/>
  <c r="K91" i="68"/>
  <c r="J91" i="68"/>
  <c r="I91" i="68"/>
  <c r="H91" i="68"/>
  <c r="G91" i="68"/>
  <c r="F91" i="68"/>
  <c r="BW90" i="68"/>
  <c r="BJ90" i="68"/>
  <c r="BD90" i="68"/>
  <c r="AQ90" i="68"/>
  <c r="AK90" i="68"/>
  <c r="X90" i="68"/>
  <c r="R90" i="68"/>
  <c r="E90" i="68"/>
  <c r="BW89" i="68"/>
  <c r="BJ89" i="68"/>
  <c r="BD89" i="68"/>
  <c r="AQ89" i="68"/>
  <c r="AK89" i="68"/>
  <c r="X89" i="68"/>
  <c r="R89" i="68"/>
  <c r="E89" i="68"/>
  <c r="BR88" i="68"/>
  <c r="BQ88" i="68"/>
  <c r="BP88" i="68"/>
  <c r="BO88" i="68"/>
  <c r="BN88" i="68"/>
  <c r="BM88" i="68"/>
  <c r="BL88" i="68"/>
  <c r="BJ88" i="68"/>
  <c r="BC88" i="68"/>
  <c r="BB88" i="68"/>
  <c r="BA88" i="68"/>
  <c r="AZ88" i="68"/>
  <c r="AY88" i="68"/>
  <c r="AX88" i="68"/>
  <c r="AW88" i="68"/>
  <c r="AV88" i="68"/>
  <c r="AU88" i="68"/>
  <c r="AT88" i="68"/>
  <c r="AQ88" i="68"/>
  <c r="AJ88" i="68"/>
  <c r="AI88" i="68"/>
  <c r="AH88" i="68"/>
  <c r="AG88" i="68"/>
  <c r="AF88" i="68"/>
  <c r="AE88" i="68"/>
  <c r="AD88" i="68"/>
  <c r="AC88" i="68"/>
  <c r="AB88" i="68"/>
  <c r="AA88" i="68"/>
  <c r="X88" i="68"/>
  <c r="R88" i="68"/>
  <c r="E88" i="68"/>
  <c r="BV87" i="68"/>
  <c r="BV91" i="68" s="1"/>
  <c r="BR87" i="68"/>
  <c r="BQ87" i="68"/>
  <c r="BP87" i="68"/>
  <c r="BO87" i="68"/>
  <c r="BN87" i="68"/>
  <c r="BM87" i="68"/>
  <c r="BL87" i="68"/>
  <c r="BJ87" i="68"/>
  <c r="BC87" i="68"/>
  <c r="BB87" i="68"/>
  <c r="BA87" i="68"/>
  <c r="AZ87" i="68"/>
  <c r="AY87" i="68"/>
  <c r="AX87" i="68"/>
  <c r="AW87" i="68"/>
  <c r="AV87" i="68"/>
  <c r="AU87" i="68"/>
  <c r="AT87" i="68"/>
  <c r="AQ87" i="68"/>
  <c r="AJ87" i="68"/>
  <c r="AI87" i="68"/>
  <c r="AH87" i="68"/>
  <c r="AG87" i="68"/>
  <c r="AF87" i="68"/>
  <c r="AE87" i="68"/>
  <c r="AD87" i="68"/>
  <c r="AC87" i="68"/>
  <c r="AB87" i="68"/>
  <c r="AA87" i="68"/>
  <c r="X87" i="68"/>
  <c r="R87" i="68"/>
  <c r="E87" i="68"/>
  <c r="BJ86" i="68"/>
  <c r="AQ86" i="68"/>
  <c r="X86" i="68"/>
  <c r="R86" i="68"/>
  <c r="E86" i="68"/>
  <c r="BW85" i="68"/>
  <c r="BJ85" i="68"/>
  <c r="BD85" i="68"/>
  <c r="AQ85" i="68"/>
  <c r="AK85" i="68"/>
  <c r="X85" i="68"/>
  <c r="R85" i="68"/>
  <c r="E85" i="68"/>
  <c r="BW84" i="68"/>
  <c r="BJ84" i="68"/>
  <c r="BD84" i="68"/>
  <c r="AQ84" i="68"/>
  <c r="AK84" i="68"/>
  <c r="X84" i="68"/>
  <c r="R84" i="68"/>
  <c r="E84" i="68"/>
  <c r="BW83" i="68"/>
  <c r="BD83" i="68"/>
  <c r="AK83" i="68"/>
  <c r="Q83" i="68"/>
  <c r="Q91" i="68" s="1"/>
  <c r="P83" i="68"/>
  <c r="P91" i="68" s="1"/>
  <c r="E83" i="68"/>
  <c r="BW82" i="68"/>
  <c r="BD82" i="68"/>
  <c r="AK82" i="68"/>
  <c r="R82" i="68"/>
  <c r="BW81" i="68"/>
  <c r="BD81" i="68"/>
  <c r="AK81" i="68"/>
  <c r="R81" i="68"/>
  <c r="S91" i="68" s="1"/>
  <c r="BI77" i="68"/>
  <c r="AP77" i="68"/>
  <c r="W77" i="68"/>
  <c r="BV71" i="68"/>
  <c r="BU71" i="68"/>
  <c r="BT71" i="68"/>
  <c r="BS71" i="68"/>
  <c r="BK71" i="68"/>
  <c r="BC71" i="68"/>
  <c r="BB71" i="68"/>
  <c r="BA71" i="68"/>
  <c r="AZ71" i="68"/>
  <c r="AR71" i="68"/>
  <c r="Y71" i="68"/>
  <c r="O71" i="68"/>
  <c r="N71" i="68"/>
  <c r="M71" i="68"/>
  <c r="L71" i="68"/>
  <c r="K71" i="68"/>
  <c r="J71" i="68"/>
  <c r="I71" i="68"/>
  <c r="H71" i="68"/>
  <c r="G71" i="68"/>
  <c r="F71" i="68"/>
  <c r="BW70" i="68"/>
  <c r="BD70" i="68"/>
  <c r="AK70" i="68"/>
  <c r="R70" i="68"/>
  <c r="BW69" i="68"/>
  <c r="BD69" i="68"/>
  <c r="AK69" i="68"/>
  <c r="R69" i="68"/>
  <c r="BW68" i="68"/>
  <c r="BD68" i="68"/>
  <c r="AK68" i="68"/>
  <c r="R68" i="68"/>
  <c r="BW67" i="68"/>
  <c r="BD67" i="68"/>
  <c r="AK67" i="68"/>
  <c r="R67" i="68"/>
  <c r="BW66" i="68"/>
  <c r="BD66" i="68"/>
  <c r="AK66" i="68"/>
  <c r="R66" i="68"/>
  <c r="BW65" i="68"/>
  <c r="BD65" i="68"/>
  <c r="AK65" i="68"/>
  <c r="R65" i="68"/>
  <c r="BW64" i="68"/>
  <c r="BD64" i="68"/>
  <c r="AK64" i="68"/>
  <c r="R64" i="68"/>
  <c r="BW63" i="68"/>
  <c r="BD63" i="68"/>
  <c r="AK63" i="68"/>
  <c r="R63" i="68"/>
  <c r="BW62" i="68"/>
  <c r="BD62" i="68"/>
  <c r="AK62" i="68"/>
  <c r="S62" i="68"/>
  <c r="AL62" i="68" s="1"/>
  <c r="BE62" i="68" s="1"/>
  <c r="BX62" i="68" s="1"/>
  <c r="R62" i="68"/>
  <c r="BR61" i="68"/>
  <c r="BR71" i="68" s="1"/>
  <c r="BQ61" i="68"/>
  <c r="BQ71" i="68" s="1"/>
  <c r="BP61" i="68"/>
  <c r="BP71" i="68" s="1"/>
  <c r="BO61" i="68"/>
  <c r="BO71" i="68" s="1"/>
  <c r="BN61" i="68"/>
  <c r="BN71" i="68" s="1"/>
  <c r="BM61" i="68"/>
  <c r="BM71" i="68" s="1"/>
  <c r="BL61" i="68"/>
  <c r="AY61" i="68"/>
  <c r="AY71" i="68" s="1"/>
  <c r="AX61" i="68"/>
  <c r="AX71" i="68" s="1"/>
  <c r="AW61" i="68"/>
  <c r="AW71" i="68" s="1"/>
  <c r="AV61" i="68"/>
  <c r="AV71" i="68" s="1"/>
  <c r="AU61" i="68"/>
  <c r="AU71" i="68" s="1"/>
  <c r="AT61" i="68"/>
  <c r="AT71" i="68" s="1"/>
  <c r="AS61" i="68"/>
  <c r="AJ61" i="68"/>
  <c r="AJ71" i="68" s="1"/>
  <c r="AI61" i="68"/>
  <c r="AI71" i="68" s="1"/>
  <c r="AH61" i="68"/>
  <c r="AH71" i="68" s="1"/>
  <c r="AG61" i="68"/>
  <c r="AG71" i="68" s="1"/>
  <c r="AF61" i="68"/>
  <c r="AF71" i="68" s="1"/>
  <c r="AE61" i="68"/>
  <c r="AE71" i="68" s="1"/>
  <c r="AD61" i="68"/>
  <c r="AD71" i="68" s="1"/>
  <c r="AC61" i="68"/>
  <c r="AC71" i="68" s="1"/>
  <c r="AB61" i="68"/>
  <c r="AB71" i="68" s="1"/>
  <c r="AA61" i="68"/>
  <c r="AA71" i="68" s="1"/>
  <c r="Z61" i="68"/>
  <c r="Q61" i="68"/>
  <c r="Q71" i="68" s="1"/>
  <c r="P61" i="68"/>
  <c r="BI57" i="68"/>
  <c r="AP57" i="68"/>
  <c r="W57" i="68"/>
  <c r="D57" i="68"/>
  <c r="BV52" i="68"/>
  <c r="BU52" i="68"/>
  <c r="BT52" i="68"/>
  <c r="BS52" i="68"/>
  <c r="BR52" i="68"/>
  <c r="BQ52" i="68"/>
  <c r="BP52" i="68"/>
  <c r="BO52" i="68"/>
  <c r="BN52" i="68"/>
  <c r="BM52" i="68"/>
  <c r="BL52" i="68"/>
  <c r="BK52" i="68"/>
  <c r="BC52" i="68"/>
  <c r="BB52" i="68"/>
  <c r="BA52" i="68"/>
  <c r="AZ52" i="68"/>
  <c r="AY52" i="68"/>
  <c r="AX52" i="68"/>
  <c r="AW52" i="68"/>
  <c r="AV52" i="68"/>
  <c r="AU52" i="68"/>
  <c r="AT52" i="68"/>
  <c r="AS52" i="68"/>
  <c r="AR52" i="68"/>
  <c r="AJ52" i="68"/>
  <c r="AI52" i="68"/>
  <c r="AH52" i="68"/>
  <c r="AG52" i="68"/>
  <c r="AF52" i="68"/>
  <c r="AE52" i="68"/>
  <c r="AD52" i="68"/>
  <c r="AC52" i="68"/>
  <c r="AB52" i="68"/>
  <c r="AA52" i="68"/>
  <c r="Z52" i="68"/>
  <c r="Y52" i="68"/>
  <c r="Q52" i="68"/>
  <c r="P52" i="68"/>
  <c r="O52" i="68"/>
  <c r="N52" i="68"/>
  <c r="M52" i="68"/>
  <c r="L52" i="68"/>
  <c r="K52" i="68"/>
  <c r="J52" i="68"/>
  <c r="I52" i="68"/>
  <c r="H52" i="68"/>
  <c r="G52" i="68"/>
  <c r="F52" i="68"/>
  <c r="BJ49" i="68"/>
  <c r="AQ49" i="68"/>
  <c r="X49" i="68"/>
  <c r="BP49" i="68" s="1"/>
  <c r="E49" i="68"/>
  <c r="M49" i="68" s="1"/>
  <c r="BW48" i="68"/>
  <c r="BD48" i="68"/>
  <c r="AK48" i="68"/>
  <c r="R48" i="68"/>
  <c r="E47" i="68"/>
  <c r="R46" i="68"/>
  <c r="BJ45" i="68"/>
  <c r="AQ45" i="68"/>
  <c r="X45" i="68"/>
  <c r="BS45" i="68" s="1"/>
  <c r="E45" i="68"/>
  <c r="N45" i="68" s="1"/>
  <c r="BW44" i="68"/>
  <c r="BD44" i="68"/>
  <c r="AK44" i="68"/>
  <c r="R44" i="68"/>
  <c r="BJ43" i="68"/>
  <c r="AQ43" i="68"/>
  <c r="X43" i="68"/>
  <c r="BO43" i="68" s="1"/>
  <c r="E43" i="68"/>
  <c r="N43" i="68" s="1"/>
  <c r="BW42" i="68"/>
  <c r="BD42" i="68"/>
  <c r="AK42" i="68"/>
  <c r="R42" i="68"/>
  <c r="BJ41" i="68"/>
  <c r="AQ41" i="68"/>
  <c r="X41" i="68"/>
  <c r="BS41" i="68" s="1"/>
  <c r="E41" i="68"/>
  <c r="H41" i="68" s="1"/>
  <c r="BW40" i="68"/>
  <c r="BD40" i="68"/>
  <c r="AK40" i="68"/>
  <c r="R40" i="68"/>
  <c r="BJ39" i="68"/>
  <c r="AQ39" i="68"/>
  <c r="X39" i="68"/>
  <c r="BO39" i="68" s="1"/>
  <c r="E39" i="68"/>
  <c r="N39" i="68" s="1"/>
  <c r="BW38" i="68"/>
  <c r="BD38" i="68"/>
  <c r="AK38" i="68"/>
  <c r="R38" i="68"/>
  <c r="BJ37" i="68"/>
  <c r="AQ37" i="68"/>
  <c r="X37" i="68"/>
  <c r="BS37" i="68" s="1"/>
  <c r="E37" i="68"/>
  <c r="P37" i="68" s="1"/>
  <c r="BW36" i="68"/>
  <c r="BD36" i="68"/>
  <c r="AK36" i="68"/>
  <c r="R36" i="68"/>
  <c r="BJ35" i="68"/>
  <c r="AQ35" i="68"/>
  <c r="X35" i="68"/>
  <c r="BO35" i="68" s="1"/>
  <c r="E35" i="68"/>
  <c r="M35" i="68" s="1"/>
  <c r="BW34" i="68"/>
  <c r="BD34" i="68"/>
  <c r="AK34" i="68"/>
  <c r="R34" i="68"/>
  <c r="BJ33" i="68"/>
  <c r="AQ33" i="68"/>
  <c r="X33" i="68"/>
  <c r="BS33" i="68" s="1"/>
  <c r="E33" i="68"/>
  <c r="P45" i="68" s="1"/>
  <c r="BW32" i="68"/>
  <c r="BD32" i="68"/>
  <c r="AK32" i="68"/>
  <c r="R32" i="68"/>
  <c r="BJ31" i="68"/>
  <c r="AQ31" i="68"/>
  <c r="X31" i="68"/>
  <c r="BQ31" i="68" s="1"/>
  <c r="E31" i="68"/>
  <c r="H31" i="68" s="1"/>
  <c r="BW30" i="68"/>
  <c r="BD30" i="68"/>
  <c r="AK30" i="68"/>
  <c r="R30" i="68"/>
  <c r="BJ29" i="68"/>
  <c r="AQ29" i="68"/>
  <c r="X29" i="68"/>
  <c r="E29" i="68"/>
  <c r="P41" i="68" s="1"/>
  <c r="BW28" i="68"/>
  <c r="BD28" i="68"/>
  <c r="AK28" i="68"/>
  <c r="R28" i="68"/>
  <c r="BI24" i="68"/>
  <c r="AP24" i="68"/>
  <c r="W24" i="68"/>
  <c r="CC23" i="68"/>
  <c r="CC22" i="68"/>
  <c r="CC16" i="68"/>
  <c r="P136" i="56"/>
  <c r="N136" i="56"/>
  <c r="J136" i="56"/>
  <c r="P95" i="56"/>
  <c r="P103" i="56"/>
  <c r="P105" i="56"/>
  <c r="P106" i="56"/>
  <c r="P115" i="56"/>
  <c r="P120" i="56"/>
  <c r="P121" i="56"/>
  <c r="P122" i="56"/>
  <c r="P123" i="56"/>
  <c r="P124" i="56"/>
  <c r="P125" i="56"/>
  <c r="P126" i="56"/>
  <c r="P127" i="56"/>
  <c r="P129" i="56"/>
  <c r="P130" i="56"/>
  <c r="P131" i="56"/>
  <c r="P133" i="56"/>
  <c r="N94" i="56"/>
  <c r="N95" i="56"/>
  <c r="N97" i="56"/>
  <c r="N100" i="56"/>
  <c r="N103" i="56"/>
  <c r="N105" i="56"/>
  <c r="N106" i="56"/>
  <c r="N108" i="56"/>
  <c r="N113" i="56"/>
  <c r="N115" i="56"/>
  <c r="N120" i="56"/>
  <c r="N121" i="56"/>
  <c r="N122" i="56"/>
  <c r="N123" i="56"/>
  <c r="N124" i="56"/>
  <c r="N125" i="56"/>
  <c r="N126" i="56"/>
  <c r="N127" i="56"/>
  <c r="N129" i="56"/>
  <c r="N130" i="56"/>
  <c r="N131" i="56"/>
  <c r="N133" i="56"/>
  <c r="R92" i="56"/>
  <c r="P92" i="56"/>
  <c r="N92" i="56"/>
  <c r="M88" i="56"/>
  <c r="E6" i="56" l="1"/>
  <c r="BM91" i="68"/>
  <c r="AX91" i="68"/>
  <c r="BL45" i="68"/>
  <c r="AJ91" i="68"/>
  <c r="AZ91" i="68"/>
  <c r="BO91" i="68"/>
  <c r="H45" i="68"/>
  <c r="AF91" i="68"/>
  <c r="AV91" i="68"/>
  <c r="AG91" i="68"/>
  <c r="AW91" i="68"/>
  <c r="BL91" i="68"/>
  <c r="N35" i="68"/>
  <c r="BP33" i="68"/>
  <c r="G45" i="68"/>
  <c r="P47" i="68"/>
  <c r="BT33" i="68"/>
  <c r="G33" i="68"/>
  <c r="BR49" i="68"/>
  <c r="AH33" i="68"/>
  <c r="I33" i="68"/>
  <c r="AJ49" i="68"/>
  <c r="N49" i="68"/>
  <c r="Q33" i="68"/>
  <c r="AY37" i="68"/>
  <c r="J41" i="68"/>
  <c r="O49" i="68"/>
  <c r="AD91" i="68"/>
  <c r="AT91" i="68"/>
  <c r="BB91" i="68"/>
  <c r="BQ91" i="68"/>
  <c r="AC91" i="68"/>
  <c r="AE91" i="68"/>
  <c r="AU91" i="68"/>
  <c r="BC91" i="68"/>
  <c r="BR91" i="68"/>
  <c r="BP39" i="68"/>
  <c r="BD111" i="68"/>
  <c r="BW111" i="68"/>
  <c r="BW52" i="68"/>
  <c r="AY33" i="68"/>
  <c r="AA91" i="68"/>
  <c r="AI91" i="68"/>
  <c r="BN91" i="68"/>
  <c r="F29" i="68"/>
  <c r="AA31" i="68"/>
  <c r="BV31" i="68"/>
  <c r="J33" i="68"/>
  <c r="AU33" i="68"/>
  <c r="BU33" i="68"/>
  <c r="AB37" i="68"/>
  <c r="M39" i="68"/>
  <c r="BP43" i="68"/>
  <c r="J45" i="68"/>
  <c r="BT45" i="68"/>
  <c r="AV49" i="68"/>
  <c r="BA91" i="68"/>
  <c r="BP91" i="68"/>
  <c r="AB91" i="68"/>
  <c r="R111" i="68"/>
  <c r="H127" i="68"/>
  <c r="AR41" i="68"/>
  <c r="J29" i="68"/>
  <c r="AZ33" i="68"/>
  <c r="AE37" i="68"/>
  <c r="BU37" i="68"/>
  <c r="Z39" i="68"/>
  <c r="R83" i="68"/>
  <c r="C77" i="68" s="1"/>
  <c r="R52" i="68"/>
  <c r="K29" i="68"/>
  <c r="AV31" i="68"/>
  <c r="Z33" i="68"/>
  <c r="BC33" i="68"/>
  <c r="AJ37" i="68"/>
  <c r="AA39" i="68"/>
  <c r="BT41" i="68"/>
  <c r="Z43" i="68"/>
  <c r="AB45" i="68"/>
  <c r="BW61" i="68"/>
  <c r="BW71" i="68" s="1"/>
  <c r="D77" i="68"/>
  <c r="AI39" i="68"/>
  <c r="BU41" i="68"/>
  <c r="AE45" i="68"/>
  <c r="AA49" i="68"/>
  <c r="BW87" i="68"/>
  <c r="Z31" i="68"/>
  <c r="BT31" i="68"/>
  <c r="AZ37" i="68"/>
  <c r="AY91" i="68"/>
  <c r="G29" i="68"/>
  <c r="AF31" i="68"/>
  <c r="AD37" i="68"/>
  <c r="BL37" i="68"/>
  <c r="Y45" i="68"/>
  <c r="L29" i="68"/>
  <c r="AY31" i="68"/>
  <c r="AD33" i="68"/>
  <c r="AA43" i="68"/>
  <c r="BD52" i="68"/>
  <c r="O29" i="68"/>
  <c r="BC31" i="68"/>
  <c r="AE33" i="68"/>
  <c r="BL33" i="68"/>
  <c r="AW37" i="68"/>
  <c r="I41" i="68"/>
  <c r="AI43" i="68"/>
  <c r="AD49" i="68"/>
  <c r="BL71" i="68"/>
  <c r="AH91" i="68"/>
  <c r="AK111" i="68"/>
  <c r="G89" i="56"/>
  <c r="G90" i="56" s="1"/>
  <c r="G156" i="56" s="1"/>
  <c r="H89" i="56"/>
  <c r="H90" i="56" s="1"/>
  <c r="H137" i="56"/>
  <c r="H153" i="56"/>
  <c r="N29" i="68"/>
  <c r="AD31" i="68"/>
  <c r="BA31" i="68"/>
  <c r="O33" i="68"/>
  <c r="AJ33" i="68"/>
  <c r="AA35" i="68"/>
  <c r="BP35" i="68"/>
  <c r="I37" i="68"/>
  <c r="AH37" i="68"/>
  <c r="AH39" i="68"/>
  <c r="BQ39" i="68"/>
  <c r="Q41" i="68"/>
  <c r="AW41" i="68"/>
  <c r="AH43" i="68"/>
  <c r="BQ43" i="68"/>
  <c r="I45" i="68"/>
  <c r="AD45" i="68"/>
  <c r="BM45" i="68"/>
  <c r="AW49" i="68"/>
  <c r="Q29" i="68"/>
  <c r="AH31" i="68"/>
  <c r="AR33" i="68"/>
  <c r="BM33" i="68"/>
  <c r="AI35" i="68"/>
  <c r="Q37" i="68"/>
  <c r="BM37" i="68"/>
  <c r="AB41" i="68"/>
  <c r="AZ41" i="68"/>
  <c r="L45" i="68"/>
  <c r="BU45" i="68"/>
  <c r="AB49" i="68"/>
  <c r="BQ49" i="68"/>
  <c r="H29" i="68"/>
  <c r="N31" i="68"/>
  <c r="AI31" i="68"/>
  <c r="BN31" i="68"/>
  <c r="AR37" i="68"/>
  <c r="BR37" i="68"/>
  <c r="AU39" i="68"/>
  <c r="AD41" i="68"/>
  <c r="AU43" i="68"/>
  <c r="O45" i="68"/>
  <c r="AR45" i="68"/>
  <c r="BC35" i="68"/>
  <c r="AH35" i="68"/>
  <c r="J37" i="68"/>
  <c r="AY41" i="68"/>
  <c r="I29" i="68"/>
  <c r="Q31" i="68"/>
  <c r="BP31" i="68"/>
  <c r="AB33" i="68"/>
  <c r="AW33" i="68"/>
  <c r="BR33" i="68"/>
  <c r="AU35" i="68"/>
  <c r="Z37" i="68"/>
  <c r="AU37" i="68"/>
  <c r="BT37" i="68"/>
  <c r="AV39" i="68"/>
  <c r="AE41" i="68"/>
  <c r="BL41" i="68"/>
  <c r="AV43" i="68"/>
  <c r="Q45" i="68"/>
  <c r="AY45" i="68"/>
  <c r="F49" i="68"/>
  <c r="AI49" i="68"/>
  <c r="Z35" i="68"/>
  <c r="G37" i="68"/>
  <c r="BQ35" i="68"/>
  <c r="AU31" i="68"/>
  <c r="AV35" i="68"/>
  <c r="BC39" i="68"/>
  <c r="AJ41" i="68"/>
  <c r="BM41" i="68"/>
  <c r="BC43" i="68"/>
  <c r="AZ45" i="68"/>
  <c r="H47" i="68"/>
  <c r="G49" i="68"/>
  <c r="BR29" i="68"/>
  <c r="BP29" i="68"/>
  <c r="BV29" i="68"/>
  <c r="AS29" i="68"/>
  <c r="Y29" i="68"/>
  <c r="BO29" i="68"/>
  <c r="M29" i="68"/>
  <c r="Z29" i="68"/>
  <c r="AH29" i="68"/>
  <c r="AU29" i="68"/>
  <c r="BC29" i="68"/>
  <c r="BQ29" i="68"/>
  <c r="BO31" i="68"/>
  <c r="BB31" i="68"/>
  <c r="AT31" i="68"/>
  <c r="AG31" i="68"/>
  <c r="Y31" i="68"/>
  <c r="BU31" i="68"/>
  <c r="BM31" i="68"/>
  <c r="AZ31" i="68"/>
  <c r="AR31" i="68"/>
  <c r="AE31" i="68"/>
  <c r="BS31" i="68"/>
  <c r="BK31" i="68"/>
  <c r="AX31" i="68"/>
  <c r="AC31" i="68"/>
  <c r="BR31" i="68"/>
  <c r="AW31" i="68"/>
  <c r="AJ31" i="68"/>
  <c r="AB31" i="68"/>
  <c r="AS31" i="68"/>
  <c r="BL31" i="68"/>
  <c r="I47" i="68"/>
  <c r="AK61" i="68"/>
  <c r="BW88" i="68"/>
  <c r="BB29" i="68"/>
  <c r="AA29" i="68"/>
  <c r="AB29" i="68"/>
  <c r="AJ29" i="68"/>
  <c r="AW29" i="68"/>
  <c r="BT29" i="68"/>
  <c r="F31" i="68"/>
  <c r="L35" i="68"/>
  <c r="K35" i="68"/>
  <c r="J35" i="68"/>
  <c r="Q35" i="68"/>
  <c r="I35" i="68"/>
  <c r="P35" i="68"/>
  <c r="H35" i="68"/>
  <c r="O35" i="68"/>
  <c r="G35" i="68"/>
  <c r="F43" i="68"/>
  <c r="Q47" i="68"/>
  <c r="AG29" i="68"/>
  <c r="AV29" i="68"/>
  <c r="P29" i="68"/>
  <c r="AC29" i="68"/>
  <c r="AX29" i="68"/>
  <c r="BK29" i="68"/>
  <c r="BU29" i="68"/>
  <c r="F35" i="68"/>
  <c r="M43" i="68"/>
  <c r="BD61" i="68"/>
  <c r="AS71" i="68"/>
  <c r="AK88" i="68"/>
  <c r="AF29" i="68"/>
  <c r="BN29" i="68"/>
  <c r="R61" i="68"/>
  <c r="P71" i="68"/>
  <c r="L31" i="68"/>
  <c r="I31" i="68"/>
  <c r="Q43" i="68"/>
  <c r="P43" i="68"/>
  <c r="P31" i="68"/>
  <c r="G31" i="68"/>
  <c r="O31" i="68"/>
  <c r="AD29" i="68"/>
  <c r="AY29" i="68"/>
  <c r="BL29" i="68"/>
  <c r="K31" i="68"/>
  <c r="L39" i="68"/>
  <c r="K39" i="68"/>
  <c r="J39" i="68"/>
  <c r="Q39" i="68"/>
  <c r="I39" i="68"/>
  <c r="P39" i="68"/>
  <c r="H39" i="68"/>
  <c r="O39" i="68"/>
  <c r="G39" i="68"/>
  <c r="BD87" i="68"/>
  <c r="BA29" i="68"/>
  <c r="AT29" i="68"/>
  <c r="AI29" i="68"/>
  <c r="BS29" i="68"/>
  <c r="O47" i="68"/>
  <c r="G47" i="68"/>
  <c r="L43" i="68"/>
  <c r="N47" i="68"/>
  <c r="F47" i="68"/>
  <c r="K43" i="68"/>
  <c r="M47" i="68"/>
  <c r="J43" i="68"/>
  <c r="L47" i="68"/>
  <c r="I43" i="68"/>
  <c r="K47" i="68"/>
  <c r="H43" i="68"/>
  <c r="J47" i="68"/>
  <c r="O43" i="68"/>
  <c r="G43" i="68"/>
  <c r="AK52" i="68"/>
  <c r="AE29" i="68"/>
  <c r="AR29" i="68"/>
  <c r="AZ29" i="68"/>
  <c r="BM29" i="68"/>
  <c r="M31" i="68"/>
  <c r="F39" i="68"/>
  <c r="BD88" i="68"/>
  <c r="K119" i="68"/>
  <c r="I119" i="68"/>
  <c r="G119" i="68"/>
  <c r="K33" i="68"/>
  <c r="AF33" i="68"/>
  <c r="AS33" i="68"/>
  <c r="BA33" i="68"/>
  <c r="BN33" i="68"/>
  <c r="BV33" i="68"/>
  <c r="AB35" i="68"/>
  <c r="AJ35" i="68"/>
  <c r="AW35" i="68"/>
  <c r="BR35" i="68"/>
  <c r="K37" i="68"/>
  <c r="AF37" i="68"/>
  <c r="AS37" i="68"/>
  <c r="BA37" i="68"/>
  <c r="BN37" i="68"/>
  <c r="BV37" i="68"/>
  <c r="AB39" i="68"/>
  <c r="AJ39" i="68"/>
  <c r="AW39" i="68"/>
  <c r="BR39" i="68"/>
  <c r="K41" i="68"/>
  <c r="AF41" i="68"/>
  <c r="AS41" i="68"/>
  <c r="BA41" i="68"/>
  <c r="BN41" i="68"/>
  <c r="BV41" i="68"/>
  <c r="AB43" i="68"/>
  <c r="AJ43" i="68"/>
  <c r="AW43" i="68"/>
  <c r="BR43" i="68"/>
  <c r="K45" i="68"/>
  <c r="AF45" i="68"/>
  <c r="AS45" i="68"/>
  <c r="BA45" i="68"/>
  <c r="BN45" i="68"/>
  <c r="BV45" i="68"/>
  <c r="H49" i="68"/>
  <c r="P49" i="68"/>
  <c r="AC49" i="68"/>
  <c r="AX49" i="68"/>
  <c r="BK49" i="68"/>
  <c r="BS49" i="68"/>
  <c r="L33" i="68"/>
  <c r="Y33" i="68"/>
  <c r="AG33" i="68"/>
  <c r="AT33" i="68"/>
  <c r="BB33" i="68"/>
  <c r="BO33" i="68"/>
  <c r="AC35" i="68"/>
  <c r="AX35" i="68"/>
  <c r="BK35" i="68"/>
  <c r="BS35" i="68"/>
  <c r="L37" i="68"/>
  <c r="Y37" i="68"/>
  <c r="AG37" i="68"/>
  <c r="AT37" i="68"/>
  <c r="BB37" i="68"/>
  <c r="BO37" i="68"/>
  <c r="AC39" i="68"/>
  <c r="AX39" i="68"/>
  <c r="BK39" i="68"/>
  <c r="BS39" i="68"/>
  <c r="L41" i="68"/>
  <c r="Y41" i="68"/>
  <c r="AG41" i="68"/>
  <c r="AT41" i="68"/>
  <c r="BB41" i="68"/>
  <c r="BO41" i="68"/>
  <c r="AC43" i="68"/>
  <c r="AX43" i="68"/>
  <c r="BK43" i="68"/>
  <c r="BS43" i="68"/>
  <c r="AG45" i="68"/>
  <c r="AT45" i="68"/>
  <c r="BB45" i="68"/>
  <c r="BO45" i="68"/>
  <c r="I49" i="68"/>
  <c r="Q49" i="68"/>
  <c r="AY49" i="68"/>
  <c r="BL49" i="68"/>
  <c r="BT49" i="68"/>
  <c r="M33" i="68"/>
  <c r="AD35" i="68"/>
  <c r="AY35" i="68"/>
  <c r="BL35" i="68"/>
  <c r="BT35" i="68"/>
  <c r="M37" i="68"/>
  <c r="BC37" i="68"/>
  <c r="BP37" i="68"/>
  <c r="AD39" i="68"/>
  <c r="AY39" i="68"/>
  <c r="BL39" i="68"/>
  <c r="BT39" i="68"/>
  <c r="M41" i="68"/>
  <c r="Z41" i="68"/>
  <c r="AH41" i="68"/>
  <c r="AU41" i="68"/>
  <c r="BC41" i="68"/>
  <c r="BP41" i="68"/>
  <c r="AD43" i="68"/>
  <c r="AY43" i="68"/>
  <c r="BL43" i="68"/>
  <c r="BT43" i="68"/>
  <c r="M45" i="68"/>
  <c r="Z45" i="68"/>
  <c r="AH45" i="68"/>
  <c r="AU45" i="68"/>
  <c r="BC45" i="68"/>
  <c r="BP45" i="68"/>
  <c r="J49" i="68"/>
  <c r="AE49" i="68"/>
  <c r="AR49" i="68"/>
  <c r="AZ49" i="68"/>
  <c r="BM49" i="68"/>
  <c r="BU49" i="68"/>
  <c r="F33" i="68"/>
  <c r="N33" i="68"/>
  <c r="AA33" i="68"/>
  <c r="AI33" i="68"/>
  <c r="AV33" i="68"/>
  <c r="BQ33" i="68"/>
  <c r="AE35" i="68"/>
  <c r="AR35" i="68"/>
  <c r="AZ35" i="68"/>
  <c r="BM35" i="68"/>
  <c r="BU35" i="68"/>
  <c r="F37" i="68"/>
  <c r="N37" i="68"/>
  <c r="AA37" i="68"/>
  <c r="AI37" i="68"/>
  <c r="AV37" i="68"/>
  <c r="BQ37" i="68"/>
  <c r="AE39" i="68"/>
  <c r="AR39" i="68"/>
  <c r="AZ39" i="68"/>
  <c r="BM39" i="68"/>
  <c r="BU39" i="68"/>
  <c r="F41" i="68"/>
  <c r="N41" i="68"/>
  <c r="AA41" i="68"/>
  <c r="AI41" i="68"/>
  <c r="AV41" i="68"/>
  <c r="BQ41" i="68"/>
  <c r="AE43" i="68"/>
  <c r="AR43" i="68"/>
  <c r="AZ43" i="68"/>
  <c r="BM43" i="68"/>
  <c r="BU43" i="68"/>
  <c r="F45" i="68"/>
  <c r="AA45" i="68"/>
  <c r="AI45" i="68"/>
  <c r="AV45" i="68"/>
  <c r="BQ45" i="68"/>
  <c r="K49" i="68"/>
  <c r="AF49" i="68"/>
  <c r="AS49" i="68"/>
  <c r="BA49" i="68"/>
  <c r="BN49" i="68"/>
  <c r="BV49" i="68"/>
  <c r="AK87" i="68"/>
  <c r="AF35" i="68"/>
  <c r="AS35" i="68"/>
  <c r="BA35" i="68"/>
  <c r="BN35" i="68"/>
  <c r="BV35" i="68"/>
  <c r="O37" i="68"/>
  <c r="AF39" i="68"/>
  <c r="AS39" i="68"/>
  <c r="BA39" i="68"/>
  <c r="BN39" i="68"/>
  <c r="BV39" i="68"/>
  <c r="G41" i="68"/>
  <c r="O41" i="68"/>
  <c r="BR41" i="68"/>
  <c r="AF43" i="68"/>
  <c r="AS43" i="68"/>
  <c r="BA43" i="68"/>
  <c r="BN43" i="68"/>
  <c r="BV43" i="68"/>
  <c r="AJ45" i="68"/>
  <c r="AW45" i="68"/>
  <c r="BR45" i="68"/>
  <c r="L49" i="68"/>
  <c r="Y49" i="68"/>
  <c r="AG49" i="68"/>
  <c r="AT49" i="68"/>
  <c r="BB49" i="68"/>
  <c r="BO49" i="68"/>
  <c r="Z71" i="68"/>
  <c r="H33" i="68"/>
  <c r="P33" i="68"/>
  <c r="AC33" i="68"/>
  <c r="AX33" i="68"/>
  <c r="BK33" i="68"/>
  <c r="Y35" i="68"/>
  <c r="AG35" i="68"/>
  <c r="AT35" i="68"/>
  <c r="BB35" i="68"/>
  <c r="H37" i="68"/>
  <c r="AC37" i="68"/>
  <c r="AX37" i="68"/>
  <c r="BK37" i="68"/>
  <c r="Y39" i="68"/>
  <c r="AG39" i="68"/>
  <c r="AT39" i="68"/>
  <c r="BB39" i="68"/>
  <c r="AC41" i="68"/>
  <c r="AX41" i="68"/>
  <c r="BK41" i="68"/>
  <c r="Y43" i="68"/>
  <c r="AG43" i="68"/>
  <c r="AT43" i="68"/>
  <c r="BB43" i="68"/>
  <c r="AC45" i="68"/>
  <c r="AX45" i="68"/>
  <c r="BK45" i="68"/>
  <c r="Z49" i="68"/>
  <c r="AH49" i="68"/>
  <c r="AU49" i="68"/>
  <c r="BC49" i="68"/>
  <c r="E7" i="56" l="1"/>
  <c r="G24" i="68"/>
  <c r="BH77" i="68"/>
  <c r="BH57" i="68"/>
  <c r="BW91" i="68"/>
  <c r="BD91" i="68"/>
  <c r="AK91" i="68"/>
  <c r="R29" i="68"/>
  <c r="R91" i="68"/>
  <c r="L119" i="68"/>
  <c r="BS50" i="68"/>
  <c r="BS12" i="68" s="1"/>
  <c r="BS13" i="68" s="1"/>
  <c r="H156" i="56"/>
  <c r="AK31" i="68"/>
  <c r="BD33" i="68"/>
  <c r="O50" i="68"/>
  <c r="O12" i="68" s="1"/>
  <c r="O13" i="68" s="1"/>
  <c r="O14" i="68" s="1"/>
  <c r="R35" i="68"/>
  <c r="L50" i="68"/>
  <c r="L12" i="68" s="1"/>
  <c r="L13" i="68" s="1"/>
  <c r="L14" i="68" s="1"/>
  <c r="BU50" i="68"/>
  <c r="BU12" i="68" s="1"/>
  <c r="BU13" i="68" s="1"/>
  <c r="BU14" i="68" s="1"/>
  <c r="BU15" i="68" s="1"/>
  <c r="BW45" i="68"/>
  <c r="AK49" i="68"/>
  <c r="BD49" i="68"/>
  <c r="BD37" i="68"/>
  <c r="BD45" i="68"/>
  <c r="Q50" i="68"/>
  <c r="Q12" i="68" s="1"/>
  <c r="Q13" i="68" s="1"/>
  <c r="AK45" i="68"/>
  <c r="J50" i="68"/>
  <c r="J12" i="68" s="1"/>
  <c r="J13" i="68" s="1"/>
  <c r="J14" i="68" s="1"/>
  <c r="J15" i="68" s="1"/>
  <c r="G50" i="68"/>
  <c r="G12" i="68" s="1"/>
  <c r="R49" i="68"/>
  <c r="H50" i="68"/>
  <c r="H12" i="68" s="1"/>
  <c r="H13" i="68" s="1"/>
  <c r="BD41" i="68"/>
  <c r="K50" i="68"/>
  <c r="K12" i="68" s="1"/>
  <c r="K13" i="68" s="1"/>
  <c r="K14" i="68" s="1"/>
  <c r="BQ50" i="68"/>
  <c r="BQ12" i="68" s="1"/>
  <c r="BQ13" i="68" s="1"/>
  <c r="N50" i="68"/>
  <c r="N12" i="68" s="1"/>
  <c r="N13" i="68" s="1"/>
  <c r="N14" i="68" s="1"/>
  <c r="I50" i="68"/>
  <c r="I12" i="68" s="1"/>
  <c r="I13" i="68" s="1"/>
  <c r="I14" i="68" s="1"/>
  <c r="I15" i="68" s="1"/>
  <c r="BW49" i="68"/>
  <c r="AI50" i="68"/>
  <c r="AI12" i="68" s="1"/>
  <c r="BN50" i="68"/>
  <c r="BN12" i="68" s="1"/>
  <c r="AW50" i="68"/>
  <c r="AW12" i="68" s="1"/>
  <c r="BC50" i="68"/>
  <c r="BC12" i="68" s="1"/>
  <c r="AS50" i="68"/>
  <c r="AS12" i="68" s="1"/>
  <c r="BD39" i="68"/>
  <c r="BW43" i="68"/>
  <c r="BM50" i="68"/>
  <c r="BM12" i="68" s="1"/>
  <c r="BL50" i="68"/>
  <c r="BL12" i="68" s="1"/>
  <c r="AF50" i="68"/>
  <c r="AF12" i="68" s="1"/>
  <c r="BW29" i="68"/>
  <c r="BK50" i="68"/>
  <c r="BK12" i="68" s="1"/>
  <c r="AJ50" i="68"/>
  <c r="AJ12" i="68" s="1"/>
  <c r="AU50" i="68"/>
  <c r="AU12" i="68" s="1"/>
  <c r="BV50" i="68"/>
  <c r="BV12" i="68" s="1"/>
  <c r="AG50" i="68"/>
  <c r="AG12" i="68" s="1"/>
  <c r="V57" i="68"/>
  <c r="AK71" i="68"/>
  <c r="R37" i="68"/>
  <c r="AK41" i="68"/>
  <c r="BP50" i="68"/>
  <c r="BP12" i="68" s="1"/>
  <c r="R33" i="68"/>
  <c r="BW39" i="68"/>
  <c r="AR50" i="68"/>
  <c r="AR12" i="68" s="1"/>
  <c r="BD29" i="68"/>
  <c r="BA50" i="68"/>
  <c r="BA12" i="68" s="1"/>
  <c r="AD50" i="68"/>
  <c r="AD12" i="68" s="1"/>
  <c r="AC50" i="68"/>
  <c r="AC12" i="68" s="1"/>
  <c r="AA50" i="68"/>
  <c r="AA12" i="68" s="1"/>
  <c r="BW31" i="68"/>
  <c r="Z50" i="68"/>
  <c r="Z12" i="68" s="1"/>
  <c r="BR50" i="68"/>
  <c r="BR12" i="68" s="1"/>
  <c r="AZ50" i="68"/>
  <c r="AZ12" i="68" s="1"/>
  <c r="AT50" i="68"/>
  <c r="AT12" i="68" s="1"/>
  <c r="AX50" i="68"/>
  <c r="AX12" i="68" s="1"/>
  <c r="AK35" i="68"/>
  <c r="AK33" i="68"/>
  <c r="V77" i="68"/>
  <c r="AE50" i="68"/>
  <c r="AE12" i="68" s="1"/>
  <c r="P50" i="68"/>
  <c r="P12" i="68" s="1"/>
  <c r="R43" i="68"/>
  <c r="F50" i="68"/>
  <c r="F12" i="68" s="1"/>
  <c r="M50" i="68"/>
  <c r="M12" i="68" s="1"/>
  <c r="R47" i="68"/>
  <c r="AB50" i="68"/>
  <c r="AB12" i="68" s="1"/>
  <c r="BD35" i="68"/>
  <c r="BW37" i="68"/>
  <c r="R41" i="68"/>
  <c r="BW35" i="68"/>
  <c r="AO77" i="68"/>
  <c r="BD71" i="68"/>
  <c r="AO57" i="68"/>
  <c r="BB50" i="68"/>
  <c r="BB12" i="68" s="1"/>
  <c r="BO50" i="68"/>
  <c r="BO12" i="68" s="1"/>
  <c r="R71" i="68"/>
  <c r="C57" i="68"/>
  <c r="BT50" i="68"/>
  <c r="BT12" i="68" s="1"/>
  <c r="R45" i="68"/>
  <c r="AK37" i="68"/>
  <c r="AY50" i="68"/>
  <c r="AY12" i="68" s="1"/>
  <c r="AH50" i="68"/>
  <c r="AH12" i="68" s="1"/>
  <c r="AK39" i="68"/>
  <c r="AK43" i="68"/>
  <c r="BW33" i="68"/>
  <c r="BW41" i="68"/>
  <c r="BD43" i="68"/>
  <c r="R39" i="68"/>
  <c r="AV50" i="68"/>
  <c r="AV12" i="68" s="1"/>
  <c r="R31" i="68"/>
  <c r="BD31" i="68"/>
  <c r="Y50" i="68"/>
  <c r="Y12" i="68" s="1"/>
  <c r="AK29" i="68"/>
  <c r="D24" i="68" l="1"/>
  <c r="S50" i="68"/>
  <c r="G13" i="68"/>
  <c r="G14" i="68" s="1"/>
  <c r="G15" i="68" s="1"/>
  <c r="BQ14" i="68"/>
  <c r="BQ15" i="68" s="1"/>
  <c r="R50" i="68"/>
  <c r="BT13" i="68"/>
  <c r="BV13" i="68"/>
  <c r="BV14" i="68" s="1"/>
  <c r="BV15" i="68" s="1"/>
  <c r="M13" i="68"/>
  <c r="AU13" i="68"/>
  <c r="AU14" i="68" s="1"/>
  <c r="AU15" i="68" s="1"/>
  <c r="Q14" i="68"/>
  <c r="Q15" i="68" s="1"/>
  <c r="BA13" i="68"/>
  <c r="AS13" i="68"/>
  <c r="AS14" i="68" s="1"/>
  <c r="AS15" i="68" s="1"/>
  <c r="BD50" i="68"/>
  <c r="AO24" i="68"/>
  <c r="BK13" i="68"/>
  <c r="BK14" i="68" s="1"/>
  <c r="BW12" i="68"/>
  <c r="BB13" i="68"/>
  <c r="BB14" i="68" s="1"/>
  <c r="BB15" i="68" s="1"/>
  <c r="T50" i="68"/>
  <c r="C24" i="68"/>
  <c r="BR13" i="68"/>
  <c r="BR14" i="68" s="1"/>
  <c r="AW13" i="68"/>
  <c r="AW14" i="68" s="1"/>
  <c r="AV13" i="68"/>
  <c r="AY13" i="68"/>
  <c r="AY14" i="68" s="1"/>
  <c r="AE13" i="68"/>
  <c r="Z13" i="68"/>
  <c r="AF13" i="68"/>
  <c r="AF14" i="68" s="1"/>
  <c r="N15" i="68"/>
  <c r="K15" i="68"/>
  <c r="BN13" i="68"/>
  <c r="AX13" i="68"/>
  <c r="AI13" i="68"/>
  <c r="AT13" i="68"/>
  <c r="AT14" i="68" s="1"/>
  <c r="AT15" i="68" s="1"/>
  <c r="BO13" i="68"/>
  <c r="BO14" i="68" s="1"/>
  <c r="BO15" i="68" s="1"/>
  <c r="AZ13" i="68"/>
  <c r="AZ14" i="68" s="1"/>
  <c r="BC13" i="68"/>
  <c r="BC14" i="68" s="1"/>
  <c r="BC15" i="68" s="1"/>
  <c r="O15" i="68"/>
  <c r="AH13" i="68"/>
  <c r="BY12" i="68"/>
  <c r="P13" i="68"/>
  <c r="S12" i="68"/>
  <c r="AG13" i="68"/>
  <c r="BW50" i="68"/>
  <c r="BH24" i="68"/>
  <c r="BS14" i="68"/>
  <c r="BS15" i="68" s="1"/>
  <c r="BL13" i="68"/>
  <c r="BL14" i="68" s="1"/>
  <c r="BL15" i="68" s="1"/>
  <c r="L15" i="68"/>
  <c r="AC13" i="68"/>
  <c r="AC14" i="68" s="1"/>
  <c r="AK50" i="68"/>
  <c r="V24" i="68"/>
  <c r="AD13" i="68"/>
  <c r="AD14" i="68" s="1"/>
  <c r="H14" i="68"/>
  <c r="H15" i="68" s="1"/>
  <c r="AK12" i="68"/>
  <c r="Y13" i="68"/>
  <c r="Y14" i="68" s="1"/>
  <c r="Y15" i="68" s="1"/>
  <c r="R12" i="68"/>
  <c r="F13" i="68"/>
  <c r="F14" i="68" s="1"/>
  <c r="AJ13" i="68"/>
  <c r="BD12" i="68"/>
  <c r="AR13" i="68"/>
  <c r="AB13" i="68"/>
  <c r="AB14" i="68" s="1"/>
  <c r="AB15" i="68" s="1"/>
  <c r="AA13" i="68"/>
  <c r="BP13" i="68"/>
  <c r="BP14" i="68" s="1"/>
  <c r="BP15" i="68" s="1"/>
  <c r="BM13" i="68"/>
  <c r="BM14" i="68" s="1"/>
  <c r="BM15" i="68" s="1"/>
  <c r="F15" i="68" l="1"/>
  <c r="BN14" i="68"/>
  <c r="BN15" i="68" s="1"/>
  <c r="AW15" i="68"/>
  <c r="AF15" i="68"/>
  <c r="BR15" i="68"/>
  <c r="BK15" i="68"/>
  <c r="AD15" i="68"/>
  <c r="AJ14" i="68"/>
  <c r="AJ15" i="68" s="1"/>
  <c r="M14" i="68"/>
  <c r="M15" i="68" s="1"/>
  <c r="O16" i="68" s="1"/>
  <c r="CA12" i="68"/>
  <c r="BD13" i="68"/>
  <c r="CA13" i="68" s="1"/>
  <c r="AA14" i="68"/>
  <c r="AA15" i="68" s="1"/>
  <c r="AY15" i="68"/>
  <c r="P14" i="68"/>
  <c r="P15" i="68" s="1"/>
  <c r="Q16" i="68" s="1"/>
  <c r="Z14" i="68"/>
  <c r="Z15" i="68" s="1"/>
  <c r="BA14" i="68"/>
  <c r="BA15" i="68" s="1"/>
  <c r="BT14" i="68"/>
  <c r="BT15" i="68" s="1"/>
  <c r="CB12" i="68"/>
  <c r="BW13" i="68"/>
  <c r="CB13" i="68" s="1"/>
  <c r="AL12" i="68"/>
  <c r="BZ12" i="68"/>
  <c r="AK13" i="68"/>
  <c r="AC15" i="68"/>
  <c r="AZ15" i="68"/>
  <c r="AV14" i="68"/>
  <c r="AV15" i="68" s="1"/>
  <c r="R13" i="68"/>
  <c r="R14" i="68" s="1"/>
  <c r="R15" i="68" s="1"/>
  <c r="AE14" i="68"/>
  <c r="AE15" i="68" s="1"/>
  <c r="AR14" i="68"/>
  <c r="AR15" i="68" s="1"/>
  <c r="BY13" i="68"/>
  <c r="S13" i="68"/>
  <c r="AX14" i="68"/>
  <c r="AX15" i="68" s="1"/>
  <c r="AG14" i="68"/>
  <c r="AG15" i="68" s="1"/>
  <c r="AH14" i="68"/>
  <c r="AH15" i="68" s="1"/>
  <c r="AI14" i="68"/>
  <c r="AI15" i="68" s="1"/>
  <c r="BW14" i="68" l="1"/>
  <c r="CB14" i="68" s="1"/>
  <c r="CB15" i="68" s="1"/>
  <c r="CB17" i="68" s="1"/>
  <c r="BD14" i="68"/>
  <c r="CA14" i="68" s="1"/>
  <c r="CA15" i="68" s="1"/>
  <c r="CA17" i="68" s="1"/>
  <c r="CC12" i="68"/>
  <c r="BZ13" i="68"/>
  <c r="CC13" i="68" s="1"/>
  <c r="AL13" i="68"/>
  <c r="S14" i="68"/>
  <c r="S15" i="68" s="1"/>
  <c r="BY14" i="68"/>
  <c r="AK14" i="68"/>
  <c r="AK15" i="68" s="1"/>
  <c r="BD15" i="68" l="1"/>
  <c r="BW15" i="68"/>
  <c r="AL14" i="68"/>
  <c r="AL15" i="68" s="1"/>
  <c r="BZ14" i="68"/>
  <c r="BZ15" i="68" s="1"/>
  <c r="BZ17" i="68" s="1"/>
  <c r="BY15" i="68"/>
  <c r="BY17" i="68" s="1"/>
  <c r="CC14" i="68" l="1"/>
  <c r="CC15" i="68" s="1"/>
  <c r="CC17" i="68"/>
  <c r="F24" i="68" l="1"/>
  <c r="H24" i="68" s="1"/>
  <c r="L95" i="56" l="1"/>
  <c r="J95" i="56"/>
  <c r="W137" i="56" l="1"/>
  <c r="U137" i="56"/>
  <c r="S137" i="56"/>
  <c r="Q137" i="56"/>
  <c r="O137" i="56"/>
  <c r="Y137" i="56"/>
  <c r="M137" i="56"/>
  <c r="J94" i="56" l="1"/>
  <c r="J97" i="56"/>
  <c r="J100" i="56"/>
  <c r="J103" i="56"/>
  <c r="J105" i="56"/>
  <c r="J106" i="56"/>
  <c r="J108" i="56"/>
  <c r="J113" i="56"/>
  <c r="J115" i="56"/>
  <c r="J120" i="56"/>
  <c r="J121" i="56"/>
  <c r="J122" i="56"/>
  <c r="J123" i="56"/>
  <c r="J124" i="56"/>
  <c r="J125" i="56"/>
  <c r="J126" i="56"/>
  <c r="J127" i="56"/>
  <c r="J129" i="56"/>
  <c r="J130" i="56"/>
  <c r="J131" i="56"/>
  <c r="J133" i="56"/>
  <c r="J92" i="56"/>
  <c r="L94" i="56"/>
  <c r="L97" i="56"/>
  <c r="L100" i="56"/>
  <c r="L103" i="56"/>
  <c r="L105" i="56"/>
  <c r="L106" i="56"/>
  <c r="L108" i="56"/>
  <c r="L113" i="56"/>
  <c r="L115" i="56"/>
  <c r="L120" i="56"/>
  <c r="L121" i="56"/>
  <c r="L122" i="56"/>
  <c r="L123" i="56"/>
  <c r="L124" i="56"/>
  <c r="L125" i="56"/>
  <c r="L126" i="56"/>
  <c r="L127" i="56"/>
  <c r="L129" i="56"/>
  <c r="L130" i="56"/>
  <c r="L131" i="56"/>
  <c r="L133" i="56"/>
  <c r="L136" i="56"/>
  <c r="L92" i="56"/>
  <c r="L26" i="56"/>
  <c r="L29" i="56"/>
  <c r="L32" i="56"/>
  <c r="L35" i="56"/>
  <c r="L38" i="56"/>
  <c r="L41" i="56"/>
  <c r="L44" i="56"/>
  <c r="L59" i="56"/>
  <c r="L74" i="56"/>
  <c r="L83" i="56"/>
  <c r="L23" i="56"/>
  <c r="L89" i="56" l="1"/>
  <c r="L90" i="56" s="1"/>
  <c r="T90" i="56"/>
  <c r="P89" i="56"/>
  <c r="P90" i="56" s="1"/>
  <c r="B4" i="56"/>
  <c r="V137" i="56"/>
  <c r="T137" i="56"/>
  <c r="R137" i="56"/>
  <c r="P137" i="56"/>
  <c r="N137" i="56"/>
  <c r="L137" i="56"/>
  <c r="J137" i="56"/>
  <c r="I137" i="56"/>
  <c r="B6" i="56" l="1"/>
  <c r="B7" i="56" s="1"/>
  <c r="AF153" i="56"/>
  <c r="AE153" i="56"/>
  <c r="AF137" i="56"/>
  <c r="AE88" i="56"/>
  <c r="AE86" i="56"/>
  <c r="AE85" i="56"/>
  <c r="AE83" i="56"/>
  <c r="AE76" i="56"/>
  <c r="AE74" i="56"/>
  <c r="AE61" i="56"/>
  <c r="AE59" i="56"/>
  <c r="AE46" i="56"/>
  <c r="AE44" i="56"/>
  <c r="AE43" i="56"/>
  <c r="AE41" i="56"/>
  <c r="AE40" i="56"/>
  <c r="AE38" i="56"/>
  <c r="AE37" i="56"/>
  <c r="AE35" i="56"/>
  <c r="AE34" i="56"/>
  <c r="AE32" i="56"/>
  <c r="AE31" i="56"/>
  <c r="AE29" i="56"/>
  <c r="AE28" i="56"/>
  <c r="AE26" i="56"/>
  <c r="AE25" i="56"/>
  <c r="AE23" i="56"/>
  <c r="AD153" i="56"/>
  <c r="AC153" i="56"/>
  <c r="AD137" i="56"/>
  <c r="AC88" i="56"/>
  <c r="AC86" i="56"/>
  <c r="AC85" i="56"/>
  <c r="AC83" i="56"/>
  <c r="AC76" i="56"/>
  <c r="AC74" i="56"/>
  <c r="AC61" i="56"/>
  <c r="AC59" i="56"/>
  <c r="AC46" i="56"/>
  <c r="AC44" i="56"/>
  <c r="AC43" i="56"/>
  <c r="AC41" i="56"/>
  <c r="AC40" i="56"/>
  <c r="AC38" i="56"/>
  <c r="AC37" i="56"/>
  <c r="AC35" i="56"/>
  <c r="AC34" i="56"/>
  <c r="AC32" i="56"/>
  <c r="AC31" i="56"/>
  <c r="AC29" i="56"/>
  <c r="AC28" i="56"/>
  <c r="AC26" i="56"/>
  <c r="AC25" i="56"/>
  <c r="AC23" i="56"/>
  <c r="AB153" i="56"/>
  <c r="AA153" i="56"/>
  <c r="Z153" i="56"/>
  <c r="Y153" i="56"/>
  <c r="AB137" i="56"/>
  <c r="AA88" i="56"/>
  <c r="Y88" i="56"/>
  <c r="AA86" i="56"/>
  <c r="Y86" i="56"/>
  <c r="AA85" i="56"/>
  <c r="Y85" i="56"/>
  <c r="AA83" i="56"/>
  <c r="Z83" i="56"/>
  <c r="Y83" i="56"/>
  <c r="AA76" i="56"/>
  <c r="Y76" i="56"/>
  <c r="AA74" i="56"/>
  <c r="Z74" i="56"/>
  <c r="Y74" i="56"/>
  <c r="AA61" i="56"/>
  <c r="Y61" i="56"/>
  <c r="AA59" i="56"/>
  <c r="Z59" i="56"/>
  <c r="Y59" i="56"/>
  <c r="AA46" i="56"/>
  <c r="Y46" i="56"/>
  <c r="AA44" i="56"/>
  <c r="Z44" i="56"/>
  <c r="Y44" i="56"/>
  <c r="AA43" i="56"/>
  <c r="Y43" i="56"/>
  <c r="AA41" i="56"/>
  <c r="Z41" i="56"/>
  <c r="Y41" i="56"/>
  <c r="AA40" i="56"/>
  <c r="Y40" i="56"/>
  <c r="AA38" i="56"/>
  <c r="Z38" i="56"/>
  <c r="Y38" i="56"/>
  <c r="AA37" i="56"/>
  <c r="Y37" i="56"/>
  <c r="AA35" i="56"/>
  <c r="Z35" i="56"/>
  <c r="Y35" i="56"/>
  <c r="AA34" i="56"/>
  <c r="Y34" i="56"/>
  <c r="AA32" i="56"/>
  <c r="Z32" i="56"/>
  <c r="Y32" i="56"/>
  <c r="AA31" i="56"/>
  <c r="Y31" i="56"/>
  <c r="AA29" i="56"/>
  <c r="Z29" i="56"/>
  <c r="Y29" i="56"/>
  <c r="AA28" i="56"/>
  <c r="Y28" i="56"/>
  <c r="AA26" i="56"/>
  <c r="Z26" i="56"/>
  <c r="Y26" i="56"/>
  <c r="AA25" i="56"/>
  <c r="Y25" i="56"/>
  <c r="AA23" i="56"/>
  <c r="Z23" i="56"/>
  <c r="Y23" i="56"/>
  <c r="X153" i="56"/>
  <c r="X156" i="56" s="1"/>
  <c r="W153" i="56"/>
  <c r="V153" i="56"/>
  <c r="U153" i="56"/>
  <c r="W88" i="56"/>
  <c r="U88" i="56"/>
  <c r="W86" i="56"/>
  <c r="U86" i="56"/>
  <c r="W85" i="56"/>
  <c r="U85" i="56"/>
  <c r="W83" i="56"/>
  <c r="V83" i="56"/>
  <c r="U83" i="56"/>
  <c r="W76" i="56"/>
  <c r="U76" i="56"/>
  <c r="W74" i="56"/>
  <c r="V74" i="56"/>
  <c r="U74" i="56"/>
  <c r="W61" i="56"/>
  <c r="U61" i="56"/>
  <c r="W59" i="56"/>
  <c r="V59" i="56"/>
  <c r="U59" i="56"/>
  <c r="W46" i="56"/>
  <c r="U46" i="56"/>
  <c r="W44" i="56"/>
  <c r="V44" i="56"/>
  <c r="U44" i="56"/>
  <c r="W43" i="56"/>
  <c r="U43" i="56"/>
  <c r="W41" i="56"/>
  <c r="V41" i="56"/>
  <c r="U41" i="56"/>
  <c r="W40" i="56"/>
  <c r="U40" i="56"/>
  <c r="W38" i="56"/>
  <c r="V38" i="56"/>
  <c r="U38" i="56"/>
  <c r="W37" i="56"/>
  <c r="U37" i="56"/>
  <c r="W35" i="56"/>
  <c r="V35" i="56"/>
  <c r="U35" i="56"/>
  <c r="W34" i="56"/>
  <c r="U34" i="56"/>
  <c r="W32" i="56"/>
  <c r="V32" i="56"/>
  <c r="U32" i="56"/>
  <c r="W31" i="56"/>
  <c r="U31" i="56"/>
  <c r="W29" i="56"/>
  <c r="V29" i="56"/>
  <c r="U29" i="56"/>
  <c r="W28" i="56"/>
  <c r="U28" i="56"/>
  <c r="W26" i="56"/>
  <c r="V26" i="56"/>
  <c r="U26" i="56"/>
  <c r="W25" i="56"/>
  <c r="U25" i="56"/>
  <c r="W23" i="56"/>
  <c r="V23" i="56"/>
  <c r="U23" i="56"/>
  <c r="T153" i="56"/>
  <c r="T156" i="56" s="1"/>
  <c r="S153" i="56"/>
  <c r="R153" i="56"/>
  <c r="Q153" i="56"/>
  <c r="S86" i="56"/>
  <c r="Q86" i="56"/>
  <c r="S85" i="56"/>
  <c r="Q85" i="56"/>
  <c r="S83" i="56"/>
  <c r="R83" i="56"/>
  <c r="Q83" i="56"/>
  <c r="S76" i="56"/>
  <c r="Q76" i="56"/>
  <c r="S74" i="56"/>
  <c r="R74" i="56"/>
  <c r="Q74" i="56"/>
  <c r="S61" i="56"/>
  <c r="Q61" i="56"/>
  <c r="S59" i="56"/>
  <c r="R59" i="56"/>
  <c r="Q59" i="56"/>
  <c r="S46" i="56"/>
  <c r="Q46" i="56"/>
  <c r="S44" i="56"/>
  <c r="R44" i="56"/>
  <c r="Q44" i="56"/>
  <c r="S43" i="56"/>
  <c r="Q43" i="56"/>
  <c r="S41" i="56"/>
  <c r="R41" i="56"/>
  <c r="Q41" i="56"/>
  <c r="S40" i="56"/>
  <c r="Q40" i="56"/>
  <c r="S38" i="56"/>
  <c r="R38" i="56"/>
  <c r="Q38" i="56"/>
  <c r="S37" i="56"/>
  <c r="Q37" i="56"/>
  <c r="S35" i="56"/>
  <c r="R35" i="56"/>
  <c r="Q35" i="56"/>
  <c r="S34" i="56"/>
  <c r="Q34" i="56"/>
  <c r="S32" i="56"/>
  <c r="R32" i="56"/>
  <c r="Q32" i="56"/>
  <c r="S31" i="56"/>
  <c r="Q31" i="56"/>
  <c r="S29" i="56"/>
  <c r="Q29" i="56"/>
  <c r="S28" i="56"/>
  <c r="Q28" i="56"/>
  <c r="S26" i="56"/>
  <c r="R26" i="56"/>
  <c r="Q26" i="56"/>
  <c r="S25" i="56"/>
  <c r="Q25" i="56"/>
  <c r="S23" i="56"/>
  <c r="Q23" i="56"/>
  <c r="P153" i="56"/>
  <c r="P156" i="56" s="1"/>
  <c r="O153" i="56"/>
  <c r="N153" i="56"/>
  <c r="M153" i="56"/>
  <c r="O86" i="56"/>
  <c r="M86" i="56"/>
  <c r="O85" i="56"/>
  <c r="M85" i="56"/>
  <c r="O83" i="56"/>
  <c r="N83" i="56"/>
  <c r="M83" i="56"/>
  <c r="O76" i="56"/>
  <c r="M76" i="56"/>
  <c r="O74" i="56"/>
  <c r="N74" i="56"/>
  <c r="M74" i="56"/>
  <c r="O61" i="56"/>
  <c r="M61" i="56"/>
  <c r="O59" i="56"/>
  <c r="M59" i="56"/>
  <c r="O46" i="56"/>
  <c r="M46" i="56"/>
  <c r="O44" i="56"/>
  <c r="N44" i="56"/>
  <c r="M44" i="56"/>
  <c r="O43" i="56"/>
  <c r="M43" i="56"/>
  <c r="O41" i="56"/>
  <c r="N41" i="56"/>
  <c r="M41" i="56"/>
  <c r="O40" i="56"/>
  <c r="M40" i="56"/>
  <c r="O38" i="56"/>
  <c r="N38" i="56"/>
  <c r="M38" i="56"/>
  <c r="O37" i="56"/>
  <c r="M37" i="56"/>
  <c r="O35" i="56"/>
  <c r="N35" i="56"/>
  <c r="M35" i="56"/>
  <c r="O34" i="56"/>
  <c r="M34" i="56"/>
  <c r="O32" i="56"/>
  <c r="N32" i="56"/>
  <c r="M32" i="56"/>
  <c r="O31" i="56"/>
  <c r="M31" i="56"/>
  <c r="O29" i="56"/>
  <c r="N29" i="56"/>
  <c r="M29" i="56"/>
  <c r="O28" i="56"/>
  <c r="M28" i="56"/>
  <c r="O26" i="56"/>
  <c r="N26" i="56"/>
  <c r="M26" i="56"/>
  <c r="O25" i="56"/>
  <c r="M25" i="56"/>
  <c r="O23" i="56"/>
  <c r="N23" i="56"/>
  <c r="M23" i="56"/>
  <c r="J23" i="56"/>
  <c r="Z89" i="56" l="1"/>
  <c r="Z90" i="56" s="1"/>
  <c r="Z156" i="56" s="1"/>
  <c r="R89" i="56"/>
  <c r="R90" i="56" s="1"/>
  <c r="R156" i="56" s="1"/>
  <c r="AD156" i="56"/>
  <c r="AB156" i="56"/>
  <c r="AF156" i="56"/>
  <c r="N89" i="56"/>
  <c r="N90" i="56" s="1"/>
  <c r="N156" i="56" s="1"/>
  <c r="M89" i="56"/>
  <c r="M90" i="56" s="1"/>
  <c r="M156" i="56" s="1"/>
  <c r="V89" i="56"/>
  <c r="V90" i="56" s="1"/>
  <c r="V156" i="56" s="1"/>
  <c r="AE89" i="56"/>
  <c r="AE156" i="56" s="1"/>
  <c r="D8" i="56" s="1"/>
  <c r="U89" i="56"/>
  <c r="U90" i="56" s="1"/>
  <c r="U156" i="56" s="1"/>
  <c r="O89" i="56"/>
  <c r="O88" i="56" s="1"/>
  <c r="Q89" i="56"/>
  <c r="Q88" i="56" s="1"/>
  <c r="W89" i="56"/>
  <c r="W90" i="56" s="1"/>
  <c r="W156" i="56" s="1"/>
  <c r="Y89" i="56"/>
  <c r="Y90" i="56" s="1"/>
  <c r="Y156" i="56" s="1"/>
  <c r="S89" i="56"/>
  <c r="AC89" i="56"/>
  <c r="AC156" i="56" s="1"/>
  <c r="AA89" i="56"/>
  <c r="AA90" i="56" s="1"/>
  <c r="AA156" i="56" s="1"/>
  <c r="S90" i="56" l="1"/>
  <c r="S156" i="56" s="1"/>
  <c r="S88" i="56"/>
  <c r="C6" i="56"/>
  <c r="C7" i="56" s="1"/>
  <c r="O90" i="56"/>
  <c r="O156" i="56" s="1"/>
  <c r="Q90" i="56"/>
  <c r="Q156" i="56" s="1"/>
  <c r="I25" i="56"/>
  <c r="XCM6" i="56" l="1"/>
  <c r="D7" i="56" l="1"/>
  <c r="L153" i="56" l="1"/>
  <c r="L156" i="56" s="1"/>
  <c r="K153" i="56"/>
  <c r="J153" i="56"/>
  <c r="I153" i="56"/>
  <c r="K137" i="56"/>
  <c r="K88" i="56"/>
  <c r="I88" i="56"/>
  <c r="K86" i="56"/>
  <c r="I86" i="56"/>
  <c r="K85" i="56"/>
  <c r="I85" i="56"/>
  <c r="K83" i="56"/>
  <c r="J83" i="56"/>
  <c r="I83" i="56"/>
  <c r="K76" i="56"/>
  <c r="I76" i="56"/>
  <c r="K74" i="56"/>
  <c r="J74" i="56"/>
  <c r="I74" i="56"/>
  <c r="K61" i="56"/>
  <c r="I61" i="56"/>
  <c r="K59" i="56"/>
  <c r="J59" i="56"/>
  <c r="I59" i="56"/>
  <c r="K46" i="56"/>
  <c r="I46" i="56"/>
  <c r="K44" i="56"/>
  <c r="J44" i="56"/>
  <c r="I44" i="56"/>
  <c r="K43" i="56"/>
  <c r="I43" i="56"/>
  <c r="K41" i="56"/>
  <c r="J41" i="56"/>
  <c r="I41" i="56"/>
  <c r="K40" i="56"/>
  <c r="I40" i="56"/>
  <c r="K38" i="56"/>
  <c r="J38" i="56"/>
  <c r="I38" i="56"/>
  <c r="K37" i="56"/>
  <c r="I37" i="56"/>
  <c r="K35" i="56"/>
  <c r="J35" i="56"/>
  <c r="I35" i="56"/>
  <c r="K34" i="56"/>
  <c r="I34" i="56"/>
  <c r="K32" i="56"/>
  <c r="J32" i="56"/>
  <c r="I32" i="56"/>
  <c r="K31" i="56"/>
  <c r="I31" i="56"/>
  <c r="K29" i="56"/>
  <c r="J29" i="56"/>
  <c r="I29" i="56"/>
  <c r="K28" i="56"/>
  <c r="I28" i="56"/>
  <c r="K26" i="56"/>
  <c r="J26" i="56"/>
  <c r="I26" i="56"/>
  <c r="K25" i="56"/>
  <c r="K23" i="56"/>
  <c r="I23" i="56"/>
  <c r="J89" i="56" l="1"/>
  <c r="J90" i="56" s="1"/>
  <c r="J156" i="56" s="1"/>
  <c r="I89" i="56"/>
  <c r="I90" i="56" s="1"/>
  <c r="I156" i="56" s="1"/>
  <c r="K89" i="56"/>
  <c r="K90" i="56" s="1"/>
  <c r="K156" i="56" s="1"/>
  <c r="D12" i="66" l="1"/>
  <c r="E28" i="66"/>
  <c r="D28" i="66"/>
  <c r="C28" i="66"/>
  <c r="B28" i="66"/>
  <c r="E17" i="66"/>
  <c r="D17" i="66"/>
  <c r="C17" i="66"/>
  <c r="B17" i="66"/>
  <c r="E16" i="66"/>
  <c r="D16" i="66"/>
  <c r="C16" i="66"/>
  <c r="B16" i="66"/>
  <c r="E15" i="66"/>
  <c r="D15" i="66"/>
  <c r="C15" i="66"/>
  <c r="B15" i="66"/>
  <c r="E14" i="66"/>
  <c r="D14" i="66"/>
  <c r="C14" i="66"/>
  <c r="B14" i="66"/>
  <c r="E13" i="66"/>
  <c r="D13" i="66"/>
  <c r="C13" i="66"/>
  <c r="B13" i="66"/>
  <c r="E12" i="66"/>
  <c r="C12" i="66"/>
  <c r="B12" i="66"/>
  <c r="E11" i="66"/>
  <c r="D11" i="66"/>
  <c r="C11" i="66"/>
  <c r="B11" i="66"/>
  <c r="C19" i="66" l="1"/>
  <c r="C30" i="66" s="1"/>
  <c r="B19" i="66"/>
  <c r="B30" i="66" s="1"/>
  <c r="E19" i="66"/>
  <c r="E30" i="66" s="1"/>
  <c r="D19" i="66"/>
  <c r="D30" i="66" s="1"/>
  <c r="G28" i="66"/>
  <c r="G19" i="66" l="1"/>
  <c r="G30" i="66"/>
  <c r="E12" i="63" l="1"/>
  <c r="AC18" i="47" l="1"/>
  <c r="AC16" i="47"/>
  <c r="AC8" i="47"/>
  <c r="AB18" i="47"/>
  <c r="AB16" i="47"/>
  <c r="AB8" i="47"/>
  <c r="AA18" i="47"/>
  <c r="AA16" i="47"/>
  <c r="AA8" i="47"/>
  <c r="Z18" i="47"/>
  <c r="Z16" i="47"/>
  <c r="Z8" i="47"/>
  <c r="Y18" i="47"/>
  <c r="Y16" i="47"/>
  <c r="Y8" i="47"/>
  <c r="X18" i="47"/>
  <c r="X16" i="47"/>
  <c r="X8" i="47"/>
  <c r="W18" i="47"/>
  <c r="W16" i="47"/>
  <c r="W8" i="47"/>
  <c r="V18" i="47"/>
  <c r="V16" i="47"/>
  <c r="V8" i="47"/>
  <c r="J13" i="47"/>
  <c r="F11" i="47" l="1"/>
  <c r="F10" i="47"/>
  <c r="F12" i="47"/>
  <c r="F9" i="47"/>
  <c r="F13" i="47" l="1"/>
  <c r="AA12" i="55" l="1"/>
  <c r="AA11" i="55"/>
  <c r="AA13" i="55" s="1"/>
  <c r="AA9" i="55"/>
  <c r="AA8" i="55"/>
  <c r="AA7" i="55"/>
  <c r="AA6" i="55"/>
  <c r="AA10" i="55" s="1"/>
  <c r="AA14" i="55" l="1"/>
  <c r="AE22" i="47" l="1"/>
  <c r="AD11" i="47"/>
  <c r="AD12" i="47"/>
  <c r="AF18" i="47"/>
  <c r="AE11" i="47"/>
  <c r="AE12" i="47"/>
  <c r="AF8" i="47"/>
  <c r="AE10" i="47" l="1"/>
  <c r="E13" i="47" l="1"/>
  <c r="G11" i="47"/>
  <c r="H11" i="47" s="1"/>
  <c r="I11" i="47" s="1"/>
  <c r="E23" i="47"/>
  <c r="F3" i="47" l="1"/>
  <c r="AE9" i="47" l="1"/>
  <c r="AE8" i="47" s="1"/>
  <c r="U8" i="47" l="1"/>
  <c r="AE21" i="47" l="1"/>
  <c r="AE20" i="47"/>
  <c r="S8" i="47"/>
  <c r="T8" i="47"/>
  <c r="G20" i="47" l="1"/>
  <c r="G10" i="47"/>
  <c r="G21" i="47"/>
  <c r="H10" i="47"/>
  <c r="I10" i="47" s="1"/>
  <c r="AD20" i="47"/>
  <c r="AD21" i="47"/>
  <c r="AD10" i="47"/>
  <c r="AD9" i="47"/>
  <c r="G9" i="47"/>
  <c r="M8" i="47"/>
  <c r="O8" i="47"/>
  <c r="AE19" i="47"/>
  <c r="AE18" i="47" s="1"/>
  <c r="AD19" i="47"/>
  <c r="H9" i="47"/>
  <c r="R8" i="47"/>
  <c r="Q8" i="47"/>
  <c r="P8" i="47"/>
  <c r="N8" i="47"/>
  <c r="L8" i="47"/>
  <c r="K8" i="47"/>
  <c r="AD18" i="47" l="1"/>
  <c r="G19" i="47"/>
  <c r="AD8" i="47"/>
  <c r="U16" i="47" l="1"/>
  <c r="T16" i="47"/>
  <c r="S16" i="47"/>
  <c r="R16" i="47"/>
  <c r="Q16" i="47"/>
  <c r="P16" i="47"/>
  <c r="O16" i="47"/>
  <c r="N16" i="47"/>
  <c r="M16" i="47"/>
  <c r="L16" i="47"/>
  <c r="K16" i="47"/>
  <c r="J16" i="47"/>
  <c r="F22" i="47" l="1"/>
  <c r="L18" i="47" l="1"/>
  <c r="K18" i="47"/>
  <c r="P18" i="47"/>
  <c r="T18" i="47"/>
  <c r="M18" i="47"/>
  <c r="AF22" i="47"/>
  <c r="G22" i="47"/>
  <c r="H22" i="47" s="1"/>
  <c r="I22" i="47" s="1"/>
  <c r="N18" i="47"/>
  <c r="R18" i="47"/>
  <c r="Q18" i="47"/>
  <c r="J18" i="47"/>
  <c r="O18" i="47"/>
  <c r="H20" i="47"/>
  <c r="I20" i="47" s="1"/>
  <c r="U18" i="47"/>
  <c r="S18" i="47"/>
  <c r="H21" i="47" l="1"/>
  <c r="I21" i="47" s="1"/>
  <c r="H19" i="47"/>
  <c r="I19" i="47" s="1"/>
  <c r="J23" i="47"/>
  <c r="K23" i="47" s="1"/>
  <c r="L23" i="47" s="1"/>
  <c r="M23" i="47" s="1"/>
  <c r="N23" i="47" s="1"/>
  <c r="O23" i="47" s="1"/>
  <c r="P23" i="47" s="1"/>
  <c r="Q23" i="47" s="1"/>
  <c r="R23" i="47" s="1"/>
  <c r="S23" i="47" s="1"/>
  <c r="T23" i="47" s="1"/>
  <c r="U23" i="47" s="1"/>
  <c r="V23" i="47" s="1"/>
  <c r="W23" i="47" s="1"/>
  <c r="X23" i="47" s="1"/>
  <c r="Y23" i="47" s="1"/>
  <c r="Z23" i="47" s="1"/>
  <c r="AA23" i="47" s="1"/>
  <c r="AB23" i="47" s="1"/>
  <c r="AC23" i="47" s="1"/>
  <c r="K13" i="47" l="1"/>
  <c r="L13" i="47" s="1"/>
  <c r="M13" i="47" s="1"/>
  <c r="N13" i="47" s="1"/>
  <c r="O13" i="47" s="1"/>
  <c r="P13" i="47" s="1"/>
  <c r="Q13" i="47" s="1"/>
  <c r="R13" i="47" s="1"/>
  <c r="S13" i="47" s="1"/>
  <c r="T13" i="47" s="1"/>
  <c r="U13" i="47" s="1"/>
  <c r="V13" i="47" s="1"/>
  <c r="W13" i="47" s="1"/>
  <c r="X13" i="47" s="1"/>
  <c r="Y13" i="47" s="1"/>
  <c r="Z13" i="47" s="1"/>
  <c r="AA13" i="47" s="1"/>
  <c r="AB13" i="47" s="1"/>
  <c r="AC13" i="47" s="1"/>
  <c r="I9" i="47"/>
  <c r="G12" i="47" l="1"/>
  <c r="G13" i="47" l="1"/>
  <c r="G3" i="47"/>
  <c r="H12" i="47"/>
  <c r="I12" i="47" l="1"/>
  <c r="H3" i="47"/>
  <c r="I3" i="47" s="1"/>
  <c r="H13" i="4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tc={D56BD859-7B19-436F-8EA9-22188B4F9809}</author>
    <author>tc={B9070D26-124D-4DBB-B23D-CDEB33BBDC8D}</author>
    <author>tc={8E5CEA83-A83C-40CE-B3D2-AA32A16F2ED5}</author>
    <author>tc={2E26BD43-D9FF-4BC6-99DE-273EB15AE6D8}</author>
    <author>tc={AE7FCF95-52F7-4F68-8822-1788A71BC62E}</author>
    <author>tc={63A0E903-85D3-44C0-849C-CFA0FF3236CA}</author>
    <author>tc={BE0989CD-5520-4316-A24D-D374FCC62697}</author>
    <author>tc={4CDF42F3-63E8-4A93-A2D6-773E876B016F}</author>
    <author>tc={F5E94DDE-0E97-42A7-90AC-2A64A008CD77}</author>
    <author>tc={5653F993-1EA1-457B-8CF2-D0771DE8A809}</author>
    <author>tc={309E0CBE-C805-4E55-B5CE-623961711A7A}</author>
    <author>tc={531CF9AC-D6AB-46CA-A728-1D5840069DC6}</author>
    <author>tc={61F46C0C-6909-4818-902D-E2705B54611A}</author>
    <author>tc={2FE6E644-0B10-49FD-8AEA-A95D32867A5D}</author>
    <author>tc={68D722C7-582C-48D5-9D0B-23418493F644}</author>
    <author>tc={8518CEAE-A955-43A8-B1F2-E7861A3D0045}</author>
    <author>tc={C8944CAF-08F4-4673-8778-B198559E3231}</author>
    <author>tc={06C4886A-DFB8-47E8-B74C-5C31B3B9C49D}</author>
    <author>tc={540586E3-3EEB-477D-9950-2478900DE08B}</author>
    <author>tc={A1FE595D-84B5-4F67-8B27-0D033761D67F}</author>
    <author>tc={255F16AE-2B7C-4D15-81B8-9528F6C2E3AE}</author>
    <author>tc={D46FD2CF-29CB-4776-AAAE-EB328C774179}</author>
    <author>tc={2B3F21C6-BE0C-4DB2-B445-81D9DC502A23}</author>
    <author>tc={207077D4-A513-4D19-8B5A-BAC2421CF11C}</author>
    <author>tc={7514818D-57AA-4B57-91DF-B3E7D590969A}</author>
    <author>tc={3E5151AC-ED3E-47D5-A6FA-8E27E5757FC6}</author>
    <author>tc={3CBBD730-40B3-4156-9991-04B736508C5B}</author>
    <author>tc={13F85F42-1699-4B17-82C1-3834CEE1639E}</author>
    <author>tc={8422BDE1-0A98-4AF4-A0C5-B913B908C02A}</author>
    <author>tc={78776D61-B419-4212-817A-2FE2539ADE8F}</author>
    <author>Boyett, Chad J.</author>
    <author>tc={935C857E-E329-432A-88D5-8B6CD9A11DA6}</author>
    <author>tc={71CC58A9-A2AA-4FA6-A8C8-776CB7504BD4}</author>
    <author>tc={A158AD55-F63C-4D2F-8C5F-0DA47AE0C8ED}</author>
    <author>tc={58134FC2-7DAD-4B0A-89FF-AD652274EF8E}</author>
  </authors>
  <commentList>
    <comment ref="D2" authorId="0" shapeId="0" xr:uid="{D56BD859-7B19-436F-8EA9-22188B4F9809}">
      <text>
        <t>[Threaded comment]
Your version of Excel allows you to read this threaded comment; however, any edits to it will get removed if the file is opened in a newer version of Excel. Learn more: https://go.microsoft.com/fwlink/?linkid=870924
Comment:
    Going to URB / LIPA for additional funds to total $3.25M</t>
      </text>
    </comment>
    <comment ref="E92" authorId="1" shapeId="0" xr:uid="{B9070D26-124D-4DBB-B23D-CDEB33BBDC8D}">
      <text>
        <t>[Threaded comment]
Your version of Excel allows you to read this threaded comment; however, any edits to it will get removed if the file is opened in a newer version of Excel. Learn more: https://go.microsoft.com/fwlink/?linkid=870924
Comment:
    $28,480.00 remaining on PO</t>
      </text>
    </comment>
    <comment ref="E93" authorId="2" shapeId="0" xr:uid="{8E5CEA83-A83C-40CE-B3D2-AA32A16F2ED5}">
      <text>
        <t>[Threaded comment]
Your version of Excel allows you to read this threaded comment; however, any edits to it will get removed if the file is opened in a newer version of Excel. Learn more: https://go.microsoft.com/fwlink/?linkid=870924
Comment:
    137,500.0 remaining on PO
Reply:
    Total Remaining:$104,500 (8/25)
Reply:
    Left as of 12/04
$104,500.00 
Reply:
    $99K left on PO as of 1/12/26</t>
      </text>
    </comment>
    <comment ref="Y93" authorId="3" shapeId="0" xr:uid="{2E26BD43-D9FF-4BC6-99DE-273EB15AE6D8}">
      <text>
        <t>[Threaded comment]
Your version of Excel allows you to read this threaded comment; however, any edits to it will get removed if the file is opened in a newer version of Excel. Learn more: https://go.microsoft.com/fwlink/?linkid=870924
Comment:
    Outstanding Invoices</t>
      </text>
    </comment>
    <comment ref="AE93" authorId="4" shapeId="0" xr:uid="{AE7FCF95-52F7-4F68-8822-1788A71BC62E}">
      <text>
        <t>[Threaded comment]
Your version of Excel allows you to read this threaded comment; however, any edits to it will get removed if the file is opened in a newer version of Excel. Learn more: https://go.microsoft.com/fwlink/?linkid=870924
Comment:
    July + Dec Invoices</t>
      </text>
    </comment>
    <comment ref="AG93" authorId="5" shapeId="0" xr:uid="{63A0E903-85D3-44C0-849C-CFA0FF3236CA}">
      <text>
        <t>[Threaded comment]
Your version of Excel allows you to read this threaded comment; however, any edits to it will get removed if the file is opened in a newer version of Excel. Learn more: https://go.microsoft.com/fwlink/?linkid=870924
Comment:
    July + Dec Invoices</t>
      </text>
    </comment>
    <comment ref="E94" authorId="6" shapeId="0" xr:uid="{BE0989CD-5520-4316-A24D-D374FCC62697}">
      <text>
        <t>[Threaded comment]
Your version of Excel allows you to read this threaded comment; however, any edits to it will get removed if the file is opened in a newer version of Excel. Learn more: https://go.microsoft.com/fwlink/?linkid=870924
Comment:
    137,500.0 remaining on PO</t>
      </text>
    </comment>
    <comment ref="X94" authorId="7" shapeId="0" xr:uid="{4CDF42F3-63E8-4A93-A2D6-773E876B016F}">
      <text>
        <t>[Threaded comment]
Your version of Excel allows you to read this threaded comment; however, any edits to it will get removed if the file is opened in a newer version of Excel. Learn more: https://go.microsoft.com/fwlink/?linkid=870924
Comment:
    From O&amp;M Journal Entry</t>
      </text>
    </comment>
    <comment ref="E96" authorId="8" shapeId="0" xr:uid="{F5E94DDE-0E97-42A7-90AC-2A64A008CD77}">
      <text>
        <t>[Threaded comment]
Your version of Excel allows you to read this threaded comment; however, any edits to it will get removed if the file is opened in a newer version of Excel. Learn more: https://go.microsoft.com/fwlink/?linkid=870924
Comment:
    $87,506.00 remaining on PO as of 11/4/25
Reply:
    $70,570 left on PO as of 1/12/26</t>
      </text>
    </comment>
    <comment ref="Y96" authorId="9" shapeId="0" xr:uid="{5653F993-1EA1-457B-8CF2-D0771DE8A809}">
      <text>
        <t>[Threaded comment]
Your version of Excel allows you to read this threaded comment; however, any edits to it will get removed if the file is opened in a newer version of Excel. Learn more: https://go.microsoft.com/fwlink/?linkid=870924
Comment:
    Outstanding Invoices</t>
      </text>
    </comment>
    <comment ref="AE96" authorId="10" shapeId="0" xr:uid="{309E0CBE-C805-4E55-B5CE-623961711A7A}">
      <text>
        <t>[Threaded comment]
Your version of Excel allows you to read this threaded comment; however, any edits to it will get removed if the file is opened in a newer version of Excel. Learn more: https://go.microsoft.com/fwlink/?linkid=870924
Comment:
    $87,506 A/R coming. Last invoice should be $76.060.  That leaves 11K</t>
      </text>
    </comment>
    <comment ref="AG96" authorId="11" shapeId="0" xr:uid="{531CF9AC-D6AB-46CA-A728-1D5840069DC6}">
      <text>
        <t>[Threaded comment]
Your version of Excel allows you to read this threaded comment; however, any edits to it will get removed if the file is opened in a newer version of Excel. Learn more: https://go.microsoft.com/fwlink/?linkid=870924
Comment:
    $87,506 A/R coming. Last invoice should be $76.060.  That leaves 11K</t>
      </text>
    </comment>
    <comment ref="E98" authorId="12" shapeId="0" xr:uid="{61F46C0C-6909-4818-902D-E2705B54611A}">
      <text>
        <t>[Threaded comment]
Your version of Excel allows you to read this threaded comment; however, any edits to it will get removed if the file is opened in a newer version of Excel. Learn more: https://go.microsoft.com/fwlink/?linkid=870924
Comment:
    $30,488 left on PO as of 1/12/26</t>
      </text>
    </comment>
    <comment ref="D110" authorId="13" shapeId="0" xr:uid="{2FE6E644-0B10-49FD-8AEA-A95D32867A5D}">
      <text>
        <t>[Threaded comment]
Your version of Excel allows you to read this threaded comment; however, any edits to it will get removed if the file is opened in a newer version of Excel. Learn more: https://go.microsoft.com/fwlink/?linkid=870924
Comment:
    New 2026 PO#</t>
      </text>
    </comment>
    <comment ref="D114" authorId="14" shapeId="0" xr:uid="{68D722C7-582C-48D5-9D0B-23418493F644}">
      <text>
        <t>[Threaded comment]
Your version of Excel allows you to read this threaded comment; however, any edits to it will get removed if the file is opened in a newer version of Excel. Learn more: https://go.microsoft.com/fwlink/?linkid=870924
Comment:
    New PO</t>
      </text>
    </comment>
    <comment ref="E115" authorId="15" shapeId="0" xr:uid="{8518CEAE-A955-43A8-B1F2-E7861A3D0045}">
      <text>
        <t>[Threaded comment]
Your version of Excel allows you to read this threaded comment; however, any edits to it will get removed if the file is opened in a newer version of Excel. Learn more: https://go.microsoft.com/fwlink/?linkid=870924
Comment:
    $165,022.26 left on PO</t>
      </text>
    </comment>
    <comment ref="AC116" authorId="16" shapeId="0" xr:uid="{C8944CAF-08F4-4673-8778-B198559E3231}">
      <text>
        <t>[Threaded comment]
Your version of Excel allows you to read this threaded comment; however, any edits to it will get removed if the file is opened in a newer version of Excel. Learn more: https://go.microsoft.com/fwlink/?linkid=870924
Comment:
    Oct + Nov</t>
      </text>
    </comment>
    <comment ref="E117" authorId="17" shapeId="0" xr:uid="{06C4886A-DFB8-47E8-B74C-5C31B3B9C49D}">
      <text>
        <t>[Threaded comment]
Your version of Excel allows you to read this threaded comment; however, any edits to it will get removed if the file is opened in a newer version of Excel. Learn more: https://go.microsoft.com/fwlink/?linkid=870924
Comment:
    $68,889.60 left on PO as of 1/12/26</t>
      </text>
    </comment>
    <comment ref="E119" authorId="18" shapeId="0" xr:uid="{540586E3-3EEB-477D-9950-2478900DE08B}">
      <text>
        <t>[Threaded comment]
Your version of Excel allows you to read this threaded comment; however, any edits to it will get removed if the file is opened in a newer version of Excel. Learn more: https://go.microsoft.com/fwlink/?linkid=870924
Comment:
    $85,072.07 remaining as of 3/20/26
Reply:
    But remaining $85K already accrued</t>
      </text>
    </comment>
    <comment ref="D127" authorId="19" shapeId="0" xr:uid="{A1FE595D-84B5-4F67-8B27-0D033761D67F}">
      <text>
        <t>[Threaded comment]
Your version of Excel allows you to read this threaded comment; however, any edits to it will get removed if the file is opened in a newer version of Excel. Learn more: https://go.microsoft.com/fwlink/?linkid=870924
Comment:
    PO in process
Reply:
    This is fake PO - replace as soon as legit available</t>
      </text>
    </comment>
    <comment ref="AE129" authorId="20" shapeId="0" xr:uid="{255F16AE-2B7C-4D15-81B8-9528F6C2E3AE}">
      <text>
        <t xml:space="preserve">[Threaded comment]
Your version of Excel allows you to read this threaded comment; however, any edits to it will get removed if the file is opened in a newer version of Excel. Learn more: https://go.microsoft.com/fwlink/?linkid=870924
Comment:
    JE ½ of 3 invoices back to 9XNWTMSCNTRT
</t>
      </text>
    </comment>
    <comment ref="AG129" authorId="21" shapeId="0" xr:uid="{D46FD2CF-29CB-4776-AAAE-EB328C774179}">
      <text>
        <t xml:space="preserve">[Threaded comment]
Your version of Excel allows you to read this threaded comment; however, any edits to it will get removed if the file is opened in a newer version of Excel. Learn more: https://go.microsoft.com/fwlink/?linkid=870924
Comment:
    JE ½ of 3 invoices back to 9XNWTMSCNTRT
</t>
      </text>
    </comment>
    <comment ref="AS130" authorId="22" shapeId="0" xr:uid="{2B3F21C6-BE0C-4DB2-B445-81D9DC502A23}">
      <text>
        <t>[Threaded comment]
Your version of Excel allows you to read this threaded comment; however, any edits to it will get removed if the file is opened in a newer version of Excel. Learn more: https://go.microsoft.com/fwlink/?linkid=870924
Comment:
    Need to understand Int Resources month to month forecast.</t>
      </text>
    </comment>
    <comment ref="AD131" authorId="23" shapeId="0" xr:uid="{207077D4-A513-4D19-8B5A-BAC2421CF11C}">
      <text>
        <t>[Threaded comment]
Your version of Excel allows you to read this threaded comment; however, any edits to it will get removed if the file is opened in a newer version of Excel. Learn more: https://go.microsoft.com/fwlink/?linkid=870924
Comment:
    Should not be here.  Needs a AR or JE.  Who entered this?</t>
      </text>
    </comment>
    <comment ref="E133" authorId="24" shapeId="0" xr:uid="{7514818D-57AA-4B57-91DF-B3E7D590969A}">
      <text>
        <t>[Threaded comment]
Your version of Excel allows you to read this threaded comment; however, any edits to it will get removed if the file is opened in a newer version of Excel. Learn more: https://go.microsoft.com/fwlink/?linkid=870924
Comment:
    $400,564 remain as of 5/14/26.  Partially Paid + Accrued.</t>
      </text>
    </comment>
    <comment ref="E139" authorId="25" shapeId="0" xr:uid="{3E5151AC-ED3E-47D5-A6FA-8E27E5757FC6}">
      <text>
        <t>[Threaded comment]
Your version of Excel allows you to read this threaded comment; however, any edits to it will get removed if the file is opened in a newer version of Excel. Learn more: https://go.microsoft.com/fwlink/?linkid=870924
Comment:
    190,575.00 remaining on PO</t>
      </text>
    </comment>
    <comment ref="E140" authorId="26" shapeId="0" xr:uid="{3CBBD730-40B3-4156-9991-04B736508C5B}">
      <text>
        <t>[Threaded comment]
Your version of Excel allows you to read this threaded comment; however, any edits to it will get removed if the file is opened in a newer version of Excel. Learn more: https://go.microsoft.com/fwlink/?linkid=870924
Comment:
    $1,519,383.01 remaining as of 10/17/25
Reply:
    $1,366,505.14 remaining as of 1/12/26
Reply:
    $633,212 remaining as of 5/14/26</t>
      </text>
    </comment>
    <comment ref="E142" authorId="27" shapeId="0" xr:uid="{13F85F42-1699-4B17-82C1-3834CEE1639E}">
      <text>
        <t>[Threaded comment]
Your version of Excel allows you to read this threaded comment; however, any edits to it will get removed if the file is opened in a newer version of Excel. Learn more: https://go.microsoft.com/fwlink/?linkid=870924
Comment:
    This was from PO 5000059268 and has been Paid in Full</t>
      </text>
    </comment>
    <comment ref="E143" authorId="28" shapeId="0" xr:uid="{8422BDE1-0A98-4AF4-A0C5-B913B908C02A}">
      <text>
        <t>[Threaded comment]
Your version of Excel allows you to read this threaded comment; however, any edits to it will get removed if the file is opened in a newer version of Excel. Learn more: https://go.microsoft.com/fwlink/?linkid=870924
Comment:
    Paid in full</t>
      </text>
    </comment>
    <comment ref="E144" authorId="29" shapeId="0" xr:uid="{78776D61-B419-4212-817A-2FE2539ADE8F}">
      <text>
        <t>[Threaded comment]
Your version of Excel allows you to read this threaded comment; however, any edits to it will get removed if the file is opened in a newer version of Excel. Learn more: https://go.microsoft.com/fwlink/?linkid=870924
Comment:
    PAID in Full</t>
      </text>
    </comment>
    <comment ref="E145" authorId="30" shapeId="0" xr:uid="{ED78684D-93B0-4836-A8E2-0DAD0E022FC7}">
      <text>
        <r>
          <rPr>
            <b/>
            <sz val="9"/>
            <color indexed="81"/>
            <rFont val="Tahoma"/>
            <family val="2"/>
          </rPr>
          <t>Boyett, Chad J.:</t>
        </r>
        <r>
          <rPr>
            <sz val="9"/>
            <color indexed="81"/>
            <rFont val="Tahoma"/>
            <family val="2"/>
          </rPr>
          <t xml:space="preserve">
PO paid in full as of 10/28
</t>
        </r>
      </text>
    </comment>
    <comment ref="E146" authorId="31" shapeId="0" xr:uid="{935C857E-E329-432A-88D5-8B6CD9A11DA6}">
      <text>
        <t>[Threaded comment]
Your version of Excel allows you to read this threaded comment; however, any edits to it will get removed if the file is opened in a newer version of Excel. Learn more: https://go.microsoft.com/fwlink/?linkid=870924
Comment:
    $84,183.70 remaining on PO
Reply:
    $61,808.80 left as of 10/08/25
Reply:
    $157.2 remaining on PO</t>
      </text>
    </comment>
    <comment ref="E147" authorId="32" shapeId="0" xr:uid="{71CC58A9-A2AA-4FA6-A8C8-776CB7504BD4}">
      <text>
        <t>[Threaded comment]
Your version of Excel allows you to read this threaded comment; however, any edits to it will get removed if the file is opened in a newer version of Excel. Learn more: https://go.microsoft.com/fwlink/?linkid=870924
Comment:
    Paid in Full</t>
      </text>
    </comment>
    <comment ref="E148" authorId="33" shapeId="0" xr:uid="{A158AD55-F63C-4D2F-8C5F-0DA47AE0C8ED}">
      <text>
        <t>[Threaded comment]
Your version of Excel allows you to read this threaded comment; however, any edits to it will get removed if the file is opened in a newer version of Excel. Learn more: https://go.microsoft.com/fwlink/?linkid=870924
Comment:
    Paid in Full</t>
      </text>
    </comment>
    <comment ref="E150" authorId="34" shapeId="0" xr:uid="{58134FC2-7DAD-4B0A-89FF-AD652274EF8E}">
      <text>
        <t>[Threaded comment]
Your version of Excel allows you to read this threaded comment; however, any edits to it will get removed if the file is opened in a newer version of Excel. Learn more: https://go.microsoft.com/fwlink/?linkid=870924
Comment:
    Already re-accruing until invoiced</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Poddar, Supriya</author>
  </authors>
  <commentList>
    <comment ref="C3" authorId="0" shapeId="0" xr:uid="{C039757C-C090-457D-B93A-830835F82C02}">
      <text>
        <r>
          <rPr>
            <b/>
            <sz val="8"/>
            <color indexed="81"/>
            <rFont val="Tahoma"/>
            <family val="2"/>
          </rPr>
          <t xml:space="preserve">7.5% overhead will be applied to all LI Projects.
</t>
        </r>
      </text>
    </comment>
  </commentList>
</comments>
</file>

<file path=xl/sharedStrings.xml><?xml version="1.0" encoding="utf-8"?>
<sst xmlns="http://schemas.openxmlformats.org/spreadsheetml/2006/main" count="46553" uniqueCount="1126">
  <si>
    <t>Project Tracking Tool</t>
  </si>
  <si>
    <t>Tool Overview</t>
  </si>
  <si>
    <t>Purpose and Use:</t>
  </si>
  <si>
    <t xml:space="preserve">The purpose of this tool is to assist CM's and PM's in maintaining, tracking, analyzing, and reporting financial information on projects they manage.  This tool tracks budget, forecast, commitments, and invoices, starting with preliminary funding, Capital Project Expenditure Request approval, through project closeout.  Information provided by this tool is used for communicating data for entry into project accounting.  A new Project Tracking Tool should be started for each project.  </t>
  </si>
  <si>
    <t>Color Code</t>
  </si>
  <si>
    <r>
      <t xml:space="preserve">Blue Cells </t>
    </r>
    <r>
      <rPr>
        <sz val="10"/>
        <rFont val="Arial"/>
        <family val="2"/>
      </rPr>
      <t>are manually entered</t>
    </r>
  </si>
  <si>
    <t>We're working on enhancing as many of these as we can</t>
  </si>
  <si>
    <r>
      <t xml:space="preserve">Orange Cells </t>
    </r>
    <r>
      <rPr>
        <sz val="10"/>
        <rFont val="Arial"/>
        <family val="2"/>
      </rPr>
      <t>are formula-driven</t>
    </r>
  </si>
  <si>
    <t>Item #</t>
  </si>
  <si>
    <t>Sheet (Tab)</t>
  </si>
  <si>
    <t>Description</t>
  </si>
  <si>
    <t>Controller Responsibilities</t>
  </si>
  <si>
    <t>Inputs</t>
  </si>
  <si>
    <t>Data Input</t>
  </si>
  <si>
    <t>Report</t>
  </si>
  <si>
    <t>Accounting</t>
  </si>
  <si>
    <t xml:space="preserve">Project </t>
  </si>
  <si>
    <t>Tool Instructions</t>
  </si>
  <si>
    <t>Provides basic overview of tool contents and functions.</t>
  </si>
  <si>
    <t>None</t>
  </si>
  <si>
    <t>Project Information</t>
  </si>
  <si>
    <t xml:space="preserve">Summarizes overall project information.  It is the first point of entry for basic -non-financial project information.  It is also used to summarize financial data for transfer to the Project accounting. </t>
  </si>
  <si>
    <t>1) Enter the correct project number in cell C9
2) Enter the correct report date in cell F21
3) Enter the correct Scheduler and Controller in cells C23 and C24
4) Enter the correct Scheduling information in rows 28-31 (we're working on automating this)
5) Enter the current Fiscal Year in cell C52</t>
  </si>
  <si>
    <t>ServiceNow Project Lists (tab "20. SN Project Lists)"</t>
  </si>
  <si>
    <t>X</t>
  </si>
  <si>
    <t>WBS Mapping</t>
  </si>
  <si>
    <t>This tab is a manual build based on your projects's custom WBS build/mapping</t>
  </si>
  <si>
    <t>Manually populate this tab based on your project's custom WBS build/mapping.  
This is a reference tab and can be hidden once completed.</t>
  </si>
  <si>
    <t>Capital Determination</t>
  </si>
  <si>
    <t>This is a maually dropped tab.  It is currently not standardized since there are three different iterations.  It is used an approved budget comparison</t>
  </si>
  <si>
    <t>Manually populate this tab based on your project's capital allocation.  
This is a reference tab and can be hidden once completed.</t>
  </si>
  <si>
    <t>Forecast vs. Actuals</t>
  </si>
  <si>
    <t xml:space="preserve">This tab covers details around Forecast vs. Actuals.  The PM is responsible for making sure that the Job Class / WBS codes are mapped correctly and that forecasts are populated.  </t>
  </si>
  <si>
    <t>On initial setup of the file:
1) Depending on the level of detail you are managing, populate columns B, C, and D starting at row 9 with your Job Class, WBS category, and WBS code.
2) Manually populate column E with your current budget per Job Class / WBS Category / WBS Code.
With each new monthly report:
3) Change the current month from "Forecast" to "Actual" in Row 6
4) Drag the formula to the right to populate actuals</t>
  </si>
  <si>
    <t>1) Project Information Tab 
2) Project Financial Data: the exact data import will depend on what report you are using</t>
  </si>
  <si>
    <t>Mid-Month Accrual Tracker</t>
  </si>
  <si>
    <t>This tab helps the PM manage their accruals.  Actuals are populated from the Forecast vs. Actuals tab, and the PM is responsible for capturing their expected accruals properly.</t>
  </si>
  <si>
    <t>Manually populate this tab with forecasts and accruals for the mid-month period.  Use this tab to calculate what accruals should be added/reversed for the month.</t>
  </si>
  <si>
    <t>Accruals</t>
  </si>
  <si>
    <t>Use this tab to provide accrual updates to Finance.</t>
  </si>
  <si>
    <t>Manually populate this tab with accrual additions/reversals to send to finance.</t>
  </si>
  <si>
    <t>Budget &amp; JD Requests</t>
  </si>
  <si>
    <t>Use this tab to manage your original budget and then any change requests against that budget</t>
  </si>
  <si>
    <t>Manually populate this tab with original approved budget and any approved change requests</t>
  </si>
  <si>
    <t>Actuals SAP Extract</t>
  </si>
  <si>
    <t>This is the data input for the Forecast vs. Actuals tab.  The PM is responsible for pasting the data dump whenever they pull the SAP report.</t>
  </si>
  <si>
    <t>Manually populate this tab with raw data prior to updating tab 5</t>
  </si>
  <si>
    <t>Project Financial Information</t>
  </si>
  <si>
    <t>This is one of the data inputs for the Forecast vs. Actuals tab.  The PM is responsible for pasting the data dump whenever they pull the report.</t>
  </si>
  <si>
    <t>SN Project List</t>
  </si>
  <si>
    <t>Data Dump from Service Now</t>
  </si>
  <si>
    <t>Instructions for using this worksheet</t>
  </si>
  <si>
    <t>Labor</t>
  </si>
  <si>
    <t>Outside Services</t>
  </si>
  <si>
    <t>Capital</t>
  </si>
  <si>
    <t>R&amp;C</t>
  </si>
  <si>
    <t>Project Name.</t>
  </si>
  <si>
    <t>Actuals to Date</t>
  </si>
  <si>
    <t>ETC</t>
  </si>
  <si>
    <t>EAC</t>
  </si>
  <si>
    <t>Variance</t>
  </si>
  <si>
    <t>Project Number</t>
  </si>
  <si>
    <t>Actual</t>
  </si>
  <si>
    <t>Forecast</t>
  </si>
  <si>
    <t>Annual Spend Totals</t>
  </si>
  <si>
    <t>Job Class</t>
  </si>
  <si>
    <t>Current Budget</t>
  </si>
  <si>
    <t>Risk &amp; Contingency</t>
  </si>
  <si>
    <t>Cumulative Spend</t>
  </si>
  <si>
    <t>end</t>
  </si>
  <si>
    <t>O&amp;M</t>
  </si>
  <si>
    <r>
      <t xml:space="preserve">        a) Blue</t>
    </r>
    <r>
      <rPr>
        <sz val="10"/>
        <color rgb="FF000000"/>
        <rFont val="Arial"/>
        <family val="2"/>
      </rPr>
      <t xml:space="preserve"> - Field that is required to be populated/updated by the user.</t>
    </r>
  </si>
  <si>
    <r>
      <t xml:space="preserve">        b) Orange </t>
    </r>
    <r>
      <rPr>
        <sz val="10"/>
        <color rgb="FF000000"/>
        <rFont val="Arial"/>
        <family val="2"/>
      </rPr>
      <t xml:space="preserve"> - Calculated field or Autopolulated.</t>
    </r>
  </si>
  <si>
    <r>
      <t xml:space="preserve">        c) </t>
    </r>
    <r>
      <rPr>
        <b/>
        <u/>
        <sz val="10"/>
        <color rgb="FF000000"/>
        <rFont val="Arial"/>
        <family val="2"/>
      </rPr>
      <t>Yellow</t>
    </r>
    <r>
      <rPr>
        <sz val="10"/>
        <color rgb="FF000000"/>
        <rFont val="Arial"/>
        <family val="2"/>
      </rPr>
      <t xml:space="preserve"> - This is a required populated field that has been updated and the color scheme has changed to highlight a specific data selection.</t>
    </r>
  </si>
  <si>
    <r>
      <t xml:space="preserve">        d) </t>
    </r>
    <r>
      <rPr>
        <b/>
        <u/>
        <sz val="10"/>
        <color rgb="FF000000"/>
        <rFont val="Arial"/>
        <family val="2"/>
      </rPr>
      <t>No Fill</t>
    </r>
    <r>
      <rPr>
        <sz val="10"/>
        <color rgb="FF000000"/>
        <rFont val="Arial"/>
        <family val="2"/>
      </rPr>
      <t xml:space="preserve"> - Informational data that does not require updates or modifications.</t>
    </r>
  </si>
  <si>
    <t>Add Accruals from the Accrual Analysis Spreadsheet</t>
  </si>
  <si>
    <t>Accruals Roll-up</t>
  </si>
  <si>
    <t>The Posting Key determines if the Accrual is a Credit or Debit. (40=Debit, 50= Credit)</t>
  </si>
  <si>
    <t xml:space="preserve">This is the Dollar Amount to be Accrued. This amount should always be positive. </t>
  </si>
  <si>
    <t>If the accrual is to be posted to an Order (Standing order, Deferred order, etc.) list the Order Number here.
If the accrual is to be posted to a WBS element, list the full WBS Number here. (C.XXXXX.X.Y.Z)</t>
  </si>
  <si>
    <t>This is the Purchase Order Number for the Purchase Order associated with your accrual.</t>
  </si>
  <si>
    <t>This is the "General Ledger Account". Use the appropriate Account based on the type of cost. See Detail Below</t>
  </si>
  <si>
    <t xml:space="preserve">The Month the accrual is to be posted. </t>
  </si>
  <si>
    <t>The Year the accrual is to be posted</t>
  </si>
  <si>
    <t>This is the code associated with the Company your Accrual is for. (Distribution=DC10, Transmission=TC10, IT=IS10)</t>
  </si>
  <si>
    <t>The Primary person to reach out to if there are any questions regarding the Accrual. Should be the PO or GPM</t>
  </si>
  <si>
    <t>For any Accrual related to an Outside Vendor, list them here</t>
  </si>
  <si>
    <t>The Name of the Project or Product associated with the Accrual</t>
  </si>
  <si>
    <t>A brief description of why the Accrual is being entered</t>
  </si>
  <si>
    <t>If the accrual is carried over from a previous month, list the accrual amount from the prior month. Otherwise, leave this field blank</t>
  </si>
  <si>
    <t xml:space="preserve">This is the difference between the Accrual Amount (Column C) and the Prior Month Accrual (Column S). It is populated via formula </t>
  </si>
  <si>
    <t xml:space="preserve">If there is a change from the previous month's accrual, list the reason here. If this is the first month of the accrual, please put "New Accrual" </t>
  </si>
  <si>
    <t>This field is for any additional Comments, not covered in previous fields</t>
  </si>
  <si>
    <t>Posting Key</t>
  </si>
  <si>
    <t>Accrual Amount</t>
  </si>
  <si>
    <t>Receiving Element</t>
  </si>
  <si>
    <t>Purchasing Doc</t>
  </si>
  <si>
    <t>GL Account</t>
  </si>
  <si>
    <t>Period</t>
  </si>
  <si>
    <t>Year</t>
  </si>
  <si>
    <t>Company Code</t>
  </si>
  <si>
    <t>Primary Contact</t>
  </si>
  <si>
    <t>Vendor</t>
  </si>
  <si>
    <t>Project/Product</t>
  </si>
  <si>
    <t>Reason for Accrual</t>
  </si>
  <si>
    <t>Prior month accrual</t>
  </si>
  <si>
    <t>Change in accrual from prior month Increase / (Decrease)</t>
  </si>
  <si>
    <t>Reason for change from prior month</t>
  </si>
  <si>
    <t xml:space="preserve">Comments </t>
  </si>
  <si>
    <t>Accrual Description Categories Detail</t>
  </si>
  <si>
    <t>Accrual Description Category</t>
  </si>
  <si>
    <t>Category Description - when to use</t>
  </si>
  <si>
    <t xml:space="preserve">Invoice Received – In Process </t>
  </si>
  <si>
    <t xml:space="preserve">• Actual invoices received and in process of normal review and approval; expectation is that it will be processed into SAP within the payment guidelines and no later than the following month (i.e., the intent is to avoid re-accruals of “Invoice Received – In Process” for more than a month). </t>
  </si>
  <si>
    <t xml:space="preserve">• Accruals with this description should include the Invoice Number in the free-form text field “Comments” section. </t>
  </si>
  <si>
    <t>• Eligible for AFUDC</t>
  </si>
  <si>
    <t xml:space="preserve">Estimate for Work Performed, No Invoice Received </t>
  </si>
  <si>
    <t>• All unbilled work performed, construction completed, etc., with no invoice received (excluding retentions, see separate classification)</t>
  </si>
  <si>
    <t>• Not eligible for AFUDC</t>
  </si>
  <si>
    <t>Invoice Received – On Hold</t>
  </si>
  <si>
    <t xml:space="preserve">• Invoices received and on-hold due to errors or discrepancies to be resolved with the vendor. </t>
  </si>
  <si>
    <t xml:space="preserve">• Potential Reasons for being On-Hold:
  o Mathematical Inaccuracy
  o Pricing (units/rates not confirmed by timesheet, receipts; WBS, PO# wrong)
  o Quality of good/service not up to standard or specification and are in dispute
  o Quantity of goods/services not correct - Error or discrepancy in the quantity of goods or services on a line item.
  o Schedule (Invoice does not match billing period, scope, etc.) - Invoice received does not align with the project or accounting schedule.
  o Change Order Required - Additional funding is required or funding must be re-allocated on the Purchase Order
  o Documentation Missing - Back-up or supporting documentation was not submitted with the invoice or is deficient. </t>
  </si>
  <si>
    <t>Contract Retentions</t>
  </si>
  <si>
    <t xml:space="preserve">• Accruals for retentions or “hold-backs” on invoices as per contract agreements. </t>
  </si>
  <si>
    <t>• Create a separate accrual for the amount on retention and allocate the original accrual for the value of the invoice that will be ‘In-Process’. The new accrual should be created regardless of which Accrual    Description is selected for the amount not-retained.</t>
  </si>
  <si>
    <t>• When retention is released by the PM, it should no longer be considered Contract Retentions, the retainage check box should be unchecked and the invoice should be paid or the accrual submitted with the appropriate categorization</t>
  </si>
  <si>
    <t>WBS Code</t>
  </si>
  <si>
    <t>Project T/I</t>
  </si>
  <si>
    <t>WBS Category</t>
  </si>
  <si>
    <t>Resource Name</t>
  </si>
  <si>
    <t>Role</t>
  </si>
  <si>
    <t>Jan</t>
  </si>
  <si>
    <t>Feb</t>
  </si>
  <si>
    <t>Feb Actuals</t>
  </si>
  <si>
    <t>Mar</t>
  </si>
  <si>
    <t>Apr</t>
  </si>
  <si>
    <t>May</t>
  </si>
  <si>
    <t>Jun</t>
  </si>
  <si>
    <t>Jul</t>
  </si>
  <si>
    <t>Aug</t>
  </si>
  <si>
    <t>Sep</t>
  </si>
  <si>
    <t>Oct</t>
  </si>
  <si>
    <t>Oct Actuals</t>
  </si>
  <si>
    <t>Nov</t>
  </si>
  <si>
    <t>Nov Actuals</t>
  </si>
  <si>
    <t>Dec</t>
  </si>
  <si>
    <t>Dec Actuals</t>
  </si>
  <si>
    <t>Jan Actuals</t>
  </si>
  <si>
    <t>Vendor Name</t>
  </si>
  <si>
    <t>Oct Forecast</t>
  </si>
  <si>
    <t>Nov Forecast</t>
  </si>
  <si>
    <t>Dec Forecast</t>
  </si>
  <si>
    <t>Jan Forecast</t>
  </si>
  <si>
    <t>Feb Forecast</t>
  </si>
  <si>
    <t>Remaining Budget</t>
  </si>
  <si>
    <t>Remaining Forecast</t>
  </si>
  <si>
    <t>Projected Variance %</t>
  </si>
  <si>
    <t>Projected Variance $</t>
  </si>
  <si>
    <t>Spend to Date</t>
  </si>
  <si>
    <t>IT Labor</t>
  </si>
  <si>
    <t>Material</t>
  </si>
  <si>
    <t>Project Definition</t>
  </si>
  <si>
    <t>WBS Element</t>
  </si>
  <si>
    <t>Budget</t>
  </si>
  <si>
    <t xml:space="preserve">CP Budget </t>
  </si>
  <si>
    <t>Budget (minus LOB &amp; R/C)</t>
  </si>
  <si>
    <t>R &amp; C</t>
  </si>
  <si>
    <t>Previous Month</t>
  </si>
  <si>
    <t>PO</t>
  </si>
  <si>
    <t>Po Value</t>
  </si>
  <si>
    <t>2022 Total</t>
  </si>
  <si>
    <t>Combined</t>
  </si>
  <si>
    <t>Var this month</t>
  </si>
  <si>
    <t>PRJ13421 - CCaaS (NJ)</t>
  </si>
  <si>
    <t>CCaaS (LI)</t>
  </si>
  <si>
    <t>Totals</t>
  </si>
  <si>
    <t>PSEG LI IT Overhead</t>
  </si>
  <si>
    <t>Total Capital (without LOB)</t>
  </si>
  <si>
    <t>Total (Capital + O&amp;M)</t>
  </si>
  <si>
    <t>Risk &amp; Contingency (at 30%)</t>
  </si>
  <si>
    <t>Grand Total (Capital/O&amp;M + LI Overhead + Risk &amp; Cont.)</t>
  </si>
  <si>
    <t>Total Capital (with LOB)</t>
  </si>
  <si>
    <t>TOTAL  (Outside Services)</t>
  </si>
  <si>
    <t>GRAND TOTAL  (Labor + Outside Services)</t>
  </si>
  <si>
    <t>Outside Services  (SUB TOTAL)</t>
  </si>
  <si>
    <t>OTHER (SUB TOTAL)</t>
  </si>
  <si>
    <t xml:space="preserve">ohn </t>
  </si>
  <si>
    <t>Vendor Name / Role</t>
  </si>
  <si>
    <t>Other (Materials, HW, SW)</t>
  </si>
  <si>
    <r>
      <t>Gurdeep Kaur</t>
    </r>
    <r>
      <rPr>
        <sz val="11"/>
        <color rgb="FF1F497D"/>
        <rFont val="Calibri"/>
        <family val="2"/>
      </rPr>
      <t xml:space="preserve"> </t>
    </r>
  </si>
  <si>
    <t>Kate Kelliher</t>
  </si>
  <si>
    <t>Michael Cohen</t>
  </si>
  <si>
    <t>Mike Szopinski</t>
  </si>
  <si>
    <t>Saidesh Vadlamudi</t>
  </si>
  <si>
    <t>Wilson Diaz</t>
  </si>
  <si>
    <t>Donald Staudt Jr</t>
  </si>
  <si>
    <t>Esam A Khadr</t>
  </si>
  <si>
    <t>John Casisa</t>
  </si>
  <si>
    <t>Michael Kelly</t>
  </si>
  <si>
    <t>Richard Brenton</t>
  </si>
  <si>
    <r>
      <t>SLT</t>
    </r>
    <r>
      <rPr>
        <sz val="11"/>
        <color rgb="FF1F497D"/>
        <rFont val="Calibri"/>
        <family val="2"/>
      </rPr>
      <t xml:space="preserve"> – WBS by Each below</t>
    </r>
  </si>
  <si>
    <t>2023 - Budget per Sprint (3x)</t>
  </si>
  <si>
    <t>2024 - Budget per Sprint (6x)</t>
  </si>
  <si>
    <t>2025 - Budget per Sprint (6x)</t>
  </si>
  <si>
    <t>2026 - Budget per Sprint (6x)</t>
  </si>
  <si>
    <r>
      <t>Damon LoBoi</t>
    </r>
    <r>
      <rPr>
        <sz val="11"/>
        <color rgb="FF1F497D"/>
        <rFont val="Calibri"/>
        <family val="2"/>
      </rPr>
      <t xml:space="preserve"> X 4</t>
    </r>
  </si>
  <si>
    <t>Sub Total</t>
  </si>
  <si>
    <t>SLT</t>
  </si>
  <si>
    <t>2023 - Budget per Sprint (1x)</t>
  </si>
  <si>
    <t>2024 - Budget per Sprint (1x)</t>
  </si>
  <si>
    <t>2025 - Budget per Sprint (1x)</t>
  </si>
  <si>
    <t>2026 - Budget per Sprint (1x)</t>
  </si>
  <si>
    <t>Sub- Total</t>
  </si>
  <si>
    <t>TOTAL</t>
  </si>
  <si>
    <t>ComTec / Controller</t>
  </si>
  <si>
    <t>Materials</t>
  </si>
  <si>
    <t>Outside Labor Name</t>
  </si>
  <si>
    <t>Total</t>
  </si>
  <si>
    <t>Total Capital</t>
  </si>
  <si>
    <t>Total O&amp;M</t>
  </si>
  <si>
    <t>SubTotal Internal Labor</t>
  </si>
  <si>
    <t>SUMMARY</t>
  </si>
  <si>
    <t>Month</t>
  </si>
  <si>
    <t>Grand Total (Capital/O&amp;M)</t>
  </si>
  <si>
    <t>LABOR COST BY MONTH</t>
  </si>
  <si>
    <t>PSEG Labor (Current Year)</t>
  </si>
  <si>
    <t>Totals for All Years</t>
  </si>
  <si>
    <t>PSEG Labor (Current Year + 2)</t>
  </si>
  <si>
    <t>Est Hours</t>
  </si>
  <si>
    <t>Hours Spread</t>
  </si>
  <si>
    <t>Delta</t>
  </si>
  <si>
    <t>Labor Cost by Month (Current Year)</t>
  </si>
  <si>
    <t>Labor Cost by Month (Current Year + 1)</t>
  </si>
  <si>
    <t>Labor Cost by Month (Current Year + 2)</t>
  </si>
  <si>
    <t>PSEG Resource Name</t>
  </si>
  <si>
    <t>Title</t>
  </si>
  <si>
    <t>Capital/O&amp;M</t>
  </si>
  <si>
    <t>Hours</t>
  </si>
  <si>
    <t>Subtotal</t>
  </si>
  <si>
    <t>MATERIAL</t>
  </si>
  <si>
    <t>Materials - Monthly Cost( Current Year)</t>
  </si>
  <si>
    <t>Materials - Monthly Cost(Current Year + 1)</t>
  </si>
  <si>
    <t>Materials - Monthly Cost(Current Year + 2)</t>
  </si>
  <si>
    <t>Company</t>
  </si>
  <si>
    <t>Item</t>
  </si>
  <si>
    <t>Taxable</t>
  </si>
  <si>
    <t>No</t>
  </si>
  <si>
    <t>Total (including extra 7%)</t>
  </si>
  <si>
    <t>OUTSIDE SERVICES</t>
  </si>
  <si>
    <t>Outside Services - Monthly Cost (Current Year)</t>
  </si>
  <si>
    <t>Outside Services - Monthly Cost (Current Year + 1)</t>
  </si>
  <si>
    <t>Outside Services - Monthly Cost (Current Year + 2)</t>
  </si>
  <si>
    <t>Service Type</t>
  </si>
  <si>
    <t>OTHER</t>
  </si>
  <si>
    <t>Other - Capital/O&amp;M</t>
  </si>
  <si>
    <t>Total Monthly Forecast</t>
  </si>
  <si>
    <t>TOTAL Internal Labor + FRINGE</t>
  </si>
  <si>
    <t>CO object name</t>
  </si>
  <si>
    <t>CO partner object name</t>
  </si>
  <si>
    <t>Cost Element</t>
  </si>
  <si>
    <t>Cost element name</t>
  </si>
  <si>
    <t>Dr/Cr indicator</t>
  </si>
  <si>
    <t>Fiscal Year</t>
  </si>
  <si>
    <t>Name of employee or applicant</t>
  </si>
  <si>
    <t>Object type</t>
  </si>
  <si>
    <t>Object</t>
  </si>
  <si>
    <t>Partner object</t>
  </si>
  <si>
    <t>Personnel Number</t>
  </si>
  <si>
    <t>Purchase order text</t>
  </si>
  <si>
    <t>Purchasing Document</t>
  </si>
  <si>
    <t>Document type</t>
  </si>
  <si>
    <t>Document Date</t>
  </si>
  <si>
    <t>Posted unit of meas.</t>
  </si>
  <si>
    <t>Posting Date</t>
  </si>
  <si>
    <t>Total quantity</t>
  </si>
  <si>
    <t>Val/COArea Crcy</t>
  </si>
  <si>
    <t>D</t>
  </si>
  <si>
    <t>WBS element</t>
  </si>
  <si>
    <t>H</t>
  </si>
  <si>
    <t>Date</t>
  </si>
  <si>
    <t>Assessments</t>
  </si>
  <si>
    <t>IT-CYB ALL LBR SUR</t>
  </si>
  <si>
    <t>6390300</t>
  </si>
  <si>
    <t>ITCYB-payroll tax</t>
  </si>
  <si>
    <t>5387</t>
  </si>
  <si>
    <t>0</t>
  </si>
  <si>
    <t>IT-CYB ST LBR SUR</t>
  </si>
  <si>
    <t>6390301</t>
  </si>
  <si>
    <t>ITCYB-st fringe</t>
  </si>
  <si>
    <t>5388</t>
  </si>
  <si>
    <t>6390302</t>
  </si>
  <si>
    <t>ITCYB-totlbrfrng</t>
  </si>
  <si>
    <t>6390303</t>
  </si>
  <si>
    <t>ITCYB-pension</t>
  </si>
  <si>
    <t>L5387</t>
  </si>
  <si>
    <t>6390304</t>
  </si>
  <si>
    <t>ITCYB-opeb</t>
  </si>
  <si>
    <t>L5388</t>
  </si>
  <si>
    <t>Dir IT ASM</t>
  </si>
  <si>
    <t>6401111</t>
  </si>
  <si>
    <t>PSLI T&amp;D P &amp; C Fring</t>
  </si>
  <si>
    <t>L7666</t>
  </si>
  <si>
    <t>IT  Capital ASM</t>
  </si>
  <si>
    <t>L7669</t>
  </si>
  <si>
    <t>6401113</t>
  </si>
  <si>
    <t>PSLI T&amp;D P &amp; C Pensi</t>
  </si>
  <si>
    <t>6401121</t>
  </si>
  <si>
    <t>PSLI T&amp;D P &amp; C Payrt</t>
  </si>
  <si>
    <t>6402601</t>
  </si>
  <si>
    <t>PSLI IT Labor</t>
  </si>
  <si>
    <t>6402603</t>
  </si>
  <si>
    <t>PSLI IT Outside Srvs</t>
  </si>
  <si>
    <t>6402604</t>
  </si>
  <si>
    <t>PSLI IT Other</t>
  </si>
  <si>
    <t>6402611</t>
  </si>
  <si>
    <t>PSLI IT Fringes</t>
  </si>
  <si>
    <t>6402614</t>
  </si>
  <si>
    <t>PSLI IT Incen Comp</t>
  </si>
  <si>
    <t>6402801</t>
  </si>
  <si>
    <t>PSLI Facs Labor</t>
  </si>
  <si>
    <t>6402803</t>
  </si>
  <si>
    <t>PSLI Facs OS Srvices</t>
  </si>
  <si>
    <t>6402804</t>
  </si>
  <si>
    <t>PSLI Facs Other</t>
  </si>
  <si>
    <t>6402815</t>
  </si>
  <si>
    <t>PSLI Facs Rents</t>
  </si>
  <si>
    <t>6406801</t>
  </si>
  <si>
    <t>PSLI FACSBU LBR</t>
  </si>
  <si>
    <t>6414001</t>
  </si>
  <si>
    <t>PSLIITLABORSCA</t>
  </si>
  <si>
    <t>6414031</t>
  </si>
  <si>
    <t>PSLITLABOROTSCA</t>
  </si>
  <si>
    <t>6414101</t>
  </si>
  <si>
    <t>PSLIITLABORBUSCA</t>
  </si>
  <si>
    <t>6414131</t>
  </si>
  <si>
    <t>PSLIITLABORBUOTSCA</t>
  </si>
  <si>
    <t>6414601</t>
  </si>
  <si>
    <t>PSLIFACLABORSCA</t>
  </si>
  <si>
    <t>6414731</t>
  </si>
  <si>
    <t>PSLIFACLABORBUOTSCA</t>
  </si>
  <si>
    <t>6490300</t>
  </si>
  <si>
    <t>6490301</t>
  </si>
  <si>
    <t>6490302</t>
  </si>
  <si>
    <t>6490303</t>
  </si>
  <si>
    <t>6490304</t>
  </si>
  <si>
    <t>6491111</t>
  </si>
  <si>
    <t>VP Constr Ops-totfrn</t>
  </si>
  <si>
    <t>6491112</t>
  </si>
  <si>
    <t>VP Constr Ops-stfrng</t>
  </si>
  <si>
    <t>6491113</t>
  </si>
  <si>
    <t>VP Constr Ops-pensn</t>
  </si>
  <si>
    <t>6491114</t>
  </si>
  <si>
    <t>VP Constr Ops-OPEB</t>
  </si>
  <si>
    <t>FRINGE CHARGES</t>
  </si>
  <si>
    <t>6491121</t>
  </si>
  <si>
    <t>VP Constr Ops-pyrltx</t>
  </si>
  <si>
    <t>2025</t>
  </si>
  <si>
    <t>1</t>
  </si>
  <si>
    <t>Mar Actuals</t>
  </si>
  <si>
    <t>July</t>
  </si>
  <si>
    <t>June</t>
  </si>
  <si>
    <t>Sept</t>
  </si>
  <si>
    <t>Sep Actuals</t>
  </si>
  <si>
    <t>Aug Actuals</t>
  </si>
  <si>
    <t>Jul Actuals</t>
  </si>
  <si>
    <t>Jun Actuals</t>
  </si>
  <si>
    <t xml:space="preserve"> Apr Actuals</t>
  </si>
  <si>
    <t>May Actuals</t>
  </si>
  <si>
    <t>2025 Rate</t>
  </si>
  <si>
    <t>Mar Forecast</t>
  </si>
  <si>
    <t>Apr Forecast</t>
  </si>
  <si>
    <t>Apr Actuals</t>
  </si>
  <si>
    <t>May Forecast</t>
  </si>
  <si>
    <t>June Forecast</t>
  </si>
  <si>
    <t>June Actuals</t>
  </si>
  <si>
    <t>July Forecast</t>
  </si>
  <si>
    <t>July Actuals</t>
  </si>
  <si>
    <t>Aug Forecast</t>
  </si>
  <si>
    <t>Sept Forecast</t>
  </si>
  <si>
    <t>Sept Actuals</t>
  </si>
  <si>
    <t>LI Bus. Sr. Manager</t>
  </si>
  <si>
    <t>Sr. Associate</t>
  </si>
  <si>
    <t>Chad Boyett</t>
  </si>
  <si>
    <t xml:space="preserve"> </t>
  </si>
  <si>
    <t>2</t>
  </si>
  <si>
    <t>5150100</t>
  </si>
  <si>
    <t>O/S Serv-MgmntConsul</t>
  </si>
  <si>
    <t>WE</t>
  </si>
  <si>
    <t>SU</t>
  </si>
  <si>
    <t>6401501</t>
  </si>
  <si>
    <t>PSLI Eng&amp;Rel Labor</t>
  </si>
  <si>
    <t>6402802</t>
  </si>
  <si>
    <t>PSLI Facs Materials</t>
  </si>
  <si>
    <t>6406831</t>
  </si>
  <si>
    <t>PSLI FACSBU LBR-OT</t>
  </si>
  <si>
    <t>6408101</t>
  </si>
  <si>
    <t>PSLIPROJMGMTLABOR</t>
  </si>
  <si>
    <t>6414701</t>
  </si>
  <si>
    <t>PSLIFACLABORBUSCA</t>
  </si>
  <si>
    <t>5000060402</t>
  </si>
  <si>
    <t>AC</t>
  </si>
  <si>
    <t>Select Project Overhead Type</t>
  </si>
  <si>
    <t xml:space="preserve">PSEG NJ = 0  
PSEG Long Island = 1   </t>
  </si>
  <si>
    <t xml:space="preserve">Summary </t>
  </si>
  <si>
    <t xml:space="preserve">OPEX </t>
  </si>
  <si>
    <t xml:space="preserve">CAPEX </t>
  </si>
  <si>
    <t xml:space="preserve">CAPEX (Nov/Dec) </t>
  </si>
  <si>
    <t xml:space="preserve">2024-25 CAPEX Totals </t>
  </si>
  <si>
    <t xml:space="preserve">Totals </t>
  </si>
  <si>
    <t>Total (Capital/O&amp;M)</t>
  </si>
  <si>
    <t xml:space="preserve">Capital </t>
  </si>
  <si>
    <t>Additional Overhead (LI projects only)</t>
  </si>
  <si>
    <t xml:space="preserve">Overheads </t>
  </si>
  <si>
    <t>Risk &amp; Contingency (in %) - PMO O/H's</t>
  </si>
  <si>
    <t>Risk &amp; Contingency (in %)</t>
  </si>
  <si>
    <t>OPEX Totals</t>
  </si>
  <si>
    <t xml:space="preserve">Capex Totals </t>
  </si>
  <si>
    <t>Sub-Totals</t>
  </si>
  <si>
    <t>PSEG Labor (Current Year + 1) 2025</t>
  </si>
  <si>
    <t>PSEG Labor (Current Year +3)</t>
  </si>
  <si>
    <t>Units - Purchased</t>
  </si>
  <si>
    <t xml:space="preserve">Units -  Deployed </t>
  </si>
  <si>
    <t xml:space="preserve">Project Manager </t>
  </si>
  <si>
    <t>Sr. Manager</t>
  </si>
  <si>
    <t>JMUX Escort-1</t>
  </si>
  <si>
    <t>Principal</t>
  </si>
  <si>
    <t>JMUX Engineeer-1</t>
  </si>
  <si>
    <t>JMUX Escort-2</t>
  </si>
  <si>
    <t>JMUX Engineer-2</t>
  </si>
  <si>
    <t xml:space="preserve">JMUX Engineer </t>
  </si>
  <si>
    <t>Pontoon Escort-1</t>
  </si>
  <si>
    <t>Group Product Manager</t>
  </si>
  <si>
    <t>Pontoon Escort-2</t>
  </si>
  <si>
    <t>Pontoon Escort</t>
  </si>
  <si>
    <t>LI Sr. IT Mananger</t>
  </si>
  <si>
    <t>PSEG Labor HoursTotal (Current Year)</t>
  </si>
  <si>
    <t>PSEG Labor HoursTotal (Current Year + 1)</t>
  </si>
  <si>
    <t>PSEG Labor HoursTotal (Current Year + 2)</t>
  </si>
  <si>
    <t xml:space="preserve">Purchased </t>
  </si>
  <si>
    <t xml:space="preserve">Equipment Vendor </t>
  </si>
  <si>
    <t>Network Equipment</t>
  </si>
  <si>
    <t xml:space="preserve">IT Servers/Switches </t>
  </si>
  <si>
    <t>48</t>
  </si>
  <si>
    <t xml:space="preserve">Sites </t>
  </si>
  <si>
    <t xml:space="preserve">Total sites </t>
  </si>
  <si>
    <t>Burns &amp; McDonnell</t>
  </si>
  <si>
    <t>Infrastructure</t>
  </si>
  <si>
    <t xml:space="preserve">Burns &amp; McDonnell - Substation Site Surveys </t>
  </si>
  <si>
    <t>Burns &amp; McDonnell (Project Mgmt)</t>
  </si>
  <si>
    <t xml:space="preserve">* (2) months of P/M work wih an expected run = $ 154,000.00 ($5,500.00 per month) </t>
  </si>
  <si>
    <t>Burns &amp; McDonnell - MPLS Network Node Template</t>
  </si>
  <si>
    <t>Burns &amp; McDonnell (Design)</t>
  </si>
  <si>
    <t>Low Level Design (see below) = $ 51,250.00/2 mos.</t>
  </si>
  <si>
    <t>Burns &amp; McDonnell - Communications Enclosure Network</t>
  </si>
  <si>
    <t>NO</t>
  </si>
  <si>
    <t xml:space="preserve">BU84:AK88urns &amp; McDonnell - Low Level Design </t>
  </si>
  <si>
    <t>Procurement &amp; Construction Bids</t>
  </si>
  <si>
    <t xml:space="preserve">Deployed </t>
  </si>
  <si>
    <t xml:space="preserve">Construction Company </t>
  </si>
  <si>
    <t xml:space="preserve">Burns &amp; McDonnell - Site Implementation costs </t>
  </si>
  <si>
    <t>Installing Material</t>
  </si>
  <si>
    <t xml:space="preserve">45 sites </t>
  </si>
  <si>
    <t>45 sites</t>
  </si>
  <si>
    <t>2024 Network Equip Spec Req</t>
  </si>
  <si>
    <t xml:space="preserve"> See Jul-2024 </t>
  </si>
  <si>
    <t>RFP</t>
  </si>
  <si>
    <t>Site Surveys</t>
  </si>
  <si>
    <t xml:space="preserve">See Sept-2024 </t>
  </si>
  <si>
    <t>Proj Mgmt</t>
  </si>
  <si>
    <t xml:space="preserve">($ 5,500.00 per mos.; Oct-Dec - CAPEX) </t>
  </si>
  <si>
    <t xml:space="preserve">Assumptions </t>
  </si>
  <si>
    <t># of sites</t>
  </si>
  <si>
    <t>2026</t>
  </si>
  <si>
    <t xml:space="preserve">1) </t>
  </si>
  <si>
    <t xml:space="preserve">Construction costs per site  </t>
  </si>
  <si>
    <t>Equipment</t>
  </si>
  <si>
    <t>Design/Preparation</t>
  </si>
  <si>
    <t xml:space="preserve">Actual from B&amp;M </t>
  </si>
  <si>
    <t xml:space="preserve">Estimated per site </t>
  </si>
  <si>
    <t xml:space="preserve">2) </t>
  </si>
  <si>
    <t xml:space="preserve">Estimated 6 sites per month in Mar-Jun-2025 </t>
  </si>
  <si>
    <t xml:space="preserve">3) </t>
  </si>
  <si>
    <t xml:space="preserve">Estimated 4 sites per month in Jul-Dec 2025 </t>
  </si>
  <si>
    <t xml:space="preserve">B&amp;M Costs above </t>
  </si>
  <si>
    <t xml:space="preserve">Type </t>
  </si>
  <si>
    <t xml:space="preserve">Remaining </t>
  </si>
  <si>
    <t xml:space="preserve">70% of initial design
 ($ 109,700.00 * 70%) accrued  </t>
  </si>
  <si>
    <t xml:space="preserve">May </t>
  </si>
  <si>
    <t>Deliverable</t>
  </si>
  <si>
    <t>Payment Amount</t>
  </si>
  <si>
    <t xml:space="preserve">Types </t>
  </si>
  <si>
    <t xml:space="preserve">OPEX Costs (tent.) </t>
  </si>
  <si>
    <t xml:space="preserve">July </t>
  </si>
  <si>
    <t>Substation Site Surveys</t>
  </si>
  <si>
    <t xml:space="preserve">NRC up-front </t>
  </si>
  <si>
    <t xml:space="preserve">Sept </t>
  </si>
  <si>
    <t xml:space="preserve">Remainder of iniital Design </t>
  </si>
  <si>
    <t>MPLS Network Node Template</t>
  </si>
  <si>
    <t>Communications Enclosure Estimate</t>
  </si>
  <si>
    <t>Low Level Design</t>
  </si>
  <si>
    <t>Procurement and Construction Bids</t>
  </si>
  <si>
    <t>MPLS Network Node Design</t>
  </si>
  <si>
    <t>Phase 1 Total</t>
  </si>
  <si>
    <t>1st System Integrator Costs - PO-5000055979</t>
  </si>
  <si>
    <t>Milestone</t>
  </si>
  <si>
    <t>Performance Specification</t>
  </si>
  <si>
    <t xml:space="preserve">Commitment Date </t>
  </si>
  <si>
    <t>Network Equipment Specifications and Vendor Scope Requirements</t>
  </si>
  <si>
    <t>Supplier will create a requirements-based network equipment specification document based on the data gathered from the stakeholder interviews. This will be a technical specification with sufficient detail for a qualified vendor to provide a proposal for network equipment.</t>
  </si>
  <si>
    <t>Document completed in 
form and substance 
submitted to Company by 
the Milestone 
Commitment Date</t>
  </si>
  <si>
    <t xml:space="preserve">Paid </t>
  </si>
  <si>
    <t>Vendor Request for Proposal – Vendor Recommendation</t>
  </si>
  <si>
    <t>Supplier will issue a Request for Proposal (‘RFP’) event to up to four (4) potential vendors that meet the vendor scope requirements and network equipment specifications. The RFP will be issued out of PowerAdvocate (by Company) and Supplier will issue a weighted scoring matrix and written recommendation to the Company based on the final technical requirements.</t>
  </si>
  <si>
    <t>Document and services 
completed in form and 
substance submitted to 
Company by the 
Milestone Commitment 
Date</t>
  </si>
  <si>
    <t xml:space="preserve">sum of 1st 2 milestones </t>
  </si>
  <si>
    <t>Supplier will gather data related to available rack space, wall space, or other locations within each substation control enclosure where the new communication network equipment may be installed. Sites will be submitted in batches, however the milestone shall be based on submittal to Company of all site survey data.</t>
  </si>
  <si>
    <t>Final deliverable
submitted to Company by 
the Milestone 
Commitment Date</t>
  </si>
  <si>
    <t>Project Management</t>
  </si>
  <si>
    <t>Supplier will host meetings, record meeting minutes, and maintain the project schedule for the Company’s selected vendor. Supplier will report vendor milestone progress, as agreed upon between Vendor and Company, in accordance to Company defined deliverable process. Assumption: Company’s selected vendor will adhere to coordinated project schedule. 1) Project Status Report (100%)</t>
  </si>
  <si>
    <t>PM performance must measure (average) A or B. See note 3 below</t>
  </si>
  <si>
    <t>Per mos. = $ 154,000.00/28</t>
  </si>
  <si>
    <t>JMUX Replacement</t>
  </si>
  <si>
    <t>I.39424.2.1</t>
  </si>
  <si>
    <t>I.39424.2.2</t>
  </si>
  <si>
    <t>I.39424.2.3</t>
  </si>
  <si>
    <t>2025 Capital</t>
  </si>
  <si>
    <t>I.39424</t>
  </si>
  <si>
    <t>2024</t>
  </si>
  <si>
    <t>I.39424.1.1</t>
  </si>
  <si>
    <t>3</t>
  </si>
  <si>
    <t>IT Infrastructure Sv / Princpl-Info Technl</t>
  </si>
  <si>
    <t>6835466</t>
  </si>
  <si>
    <t>L5436-Princp CDC</t>
  </si>
  <si>
    <t>MARTIN GATELY</t>
  </si>
  <si>
    <t>5536/L5436</t>
  </si>
  <si>
    <t>75000282</t>
  </si>
  <si>
    <t>4</t>
  </si>
  <si>
    <t>6404831</t>
  </si>
  <si>
    <t>PSLI MATLOGBU LBR-OT</t>
  </si>
  <si>
    <t>6405131</t>
  </si>
  <si>
    <t>PSLI T&amp;D PCBU LBR-OT</t>
  </si>
  <si>
    <t>5</t>
  </si>
  <si>
    <t>VP T&amp;D all lbr sur</t>
  </si>
  <si>
    <t>6398200</t>
  </si>
  <si>
    <t>Vp T&amp;D Ops-payrll tx</t>
  </si>
  <si>
    <t>5100</t>
  </si>
  <si>
    <t>VP T&amp;D st lbr sur</t>
  </si>
  <si>
    <t>6398201</t>
  </si>
  <si>
    <t>Vp T&amp;D Ops-st fringe</t>
  </si>
  <si>
    <t>5101</t>
  </si>
  <si>
    <t>6398202</t>
  </si>
  <si>
    <t>VpT&amp;D Ops-totlbrfrng</t>
  </si>
  <si>
    <t>6398203</t>
  </si>
  <si>
    <t>Vp T&amp;D Ops-pension</t>
  </si>
  <si>
    <t>L5100</t>
  </si>
  <si>
    <t>6398204</t>
  </si>
  <si>
    <t>Vp T&amp;D Ops-opeb</t>
  </si>
  <si>
    <t>L5101</t>
  </si>
  <si>
    <t>6409101</t>
  </si>
  <si>
    <t>PSLITRSTECHLABORBU</t>
  </si>
  <si>
    <t>6498200</t>
  </si>
  <si>
    <t>6498201</t>
  </si>
  <si>
    <t>6498202</t>
  </si>
  <si>
    <t>6498203</t>
  </si>
  <si>
    <t>6498204</t>
  </si>
  <si>
    <t>RAHIQ MOHAMED</t>
  </si>
  <si>
    <t>75003863</t>
  </si>
  <si>
    <t>BRIANNA FOREMAN</t>
  </si>
  <si>
    <t>75004036</t>
  </si>
  <si>
    <t>T&amp;D Sub Egr Stf / Senior Engineer</t>
  </si>
  <si>
    <t>6865009</t>
  </si>
  <si>
    <t>L5000-SrEgr SubEgr</t>
  </si>
  <si>
    <t>Ismail Ahmad</t>
  </si>
  <si>
    <t>5238/L5000</t>
  </si>
  <si>
    <t>75005101</t>
  </si>
  <si>
    <t>5150610</t>
  </si>
  <si>
    <t>O/S Serv-Solut Devel</t>
  </si>
  <si>
    <t>I.39424.1.3</t>
  </si>
  <si>
    <t>5000054913</t>
  </si>
  <si>
    <t>5000056010</t>
  </si>
  <si>
    <t>5000056014</t>
  </si>
  <si>
    <t>6</t>
  </si>
  <si>
    <t>KELLY VAUGHN</t>
  </si>
  <si>
    <t>75000230</t>
  </si>
  <si>
    <t>IT Infrastructure Sv / Manager</t>
  </si>
  <si>
    <t>6865936</t>
  </si>
  <si>
    <t>L7100 Manager</t>
  </si>
  <si>
    <t>5536/L7100</t>
  </si>
  <si>
    <t>C</t>
  </si>
  <si>
    <t>AR</t>
  </si>
  <si>
    <t>7</t>
  </si>
  <si>
    <t>5000055979</t>
  </si>
  <si>
    <t>8</t>
  </si>
  <si>
    <t>T&amp;D Sub Egr Stf / Senior Engineer OT</t>
  </si>
  <si>
    <t>6865010</t>
  </si>
  <si>
    <t>O5000SrEgr SubEgrOT</t>
  </si>
  <si>
    <t>5238/O5000</t>
  </si>
  <si>
    <t>9</t>
  </si>
  <si>
    <t>M1,Network Equipment Specifications and</t>
  </si>
  <si>
    <t>10</t>
  </si>
  <si>
    <t>11</t>
  </si>
  <si>
    <t>5000058992</t>
  </si>
  <si>
    <t>12</t>
  </si>
  <si>
    <t>5130201</t>
  </si>
  <si>
    <t>Mat Non Val Unassess</t>
  </si>
  <si>
    <t>MS6 Deliver PQA Compliance Audit Reports</t>
  </si>
  <si>
    <t>5000057290</t>
  </si>
  <si>
    <t>MS7 a) Create/Update the Practice Area</t>
  </si>
  <si>
    <t>5000055093</t>
  </si>
  <si>
    <t>MS8 Deliver PQA Compliance Audit Reports</t>
  </si>
  <si>
    <t>Cyber Security (Security Architect)</t>
  </si>
  <si>
    <t>MS9 Deliver PQA Compliance Audit Reports</t>
  </si>
  <si>
    <t>M3,Substation Site Surveys,7/9/24</t>
  </si>
  <si>
    <t>M4,Project Management Services, Billed e</t>
  </si>
  <si>
    <t>M2,Vendor Request for Proposal # Vendor</t>
  </si>
  <si>
    <t>IT Operational Tech / Senior Analyst</t>
  </si>
  <si>
    <t>6817162</t>
  </si>
  <si>
    <t>L5130-Sr Ana IT OP</t>
  </si>
  <si>
    <t>Artur Karczewski</t>
  </si>
  <si>
    <t>5532/L5130</t>
  </si>
  <si>
    <t>75005448</t>
  </si>
  <si>
    <t>IT Operational Tech / Assoc-Info Technl</t>
  </si>
  <si>
    <t>6834463</t>
  </si>
  <si>
    <t>L4462-AssocIT-IT OPS</t>
  </si>
  <si>
    <t>LAWRENCE VARGHESE</t>
  </si>
  <si>
    <t>5532/L4462</t>
  </si>
  <si>
    <t>75000679</t>
  </si>
  <si>
    <t>IT Operational Tech / Princpl-Info Technl</t>
  </si>
  <si>
    <t>6835436</t>
  </si>
  <si>
    <t>L5436-Princp IT OP</t>
  </si>
  <si>
    <t>GEORGES VOLCY</t>
  </si>
  <si>
    <t>5532/L5436</t>
  </si>
  <si>
    <t>75001141</t>
  </si>
  <si>
    <t>5130200</t>
  </si>
  <si>
    <t>Material-Non Valued</t>
  </si>
  <si>
    <t>7705 Service Aggregation Router.JMUX Rep</t>
  </si>
  <si>
    <t>5000059268</t>
  </si>
  <si>
    <t>Cyber Security (Security Architect) to 1</t>
  </si>
  <si>
    <t>M1,Substation Site Surveys,10/24/24.</t>
  </si>
  <si>
    <t>M2,MPLS Network Node Template,11/8/24</t>
  </si>
  <si>
    <t>Project Manager</t>
  </si>
  <si>
    <t>2026 Rate</t>
  </si>
  <si>
    <t>2024 Capital</t>
  </si>
  <si>
    <t>PO Amount</t>
  </si>
  <si>
    <t xml:space="preserve">Dec </t>
  </si>
  <si>
    <t>2024 O/S Actuals</t>
  </si>
  <si>
    <t>TRC / Cyber Security (Security Architect)</t>
  </si>
  <si>
    <t>Lee Blackman</t>
  </si>
  <si>
    <t>Sr. Arch</t>
  </si>
  <si>
    <t>Engineer</t>
  </si>
  <si>
    <t>ComTec / Scheduler</t>
  </si>
  <si>
    <t>Farouk Adelekan</t>
  </si>
  <si>
    <t>Implemenation</t>
  </si>
  <si>
    <t>Cognizant / EPMO Audits</t>
  </si>
  <si>
    <t>T.60393.0.1.3</t>
  </si>
  <si>
    <t>IT Infrastructure Sv / Senior Analyst</t>
  </si>
  <si>
    <t>6819304</t>
  </si>
  <si>
    <t>L5130-SYSAN-ITINF</t>
  </si>
  <si>
    <t>5536/L5130</t>
  </si>
  <si>
    <t>Project Manager 01/01/2025 06/30/2025</t>
  </si>
  <si>
    <t>5000060468</t>
  </si>
  <si>
    <t>MS3 Deliver PQA Compliance Audit Reports</t>
  </si>
  <si>
    <t>5000060399</t>
  </si>
  <si>
    <t>MS4 Support LIPA Sponsored CMMI Level 3</t>
  </si>
  <si>
    <t>MS2 a. Create/Update the Practice Area W</t>
  </si>
  <si>
    <t>M8,MPLS Network Node Design,Please see S</t>
  </si>
  <si>
    <t>Hermitage / CMMI Implementation, Project Manager</t>
  </si>
  <si>
    <t>Ilamin Bitoka</t>
  </si>
  <si>
    <t xml:space="preserve">Raju Khedkar </t>
  </si>
  <si>
    <t>Alex Lennox</t>
  </si>
  <si>
    <t/>
  </si>
  <si>
    <t>6409801</t>
  </si>
  <si>
    <t>PSLIOPWESTLABORBU</t>
  </si>
  <si>
    <t>6409831</t>
  </si>
  <si>
    <t>PSLIOPWESTLBRBUOT</t>
  </si>
  <si>
    <t>5000060473</t>
  </si>
  <si>
    <t>5000046818</t>
  </si>
  <si>
    <t>7000001237</t>
  </si>
  <si>
    <t>7000001527</t>
  </si>
  <si>
    <t>MS5 Deliver PQA Compliance Audit Reports</t>
  </si>
  <si>
    <t>7000001262</t>
  </si>
  <si>
    <t>5150405</t>
  </si>
  <si>
    <t>OS- Service Co Bill</t>
  </si>
  <si>
    <t>9SI3942423</t>
  </si>
  <si>
    <t>7000001415</t>
  </si>
  <si>
    <t>PQA Audit</t>
  </si>
  <si>
    <t>7000001175</t>
  </si>
  <si>
    <t>7000001429</t>
  </si>
  <si>
    <t>Abel Cepeda</t>
  </si>
  <si>
    <t>75005819</t>
  </si>
  <si>
    <t>Due to the inability of the NOKIA Suppli</t>
  </si>
  <si>
    <t>7000001748</t>
  </si>
  <si>
    <t>MS7 Deliver PQA ComplianceAudit Reports</t>
  </si>
  <si>
    <t>5150200</t>
  </si>
  <si>
    <t>O/S Serv-Maint Contr</t>
  </si>
  <si>
    <t>M4,Project ManagementServices, Billed ea</t>
  </si>
  <si>
    <t>M5,Network Test Plan,12/30/24</t>
  </si>
  <si>
    <t>7000001204</t>
  </si>
  <si>
    <t>7000001145</t>
  </si>
  <si>
    <t>GLC-LH-SMD= 1000BASE-LX/LH SFP transceiv</t>
  </si>
  <si>
    <t>Supplemental Project and O&amp;M support for</t>
  </si>
  <si>
    <t>MS9 Deliver PQA ComplianceAudit Reports</t>
  </si>
  <si>
    <t>MS8 Deliver PQA ComplianceAudit Reports</t>
  </si>
  <si>
    <t>Cognizant</t>
  </si>
  <si>
    <t>Bob Hora</t>
  </si>
  <si>
    <t>PRESIDIO NETWORKED SOLUTIONS</t>
  </si>
  <si>
    <t>Umair Mohammed</t>
  </si>
  <si>
    <t>DHANANJAYA GUNARATNE</t>
  </si>
  <si>
    <t>SOW Budget</t>
  </si>
  <si>
    <t>Spend to date</t>
  </si>
  <si>
    <t>Over(+) / Under(-) budget</t>
  </si>
  <si>
    <t>Financials-Total Approved Project Budget</t>
  </si>
  <si>
    <t>I.39424.1x</t>
  </si>
  <si>
    <t>Internal Labor</t>
  </si>
  <si>
    <t>2024 O&amp;M</t>
  </si>
  <si>
    <t>2025 O&amp;M</t>
  </si>
  <si>
    <t>2024 Cap</t>
  </si>
  <si>
    <t>2025 Cap</t>
  </si>
  <si>
    <t>Total 2024</t>
  </si>
  <si>
    <t>Total 2025</t>
  </si>
  <si>
    <t>PQA Compliance</t>
  </si>
  <si>
    <t>BURNS &amp; MCDONNELL EGS, P.C.</t>
  </si>
  <si>
    <t>NOKIA OF AMERICA CORPORATION</t>
  </si>
  <si>
    <t>TRC</t>
  </si>
  <si>
    <t>Cognizant - PQA Support</t>
  </si>
  <si>
    <t>Hernitage (PM)</t>
  </si>
  <si>
    <t>Cognizant - O&amp;M support for OT Network</t>
  </si>
  <si>
    <t>TRC - Cyber Security</t>
  </si>
  <si>
    <t>BURNS &amp; MCDONNELL EGS, P.C</t>
  </si>
  <si>
    <t>BURNS &amp; MCDONNELL EGS, P.C -Integrator-Scada</t>
  </si>
  <si>
    <t xml:space="preserve">Hermitage -  Proj. Mgr. Ahsan Khawaja Mazharullah - </t>
  </si>
  <si>
    <t>Deliver PQA Compliance Audit Reports &amp; D</t>
  </si>
  <si>
    <t>Sr Project Manager 07/01/2025 12/31/2025</t>
  </si>
  <si>
    <t>IT Project Scheduler</t>
  </si>
  <si>
    <t>ZE</t>
  </si>
  <si>
    <t>T&amp;D Sub Egr Stf / Engineer Manager</t>
  </si>
  <si>
    <t>6867039</t>
  </si>
  <si>
    <t>L7030-EMgr SubEgr</t>
  </si>
  <si>
    <t>5238/L7030</t>
  </si>
  <si>
    <t>7000000729</t>
  </si>
  <si>
    <t>Sr Technical Project Manager 05/01/2025</t>
  </si>
  <si>
    <t>7000001734</t>
  </si>
  <si>
    <t>2025 LI Contractor replace PO 4501266743</t>
  </si>
  <si>
    <t xml:space="preserve">Edward Laurence Schwartz </t>
  </si>
  <si>
    <t xml:space="preserve"> Hermitage / PM</t>
  </si>
  <si>
    <t>Hermitage / PQA Lead Support</t>
  </si>
  <si>
    <t>Ahsan Khawaja</t>
  </si>
  <si>
    <t>IT EPMO Cost Controller IV 05/01/2025 th</t>
  </si>
  <si>
    <t>T.60393</t>
  </si>
  <si>
    <t>NOKIA of America</t>
  </si>
  <si>
    <t>1 EA IMMIX TECHNOLOGY 7071819001</t>
  </si>
  <si>
    <t>7000001767</t>
  </si>
  <si>
    <t>2 EA IMMIX TECHNOLOGY 1091904899-01</t>
  </si>
  <si>
    <t>2 EA IMMIX TECHNOLOGY 1091905915-01</t>
  </si>
  <si>
    <t>2 EA IMMIX TECHNOLOGY 1091905905-01</t>
  </si>
  <si>
    <t>100 EA SOLARA INC 241122.125 FLATPACK S</t>
  </si>
  <si>
    <t>7000001811</t>
  </si>
  <si>
    <t>50 EA SOLARA INC SPS-FPS100-A04- VV CONT</t>
  </si>
  <si>
    <t>50 EA SOLARA INC LA1014-N515P LINE CORD</t>
  </si>
  <si>
    <t>50 EA SOLARA INC LA1014-UU LN CORD W/AMP</t>
  </si>
  <si>
    <t>100 EA SOLARA INC GMT-10 10A GMT FUSE</t>
  </si>
  <si>
    <t>M7,Procurement and Construction Bids,12/</t>
  </si>
  <si>
    <t>5150400</t>
  </si>
  <si>
    <t>O/S Serv-Other</t>
  </si>
  <si>
    <t>Sr Technical Project Manager 08/01/2025</t>
  </si>
  <si>
    <t>7000002000</t>
  </si>
  <si>
    <t>Graybar Electric</t>
  </si>
  <si>
    <t>rem</t>
  </si>
  <si>
    <t>Invoices being processed</t>
  </si>
  <si>
    <t>Amount Invoiced</t>
  </si>
  <si>
    <t>Notes</t>
  </si>
  <si>
    <t>7705 Service Aggregation Router</t>
  </si>
  <si>
    <t>Month Paid</t>
  </si>
  <si>
    <t>Supplemental Project and O&amp;M support</t>
  </si>
  <si>
    <t>M4,Project ManagementServices</t>
  </si>
  <si>
    <t>Sr Technical Project Manager</t>
  </si>
  <si>
    <t>Hermitage Info Tech</t>
  </si>
  <si>
    <t>ComTec</t>
  </si>
  <si>
    <t>Total Spend</t>
  </si>
  <si>
    <t>2025 Budget</t>
  </si>
  <si>
    <t>2025 EAC</t>
  </si>
  <si>
    <t>Projected Variance</t>
  </si>
  <si>
    <t>Elecnor Hawkeye</t>
  </si>
  <si>
    <t xml:space="preserve">Total </t>
  </si>
  <si>
    <t>Graybar</t>
  </si>
  <si>
    <t>Invoice Amount</t>
  </si>
  <si>
    <t>Inv Status</t>
  </si>
  <si>
    <t>Remaining $</t>
  </si>
  <si>
    <t>Rejected</t>
  </si>
  <si>
    <t>Reconciling</t>
  </si>
  <si>
    <t>Invoice #</t>
  </si>
  <si>
    <t>Never Submitted</t>
  </si>
  <si>
    <t xml:space="preserve">Need PCR for </t>
  </si>
  <si>
    <t>CORNING OPTICAL WBT-024 24-fiber Wall-mo</t>
  </si>
  <si>
    <t>7000001841</t>
  </si>
  <si>
    <t>CORNING OPTICAL LDC-BLANK Blank LDC Conn</t>
  </si>
  <si>
    <t>M9,As part of the JMUX Replacement Netwo</t>
  </si>
  <si>
    <t>M3,Communications Enclosure Estimate,12/</t>
  </si>
  <si>
    <t>M4,Low Level Design,12/17/24</t>
  </si>
  <si>
    <t>JMUX Replacement LCP -2024</t>
  </si>
  <si>
    <t>9DI3942423</t>
  </si>
  <si>
    <t>5150300</t>
  </si>
  <si>
    <t>O/S Serv-Contr Labor</t>
  </si>
  <si>
    <t xml:space="preserve">
9350042602</t>
  </si>
  <si>
    <t xml:space="preserve">
9350079153</t>
  </si>
  <si>
    <t>First - need a CR to add 45749.32.  Then all need to be canceled and resubmitted without Martin as approver</t>
  </si>
  <si>
    <t>Needs to be canceled and resubmitted with only Vikas and Irving as approvers</t>
  </si>
  <si>
    <t>KIRANKUMAR RAMAYANAM</t>
  </si>
  <si>
    <t>CORNING OPTICAL LG1CA9A9C8BJBJY-LGX 1RU</t>
  </si>
  <si>
    <t>2 EA IMMIX TECHNOLOGY 1078904684-01</t>
  </si>
  <si>
    <t>2 EA IMMIX TECHNOLOGY 1013902002</t>
  </si>
  <si>
    <t>4 EA IMMIX TECHNOLOGY 1040904033</t>
  </si>
  <si>
    <t>4 EA IMMIX TECHNOLOGY 1036001630</t>
  </si>
  <si>
    <t>2 EA IMMIX TECHNOLOGY 1047027423-01</t>
  </si>
  <si>
    <t>2 EA IMMIX TECHNOLOGY BC47020103-01</t>
  </si>
  <si>
    <t>2 EA IMMIX TECHNOLOGY BC47020224-01</t>
  </si>
  <si>
    <t>1 EA IMMIX TECHNOLOGY 1047023808-01</t>
  </si>
  <si>
    <t>1 EA IMMIX TECHNOLOGY 1047014326-01</t>
  </si>
  <si>
    <t>50 EA SOLARA INC 331E00116500 FLATPACK S</t>
  </si>
  <si>
    <t>50 EA SOLARA INC FPSJ65I-ANS-VC FLATPACK</t>
  </si>
  <si>
    <t>CORNING OPTICAL LDC-CMH-024 LDC-CMH-024</t>
  </si>
  <si>
    <t>NMS Server</t>
  </si>
  <si>
    <t>7000001857</t>
  </si>
  <si>
    <t>M1, services and deliverables,8/1/25</t>
  </si>
  <si>
    <t>7000002054</t>
  </si>
  <si>
    <t>M2, services and deliverables,8/11/25</t>
  </si>
  <si>
    <t>Actuals (Total)</t>
  </si>
  <si>
    <t>Int Labor</t>
  </si>
  <si>
    <t>JMUX - Capital</t>
  </si>
  <si>
    <t>JMUX - O&amp;M</t>
  </si>
  <si>
    <t>Buffer</t>
  </si>
  <si>
    <t>Capital- Total</t>
  </si>
  <si>
    <t>O&amp;M - Total</t>
  </si>
  <si>
    <t>7000001998</t>
  </si>
  <si>
    <t>Substation - West / Supervisor</t>
  </si>
  <si>
    <t>6862510</t>
  </si>
  <si>
    <t>L6100-SupvOpsWest</t>
  </si>
  <si>
    <t>STEVEN BRADLEY</t>
  </si>
  <si>
    <t>5244/L6100</t>
  </si>
  <si>
    <t>75003077</t>
  </si>
  <si>
    <t>2025 node order</t>
  </si>
  <si>
    <t>JMUX Replacement Network Design</t>
  </si>
  <si>
    <t>Master WBS Code</t>
  </si>
  <si>
    <t>I.3924.1x</t>
  </si>
  <si>
    <t>URB Approved Budget</t>
  </si>
  <si>
    <t>Over (+) / Under (-) budget</t>
  </si>
  <si>
    <t>Cyber Security (Security Architect</t>
  </si>
  <si>
    <t>Lee Blackman – Supplemental Project support</t>
  </si>
  <si>
    <t>Substation - West / Relay Technician</t>
  </si>
  <si>
    <t>6862732</t>
  </si>
  <si>
    <t>L1220-TechnOpWest</t>
  </si>
  <si>
    <t>Matthew Costa</t>
  </si>
  <si>
    <t>5244/L1220</t>
  </si>
  <si>
    <t>75005374</t>
  </si>
  <si>
    <t>EVAN SOVIERO</t>
  </si>
  <si>
    <t>75000187</t>
  </si>
  <si>
    <t>ALFREDO TELLO</t>
  </si>
  <si>
    <t>75000147</t>
  </si>
  <si>
    <t>Quantity 50 @ unit price $676.47 Changin</t>
  </si>
  <si>
    <t>7000002102</t>
  </si>
  <si>
    <t>Substation - East / Relay Technician</t>
  </si>
  <si>
    <t>6862722</t>
  </si>
  <si>
    <t>L1220-TechnOpEast</t>
  </si>
  <si>
    <t>CHRISTOPHER ZIMBALIST</t>
  </si>
  <si>
    <t>5248/L1220</t>
  </si>
  <si>
    <t>75003824</t>
  </si>
  <si>
    <t>7000002099</t>
  </si>
  <si>
    <t>M3, services and deliverables,12/1/25</t>
  </si>
  <si>
    <t>Senior IT EPMO Cost Controller IV PO# 50</t>
  </si>
  <si>
    <t>2026 Capital</t>
  </si>
  <si>
    <t>WD #8 Fiber Testing Elwood to Northport and add 7 Patch Panels</t>
  </si>
  <si>
    <t>Invoice Date</t>
  </si>
  <si>
    <t>Supplier</t>
  </si>
  <si>
    <t>Status</t>
  </si>
  <si>
    <t>170554-5</t>
  </si>
  <si>
    <t>Wed, 23 Apr, 2025 2:26 PM</t>
  </si>
  <si>
    <t>Reconciled</t>
  </si>
  <si>
    <t>170554-6</t>
  </si>
  <si>
    <t>Tue, 27 May, 2025 12:51 PM</t>
  </si>
  <si>
    <t>170554-8</t>
  </si>
  <si>
    <t>Thu, 12 Jun, 2025 12:31 PM</t>
  </si>
  <si>
    <t>170554-10</t>
  </si>
  <si>
    <t>Mon, 14 Jul, 2025 12:32 PM</t>
  </si>
  <si>
    <t>170554-21</t>
  </si>
  <si>
    <t>Thu, 11 Dec, 2025 6:52 AM</t>
  </si>
  <si>
    <t>BURNS &amp; MCDONNELL</t>
  </si>
  <si>
    <t>PO #</t>
  </si>
  <si>
    <t>170554-4</t>
  </si>
  <si>
    <t>Fri, 18 Apr, 2025 12:33 PM</t>
  </si>
  <si>
    <t>Fri, 18 Apr, 2025 1:44 PM</t>
  </si>
  <si>
    <t>170554-7</t>
  </si>
  <si>
    <t>Thu, 29 May, 2025 12:56 PM</t>
  </si>
  <si>
    <t>170554-9</t>
  </si>
  <si>
    <t>Thu, 26 Jun, 2025 12:29 PM</t>
  </si>
  <si>
    <t>170554-11</t>
  </si>
  <si>
    <t>Fri, 25 Jul, 2025 2:19 PM</t>
  </si>
  <si>
    <t>170554-12</t>
  </si>
  <si>
    <t>Thu, 21 Aug, 2025 11:02 PM</t>
  </si>
  <si>
    <t>170554-13</t>
  </si>
  <si>
    <t>Mon, 25 Aug, 2025 1:58 PM</t>
  </si>
  <si>
    <t>170554-14</t>
  </si>
  <si>
    <t>Wed, 10 Sep, 2025 2:00 PM</t>
  </si>
  <si>
    <t>170554-15</t>
  </si>
  <si>
    <t>Thu, 18 Sep, 2025 2:02 PM</t>
  </si>
  <si>
    <t>170554-16</t>
  </si>
  <si>
    <t>Tue, 14 Oct, 2025 12:49 PM</t>
  </si>
  <si>
    <t>170554-17</t>
  </si>
  <si>
    <t>Tue, 21 Oct, 2025 9:38 AM</t>
  </si>
  <si>
    <t>170554-18</t>
  </si>
  <si>
    <t>Tue, 11 Nov, 2025 1:35 PM</t>
  </si>
  <si>
    <t>170554-19</t>
  </si>
  <si>
    <t>Thu, 13 Nov, 2025 12:28 PM</t>
  </si>
  <si>
    <t>Tue, 23 Sep, 2025 1:25 PM</t>
  </si>
  <si>
    <t>ELECNOR HAWKEYE, LLC.</t>
  </si>
  <si>
    <t>Fri, 12 Dec, 2025 6:29 AM</t>
  </si>
  <si>
    <t>Thu, 13 Nov, 2025 1:57 PM</t>
  </si>
  <si>
    <t>170554-20</t>
  </si>
  <si>
    <t>Tue, 25 Nov, 2025 9:39 AM</t>
  </si>
  <si>
    <t>Thu, 2 Oct, 2025 4:16 PM</t>
  </si>
  <si>
    <t>Wed, 5 Nov, 2025 3:13 PM</t>
  </si>
  <si>
    <t>Tue, 18 Mar, 2025 12:47 PM</t>
  </si>
  <si>
    <t>Thu, 19 Jun, 2025 1:54 PM</t>
  </si>
  <si>
    <t>Mon, 25 Aug, 2025 1:00 PM</t>
  </si>
  <si>
    <t>GRAYBAR ELECTRIC CO. INC.</t>
  </si>
  <si>
    <t>Mon, 25 Aug, 2025 2:00 PM</t>
  </si>
  <si>
    <t>9300764061A</t>
  </si>
  <si>
    <t>Tue, 26 Aug, 2025 11:26 AM</t>
  </si>
  <si>
    <t>Fri, 10 Oct, 2025 9:21 AM</t>
  </si>
  <si>
    <t>Mon, 14 Jul, 2025 12:59 PM</t>
  </si>
  <si>
    <t>Composing</t>
  </si>
  <si>
    <t>Mon, 14 Jul, 2025 1:00 PM</t>
  </si>
  <si>
    <t>Wed, 8 Oct, 2025 8:26 AM</t>
  </si>
  <si>
    <t>Fri, 11 Jul, 2025 2:00 PM</t>
  </si>
  <si>
    <t>Tue, 2 Sep, 2025 11:38 AM</t>
  </si>
  <si>
    <t>Fri, 29 Aug, 2025 2:00 PM</t>
  </si>
  <si>
    <t>Wed, 3 Sep, 2025 1:00 PM</t>
  </si>
  <si>
    <t>Tue, 7 Oct, 2025 2:14 PM</t>
  </si>
  <si>
    <t>Tue, 11 Nov, 2025 1:00 PM</t>
  </si>
  <si>
    <t>Tue, 7 Oct, 2025 1:00 PM</t>
  </si>
  <si>
    <t>Tue, 7 Oct, 2025 2:00 PM</t>
  </si>
  <si>
    <t>Mon, 20 Oct, 2025 9:21 AM</t>
  </si>
  <si>
    <t>Mon, 20 Oct, 2025 2:00 PM</t>
  </si>
  <si>
    <t>Tue, 22 Jul, 2025 1:00 PM</t>
  </si>
  <si>
    <t>Tue, 22 Jul, 2025 2:00 PM</t>
  </si>
  <si>
    <t>Wed, 8 Oct, 2025 8:23 AM</t>
  </si>
  <si>
    <t>Wed, 8 Oct, 2025 1:00 PM</t>
  </si>
  <si>
    <t>9300325597A</t>
  </si>
  <si>
    <t>Tue, 28 Oct, 2025 2:21 PM</t>
  </si>
  <si>
    <t>Thu, 24 Jul, 2025 10:57 AM</t>
  </si>
  <si>
    <t>Thu, 24 Jul, 2025 1:00 PM</t>
  </si>
  <si>
    <t>Thu, 24 Jul, 2025 2:00 PM</t>
  </si>
  <si>
    <t>Wed, 8 Oct, 2025 8:28 AM</t>
  </si>
  <si>
    <t>Fri, 9 Jan, 2026 1:00 PM</t>
  </si>
  <si>
    <t>Fri, 2 Jan, 2026 10:06 AM</t>
  </si>
  <si>
    <t>Thu, 31 Jul, 2025 2:00 PM</t>
  </si>
  <si>
    <t>Wed, 8 Oct, 2025 8:24 AM</t>
  </si>
  <si>
    <t>Tue, 5 Aug, 2025 1:01 PM</t>
  </si>
  <si>
    <t>Fri, 9 Jan, 2026 8:30 AM</t>
  </si>
  <si>
    <t>9300461254A</t>
  </si>
  <si>
    <t>Thu, 14 Aug, 2025 1:00 PM</t>
  </si>
  <si>
    <t>Thu, 14 Aug, 2025 2:00 PM</t>
  </si>
  <si>
    <t>9300776380A</t>
  </si>
  <si>
    <t>Tue, 26 Aug, 2025 11:24 AM</t>
  </si>
  <si>
    <t>Fri, 29 Aug, 2025 2:06 PM</t>
  </si>
  <si>
    <t>Tue, 26 Aug, 2025 2:00 PM</t>
  </si>
  <si>
    <t>Total ordered:		$869,235.00 USD
Total Invoiced:		$798,665.00 USD
Total Remaining:		$70,570.00 USD</t>
  </si>
  <si>
    <t>Total ordered:		$190,575.00 USD
Total Invoiced:		$190,575.00 USD
Total Remaining:		$0.00 USD</t>
  </si>
  <si>
    <t>Total ordered:		$40,954.50 USD
Total Invoiced:		$40,954.50 USD
Total Remaining:		$0.00 USD</t>
  </si>
  <si>
    <t>Total ordered:		$24,758.84 USD
Total Invoiced:		$24,758.84 USD
Total Remaining:		$0.00 USD</t>
  </si>
  <si>
    <t>Total ordered:		$115,004.10 USD
Total Invoiced:		$114,846.90 USD
Total Remaining:		$157.20 USD</t>
  </si>
  <si>
    <t xml:space="preserve">O/S Services </t>
  </si>
  <si>
    <t>Placeholder</t>
  </si>
  <si>
    <t>Credit</t>
  </si>
  <si>
    <t>AST MGT ALL LBR SUR</t>
  </si>
  <si>
    <t>6390200</t>
  </si>
  <si>
    <t>AstMgm-payroll tax</t>
  </si>
  <si>
    <t>5385</t>
  </si>
  <si>
    <t>AST MGT ST LBR SUR</t>
  </si>
  <si>
    <t>6390201</t>
  </si>
  <si>
    <t>AstMgmst fringe</t>
  </si>
  <si>
    <t>5386</t>
  </si>
  <si>
    <t>6390202</t>
  </si>
  <si>
    <t>AstMgm-totlbrfrng</t>
  </si>
  <si>
    <t>6390203</t>
  </si>
  <si>
    <t>AstMgm-pension</t>
  </si>
  <si>
    <t>L5385</t>
  </si>
  <si>
    <t>6390204</t>
  </si>
  <si>
    <t>AstMgm-opeb</t>
  </si>
  <si>
    <t>L5386</t>
  </si>
  <si>
    <t>6490200</t>
  </si>
  <si>
    <t>6490201</t>
  </si>
  <si>
    <t>6490202</t>
  </si>
  <si>
    <t>6490203</t>
  </si>
  <si>
    <t>6490204</t>
  </si>
  <si>
    <t>6811348</t>
  </si>
  <si>
    <t>L7030-Engineer Mgr</t>
  </si>
  <si>
    <t>I3942413</t>
  </si>
  <si>
    <t>I3942421</t>
  </si>
  <si>
    <t>IT Project Services / Princpl-Info Technl</t>
  </si>
  <si>
    <t>6835636</t>
  </si>
  <si>
    <t>L5436-Princp IT Sup</t>
  </si>
  <si>
    <t>Margaret Tanner Glover</t>
  </si>
  <si>
    <t>5538/L5436</t>
  </si>
  <si>
    <t>75005980</t>
  </si>
  <si>
    <t>I3942423</t>
  </si>
  <si>
    <t>M4,, services and deliverables,12/31/25</t>
  </si>
  <si>
    <t>JE from O&amp;M to Cap (scheduler)</t>
  </si>
  <si>
    <t>Category</t>
  </si>
  <si>
    <t>2024 Actuals</t>
  </si>
  <si>
    <t>2025 Actuals</t>
  </si>
  <si>
    <t xml:space="preserve">2026 Actuals </t>
  </si>
  <si>
    <t>Program Total</t>
  </si>
  <si>
    <t>% of Program</t>
  </si>
  <si>
    <t>Actuals</t>
  </si>
  <si>
    <t>Spend</t>
  </si>
  <si>
    <t>Paid in Full</t>
  </si>
  <si>
    <t xml:space="preserve">$70,570 accrued </t>
  </si>
  <si>
    <t>Total ordered:		$137,500.00 USD
Total Invoiced:		$49,500.00 USD
Total Remaining:		$88,000.00 USD</t>
  </si>
  <si>
    <t>$5500 per month forecast thru Dec</t>
  </si>
  <si>
    <t>Total ordered:		$55,286.98 USD
Total Invoiced:		$58,091.38 USD
Total Remaining:		$0.00 USD</t>
  </si>
  <si>
    <t>Total ordered:		$1,899,030.42 USD
Total Invoiced:		$532,525.28 USD
Total Remaining:		$1,366,505.14 USD</t>
  </si>
  <si>
    <t>$753,373 Forecast in March.  $971,373 minus $218,000 discount.  Balance is for 2027.</t>
  </si>
  <si>
    <t>Balance already accrued and accounted for.</t>
  </si>
  <si>
    <t>Balance already included in remaining forecast</t>
  </si>
  <si>
    <t>Total ordered:		$44,757.40 USD
Total Invoiced:		$44,357.40 USD
Total Remaining:		$400.00 USD</t>
  </si>
  <si>
    <t>Fri, 13 Feb, 2026 1:00 PM</t>
  </si>
  <si>
    <t>Wed, 25 Feb, 2026 1:00 PM</t>
  </si>
  <si>
    <t>Provide Process Quality Assurance (PQA)</t>
  </si>
  <si>
    <t>5130100</t>
  </si>
  <si>
    <t>Material-Valued</t>
  </si>
  <si>
    <t>I3942422</t>
  </si>
  <si>
    <t>GB Quote #: 2000352939 Components for J</t>
  </si>
  <si>
    <t>JMUX Engineer services to work on the LI</t>
  </si>
  <si>
    <t>7000002490</t>
  </si>
  <si>
    <t xml:space="preserve">Marcott, Richard </t>
  </si>
  <si>
    <t>Beeline</t>
  </si>
  <si>
    <t>7000002439</t>
  </si>
  <si>
    <t>IT Project Scheduler (Project Manager Le</t>
  </si>
  <si>
    <t>7000002363</t>
  </si>
  <si>
    <t>~2%</t>
  </si>
  <si>
    <t>Nokia MPLS- SEL-2595 interface to PAR controls</t>
  </si>
  <si>
    <t>6402631</t>
  </si>
  <si>
    <t>PSLI IT Labor-OT</t>
  </si>
  <si>
    <t>6414631</t>
  </si>
  <si>
    <t>PSLFACLABOROTSCA</t>
  </si>
  <si>
    <t>Renew Cyber Engineer-Raju Khedkar 01/01/</t>
  </si>
  <si>
    <t>7000002343</t>
  </si>
  <si>
    <t>7000009182</t>
  </si>
  <si>
    <t>Chak Team Labor (200 hrs per 6 PAR)</t>
  </si>
  <si>
    <t>T&amp;D Protcn Egr Stf / Engineer</t>
  </si>
  <si>
    <t>6811320</t>
  </si>
  <si>
    <t>L3000-Engineer</t>
  </si>
  <si>
    <t>Sameer Shakur</t>
  </si>
  <si>
    <t>5232/L3000</t>
  </si>
  <si>
    <t>75005790</t>
  </si>
  <si>
    <t>T&amp;D Protcn Egr Stf / Engineer Manager</t>
  </si>
  <si>
    <t>6811324</t>
  </si>
  <si>
    <t>LOK WONG</t>
  </si>
  <si>
    <t>5232/L7030</t>
  </si>
  <si>
    <t>75001246</t>
  </si>
  <si>
    <t>M5, Decommission Old equipment,12/31/25</t>
  </si>
  <si>
    <t>~4%</t>
  </si>
  <si>
    <t>~18%</t>
  </si>
  <si>
    <t>~76%</t>
  </si>
  <si>
    <t>Jay</t>
  </si>
  <si>
    <t>2026 Node order</t>
  </si>
  <si>
    <t>7000002695</t>
  </si>
  <si>
    <t>Scheduler</t>
  </si>
  <si>
    <t>Add FRINGE</t>
  </si>
  <si>
    <t>Milestones 1 thru 4</t>
  </si>
  <si>
    <t>Project Manager - 2025</t>
  </si>
  <si>
    <t xml:space="preserve">Milestones 2,3,4 </t>
  </si>
  <si>
    <t>Deliver PQA Compliance Audit Reports</t>
  </si>
  <si>
    <t>Milestones 1,2,8 (2 may have charged twice)</t>
  </si>
  <si>
    <t>5000059628</t>
  </si>
  <si>
    <t>4501316055</t>
  </si>
  <si>
    <t>Supplemental Project and O&amp;M</t>
  </si>
  <si>
    <t>Project Scheduler</t>
  </si>
  <si>
    <t>CORNING OPTICAL</t>
  </si>
  <si>
    <t>Martin Gately</t>
  </si>
  <si>
    <t>(blank)</t>
  </si>
  <si>
    <t>Grand Total</t>
  </si>
  <si>
    <t>Total Hours</t>
  </si>
  <si>
    <t>Total Charges</t>
  </si>
  <si>
    <t>Name</t>
  </si>
  <si>
    <t>Sum Charges</t>
  </si>
  <si>
    <t>NOKIA</t>
  </si>
  <si>
    <t>Hermitage</t>
  </si>
  <si>
    <t>Sr. Project Manager</t>
  </si>
  <si>
    <t>7000001145 &amp; 5000060473</t>
  </si>
  <si>
    <t>ELECNOR HAWKEYE</t>
  </si>
  <si>
    <t>Engineer Services</t>
  </si>
  <si>
    <t>PQA Support</t>
  </si>
  <si>
    <t>Raju</t>
  </si>
  <si>
    <t>55 nodes over 3 years</t>
  </si>
  <si>
    <t>CWDM Modules</t>
  </si>
  <si>
    <t>Power Supply Equipment</t>
  </si>
  <si>
    <t>GPS Timer Devices</t>
  </si>
  <si>
    <t>SCADA</t>
  </si>
  <si>
    <t>Supplemental Project Management</t>
  </si>
  <si>
    <t xml:space="preserve">Fake PO - Needs to be replaced with new real one. </t>
  </si>
  <si>
    <t>NMS Server. TWO 2025 node orders and ONE 2026 node order</t>
  </si>
  <si>
    <t xml:space="preserve">    Hawkeye Site Surveys — 31 Ph3 sites</t>
  </si>
  <si>
    <t>TBD</t>
  </si>
  <si>
    <t>Steven Bradley &amp; Team</t>
  </si>
  <si>
    <t>Relay Team Quotes</t>
  </si>
  <si>
    <t>Iniven LLC</t>
  </si>
  <si>
    <t>Internal PSEG Relay Team - 40 hours will be charged (Phase 2)</t>
  </si>
  <si>
    <t>Chak's Team</t>
  </si>
  <si>
    <t xml:space="preserve">CWDM </t>
  </si>
  <si>
    <t>Cost 2026-2027</t>
  </si>
  <si>
    <t>Accessories (presido)</t>
  </si>
  <si>
    <t>B&amp;M</t>
  </si>
  <si>
    <t>El Hawkeye</t>
  </si>
  <si>
    <t>Total ordered:		$1,370,040.00 USD
Total Invoiced:		$658,120.00 USD
Total Remaining:		$711,920.00 USD</t>
  </si>
  <si>
    <t xml:space="preserve">	
Total ordered:		$402,792.76 USD
Total Invoiced:		$317,720.69 USD
Total Remaining:		$85,072.07 USD</t>
  </si>
  <si>
    <t>Shahid Islam</t>
  </si>
  <si>
    <t>75005123</t>
  </si>
  <si>
    <t>T&amp;D Protcn Egr Stf / Manager</t>
  </si>
  <si>
    <t>6811326</t>
  </si>
  <si>
    <t>L7100-Manager</t>
  </si>
  <si>
    <t>CHAKRAPANI VENUGOPALAN</t>
  </si>
  <si>
    <t>5232/L7100</t>
  </si>
  <si>
    <t>75001908</t>
  </si>
  <si>
    <t>Hamid Bhalli</t>
  </si>
  <si>
    <t>75005695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</si>
</sst>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0">
    <numFmt numFmtId="6" formatCode="&quot;$&quot;#,##0_);[Red]\(&quot;$&quot;#,##0\)"/>
    <numFmt numFmtId="7" formatCode="&quot;$&quot;#,##0.00_);\(&quot;$&quot;#,##0.00\)"/>
    <numFmt numFmtId="8" formatCode="&quot;$&quot;#,##0.00_);[Red]\(&quot;$&quot;#,##0.00\)"/>
    <numFmt numFmtId="42" formatCode="_(&quot;$&quot;* #,##0_);_(&quot;$&quot;* \(#,##0\);_(&quot;$&quot;* &quot;-&quot;_);_(@_)"/>
    <numFmt numFmtId="44" formatCode="_(&quot;$&quot;* #,##0.00_);_(&quot;$&quot;* \(#,##0.00\);_(&quot;$&quot;* &quot;-&quot;??_);_(@_)"/>
    <numFmt numFmtId="43" formatCode="_(* #,##0.00_);_(* \(#,##0.00\);_(* &quot;-&quot;??_);_(@_)"/>
    <numFmt numFmtId="164" formatCode="_(&quot;$&quot;* #,##0_);_(&quot;$&quot;* \(#,##0\);_(&quot;$&quot;* &quot;-&quot;??_);_(@_)"/>
    <numFmt numFmtId="165" formatCode="_([$$-409]* #,##0.00_);_([$$-409]* \(#,##0.00\);_([$$-409]* &quot;-&quot;??_);_(@_)"/>
    <numFmt numFmtId="166" formatCode="_([$$-409]* #,##0_);_([$$-409]* \(#,##0\);_([$$-409]* &quot;-&quot;??_);_(@_)"/>
    <numFmt numFmtId="167" formatCode="[$-409]mmm\-yy;@"/>
    <numFmt numFmtId="168" formatCode="#,##0.000"/>
    <numFmt numFmtId="169" formatCode="&quot;$&quot;#,##0"/>
    <numFmt numFmtId="170" formatCode="&quot;$&quot;#,##0.00"/>
    <numFmt numFmtId="172" formatCode="0.0"/>
    <numFmt numFmtId="173" formatCode="&quot;$&quot;#,##0.00;[Red]&quot;$&quot;#,##0.00"/>
    <numFmt numFmtId="174" formatCode="#,##0.0_);\(#,##0.0\)"/>
    <numFmt numFmtId="175" formatCode="&quot;$&quot;#,##0.0_);\(&quot;$&quot;#,##0.0\)"/>
    <numFmt numFmtId="176" formatCode="&quot;$&quot;#,##0;[Red]&quot;$&quot;#,##0"/>
    <numFmt numFmtId="177" formatCode="0.0%"/>
    <numFmt numFmtId="178" formatCode="_(&quot;$&quot;* #,##0.0_);_(&quot;$&quot;* \(#,##0.0\);_(&quot;$&quot;* &quot;-&quot;?_);_(@_)"/>
  </numFmts>
  <fonts count="108" x14ac:knownFonts="1">
    <font>
      <sz val="11"/>
      <color theme="1"/>
      <name val="Calibri"/>
      <family val="2"/>
      <scheme val="minor"/>
    </font>
    <font>
      <sz val="11"/>
      <color theme="1"/>
      <name val="Calibri"/>
      <family val="2"/>
      <scheme val="minor"/>
    </font>
    <font>
      <sz val="10"/>
      <name val="Arial"/>
      <family val="2"/>
    </font>
    <font>
      <i/>
      <sz val="12"/>
      <name val="Arial"/>
      <family val="2"/>
    </font>
    <font>
      <b/>
      <i/>
      <sz val="12"/>
      <name val="Arial"/>
      <family val="2"/>
    </font>
    <font>
      <b/>
      <sz val="10"/>
      <name val="Arial"/>
      <family val="2"/>
    </font>
    <font>
      <sz val="11"/>
      <color indexed="8"/>
      <name val="Calibri"/>
      <family val="2"/>
      <scheme val="minor"/>
    </font>
    <font>
      <b/>
      <sz val="11"/>
      <color theme="1"/>
      <name val="Calibri"/>
      <family val="2"/>
      <scheme val="minor"/>
    </font>
    <font>
      <sz val="10"/>
      <name val="Arial"/>
      <family val="2"/>
    </font>
    <font>
      <sz val="8"/>
      <name val="Arial"/>
      <family val="2"/>
    </font>
    <font>
      <sz val="9"/>
      <color theme="1"/>
      <name val="Calibri"/>
      <family val="2"/>
      <scheme val="minor"/>
    </font>
    <font>
      <sz val="11"/>
      <color theme="4"/>
      <name val="Calibri"/>
      <family val="2"/>
      <scheme val="minor"/>
    </font>
    <font>
      <b/>
      <i/>
      <sz val="20"/>
      <color theme="4"/>
      <name val="Arial"/>
      <family val="2"/>
    </font>
    <font>
      <sz val="12"/>
      <color theme="4"/>
      <name val="Arial"/>
      <family val="2"/>
    </font>
    <font>
      <b/>
      <i/>
      <sz val="16"/>
      <color theme="4"/>
      <name val="Arial"/>
      <family val="2"/>
    </font>
    <font>
      <sz val="10"/>
      <color theme="1"/>
      <name val="Calibri"/>
      <family val="2"/>
      <scheme val="minor"/>
    </font>
    <font>
      <b/>
      <sz val="14"/>
      <color theme="1"/>
      <name val="Calibri"/>
      <family val="2"/>
      <scheme val="minor"/>
    </font>
    <font>
      <sz val="9"/>
      <color indexed="8"/>
      <name val="Calibri"/>
      <family val="2"/>
      <scheme val="minor"/>
    </font>
    <font>
      <sz val="9"/>
      <name val="Calibri"/>
      <family val="2"/>
      <scheme val="minor"/>
    </font>
    <font>
      <b/>
      <sz val="10"/>
      <name val="Calibri"/>
      <family val="2"/>
      <scheme val="minor"/>
    </font>
    <font>
      <b/>
      <sz val="10"/>
      <color theme="1"/>
      <name val="Calibri"/>
      <family val="2"/>
      <scheme val="minor"/>
    </font>
    <font>
      <sz val="10"/>
      <name val="Calibri"/>
      <family val="2"/>
      <scheme val="minor"/>
    </font>
    <font>
      <sz val="11"/>
      <name val="Calibri"/>
      <family val="2"/>
      <scheme val="minor"/>
    </font>
    <font>
      <b/>
      <sz val="10"/>
      <color theme="0"/>
      <name val="Calibri"/>
      <family val="2"/>
      <scheme val="minor"/>
    </font>
    <font>
      <sz val="10"/>
      <color rgb="FF000000"/>
      <name val="Calibri"/>
      <family val="2"/>
      <scheme val="minor"/>
    </font>
    <font>
      <b/>
      <sz val="10"/>
      <color rgb="FF000000"/>
      <name val="Calibri"/>
      <family val="2"/>
      <scheme val="minor"/>
    </font>
    <font>
      <sz val="12"/>
      <name val="Times New Roman"/>
      <family val="1"/>
    </font>
    <font>
      <b/>
      <sz val="10"/>
      <color theme="0"/>
      <name val="Arial"/>
      <family val="2"/>
    </font>
    <font>
      <b/>
      <sz val="10"/>
      <color rgb="FF000000"/>
      <name val="Arial"/>
      <family val="2"/>
    </font>
    <font>
      <sz val="10"/>
      <color rgb="FF000000"/>
      <name val="Arial"/>
      <family val="2"/>
    </font>
    <font>
      <b/>
      <u/>
      <sz val="10"/>
      <color rgb="FF000000"/>
      <name val="Arial"/>
      <family val="2"/>
    </font>
    <font>
      <sz val="10"/>
      <color theme="0"/>
      <name val="Calibri"/>
      <family val="2"/>
      <scheme val="minor"/>
    </font>
    <font>
      <sz val="10"/>
      <name val="Arial"/>
      <family val="2"/>
    </font>
    <font>
      <b/>
      <sz val="9"/>
      <name val="Calibri"/>
      <family val="2"/>
      <scheme val="minor"/>
    </font>
    <font>
      <b/>
      <sz val="11"/>
      <name val="Calibri"/>
      <family val="2"/>
      <scheme val="minor"/>
    </font>
    <font>
      <b/>
      <sz val="11"/>
      <name val="Calibri"/>
      <family val="2"/>
    </font>
    <font>
      <i/>
      <sz val="11"/>
      <color theme="1"/>
      <name val="Calibri"/>
      <family val="2"/>
      <scheme val="minor"/>
    </font>
    <font>
      <b/>
      <sz val="9"/>
      <color theme="2"/>
      <name val="Arial"/>
      <family val="2"/>
    </font>
    <font>
      <sz val="9"/>
      <name val="Arial"/>
      <family val="2"/>
    </font>
    <font>
      <b/>
      <sz val="12"/>
      <name val="Arial"/>
      <family val="2"/>
    </font>
    <font>
      <b/>
      <sz val="9"/>
      <color theme="0"/>
      <name val="Arial"/>
      <family val="2"/>
    </font>
    <font>
      <sz val="9"/>
      <color theme="0"/>
      <name val="Arial"/>
      <family val="2"/>
    </font>
    <font>
      <b/>
      <sz val="11"/>
      <color theme="0"/>
      <name val="Calibri"/>
      <family val="2"/>
    </font>
    <font>
      <sz val="12"/>
      <name val="Calibri"/>
      <family val="2"/>
    </font>
    <font>
      <sz val="10"/>
      <name val="Calibri"/>
      <family val="2"/>
    </font>
    <font>
      <sz val="9"/>
      <name val="Calibri"/>
      <family val="2"/>
    </font>
    <font>
      <sz val="9"/>
      <color indexed="8"/>
      <name val="Calibri"/>
      <family val="2"/>
    </font>
    <font>
      <i/>
      <sz val="9"/>
      <color indexed="8"/>
      <name val="Calibri"/>
      <family val="2"/>
    </font>
    <font>
      <b/>
      <sz val="10"/>
      <name val="Calibri"/>
      <family val="2"/>
    </font>
    <font>
      <b/>
      <sz val="11"/>
      <color indexed="8"/>
      <name val="Calibri"/>
      <family val="2"/>
    </font>
    <font>
      <b/>
      <sz val="10"/>
      <color theme="0"/>
      <name val="Calibri"/>
      <family val="2"/>
    </font>
    <font>
      <b/>
      <i/>
      <u/>
      <sz val="12"/>
      <name val="Arial"/>
      <family val="2"/>
    </font>
    <font>
      <b/>
      <sz val="11"/>
      <name val="Calibri"/>
      <family val="2"/>
    </font>
    <font>
      <b/>
      <sz val="10"/>
      <color theme="2"/>
      <name val="Calibri"/>
      <family val="2"/>
    </font>
    <font>
      <i/>
      <sz val="10"/>
      <color indexed="8"/>
      <name val="Calibri"/>
      <family val="2"/>
    </font>
    <font>
      <b/>
      <sz val="9"/>
      <name val="Arial"/>
      <family val="2"/>
    </font>
    <font>
      <b/>
      <sz val="10"/>
      <color indexed="8"/>
      <name val="Calibri"/>
      <family val="2"/>
    </font>
    <font>
      <sz val="12"/>
      <color theme="1"/>
      <name val="Calibri"/>
      <family val="2"/>
      <scheme val="minor"/>
    </font>
    <font>
      <b/>
      <sz val="11"/>
      <color theme="0"/>
      <name val="Calibri"/>
      <family val="2"/>
      <scheme val="minor"/>
    </font>
    <font>
      <sz val="11"/>
      <color rgb="FF000000"/>
      <name val="Calibri"/>
      <family val="2"/>
    </font>
    <font>
      <sz val="10"/>
      <color rgb="FF515559"/>
      <name val="Arial"/>
      <family val="2"/>
    </font>
    <font>
      <b/>
      <sz val="20"/>
      <color theme="0"/>
      <name val="Calibri"/>
      <family val="2"/>
      <scheme val="minor"/>
    </font>
    <font>
      <sz val="12"/>
      <name val="Calibri"/>
      <family val="2"/>
      <scheme val="minor"/>
    </font>
    <font>
      <b/>
      <i/>
      <sz val="12"/>
      <color theme="1"/>
      <name val="Calibri"/>
      <family val="2"/>
      <scheme val="minor"/>
    </font>
    <font>
      <b/>
      <sz val="12"/>
      <color theme="1"/>
      <name val="Calibri"/>
      <family val="2"/>
      <scheme val="minor"/>
    </font>
    <font>
      <sz val="11"/>
      <color theme="0"/>
      <name val="Calibri"/>
      <family val="2"/>
      <scheme val="minor"/>
    </font>
    <font>
      <sz val="10"/>
      <name val="Arial"/>
      <family val="2"/>
    </font>
    <font>
      <b/>
      <i/>
      <sz val="9"/>
      <color indexed="8"/>
      <name val="Calibri"/>
      <family val="2"/>
    </font>
    <font>
      <b/>
      <sz val="11"/>
      <color rgb="FF000000"/>
      <name val="Calibri"/>
      <family val="2"/>
    </font>
    <font>
      <sz val="11"/>
      <color rgb="FF1F497D"/>
      <name val="Calibri"/>
      <family val="2"/>
    </font>
    <font>
      <sz val="11"/>
      <color rgb="FF006100"/>
      <name val="Calibri"/>
      <family val="2"/>
    </font>
    <font>
      <b/>
      <sz val="11"/>
      <color theme="4" tint="-0.499984740745262"/>
      <name val="Calibri"/>
      <family val="2"/>
    </font>
    <font>
      <b/>
      <sz val="11"/>
      <color theme="4" tint="-0.499984740745262"/>
      <name val="Calibri"/>
      <family val="2"/>
      <scheme val="minor"/>
    </font>
    <font>
      <sz val="8"/>
      <name val="Calibri"/>
      <family val="2"/>
      <scheme val="minor"/>
    </font>
    <font>
      <b/>
      <sz val="20"/>
      <color theme="0"/>
      <name val="Arial"/>
      <family val="2"/>
    </font>
    <font>
      <sz val="11"/>
      <color indexed="55"/>
      <name val="Calibri"/>
      <family val="2"/>
      <scheme val="minor"/>
    </font>
    <font>
      <sz val="11"/>
      <color rgb="FFFF0000"/>
      <name val="Calibri"/>
      <family val="2"/>
      <scheme val="minor"/>
    </font>
    <font>
      <sz val="10"/>
      <name val="Arial"/>
      <family val="2"/>
    </font>
    <font>
      <sz val="10"/>
      <name val="Arial"/>
      <family val="2"/>
    </font>
    <font>
      <b/>
      <sz val="13"/>
      <color theme="3"/>
      <name val="Calibri"/>
      <family val="2"/>
      <scheme val="minor"/>
    </font>
    <font>
      <b/>
      <sz val="12"/>
      <name val="Calibri"/>
      <family val="2"/>
      <scheme val="minor"/>
    </font>
    <font>
      <b/>
      <i/>
      <sz val="11"/>
      <color theme="1"/>
      <name val="Calibri"/>
      <family val="2"/>
      <scheme val="minor"/>
    </font>
    <font>
      <i/>
      <sz val="11"/>
      <color rgb="FFFF0000"/>
      <name val="Calibri"/>
      <family val="2"/>
      <scheme val="minor"/>
    </font>
    <font>
      <b/>
      <sz val="8"/>
      <color indexed="81"/>
      <name val="Tahoma"/>
      <family val="2"/>
    </font>
    <font>
      <sz val="10"/>
      <name val="Arial"/>
      <family val="2"/>
    </font>
    <font>
      <b/>
      <sz val="7"/>
      <color rgb="FF151920"/>
      <name val="Lato"/>
      <family val="2"/>
    </font>
    <font>
      <sz val="10"/>
      <name val="Arial"/>
      <family val="2"/>
    </font>
    <font>
      <sz val="12"/>
      <color rgb="FF000000"/>
      <name val="Aptos"/>
      <family val="2"/>
    </font>
    <font>
      <b/>
      <sz val="12"/>
      <color rgb="FF000000"/>
      <name val="Aptos"/>
      <family val="2"/>
    </font>
    <font>
      <sz val="7"/>
      <color rgb="FF515559"/>
      <name val="Arial"/>
      <family val="2"/>
    </font>
    <font>
      <sz val="11"/>
      <color rgb="FFFFFFFF"/>
      <name val="Calibri"/>
      <family val="2"/>
    </font>
    <font>
      <sz val="9"/>
      <color indexed="81"/>
      <name val="Tahoma"/>
      <family val="2"/>
    </font>
    <font>
      <b/>
      <sz val="12"/>
      <color theme="0"/>
      <name val="Aptos"/>
      <family val="2"/>
    </font>
    <font>
      <b/>
      <sz val="9"/>
      <color indexed="81"/>
      <name val="Tahoma"/>
      <family val="2"/>
    </font>
    <font>
      <sz val="10"/>
      <color theme="0"/>
      <name val="Arial"/>
      <family val="2"/>
    </font>
    <font>
      <sz val="18"/>
      <color theme="3"/>
      <name val="Calibri Light"/>
      <family val="2"/>
      <scheme val="major"/>
    </font>
    <font>
      <b/>
      <sz val="15"/>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i/>
      <sz val="11"/>
      <color rgb="FF7F7F7F"/>
      <name val="Calibri"/>
      <family val="2"/>
      <scheme val="minor"/>
    </font>
    <font>
      <sz val="10"/>
      <name val="Arial"/>
    </font>
    <font>
      <sz val="9"/>
      <color indexed="81"/>
      <name val="Tahoma"/>
      <charset val="1"/>
    </font>
  </fonts>
  <fills count="111">
    <fill>
      <patternFill patternType="none"/>
    </fill>
    <fill>
      <patternFill patternType="gray125"/>
    </fill>
    <fill>
      <patternFill patternType="solid">
        <fgColor indexed="9"/>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3" tint="0.59999389629810485"/>
        <bgColor indexed="64"/>
      </patternFill>
    </fill>
    <fill>
      <patternFill patternType="solid">
        <fgColor theme="0"/>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theme="4" tint="0.59999389629810485"/>
        <bgColor indexed="64"/>
      </patternFill>
    </fill>
    <fill>
      <patternFill patternType="solid">
        <fgColor theme="5" tint="0.39997558519241921"/>
        <bgColor indexed="64"/>
      </patternFill>
    </fill>
    <fill>
      <patternFill patternType="solid">
        <fgColor theme="2" tint="-0.499984740745262"/>
        <bgColor theme="7"/>
      </patternFill>
    </fill>
    <fill>
      <patternFill patternType="solid">
        <fgColor theme="0" tint="-0.14999847407452621"/>
        <bgColor theme="0" tint="-0.14999847407452621"/>
      </patternFill>
    </fill>
    <fill>
      <patternFill patternType="solid">
        <fgColor theme="0"/>
        <bgColor theme="0" tint="-0.14999847407452621"/>
      </patternFill>
    </fill>
    <fill>
      <patternFill patternType="solid">
        <fgColor theme="5" tint="0.39997558519241921"/>
        <bgColor rgb="FF000000"/>
      </patternFill>
    </fill>
    <fill>
      <patternFill patternType="solid">
        <fgColor theme="3" tint="0.59999389629810485"/>
        <bgColor rgb="FF4F81BD"/>
      </patternFill>
    </fill>
    <fill>
      <patternFill patternType="solid">
        <fgColor theme="5" tint="0.59999389629810485"/>
        <bgColor indexed="64"/>
      </patternFill>
    </fill>
    <fill>
      <patternFill patternType="solid">
        <fgColor theme="5" tint="0.79998168889431442"/>
        <bgColor indexed="64"/>
      </patternFill>
    </fill>
    <fill>
      <patternFill patternType="solid">
        <fgColor theme="3" tint="0.59999389629810485"/>
        <bgColor theme="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rgb="FF005B9C"/>
        <bgColor indexed="64"/>
      </patternFill>
    </fill>
    <fill>
      <patternFill patternType="solid">
        <fgColor theme="9" tint="0.39997558519241921"/>
        <bgColor indexed="64"/>
      </patternFill>
    </fill>
    <fill>
      <patternFill patternType="solid">
        <fgColor rgb="FFDDDDDD"/>
        <bgColor indexed="64"/>
      </patternFill>
    </fill>
    <fill>
      <patternFill patternType="solid">
        <fgColor theme="6" tint="-0.499984740745262"/>
        <bgColor indexed="64"/>
      </patternFill>
    </fill>
    <fill>
      <patternFill patternType="solid">
        <fgColor theme="8" tint="0.59999389629810485"/>
        <bgColor indexed="64"/>
      </patternFill>
    </fill>
    <fill>
      <patternFill patternType="solid">
        <fgColor theme="7" tint="-0.249977111117893"/>
        <bgColor indexed="64"/>
      </patternFill>
    </fill>
    <fill>
      <patternFill patternType="solid">
        <fgColor rgb="FFBCC5DE"/>
        <bgColor indexed="64"/>
      </patternFill>
    </fill>
    <fill>
      <patternFill patternType="solid">
        <fgColor rgb="FFBFC7DF"/>
        <bgColor indexed="64"/>
      </patternFill>
    </fill>
    <fill>
      <patternFill patternType="solid">
        <fgColor rgb="FF0A69AA"/>
        <bgColor indexed="64"/>
      </patternFill>
    </fill>
    <fill>
      <patternFill patternType="solid">
        <fgColor theme="0" tint="-0.249977111117893"/>
        <bgColor indexed="64"/>
      </patternFill>
    </fill>
    <fill>
      <patternFill patternType="solid">
        <fgColor theme="1"/>
        <bgColor indexed="64"/>
      </patternFill>
    </fill>
    <fill>
      <patternFill patternType="solid">
        <fgColor theme="0"/>
        <bgColor theme="4" tint="0.79998168889431442"/>
      </patternFill>
    </fill>
    <fill>
      <patternFill patternType="solid">
        <fgColor theme="3"/>
        <bgColor indexed="64"/>
      </patternFill>
    </fill>
    <fill>
      <patternFill patternType="solid">
        <fgColor theme="9" tint="0.79998168889431442"/>
        <bgColor indexed="64"/>
      </patternFill>
    </fill>
    <fill>
      <patternFill patternType="solid">
        <fgColor rgb="FF266EAA"/>
        <bgColor indexed="64"/>
      </patternFill>
    </fill>
    <fill>
      <patternFill patternType="solid">
        <fgColor theme="4" tint="-0.499984740745262"/>
        <bgColor indexed="64"/>
      </patternFill>
    </fill>
    <fill>
      <patternFill patternType="solid">
        <fgColor theme="9" tint="-0.249977111117893"/>
        <bgColor indexed="64"/>
      </patternFill>
    </fill>
    <fill>
      <patternFill patternType="solid">
        <fgColor theme="4" tint="-0.249977111117893"/>
        <bgColor indexed="64"/>
      </patternFill>
    </fill>
    <fill>
      <patternFill patternType="solid">
        <fgColor theme="8" tint="0.39997558519241921"/>
        <bgColor indexed="64"/>
      </patternFill>
    </fill>
    <fill>
      <patternFill patternType="solid">
        <fgColor rgb="FFCCCCFF"/>
        <bgColor indexed="64"/>
      </patternFill>
    </fill>
    <fill>
      <patternFill patternType="solid">
        <fgColor theme="7" tint="0.39997558519241921"/>
        <bgColor indexed="64"/>
      </patternFill>
    </fill>
    <fill>
      <patternFill patternType="solid">
        <fgColor rgb="FFADE1C1"/>
        <bgColor indexed="64"/>
      </patternFill>
    </fill>
    <fill>
      <patternFill patternType="solid">
        <fgColor rgb="FFFFFFFF"/>
        <bgColor indexed="64"/>
      </patternFill>
    </fill>
    <fill>
      <patternFill patternType="solid">
        <fgColor rgb="FF92D050"/>
        <bgColor indexed="64"/>
      </patternFill>
    </fill>
    <fill>
      <patternFill patternType="solid">
        <fgColor theme="4"/>
        <bgColor theme="4"/>
      </patternFill>
    </fill>
    <fill>
      <patternFill patternType="solid">
        <fgColor theme="4"/>
        <bgColor indexed="64"/>
      </patternFill>
    </fill>
    <fill>
      <patternFill patternType="solid">
        <fgColor rgb="FF666699"/>
        <bgColor theme="4" tint="0.59999389629810485"/>
      </patternFill>
    </fill>
    <fill>
      <patternFill patternType="solid">
        <fgColor rgb="FFC6EFCE"/>
        <bgColor indexed="64"/>
      </patternFill>
    </fill>
    <fill>
      <patternFill patternType="solid">
        <fgColor rgb="FFFFFFCC"/>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4" tint="0.39997558519241921"/>
        <bgColor theme="4" tint="0.79998168889431442"/>
      </patternFill>
    </fill>
    <fill>
      <patternFill patternType="solid">
        <fgColor theme="7" tint="0.79998168889431442"/>
        <bgColor theme="7" tint="0.79998168889431442"/>
      </patternFill>
    </fill>
    <fill>
      <patternFill patternType="solid">
        <fgColor theme="7" tint="0.79998168889431442"/>
        <bgColor theme="4" tint="0.79998168889431442"/>
      </patternFill>
    </fill>
    <fill>
      <patternFill patternType="solid">
        <fgColor theme="4" tint="0.79998168889431442"/>
        <bgColor theme="7" tint="0.79998168889431442"/>
      </patternFill>
    </fill>
    <fill>
      <patternFill patternType="solid">
        <fgColor theme="4" tint="0.79998168889431442"/>
        <bgColor theme="4" tint="0.59999389629810485"/>
      </patternFill>
    </fill>
    <fill>
      <patternFill patternType="solid">
        <fgColor theme="3" tint="0.79998168889431442"/>
        <bgColor indexed="64"/>
      </patternFill>
    </fill>
    <fill>
      <patternFill patternType="solid">
        <fgColor theme="3" tint="0.39997558519241921"/>
        <bgColor indexed="64"/>
      </patternFill>
    </fill>
    <fill>
      <patternFill patternType="solid">
        <fgColor rgb="FFB7BEDF"/>
        <bgColor indexed="64"/>
      </patternFill>
    </fill>
    <fill>
      <patternFill patternType="solid">
        <fgColor theme="5" tint="0.39997558519241921"/>
        <bgColor indexed="65"/>
      </patternFill>
    </fill>
    <fill>
      <patternFill patternType="solid">
        <fgColor theme="8" tint="0.39997558519241921"/>
        <bgColor indexed="65"/>
      </patternFill>
    </fill>
    <fill>
      <patternFill patternType="solid">
        <fgColor theme="4" tint="0.79998168889431442"/>
        <bgColor theme="4" tint="0.79995117038483843"/>
      </patternFill>
    </fill>
    <fill>
      <patternFill patternType="solid">
        <fgColor theme="3" tint="0.249977111117893"/>
        <bgColor indexed="64"/>
      </patternFill>
    </fill>
    <fill>
      <patternFill patternType="solid">
        <fgColor rgb="FF666699"/>
        <bgColor indexed="64"/>
      </patternFill>
    </fill>
    <fill>
      <patternFill patternType="solid">
        <fgColor theme="7"/>
        <bgColor indexed="64"/>
      </patternFill>
    </fill>
    <fill>
      <patternFill patternType="solid">
        <fgColor rgb="FFFFC000"/>
        <bgColor indexed="64"/>
      </patternFill>
    </fill>
    <fill>
      <patternFill patternType="solid">
        <fgColor rgb="FF002060"/>
        <bgColor indexed="64"/>
      </patternFill>
    </fill>
    <fill>
      <patternFill patternType="solid">
        <fgColor rgb="FF5B9BD5"/>
        <bgColor indexed="64"/>
      </patternFill>
    </fill>
    <fill>
      <patternFill patternType="solid">
        <fgColor rgb="FFEAEFF7"/>
        <bgColor indexed="64"/>
      </patternFill>
    </fill>
    <fill>
      <patternFill patternType="solid">
        <fgColor rgb="FF305496"/>
        <bgColor indexed="64"/>
      </patternFill>
    </fill>
    <fill>
      <patternFill patternType="solid">
        <fgColor theme="8" tint="0.79998168889431442"/>
        <bgColor indexed="64"/>
      </patternFill>
    </fill>
    <fill>
      <patternFill patternType="solid">
        <fgColor rgb="FFD2DEEF"/>
        <bgColor indexed="64"/>
      </patternFill>
    </fill>
    <fill>
      <patternFill patternType="solid">
        <fgColor theme="9" tint="-0.499984740745262"/>
        <bgColor indexed="64"/>
      </patternFill>
    </fill>
    <fill>
      <patternFill patternType="solid">
        <fgColor rgb="FFCC3399"/>
        <bgColor indexed="64"/>
      </patternFill>
    </fill>
    <fill>
      <patternFill patternType="solid">
        <fgColor rgb="FF9900CC"/>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CCFFFF"/>
        <bgColor indexed="64"/>
      </patternFill>
    </fill>
    <fill>
      <patternFill patternType="solid">
        <fgColor rgb="FF0070C0"/>
        <bgColor indexed="64"/>
      </patternFill>
    </fill>
    <fill>
      <patternFill patternType="solid">
        <fgColor theme="7" tint="0.79998168889431442"/>
        <bgColor theme="4" tint="0.59999389629810485"/>
      </patternFill>
    </fill>
    <fill>
      <patternFill patternType="solid">
        <fgColor theme="4" tint="-0.499984740745262"/>
        <bgColor theme="4" tint="0.79998168889431442"/>
      </patternFill>
    </fill>
  </fills>
  <borders count="135">
    <border>
      <left/>
      <right/>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auto="1"/>
      </left>
      <right style="thin">
        <color auto="1"/>
      </right>
      <top style="medium">
        <color auto="1"/>
      </top>
      <bottom style="thin">
        <color auto="1"/>
      </bottom>
      <diagonal/>
    </border>
    <border>
      <left style="medium">
        <color indexed="64"/>
      </left>
      <right style="thin">
        <color auto="1"/>
      </right>
      <top style="medium">
        <color indexed="64"/>
      </top>
      <bottom style="thin">
        <color auto="1"/>
      </bottom>
      <diagonal/>
    </border>
    <border>
      <left/>
      <right style="medium">
        <color indexed="64"/>
      </right>
      <top style="medium">
        <color indexed="64"/>
      </top>
      <bottom style="double">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indexed="64"/>
      </right>
      <top style="thin">
        <color indexed="64"/>
      </top>
      <bottom style="medium">
        <color indexed="64"/>
      </bottom>
      <diagonal/>
    </border>
    <border>
      <left style="thin">
        <color auto="1"/>
      </left>
      <right style="thin">
        <color auto="1"/>
      </right>
      <top style="thin">
        <color auto="1"/>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thin">
        <color auto="1"/>
      </top>
      <bottom style="thin">
        <color auto="1"/>
      </bottom>
      <diagonal/>
    </border>
    <border>
      <left style="thin">
        <color auto="1"/>
      </left>
      <right style="thin">
        <color auto="1"/>
      </right>
      <top style="thin">
        <color auto="1"/>
      </top>
      <bottom style="thin">
        <color auto="1"/>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right/>
      <top style="thin">
        <color indexed="64"/>
      </top>
      <bottom style="thin">
        <color auto="1"/>
      </bottom>
      <diagonal/>
    </border>
    <border>
      <left style="thin">
        <color indexed="64"/>
      </left>
      <right/>
      <top style="thin">
        <color indexed="64"/>
      </top>
      <bottom style="thin">
        <color indexed="64"/>
      </bottom>
      <diagonal/>
    </border>
    <border>
      <left/>
      <right style="thin">
        <color auto="1"/>
      </right>
      <top style="thin">
        <color indexed="64"/>
      </top>
      <bottom style="thin">
        <color auto="1"/>
      </bottom>
      <diagonal/>
    </border>
    <border>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auto="1"/>
      </left>
      <right/>
      <top/>
      <bottom style="thin">
        <color auto="1"/>
      </bottom>
      <diagonal/>
    </border>
    <border>
      <left/>
      <right style="thin">
        <color indexed="64"/>
      </right>
      <top/>
      <bottom style="thin">
        <color indexed="64"/>
      </bottom>
      <diagonal/>
    </border>
    <border>
      <left style="thin">
        <color auto="1"/>
      </left>
      <right style="thin">
        <color auto="1"/>
      </right>
      <top/>
      <bottom/>
      <diagonal/>
    </border>
    <border>
      <left style="medium">
        <color indexed="64"/>
      </left>
      <right style="medium">
        <color auto="1"/>
      </right>
      <top style="medium">
        <color indexed="64"/>
      </top>
      <bottom/>
      <diagonal/>
    </border>
    <border>
      <left style="medium">
        <color indexed="64"/>
      </left>
      <right style="medium">
        <color auto="1"/>
      </right>
      <top/>
      <bottom/>
      <diagonal/>
    </border>
    <border>
      <left style="thin">
        <color theme="2"/>
      </left>
      <right/>
      <top/>
      <bottom style="thin">
        <color theme="2"/>
      </bottom>
      <diagonal/>
    </border>
    <border>
      <left style="thin">
        <color theme="2"/>
      </left>
      <right/>
      <top style="medium">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bottom/>
      <diagonal/>
    </border>
    <border>
      <left/>
      <right/>
      <top/>
      <bottom style="thin">
        <color indexed="64"/>
      </bottom>
      <diagonal/>
    </border>
    <border>
      <left style="medium">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style="thin">
        <color auto="1"/>
      </top>
      <bottom/>
      <diagonal/>
    </border>
    <border>
      <left style="thin">
        <color indexed="64"/>
      </left>
      <right/>
      <top style="thin">
        <color indexed="64"/>
      </top>
      <bottom style="thick">
        <color auto="1"/>
      </bottom>
      <diagonal/>
    </border>
    <border>
      <left/>
      <right/>
      <top style="thin">
        <color indexed="64"/>
      </top>
      <bottom style="thick">
        <color auto="1"/>
      </bottom>
      <diagonal/>
    </border>
    <border>
      <left style="medium">
        <color indexed="64"/>
      </left>
      <right style="thin">
        <color indexed="64"/>
      </right>
      <top style="thin">
        <color indexed="64"/>
      </top>
      <bottom/>
      <diagonal/>
    </border>
    <border>
      <left style="thin">
        <color auto="1"/>
      </left>
      <right style="thin">
        <color auto="1"/>
      </right>
      <top/>
      <bottom style="thin">
        <color auto="1"/>
      </bottom>
      <diagonal/>
    </border>
    <border>
      <left style="thin">
        <color indexed="64"/>
      </left>
      <right/>
      <top style="medium">
        <color indexed="64"/>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medium">
        <color indexed="64"/>
      </left>
      <right style="thin">
        <color indexed="64"/>
      </right>
      <top/>
      <bottom style="thin">
        <color indexed="64"/>
      </bottom>
      <diagonal/>
    </border>
    <border>
      <left style="thin">
        <color auto="1"/>
      </left>
      <right style="medium">
        <color indexed="64"/>
      </right>
      <top style="thin">
        <color auto="1"/>
      </top>
      <bottom style="medium">
        <color indexed="64"/>
      </bottom>
      <diagonal/>
    </border>
    <border>
      <left style="medium">
        <color auto="1"/>
      </left>
      <right style="medium">
        <color auto="1"/>
      </right>
      <top style="dotted">
        <color auto="1"/>
      </top>
      <bottom style="dotted">
        <color auto="1"/>
      </bottom>
      <diagonal/>
    </border>
    <border>
      <left style="medium">
        <color auto="1"/>
      </left>
      <right style="medium">
        <color auto="1"/>
      </right>
      <top/>
      <bottom style="dotted">
        <color auto="1"/>
      </bottom>
      <diagonal/>
    </border>
    <border>
      <left style="medium">
        <color auto="1"/>
      </left>
      <right style="medium">
        <color auto="1"/>
      </right>
      <top style="dotted">
        <color auto="1"/>
      </top>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style="thin">
        <color auto="1"/>
      </left>
      <right style="medium">
        <color indexed="64"/>
      </right>
      <top/>
      <bottom style="thin">
        <color auto="1"/>
      </bottom>
      <diagonal/>
    </border>
    <border>
      <left style="thick">
        <color auto="1"/>
      </left>
      <right/>
      <top style="thick">
        <color auto="1"/>
      </top>
      <bottom style="medium">
        <color indexed="64"/>
      </bottom>
      <diagonal/>
    </border>
    <border>
      <left/>
      <right/>
      <top style="thick">
        <color auto="1"/>
      </top>
      <bottom style="medium">
        <color indexed="64"/>
      </bottom>
      <diagonal/>
    </border>
    <border>
      <left style="thin">
        <color auto="1"/>
      </left>
      <right style="medium">
        <color indexed="64"/>
      </right>
      <top style="medium">
        <color indexed="64"/>
      </top>
      <bottom style="thin">
        <color auto="1"/>
      </bottom>
      <diagonal/>
    </border>
    <border>
      <left style="medium">
        <color indexed="64"/>
      </left>
      <right/>
      <top style="medium">
        <color indexed="64"/>
      </top>
      <bottom style="thin">
        <color indexed="64"/>
      </bottom>
      <diagonal/>
    </border>
    <border>
      <left/>
      <right/>
      <top style="thin">
        <color auto="1"/>
      </top>
      <bottom/>
      <diagonal/>
    </border>
    <border>
      <left/>
      <right style="thin">
        <color auto="1"/>
      </right>
      <top style="thin">
        <color auto="1"/>
      </top>
      <bottom/>
      <diagonal/>
    </border>
    <border>
      <left/>
      <right style="medium">
        <color rgb="FFB2B2B2"/>
      </right>
      <top style="medium">
        <color rgb="FFB2B2B2"/>
      </top>
      <bottom style="medium">
        <color rgb="FFB2B2B2"/>
      </bottom>
      <diagonal/>
    </border>
    <border>
      <left style="thin">
        <color indexed="64"/>
      </left>
      <right style="thin">
        <color indexed="64"/>
      </right>
      <top style="thin">
        <color indexed="64"/>
      </top>
      <bottom style="medium">
        <color indexed="64"/>
      </bottom>
      <diagonal/>
    </border>
    <border>
      <left style="thin">
        <color auto="1"/>
      </left>
      <right/>
      <top style="thin">
        <color auto="1"/>
      </top>
      <bottom/>
      <diagonal/>
    </border>
    <border>
      <left/>
      <right/>
      <top style="thin">
        <color auto="1"/>
      </top>
      <bottom style="thin">
        <color auto="1"/>
      </bottom>
      <diagonal/>
    </border>
    <border>
      <left style="thin">
        <color indexed="64"/>
      </left>
      <right style="thin">
        <color indexed="64"/>
      </right>
      <top/>
      <bottom style="thin">
        <color indexed="6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indexed="64"/>
      </left>
      <right style="medium">
        <color indexed="64"/>
      </right>
      <top/>
      <bottom style="thin">
        <color indexed="64"/>
      </bottom>
      <diagonal/>
    </border>
    <border>
      <left style="medium">
        <color indexed="64"/>
      </left>
      <right style="thin">
        <color auto="1"/>
      </right>
      <top style="thin">
        <color auto="1"/>
      </top>
      <bottom style="thin">
        <color auto="1"/>
      </bottom>
      <diagonal/>
    </border>
    <border>
      <left style="thin">
        <color indexed="64"/>
      </left>
      <right/>
      <top/>
      <bottom/>
      <diagonal/>
    </border>
    <border>
      <left style="thin">
        <color indexed="64"/>
      </left>
      <right/>
      <top/>
      <bottom style="medium">
        <color indexed="64"/>
      </bottom>
      <diagonal/>
    </border>
    <border>
      <left/>
      <right/>
      <top/>
      <bottom style="thin">
        <color theme="2"/>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thin">
        <color theme="0"/>
      </bottom>
      <diagonal/>
    </border>
    <border>
      <left/>
      <right/>
      <top/>
      <bottom style="thick">
        <color theme="4" tint="0.499984740745262"/>
      </bottom>
      <diagonal/>
    </border>
    <border>
      <left/>
      <right/>
      <top style="thin">
        <color theme="4"/>
      </top>
      <bottom style="double">
        <color theme="4"/>
      </bottom>
      <diagonal/>
    </border>
    <border>
      <left style="thick">
        <color auto="1"/>
      </left>
      <right/>
      <top style="thick">
        <color auto="1"/>
      </top>
      <bottom style="thin">
        <color indexed="64"/>
      </bottom>
      <diagonal/>
    </border>
    <border>
      <left/>
      <right style="thick">
        <color auto="1"/>
      </right>
      <top style="thick">
        <color auto="1"/>
      </top>
      <bottom style="thin">
        <color indexed="64"/>
      </bottom>
      <diagonal/>
    </border>
    <border>
      <left style="thick">
        <color auto="1"/>
      </left>
      <right style="thin">
        <color indexed="64"/>
      </right>
      <top style="thin">
        <color indexed="64"/>
      </top>
      <bottom style="thin">
        <color indexed="64"/>
      </bottom>
      <diagonal/>
    </border>
    <border>
      <left style="thin">
        <color indexed="64"/>
      </left>
      <right style="thick">
        <color auto="1"/>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bottom/>
      <diagonal/>
    </border>
    <border>
      <left/>
      <right style="thick">
        <color auto="1"/>
      </right>
      <top style="thin">
        <color theme="4"/>
      </top>
      <bottom style="thick">
        <color auto="1"/>
      </bottom>
      <diagonal/>
    </border>
    <border>
      <left style="thick">
        <color indexed="64"/>
      </left>
      <right style="thick">
        <color indexed="64"/>
      </right>
      <top style="thin">
        <color indexed="64"/>
      </top>
      <bottom style="thin">
        <color indexed="64"/>
      </bottom>
      <diagonal/>
    </border>
    <border>
      <left style="thick">
        <color auto="1"/>
      </left>
      <right/>
      <top/>
      <bottom style="thick">
        <color auto="1"/>
      </bottom>
      <diagonal/>
    </border>
    <border>
      <left style="thin">
        <color indexed="64"/>
      </left>
      <right style="thin">
        <color indexed="64"/>
      </right>
      <top style="thick">
        <color indexed="64"/>
      </top>
      <bottom/>
      <diagonal/>
    </border>
    <border>
      <left style="thin">
        <color indexed="64"/>
      </left>
      <right/>
      <top/>
      <bottom style="thick">
        <color indexed="64"/>
      </bottom>
      <diagonal/>
    </border>
    <border>
      <left/>
      <right/>
      <top/>
      <bottom style="thick">
        <color indexed="64"/>
      </bottom>
      <diagonal/>
    </border>
    <border>
      <left style="thin">
        <color indexed="64"/>
      </left>
      <right style="thin">
        <color indexed="64"/>
      </right>
      <top style="thin">
        <color indexed="64"/>
      </top>
      <bottom style="double">
        <color indexed="64"/>
      </bottom>
      <diagonal/>
    </border>
    <border>
      <left/>
      <right style="thin">
        <color auto="1"/>
      </right>
      <top style="medium">
        <color indexed="64"/>
      </top>
      <bottom style="thin">
        <color auto="1"/>
      </bottom>
      <diagonal/>
    </border>
    <border>
      <left style="medium">
        <color indexed="64"/>
      </left>
      <right style="thin">
        <color auto="1"/>
      </right>
      <top/>
      <bottom/>
      <diagonal/>
    </border>
    <border>
      <left style="thin">
        <color indexed="64"/>
      </left>
      <right/>
      <top style="medium">
        <color indexed="64"/>
      </top>
      <bottom style="medium">
        <color indexed="64"/>
      </bottom>
      <diagonal/>
    </border>
    <border>
      <left style="medium">
        <color indexed="64"/>
      </left>
      <right style="thin">
        <color auto="1"/>
      </right>
      <top/>
      <bottom style="medium">
        <color indexed="64"/>
      </bottom>
      <diagonal/>
    </border>
    <border>
      <left style="medium">
        <color indexed="64"/>
      </left>
      <right/>
      <top/>
      <bottom style="medium">
        <color rgb="FFFFFFFF"/>
      </bottom>
      <diagonal/>
    </border>
    <border>
      <left style="medium">
        <color indexed="64"/>
      </left>
      <right style="medium">
        <color indexed="64"/>
      </right>
      <top/>
      <bottom style="medium">
        <color rgb="FFFFFFFF"/>
      </bottom>
      <diagonal/>
    </border>
    <border>
      <left style="medium">
        <color rgb="FFFFFFFF"/>
      </left>
      <right style="medium">
        <color rgb="FFFFFFFF"/>
      </right>
      <top style="medium">
        <color rgb="FFFFFFFF"/>
      </top>
      <bottom style="thick">
        <color rgb="FFFFFFFF"/>
      </bottom>
      <diagonal/>
    </border>
    <border>
      <left/>
      <right style="medium">
        <color rgb="FFFFFFFF"/>
      </right>
      <top style="medium">
        <color rgb="FFFFFFFF"/>
      </top>
      <bottom style="thick">
        <color rgb="FFFFFFFF"/>
      </bottom>
      <diagonal/>
    </border>
    <border>
      <left style="medium">
        <color rgb="FFFFFFFF"/>
      </left>
      <right style="medium">
        <color rgb="FFFFFFFF"/>
      </right>
      <top/>
      <bottom style="medium">
        <color rgb="FFFFFFFF"/>
      </bottom>
      <diagonal/>
    </border>
    <border>
      <left/>
      <right style="medium">
        <color rgb="FFFFFFFF"/>
      </right>
      <top/>
      <bottom style="medium">
        <color rgb="FFFFFFFF"/>
      </bottom>
      <diagonal/>
    </border>
    <border>
      <left style="thin">
        <color auto="1"/>
      </left>
      <right style="medium">
        <color indexed="64"/>
      </right>
      <top style="thin">
        <color auto="1"/>
      </top>
      <bottom/>
      <diagonal/>
    </border>
    <border>
      <left style="medium">
        <color indexed="64"/>
      </left>
      <right/>
      <top style="thin">
        <color indexed="64"/>
      </top>
      <bottom style="medium">
        <color indexed="64"/>
      </bottom>
      <diagonal/>
    </border>
    <border>
      <left style="medium">
        <color indexed="64"/>
      </left>
      <right/>
      <top/>
      <bottom style="thin">
        <color theme="2"/>
      </bottom>
      <diagonal/>
    </border>
    <border>
      <left style="thin">
        <color theme="2"/>
      </left>
      <right style="medium">
        <color indexed="64"/>
      </right>
      <top/>
      <bottom style="thin">
        <color theme="2"/>
      </bottom>
      <diagonal/>
    </border>
    <border>
      <left/>
      <right/>
      <top/>
      <bottom style="thick">
        <color theme="4"/>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style="thin">
        <color indexed="64"/>
      </right>
      <top/>
      <bottom/>
      <diagonal/>
    </border>
    <border>
      <left/>
      <right style="thin">
        <color indexed="64"/>
      </right>
      <top/>
      <bottom style="medium">
        <color indexed="64"/>
      </bottom>
      <diagonal/>
    </border>
  </borders>
  <cellStyleXfs count="71">
    <xf numFmtId="0" fontId="0" fillId="0" borderId="0"/>
    <xf numFmtId="44" fontId="1" fillId="0" borderId="0" applyFont="0" applyFill="0" applyBorder="0" applyAlignment="0" applyProtection="0"/>
    <xf numFmtId="0" fontId="6" fillId="0" borderId="0"/>
    <xf numFmtId="0" fontId="8" fillId="0" borderId="0"/>
    <xf numFmtId="44" fontId="2" fillId="0" borderId="0" applyFont="0" applyFill="0" applyBorder="0" applyAlignment="0" applyProtection="0"/>
    <xf numFmtId="0" fontId="2" fillId="0" borderId="0"/>
    <xf numFmtId="0" fontId="2" fillId="0" borderId="0"/>
    <xf numFmtId="0" fontId="1" fillId="0" borderId="0"/>
    <xf numFmtId="0" fontId="1" fillId="0" borderId="0"/>
    <xf numFmtId="43" fontId="1" fillId="0" borderId="0" applyFont="0" applyFill="0" applyBorder="0" applyAlignment="0" applyProtection="0"/>
    <xf numFmtId="0" fontId="1" fillId="0" borderId="0"/>
    <xf numFmtId="0" fontId="15" fillId="0" borderId="0"/>
    <xf numFmtId="9" fontId="1" fillId="0" borderId="0" applyFont="0" applyFill="0" applyBorder="0" applyAlignment="0" applyProtection="0"/>
    <xf numFmtId="0" fontId="26" fillId="0" borderId="0"/>
    <xf numFmtId="43" fontId="26" fillId="0" borderId="0" applyFont="0" applyFill="0" applyBorder="0" applyAlignment="0" applyProtection="0"/>
    <xf numFmtId="0" fontId="32" fillId="0" borderId="0"/>
    <xf numFmtId="9" fontId="1" fillId="0" borderId="0" applyFont="0" applyFill="0" applyBorder="0" applyAlignment="0" applyProtection="0"/>
    <xf numFmtId="43" fontId="1" fillId="0" borderId="0" applyFont="0" applyFill="0" applyBorder="0" applyAlignment="0" applyProtection="0"/>
    <xf numFmtId="0" fontId="66" fillId="0" borderId="0"/>
    <xf numFmtId="0" fontId="77" fillId="0" borderId="0"/>
    <xf numFmtId="0" fontId="78" fillId="0" borderId="0"/>
    <xf numFmtId="0" fontId="79" fillId="0" borderId="97" applyNumberFormat="0" applyFill="0" applyAlignment="0" applyProtection="0"/>
    <xf numFmtId="0" fontId="7" fillId="0" borderId="98" applyNumberFormat="0" applyFill="0" applyAlignment="0" applyProtection="0"/>
    <xf numFmtId="0" fontId="1" fillId="62" borderId="0" applyNumberFormat="0" applyBorder="0" applyAlignment="0" applyProtection="0"/>
    <xf numFmtId="0" fontId="1" fillId="63" borderId="0" applyNumberFormat="0" applyBorder="0" applyAlignment="0" applyProtection="0"/>
    <xf numFmtId="0" fontId="2" fillId="0" borderId="0"/>
    <xf numFmtId="0" fontId="84" fillId="0" borderId="0"/>
    <xf numFmtId="0" fontId="86" fillId="0" borderId="0"/>
    <xf numFmtId="0" fontId="2" fillId="0" borderId="0"/>
    <xf numFmtId="0" fontId="1" fillId="0" borderId="0"/>
    <xf numFmtId="0" fontId="86" fillId="0" borderId="0"/>
    <xf numFmtId="0" fontId="86" fillId="0" borderId="0"/>
    <xf numFmtId="0" fontId="95" fillId="0" borderId="0" applyNumberFormat="0" applyFill="0" applyBorder="0" applyAlignment="0" applyProtection="0"/>
    <xf numFmtId="0" fontId="96" fillId="0" borderId="126" applyNumberFormat="0" applyFill="0" applyAlignment="0" applyProtection="0"/>
    <xf numFmtId="0" fontId="97" fillId="0" borderId="127" applyNumberFormat="0" applyFill="0" applyAlignment="0" applyProtection="0"/>
    <xf numFmtId="0" fontId="97" fillId="0" borderId="0" applyNumberFormat="0" applyFill="0" applyBorder="0" applyAlignment="0" applyProtection="0"/>
    <xf numFmtId="0" fontId="98" fillId="78" borderId="0" applyNumberFormat="0" applyBorder="0" applyAlignment="0" applyProtection="0"/>
    <xf numFmtId="0" fontId="99" fillId="79" borderId="0" applyNumberFormat="0" applyBorder="0" applyAlignment="0" applyProtection="0"/>
    <xf numFmtId="0" fontId="100" fillId="80" borderId="0" applyNumberFormat="0" applyBorder="0" applyAlignment="0" applyProtection="0"/>
    <xf numFmtId="0" fontId="101" fillId="81" borderId="128" applyNumberFormat="0" applyAlignment="0" applyProtection="0"/>
    <xf numFmtId="0" fontId="102" fillId="82" borderId="129" applyNumberFormat="0" applyAlignment="0" applyProtection="0"/>
    <xf numFmtId="0" fontId="103" fillId="82" borderId="128" applyNumberFormat="0" applyAlignment="0" applyProtection="0"/>
    <xf numFmtId="0" fontId="104" fillId="0" borderId="130" applyNumberFormat="0" applyFill="0" applyAlignment="0" applyProtection="0"/>
    <xf numFmtId="0" fontId="58" fillId="83" borderId="131" applyNumberFormat="0" applyAlignment="0" applyProtection="0"/>
    <xf numFmtId="0" fontId="76" fillId="0" borderId="0" applyNumberFormat="0" applyFill="0" applyBorder="0" applyAlignment="0" applyProtection="0"/>
    <xf numFmtId="0" fontId="1" fillId="84" borderId="132" applyNumberFormat="0" applyFont="0" applyAlignment="0" applyProtection="0"/>
    <xf numFmtId="0" fontId="105" fillId="0" borderId="0" applyNumberFormat="0" applyFill="0" applyBorder="0" applyAlignment="0" applyProtection="0"/>
    <xf numFmtId="0" fontId="65" fillId="85" borderId="0" applyNumberFormat="0" applyBorder="0" applyAlignment="0" applyProtection="0"/>
    <xf numFmtId="0" fontId="1" fillId="86" borderId="0" applyNumberFormat="0" applyBorder="0" applyAlignment="0" applyProtection="0"/>
    <xf numFmtId="0" fontId="1" fillId="87" borderId="0" applyNumberFormat="0" applyBorder="0" applyAlignment="0" applyProtection="0"/>
    <xf numFmtId="0" fontId="1" fillId="88" borderId="0" applyNumberFormat="0" applyBorder="0" applyAlignment="0" applyProtection="0"/>
    <xf numFmtId="0" fontId="65" fillId="89" borderId="0" applyNumberFormat="0" applyBorder="0" applyAlignment="0" applyProtection="0"/>
    <xf numFmtId="0" fontId="1" fillId="90" borderId="0" applyNumberFormat="0" applyBorder="0" applyAlignment="0" applyProtection="0"/>
    <xf numFmtId="0" fontId="1" fillId="91" borderId="0" applyNumberFormat="0" applyBorder="0" applyAlignment="0" applyProtection="0"/>
    <xf numFmtId="0" fontId="65" fillId="92" borderId="0" applyNumberFormat="0" applyBorder="0" applyAlignment="0" applyProtection="0"/>
    <xf numFmtId="0" fontId="1" fillId="93" borderId="0" applyNumberFormat="0" applyBorder="0" applyAlignment="0" applyProtection="0"/>
    <xf numFmtId="0" fontId="1" fillId="94" borderId="0" applyNumberFormat="0" applyBorder="0" applyAlignment="0" applyProtection="0"/>
    <xf numFmtId="0" fontId="1" fillId="95" borderId="0" applyNumberFormat="0" applyBorder="0" applyAlignment="0" applyProtection="0"/>
    <xf numFmtId="0" fontId="65" fillId="96" borderId="0" applyNumberFormat="0" applyBorder="0" applyAlignment="0" applyProtection="0"/>
    <xf numFmtId="0" fontId="1" fillId="97" borderId="0" applyNumberFormat="0" applyBorder="0" applyAlignment="0" applyProtection="0"/>
    <xf numFmtId="0" fontId="1" fillId="98" borderId="0" applyNumberFormat="0" applyBorder="0" applyAlignment="0" applyProtection="0"/>
    <xf numFmtId="0" fontId="1" fillId="99" borderId="0" applyNumberFormat="0" applyBorder="0" applyAlignment="0" applyProtection="0"/>
    <xf numFmtId="0" fontId="65" fillId="100" borderId="0" applyNumberFormat="0" applyBorder="0" applyAlignment="0" applyProtection="0"/>
    <xf numFmtId="0" fontId="1" fillId="101" borderId="0" applyNumberFormat="0" applyBorder="0" applyAlignment="0" applyProtection="0"/>
    <xf numFmtId="0" fontId="1" fillId="102" borderId="0" applyNumberFormat="0" applyBorder="0" applyAlignment="0" applyProtection="0"/>
    <xf numFmtId="0" fontId="65" fillId="103" borderId="0" applyNumberFormat="0" applyBorder="0" applyAlignment="0" applyProtection="0"/>
    <xf numFmtId="0" fontId="1" fillId="104" borderId="0" applyNumberFormat="0" applyBorder="0" applyAlignment="0" applyProtection="0"/>
    <xf numFmtId="0" fontId="1" fillId="105" borderId="0" applyNumberFormat="0" applyBorder="0" applyAlignment="0" applyProtection="0"/>
    <xf numFmtId="0" fontId="1" fillId="106" borderId="0" applyNumberFormat="0" applyBorder="0" applyAlignment="0" applyProtection="0"/>
    <xf numFmtId="0" fontId="106" fillId="0" borderId="0"/>
    <xf numFmtId="0" fontId="106" fillId="0" borderId="0"/>
  </cellStyleXfs>
  <cellXfs count="1214">
    <xf numFmtId="0" fontId="0" fillId="0" borderId="0" xfId="0"/>
    <xf numFmtId="0" fontId="7" fillId="0" borderId="0" xfId="0" applyFont="1"/>
    <xf numFmtId="0" fontId="0" fillId="2" borderId="0" xfId="0" applyFill="1"/>
    <xf numFmtId="0" fontId="0" fillId="2" borderId="0" xfId="0" applyFill="1" applyAlignment="1">
      <alignment horizontal="centerContinuous"/>
    </xf>
    <xf numFmtId="0" fontId="9" fillId="2" borderId="0" xfId="0" applyFont="1" applyFill="1"/>
    <xf numFmtId="44" fontId="5" fillId="2" borderId="0" xfId="4" applyFont="1" applyFill="1" applyBorder="1" applyAlignment="1">
      <alignment horizontal="centerContinuous"/>
    </xf>
    <xf numFmtId="44" fontId="5" fillId="2" borderId="0" xfId="4" applyFont="1" applyFill="1" applyBorder="1" applyAlignment="1" applyProtection="1">
      <alignment horizontal="centerContinuous"/>
    </xf>
    <xf numFmtId="0" fontId="5" fillId="2" borderId="0" xfId="0" applyFont="1" applyFill="1" applyAlignment="1">
      <alignment vertical="top"/>
    </xf>
    <xf numFmtId="0" fontId="5" fillId="2" borderId="0" xfId="0" applyFont="1" applyFill="1"/>
    <xf numFmtId="0" fontId="0" fillId="2" borderId="0" xfId="0" applyFill="1" applyAlignment="1">
      <alignment horizontal="center"/>
    </xf>
    <xf numFmtId="0" fontId="11" fillId="2" borderId="0" xfId="0" applyFont="1" applyFill="1" applyAlignment="1">
      <alignment horizontal="centerContinuous"/>
    </xf>
    <xf numFmtId="0" fontId="12" fillId="2" borderId="0" xfId="0" applyFont="1" applyFill="1" applyAlignment="1">
      <alignment horizontal="centerContinuous"/>
    </xf>
    <xf numFmtId="0" fontId="13" fillId="2" borderId="0" xfId="0" applyFont="1" applyFill="1" applyAlignment="1">
      <alignment horizontal="centerContinuous"/>
    </xf>
    <xf numFmtId="0" fontId="14" fillId="2" borderId="0" xfId="0" applyFont="1" applyFill="1" applyAlignment="1">
      <alignment horizontal="centerContinuous"/>
    </xf>
    <xf numFmtId="0" fontId="10" fillId="0" borderId="0" xfId="0" applyFont="1" applyAlignment="1">
      <alignment vertical="top"/>
    </xf>
    <xf numFmtId="0" fontId="15" fillId="0" borderId="0" xfId="0" applyFont="1"/>
    <xf numFmtId="0" fontId="20" fillId="0" borderId="0" xfId="0" applyFont="1"/>
    <xf numFmtId="0" fontId="19" fillId="15" borderId="11" xfId="0" applyFont="1" applyFill="1" applyBorder="1" applyAlignment="1" applyProtection="1">
      <alignment horizontal="center"/>
      <protection locked="0"/>
    </xf>
    <xf numFmtId="0" fontId="19" fillId="15" borderId="11" xfId="0" applyFont="1" applyFill="1" applyBorder="1" applyAlignment="1" applyProtection="1">
      <alignment horizontal="center" wrapText="1"/>
      <protection locked="0"/>
    </xf>
    <xf numFmtId="0" fontId="19" fillId="16" borderId="14" xfId="0" applyFont="1" applyFill="1" applyBorder="1" applyAlignment="1">
      <alignment horizontal="center" wrapText="1"/>
    </xf>
    <xf numFmtId="0" fontId="19" fillId="16" borderId="15" xfId="0" applyFont="1" applyFill="1" applyBorder="1" applyAlignment="1">
      <alignment horizontal="center" wrapText="1"/>
    </xf>
    <xf numFmtId="0" fontId="19" fillId="16" borderId="16" xfId="0" applyFont="1" applyFill="1" applyBorder="1" applyAlignment="1">
      <alignment horizontal="center" wrapText="1"/>
    </xf>
    <xf numFmtId="0" fontId="3" fillId="2" borderId="0" xfId="0" applyFont="1" applyFill="1" applyAlignment="1">
      <alignment horizontal="centerContinuous"/>
    </xf>
    <xf numFmtId="44" fontId="4" fillId="2" borderId="0" xfId="4" applyFont="1" applyFill="1" applyBorder="1" applyAlignment="1">
      <alignment horizontal="centerContinuous"/>
    </xf>
    <xf numFmtId="44" fontId="4" fillId="2" borderId="0" xfId="4" applyFont="1" applyFill="1" applyBorder="1" applyAlignment="1" applyProtection="1">
      <alignment horizontal="centerContinuous"/>
    </xf>
    <xf numFmtId="0" fontId="28" fillId="0" borderId="0" xfId="0" applyFont="1"/>
    <xf numFmtId="0" fontId="28" fillId="11" borderId="0" xfId="0" applyFont="1" applyFill="1"/>
    <xf numFmtId="0" fontId="28" fillId="3" borderId="0" xfId="0" applyFont="1" applyFill="1"/>
    <xf numFmtId="0" fontId="28" fillId="5" borderId="0" xfId="0" applyFont="1" applyFill="1"/>
    <xf numFmtId="0" fontId="5" fillId="17" borderId="0" xfId="0" applyFont="1" applyFill="1" applyBorder="1"/>
    <xf numFmtId="0" fontId="15" fillId="0" borderId="0" xfId="0" applyFont="1" applyFill="1"/>
    <xf numFmtId="0" fontId="5" fillId="20" borderId="0" xfId="0" applyFont="1" applyFill="1" applyBorder="1"/>
    <xf numFmtId="0" fontId="20" fillId="0" borderId="0" xfId="0" applyFont="1" applyAlignment="1">
      <alignment vertical="center"/>
    </xf>
    <xf numFmtId="0" fontId="15" fillId="0" borderId="0" xfId="0" applyFont="1" applyAlignment="1">
      <alignment vertical="center" wrapText="1"/>
    </xf>
    <xf numFmtId="165" fontId="15" fillId="0" borderId="0" xfId="0" applyNumberFormat="1" applyFont="1"/>
    <xf numFmtId="0" fontId="31" fillId="0" borderId="0" xfId="0" applyFont="1"/>
    <xf numFmtId="0" fontId="5" fillId="10" borderId="18" xfId="0" applyFont="1" applyFill="1" applyBorder="1" applyAlignment="1">
      <alignment horizontal="center" vertical="center"/>
    </xf>
    <xf numFmtId="0" fontId="5" fillId="10" borderId="17" xfId="0" applyFont="1" applyFill="1" applyBorder="1" applyAlignment="1">
      <alignment horizontal="center" vertical="center"/>
    </xf>
    <xf numFmtId="0" fontId="5" fillId="10" borderId="17" xfId="0" applyFont="1" applyFill="1" applyBorder="1" applyAlignment="1">
      <alignment horizontal="center" vertical="center" wrapText="1"/>
    </xf>
    <xf numFmtId="0" fontId="5" fillId="10" borderId="19" xfId="0" applyFont="1" applyFill="1" applyBorder="1" applyAlignment="1">
      <alignment horizontal="center" vertical="center"/>
    </xf>
    <xf numFmtId="0" fontId="0" fillId="0" borderId="12" xfId="0" applyBorder="1" applyAlignment="1">
      <alignment vertical="center"/>
    </xf>
    <xf numFmtId="165" fontId="20" fillId="0" borderId="0" xfId="0" applyNumberFormat="1" applyFont="1" applyAlignment="1">
      <alignment horizontal="right"/>
    </xf>
    <xf numFmtId="165" fontId="0" fillId="0" borderId="0" xfId="0" applyNumberFormat="1"/>
    <xf numFmtId="0" fontId="19" fillId="16" borderId="20" xfId="0" applyFont="1" applyFill="1" applyBorder="1" applyAlignment="1">
      <alignment horizontal="center" wrapText="1"/>
    </xf>
    <xf numFmtId="0" fontId="0" fillId="2" borderId="23" xfId="0" applyFill="1" applyBorder="1" applyAlignment="1">
      <alignment vertical="center"/>
    </xf>
    <xf numFmtId="0" fontId="5" fillId="2" borderId="24" xfId="0" applyFont="1" applyFill="1" applyBorder="1" applyAlignment="1">
      <alignment horizontal="center" vertical="center" wrapText="1"/>
    </xf>
    <xf numFmtId="0" fontId="22" fillId="2" borderId="24" xfId="0" applyFont="1" applyFill="1" applyBorder="1" applyAlignment="1">
      <alignment vertical="center" wrapText="1"/>
    </xf>
    <xf numFmtId="0" fontId="5" fillId="2" borderId="24" xfId="0" applyFont="1" applyFill="1" applyBorder="1" applyAlignment="1">
      <alignment horizontal="center" vertical="center"/>
    </xf>
    <xf numFmtId="0" fontId="5" fillId="2" borderId="25" xfId="0" applyFont="1" applyFill="1" applyBorder="1" applyAlignment="1">
      <alignment horizontal="center" vertical="center"/>
    </xf>
    <xf numFmtId="0" fontId="20" fillId="0" borderId="0" xfId="0" applyFont="1" applyAlignment="1">
      <alignment horizontal="left"/>
    </xf>
    <xf numFmtId="0" fontId="5" fillId="2" borderId="27" xfId="0" applyFont="1" applyFill="1" applyBorder="1" applyAlignment="1">
      <alignment horizontal="center" vertical="center" wrapText="1"/>
    </xf>
    <xf numFmtId="0" fontId="0" fillId="2" borderId="27" xfId="0" applyFill="1" applyBorder="1" applyAlignment="1">
      <alignment vertical="center" wrapText="1"/>
    </xf>
    <xf numFmtId="0" fontId="0" fillId="2" borderId="27" xfId="0" applyFill="1" applyBorder="1"/>
    <xf numFmtId="0" fontId="5" fillId="2" borderId="27" xfId="0" applyFont="1" applyFill="1" applyBorder="1" applyAlignment="1">
      <alignment horizontal="center" vertical="center"/>
    </xf>
    <xf numFmtId="0" fontId="5" fillId="2" borderId="28" xfId="0" applyFont="1" applyFill="1" applyBorder="1" applyAlignment="1">
      <alignment horizontal="center" vertical="center"/>
    </xf>
    <xf numFmtId="0" fontId="22" fillId="2" borderId="27" xfId="0" applyFont="1" applyFill="1" applyBorder="1" applyAlignment="1">
      <alignment vertical="center" wrapText="1"/>
    </xf>
    <xf numFmtId="0" fontId="0" fillId="2" borderId="29" xfId="0" applyFill="1" applyBorder="1" applyAlignment="1">
      <alignment vertical="center"/>
    </xf>
    <xf numFmtId="0" fontId="5" fillId="2" borderId="30" xfId="0" applyFont="1" applyFill="1" applyBorder="1" applyAlignment="1">
      <alignment horizontal="center" vertical="center" wrapText="1"/>
    </xf>
    <xf numFmtId="0" fontId="22" fillId="2" borderId="30" xfId="0" applyFont="1" applyFill="1" applyBorder="1" applyAlignment="1">
      <alignment vertical="center" wrapText="1"/>
    </xf>
    <xf numFmtId="0" fontId="5" fillId="2" borderId="30" xfId="0" applyFont="1" applyFill="1" applyBorder="1" applyAlignment="1">
      <alignment horizontal="center" vertical="center"/>
    </xf>
    <xf numFmtId="0" fontId="5" fillId="2" borderId="31" xfId="0" applyFont="1" applyFill="1" applyBorder="1" applyAlignment="1">
      <alignment horizontal="center" vertical="center"/>
    </xf>
    <xf numFmtId="0" fontId="19" fillId="18" borderId="27" xfId="0" applyFont="1" applyFill="1" applyBorder="1" applyAlignment="1">
      <alignment horizontal="center" vertical="center" wrapText="1"/>
    </xf>
    <xf numFmtId="166" fontId="20" fillId="18" borderId="27" xfId="0" applyNumberFormat="1" applyFont="1" applyFill="1" applyBorder="1" applyAlignment="1">
      <alignment horizontal="center" vertical="center"/>
    </xf>
    <xf numFmtId="166" fontId="20" fillId="18" borderId="27" xfId="0" applyNumberFormat="1" applyFont="1" applyFill="1" applyBorder="1" applyAlignment="1">
      <alignment horizontal="center" vertical="center" wrapText="1"/>
    </xf>
    <xf numFmtId="0" fontId="20" fillId="20" borderId="27" xfId="0" applyFont="1" applyFill="1" applyBorder="1" applyAlignment="1">
      <alignment horizontal="center"/>
    </xf>
    <xf numFmtId="17" fontId="20" fillId="9" borderId="27" xfId="0" applyNumberFormat="1" applyFont="1" applyFill="1" applyBorder="1" applyAlignment="1">
      <alignment horizontal="center" vertical="center"/>
    </xf>
    <xf numFmtId="0" fontId="20" fillId="8" borderId="27" xfId="0" applyFont="1" applyFill="1" applyBorder="1" applyAlignment="1">
      <alignment horizontal="center" vertical="center"/>
    </xf>
    <xf numFmtId="0" fontId="7" fillId="6" borderId="27" xfId="0" applyFont="1" applyFill="1" applyBorder="1" applyAlignment="1">
      <alignment horizontal="center" wrapText="1"/>
    </xf>
    <xf numFmtId="0" fontId="7" fillId="6" borderId="27" xfId="0" applyFont="1" applyFill="1" applyBorder="1" applyAlignment="1">
      <alignment horizontal="center"/>
    </xf>
    <xf numFmtId="0" fontId="7" fillId="6" borderId="27" xfId="0" applyFont="1" applyFill="1" applyBorder="1" applyAlignment="1">
      <alignment horizontal="center" vertical="top"/>
    </xf>
    <xf numFmtId="166" fontId="20" fillId="20" borderId="27" xfId="0" applyNumberFormat="1" applyFont="1" applyFill="1" applyBorder="1" applyAlignment="1">
      <alignment horizontal="right" vertical="center"/>
    </xf>
    <xf numFmtId="0" fontId="15" fillId="0" borderId="27" xfId="0" applyFont="1" applyBorder="1" applyAlignment="1">
      <alignment vertical="center" wrapText="1"/>
    </xf>
    <xf numFmtId="166" fontId="15" fillId="20" borderId="27" xfId="0" applyNumberFormat="1" applyFont="1" applyFill="1" applyBorder="1"/>
    <xf numFmtId="166" fontId="15" fillId="18" borderId="27" xfId="0" applyNumberFormat="1" applyFont="1" applyFill="1" applyBorder="1"/>
    <xf numFmtId="166" fontId="15" fillId="20" borderId="27" xfId="0" applyNumberFormat="1" applyFont="1" applyFill="1" applyBorder="1" applyAlignment="1">
      <alignment horizontal="right" vertical="center"/>
    </xf>
    <xf numFmtId="166" fontId="20" fillId="20" borderId="27" xfId="0" applyNumberFormat="1" applyFont="1" applyFill="1" applyBorder="1"/>
    <xf numFmtId="0" fontId="0" fillId="0" borderId="27" xfId="0" applyBorder="1"/>
    <xf numFmtId="0" fontId="17" fillId="0" borderId="30" xfId="0" applyFont="1" applyBorder="1" applyAlignment="1" applyProtection="1">
      <alignment horizontal="center" vertical="top" wrapText="1"/>
      <protection locked="0"/>
    </xf>
    <xf numFmtId="44" fontId="17" fillId="0" borderId="30" xfId="4" applyFont="1" applyFill="1" applyBorder="1" applyAlignment="1" applyProtection="1">
      <alignment horizontal="center" vertical="top" wrapText="1"/>
      <protection locked="0"/>
    </xf>
    <xf numFmtId="0" fontId="18" fillId="0" borderId="30" xfId="0" applyFont="1" applyBorder="1" applyAlignment="1">
      <alignment horizontal="center" vertical="top" wrapText="1"/>
    </xf>
    <xf numFmtId="0" fontId="22" fillId="2" borderId="0" xfId="0" applyFont="1" applyFill="1" applyAlignment="1">
      <alignment vertical="top" wrapText="1"/>
    </xf>
    <xf numFmtId="0" fontId="20" fillId="6" borderId="27" xfId="0" applyFont="1" applyFill="1" applyBorder="1" applyAlignment="1">
      <alignment horizontal="center"/>
    </xf>
    <xf numFmtId="0" fontId="0" fillId="2" borderId="35" xfId="0" applyFill="1" applyBorder="1"/>
    <xf numFmtId="0" fontId="0" fillId="2" borderId="36" xfId="0" applyFill="1" applyBorder="1" applyAlignment="1">
      <alignment vertical="center"/>
    </xf>
    <xf numFmtId="0" fontId="5" fillId="2" borderId="37" xfId="0" applyFont="1" applyFill="1" applyBorder="1" applyAlignment="1">
      <alignment horizontal="center" vertical="center"/>
    </xf>
    <xf numFmtId="0" fontId="2" fillId="0" borderId="27" xfId="0" applyFont="1" applyFill="1" applyBorder="1" applyAlignment="1">
      <alignment horizontal="center"/>
    </xf>
    <xf numFmtId="164" fontId="2" fillId="0" borderId="27" xfId="1" applyNumberFormat="1" applyFont="1" applyFill="1" applyBorder="1" applyAlignment="1">
      <alignment horizontal="center"/>
    </xf>
    <xf numFmtId="44" fontId="2" fillId="0" borderId="27" xfId="1" applyFont="1" applyFill="1" applyBorder="1" applyAlignment="1">
      <alignment horizontal="center"/>
    </xf>
    <xf numFmtId="0" fontId="20" fillId="6" borderId="27" xfId="0" applyFont="1" applyFill="1" applyBorder="1" applyAlignment="1">
      <alignment horizontal="center" wrapText="1"/>
    </xf>
    <xf numFmtId="0" fontId="33" fillId="18" borderId="27" xfId="0" applyFont="1" applyFill="1" applyBorder="1" applyAlignment="1">
      <alignment horizontal="center" vertical="center" wrapText="1"/>
    </xf>
    <xf numFmtId="0" fontId="15" fillId="0" borderId="27" xfId="0" applyFont="1" applyBorder="1" applyAlignment="1">
      <alignment horizontal="center" vertical="center" wrapText="1"/>
    </xf>
    <xf numFmtId="0" fontId="23" fillId="26" borderId="27" xfId="0" applyFont="1" applyFill="1" applyBorder="1" applyAlignment="1">
      <alignment horizontal="center" wrapText="1"/>
    </xf>
    <xf numFmtId="0" fontId="19" fillId="7" borderId="27" xfId="0" applyFont="1" applyFill="1" applyBorder="1" applyAlignment="1">
      <alignment vertical="top" wrapText="1"/>
    </xf>
    <xf numFmtId="0" fontId="19" fillId="7" borderId="0" xfId="0" applyFont="1" applyFill="1" applyAlignment="1">
      <alignment vertical="top" wrapText="1"/>
    </xf>
    <xf numFmtId="0" fontId="15" fillId="7" borderId="0" xfId="0" applyFont="1" applyFill="1"/>
    <xf numFmtId="166" fontId="0" fillId="0" borderId="0" xfId="0" applyNumberFormat="1"/>
    <xf numFmtId="0" fontId="38" fillId="0" borderId="0" xfId="0" applyFont="1" applyAlignment="1">
      <alignment horizontal="center" vertical="center"/>
    </xf>
    <xf numFmtId="0" fontId="40" fillId="28" borderId="43" xfId="0" applyFont="1" applyFill="1" applyBorder="1" applyAlignment="1" applyProtection="1">
      <alignment horizontal="center" vertical="center" wrapText="1"/>
    </xf>
    <xf numFmtId="0" fontId="40" fillId="28" borderId="0" xfId="0" applyFont="1" applyFill="1" applyBorder="1" applyAlignment="1" applyProtection="1">
      <alignment horizontal="center" vertical="center" wrapText="1"/>
    </xf>
    <xf numFmtId="0" fontId="42" fillId="28" borderId="2" xfId="0" applyFont="1" applyFill="1" applyBorder="1" applyAlignment="1" applyProtection="1">
      <alignment horizontal="left" vertical="center" wrapText="1"/>
    </xf>
    <xf numFmtId="0" fontId="42" fillId="28" borderId="44" xfId="0" applyFont="1" applyFill="1" applyBorder="1" applyAlignment="1" applyProtection="1">
      <alignment horizontal="left" vertical="center" wrapText="1"/>
    </xf>
    <xf numFmtId="0" fontId="42" fillId="28" borderId="44" xfId="0" applyFont="1" applyFill="1" applyBorder="1" applyAlignment="1" applyProtection="1">
      <alignment horizontal="center" vertical="center" wrapText="1"/>
    </xf>
    <xf numFmtId="9" fontId="46" fillId="22" borderId="5" xfId="0" applyNumberFormat="1" applyFont="1" applyFill="1" applyBorder="1" applyAlignment="1">
      <alignment horizontal="center" vertical="center" wrapText="1"/>
    </xf>
    <xf numFmtId="1" fontId="46" fillId="18" borderId="12" xfId="0" applyNumberFormat="1" applyFont="1" applyFill="1" applyBorder="1" applyAlignment="1">
      <alignment horizontal="center" vertical="center" wrapText="1"/>
    </xf>
    <xf numFmtId="169" fontId="46" fillId="0" borderId="8" xfId="0" applyNumberFormat="1" applyFont="1" applyFill="1" applyBorder="1" applyAlignment="1">
      <alignment horizontal="right" vertical="center" wrapText="1"/>
    </xf>
    <xf numFmtId="169" fontId="45" fillId="0" borderId="52" xfId="0" applyNumberFormat="1" applyFont="1" applyFill="1" applyBorder="1" applyAlignment="1">
      <alignment horizontal="right" vertical="center" wrapText="1"/>
    </xf>
    <xf numFmtId="169" fontId="44" fillId="0" borderId="27" xfId="0" applyNumberFormat="1" applyFont="1" applyBorder="1" applyAlignment="1">
      <alignment horizontal="left" vertical="center" wrapText="1"/>
    </xf>
    <xf numFmtId="169" fontId="44" fillId="7" borderId="27" xfId="0" applyNumberFormat="1" applyFont="1" applyFill="1" applyBorder="1" applyAlignment="1">
      <alignment horizontal="left" vertical="center" wrapText="1"/>
    </xf>
    <xf numFmtId="169" fontId="46" fillId="0" borderId="54" xfId="0" applyNumberFormat="1" applyFont="1" applyFill="1" applyBorder="1" applyAlignment="1">
      <alignment horizontal="right" vertical="center" wrapText="1"/>
    </xf>
    <xf numFmtId="169" fontId="45" fillId="0" borderId="55" xfId="0" applyNumberFormat="1" applyFont="1" applyFill="1" applyBorder="1" applyAlignment="1">
      <alignment horizontal="right" vertical="center" wrapText="1"/>
    </xf>
    <xf numFmtId="169" fontId="45" fillId="0" borderId="54" xfId="0" applyNumberFormat="1" applyFont="1" applyFill="1" applyBorder="1" applyAlignment="1">
      <alignment horizontal="right" vertical="center" wrapText="1"/>
    </xf>
    <xf numFmtId="0" fontId="38" fillId="0" borderId="0" xfId="0" applyFont="1"/>
    <xf numFmtId="0" fontId="38" fillId="0" borderId="0" xfId="0" applyFont="1" applyAlignment="1">
      <alignment horizontal="left" vertical="center"/>
    </xf>
    <xf numFmtId="0" fontId="38" fillId="0" borderId="0" xfId="0" applyFont="1" applyAlignment="1">
      <alignment horizontal="center"/>
    </xf>
    <xf numFmtId="169" fontId="47" fillId="29" borderId="27" xfId="0" applyNumberFormat="1" applyFont="1" applyFill="1" applyBorder="1" applyAlignment="1">
      <alignment horizontal="right" vertical="center" wrapText="1"/>
    </xf>
    <xf numFmtId="169" fontId="46" fillId="30" borderId="27" xfId="0" applyNumberFormat="1" applyFont="1" applyFill="1" applyBorder="1" applyAlignment="1">
      <alignment horizontal="right" vertical="center" wrapText="1"/>
    </xf>
    <xf numFmtId="169" fontId="45" fillId="0" borderId="56" xfId="0" applyNumberFormat="1" applyFont="1" applyFill="1" applyBorder="1" applyAlignment="1">
      <alignment horizontal="right" vertical="center" wrapText="1"/>
    </xf>
    <xf numFmtId="169" fontId="46" fillId="30" borderId="30" xfId="0" applyNumberFormat="1" applyFont="1" applyFill="1" applyBorder="1" applyAlignment="1">
      <alignment horizontal="right" vertical="center" wrapText="1"/>
    </xf>
    <xf numFmtId="169" fontId="52" fillId="0" borderId="2" xfId="0" applyNumberFormat="1" applyFont="1" applyFill="1" applyBorder="1" applyAlignment="1">
      <alignment horizontal="right" vertical="center" wrapText="1"/>
    </xf>
    <xf numFmtId="169" fontId="54" fillId="24" borderId="11" xfId="0" applyNumberFormat="1" applyFont="1" applyFill="1" applyBorder="1" applyAlignment="1">
      <alignment horizontal="right" vertical="center" wrapText="1"/>
    </xf>
    <xf numFmtId="169" fontId="52" fillId="24" borderId="11" xfId="0" applyNumberFormat="1" applyFont="1" applyFill="1" applyBorder="1" applyAlignment="1">
      <alignment horizontal="right" vertical="center" wrapText="1"/>
    </xf>
    <xf numFmtId="0" fontId="0" fillId="7" borderId="0" xfId="0" applyFill="1"/>
    <xf numFmtId="0" fontId="38" fillId="33" borderId="0" xfId="0" applyFont="1" applyFill="1"/>
    <xf numFmtId="169" fontId="56" fillId="24" borderId="57" xfId="0" applyNumberFormat="1" applyFont="1" applyFill="1" applyBorder="1" applyAlignment="1">
      <alignment horizontal="right" vertical="center" wrapText="1"/>
    </xf>
    <xf numFmtId="0" fontId="53" fillId="28" borderId="5" xfId="0" applyFont="1" applyFill="1" applyBorder="1" applyAlignment="1" applyProtection="1">
      <alignment vertical="center" wrapText="1"/>
    </xf>
    <xf numFmtId="0" fontId="50" fillId="28" borderId="6" xfId="0" applyFont="1" applyFill="1" applyBorder="1" applyAlignment="1" applyProtection="1">
      <alignment horizontal="left" vertical="center" wrapText="1"/>
    </xf>
    <xf numFmtId="0" fontId="20" fillId="6" borderId="27" xfId="0" applyFont="1" applyFill="1" applyBorder="1" applyAlignment="1">
      <alignment horizontal="center"/>
    </xf>
    <xf numFmtId="0" fontId="39" fillId="5" borderId="0" xfId="0" applyFont="1" applyFill="1" applyAlignment="1">
      <alignment horizontal="center" vertical="center"/>
    </xf>
    <xf numFmtId="14" fontId="40" fillId="28" borderId="0" xfId="0" applyNumberFormat="1" applyFont="1" applyFill="1" applyBorder="1" applyAlignment="1" applyProtection="1">
      <alignment horizontal="center" vertical="center" wrapText="1"/>
    </xf>
    <xf numFmtId="0" fontId="38" fillId="33" borderId="0" xfId="0" applyFont="1" applyFill="1" applyAlignment="1">
      <alignment horizontal="center" vertical="center"/>
    </xf>
    <xf numFmtId="169" fontId="49" fillId="24" borderId="61" xfId="0" applyNumberFormat="1" applyFont="1" applyFill="1" applyBorder="1" applyAlignment="1">
      <alignment horizontal="right" vertical="center" wrapText="1"/>
    </xf>
    <xf numFmtId="0" fontId="38" fillId="0" borderId="0" xfId="0" applyFont="1" applyBorder="1"/>
    <xf numFmtId="169" fontId="49" fillId="0" borderId="61" xfId="0" applyNumberFormat="1" applyFont="1" applyFill="1" applyBorder="1" applyAlignment="1">
      <alignment horizontal="right" vertical="center" wrapText="1"/>
    </xf>
    <xf numFmtId="169" fontId="47" fillId="29" borderId="62" xfId="0" applyNumberFormat="1" applyFont="1" applyFill="1" applyBorder="1" applyAlignment="1">
      <alignment horizontal="right" vertical="center" wrapText="1"/>
    </xf>
    <xf numFmtId="169" fontId="15" fillId="18" borderId="27" xfId="0" applyNumberFormat="1" applyFont="1" applyFill="1" applyBorder="1"/>
    <xf numFmtId="166" fontId="20" fillId="0" borderId="0" xfId="0" applyNumberFormat="1" applyFont="1" applyAlignment="1">
      <alignment vertical="center" wrapText="1"/>
    </xf>
    <xf numFmtId="169" fontId="15" fillId="0" borderId="0" xfId="0" applyNumberFormat="1" applyFont="1"/>
    <xf numFmtId="169" fontId="20" fillId="0" borderId="0" xfId="0" applyNumberFormat="1" applyFont="1"/>
    <xf numFmtId="166" fontId="20" fillId="0" borderId="0" xfId="0" applyNumberFormat="1" applyFont="1" applyAlignment="1">
      <alignment vertical="center"/>
    </xf>
    <xf numFmtId="0" fontId="20" fillId="6" borderId="65" xfId="0" applyFont="1" applyFill="1" applyBorder="1" applyAlignment="1">
      <alignment horizontal="center"/>
    </xf>
    <xf numFmtId="0" fontId="20" fillId="20" borderId="65" xfId="0" applyFont="1" applyFill="1" applyBorder="1" applyAlignment="1">
      <alignment horizontal="center"/>
    </xf>
    <xf numFmtId="0" fontId="20" fillId="8" borderId="62" xfId="0" applyFont="1" applyFill="1" applyBorder="1" applyAlignment="1">
      <alignment horizontal="center" vertical="center"/>
    </xf>
    <xf numFmtId="0" fontId="19" fillId="7" borderId="62" xfId="0" applyNumberFormat="1" applyFont="1" applyFill="1" applyBorder="1" applyAlignment="1">
      <alignment horizontal="center" vertical="center"/>
    </xf>
    <xf numFmtId="0" fontId="20" fillId="7" borderId="62" xfId="0" applyNumberFormat="1" applyFont="1" applyFill="1" applyBorder="1" applyAlignment="1">
      <alignment horizontal="center" vertical="center"/>
    </xf>
    <xf numFmtId="166" fontId="23" fillId="40" borderId="27" xfId="0" applyNumberFormat="1" applyFont="1" applyFill="1" applyBorder="1" applyAlignment="1">
      <alignment horizontal="right" vertical="center"/>
    </xf>
    <xf numFmtId="166" fontId="20" fillId="41" borderId="64" xfId="0" applyNumberFormat="1" applyFont="1" applyFill="1" applyBorder="1" applyAlignment="1">
      <alignment horizontal="right" vertical="center"/>
    </xf>
    <xf numFmtId="166" fontId="20" fillId="27" borderId="64" xfId="0" applyNumberFormat="1" applyFont="1" applyFill="1" applyBorder="1"/>
    <xf numFmtId="166" fontId="15" fillId="27" borderId="64" xfId="0" applyNumberFormat="1" applyFont="1" applyFill="1" applyBorder="1" applyAlignment="1">
      <alignment horizontal="right" vertical="center"/>
    </xf>
    <xf numFmtId="166" fontId="20" fillId="24" borderId="27" xfId="0" applyNumberFormat="1" applyFont="1" applyFill="1" applyBorder="1" applyAlignment="1">
      <alignment horizontal="right" vertical="center"/>
    </xf>
    <xf numFmtId="166" fontId="15" fillId="21" borderId="27" xfId="0" applyNumberFormat="1" applyFont="1" applyFill="1" applyBorder="1"/>
    <xf numFmtId="165" fontId="15" fillId="21" borderId="27" xfId="0" applyNumberFormat="1" applyFont="1" applyFill="1" applyBorder="1"/>
    <xf numFmtId="166" fontId="15" fillId="21" borderId="27" xfId="0" applyNumberFormat="1" applyFont="1" applyFill="1" applyBorder="1" applyAlignment="1">
      <alignment horizontal="right" vertical="center"/>
    </xf>
    <xf numFmtId="166" fontId="15" fillId="27" borderId="64" xfId="0" applyNumberFormat="1" applyFont="1" applyFill="1" applyBorder="1"/>
    <xf numFmtId="169" fontId="0" fillId="0" borderId="0" xfId="0" applyNumberFormat="1"/>
    <xf numFmtId="166" fontId="15" fillId="0" borderId="0" xfId="0" applyNumberFormat="1" applyFont="1"/>
    <xf numFmtId="0" fontId="0" fillId="0" borderId="5" xfId="0" applyBorder="1"/>
    <xf numFmtId="0" fontId="0" fillId="0" borderId="6" xfId="0" applyBorder="1"/>
    <xf numFmtId="0" fontId="0" fillId="0" borderId="7" xfId="0" applyBorder="1"/>
    <xf numFmtId="0" fontId="22" fillId="7" borderId="0" xfId="0" applyFont="1" applyFill="1"/>
    <xf numFmtId="0" fontId="34" fillId="7" borderId="0" xfId="0" applyFont="1" applyFill="1"/>
    <xf numFmtId="0" fontId="34" fillId="7" borderId="12" xfId="0" applyFont="1" applyFill="1" applyBorder="1" applyAlignment="1">
      <alignment horizontal="center"/>
    </xf>
    <xf numFmtId="0" fontId="34" fillId="7" borderId="0" xfId="0" applyFont="1" applyFill="1" applyBorder="1" applyAlignment="1">
      <alignment horizontal="center"/>
    </xf>
    <xf numFmtId="0" fontId="34" fillId="7" borderId="13" xfId="0" applyFont="1" applyFill="1" applyBorder="1" applyAlignment="1">
      <alignment horizontal="center"/>
    </xf>
    <xf numFmtId="14" fontId="22" fillId="7" borderId="0" xfId="0" applyNumberFormat="1" applyFont="1" applyFill="1" applyAlignment="1">
      <alignment horizontal="center"/>
    </xf>
    <xf numFmtId="0" fontId="7" fillId="0" borderId="2" xfId="0" applyFont="1" applyBorder="1"/>
    <xf numFmtId="167" fontId="7" fillId="10" borderId="20" xfId="0" applyNumberFormat="1" applyFont="1" applyFill="1" applyBorder="1" applyAlignment="1">
      <alignment horizontal="center" vertical="center"/>
    </xf>
    <xf numFmtId="167" fontId="7" fillId="10" borderId="4" xfId="0" applyNumberFormat="1" applyFont="1" applyFill="1" applyBorder="1" applyAlignment="1">
      <alignment horizontal="center" vertical="center"/>
    </xf>
    <xf numFmtId="0" fontId="7" fillId="42" borderId="41" xfId="0" applyFont="1" applyFill="1" applyBorder="1" applyAlignment="1">
      <alignment vertical="center"/>
    </xf>
    <xf numFmtId="0" fontId="7" fillId="0" borderId="3" xfId="0" applyFont="1" applyBorder="1"/>
    <xf numFmtId="0" fontId="7" fillId="8" borderId="11" xfId="0" applyFont="1" applyFill="1" applyBorder="1" applyAlignment="1">
      <alignment horizontal="center" vertical="center"/>
    </xf>
    <xf numFmtId="0" fontId="7" fillId="8" borderId="11" xfId="0" applyFont="1" applyFill="1" applyBorder="1" applyAlignment="1">
      <alignment vertical="center"/>
    </xf>
    <xf numFmtId="3" fontId="0" fillId="7" borderId="68" xfId="0" applyNumberFormat="1" applyFill="1" applyBorder="1"/>
    <xf numFmtId="3" fontId="0" fillId="7" borderId="62" xfId="0" applyNumberFormat="1" applyFill="1" applyBorder="1"/>
    <xf numFmtId="3" fontId="0" fillId="7" borderId="57" xfId="0" applyNumberFormat="1" applyFill="1" applyBorder="1"/>
    <xf numFmtId="3" fontId="0" fillId="7" borderId="39" xfId="0" applyNumberFormat="1" applyFill="1" applyBorder="1"/>
    <xf numFmtId="3" fontId="0" fillId="7" borderId="38" xfId="0" applyNumberFormat="1" applyFill="1" applyBorder="1"/>
    <xf numFmtId="3" fontId="0" fillId="7" borderId="21" xfId="0" applyNumberFormat="1" applyFill="1" applyBorder="1"/>
    <xf numFmtId="3" fontId="0" fillId="4" borderId="53" xfId="0" applyNumberFormat="1" applyFill="1" applyBorder="1"/>
    <xf numFmtId="0" fontId="57" fillId="0" borderId="0" xfId="0" applyFont="1" applyAlignment="1">
      <alignment vertical="center"/>
    </xf>
    <xf numFmtId="49" fontId="7" fillId="7" borderId="64" xfId="0" applyNumberFormat="1" applyFont="1" applyFill="1" applyBorder="1"/>
    <xf numFmtId="0" fontId="0" fillId="7" borderId="64" xfId="0" applyFill="1" applyBorder="1" applyAlignment="1">
      <alignment horizontal="center"/>
    </xf>
    <xf numFmtId="3" fontId="0" fillId="7" borderId="36" xfId="0" applyNumberFormat="1" applyFill="1" applyBorder="1"/>
    <xf numFmtId="3" fontId="0" fillId="7" borderId="64" xfId="0" applyNumberFormat="1" applyFill="1" applyBorder="1"/>
    <xf numFmtId="3" fontId="0" fillId="7" borderId="37" xfId="0" applyNumberFormat="1" applyFill="1" applyBorder="1"/>
    <xf numFmtId="3" fontId="0" fillId="7" borderId="66" xfId="0" applyNumberFormat="1" applyFill="1" applyBorder="1"/>
    <xf numFmtId="3" fontId="0" fillId="7" borderId="65" xfId="0" applyNumberFormat="1" applyFill="1" applyBorder="1"/>
    <xf numFmtId="3" fontId="0" fillId="7" borderId="26" xfId="0" applyNumberFormat="1" applyFill="1" applyBorder="1"/>
    <xf numFmtId="3" fontId="0" fillId="43" borderId="22" xfId="0" applyNumberFormat="1" applyFill="1" applyBorder="1"/>
    <xf numFmtId="49" fontId="0" fillId="7" borderId="64" xfId="0" applyNumberFormat="1" applyFill="1" applyBorder="1"/>
    <xf numFmtId="3" fontId="0" fillId="7" borderId="66" xfId="17" applyNumberFormat="1" applyFont="1" applyFill="1" applyBorder="1"/>
    <xf numFmtId="3" fontId="0" fillId="7" borderId="26" xfId="17" applyNumberFormat="1" applyFont="1" applyFill="1" applyBorder="1"/>
    <xf numFmtId="3" fontId="0" fillId="4" borderId="71" xfId="17" applyNumberFormat="1" applyFont="1" applyFill="1" applyBorder="1"/>
    <xf numFmtId="3" fontId="0" fillId="4" borderId="70" xfId="17" applyNumberFormat="1" applyFont="1" applyFill="1" applyBorder="1"/>
    <xf numFmtId="3" fontId="0" fillId="7" borderId="71" xfId="17" applyNumberFormat="1" applyFont="1" applyFill="1" applyBorder="1"/>
    <xf numFmtId="3" fontId="0" fillId="7" borderId="70" xfId="17" applyNumberFormat="1" applyFont="1" applyFill="1" applyBorder="1"/>
    <xf numFmtId="3" fontId="0" fillId="7" borderId="42" xfId="17" applyNumberFormat="1" applyFont="1" applyFill="1" applyBorder="1"/>
    <xf numFmtId="3" fontId="0" fillId="7" borderId="72" xfId="17" applyNumberFormat="1" applyFont="1" applyFill="1" applyBorder="1"/>
    <xf numFmtId="0" fontId="0" fillId="7" borderId="64" xfId="0" applyNumberFormat="1" applyFill="1" applyBorder="1" applyAlignment="1">
      <alignment horizontal="center"/>
    </xf>
    <xf numFmtId="3" fontId="0" fillId="7" borderId="37" xfId="0" applyNumberFormat="1" applyFont="1" applyFill="1" applyBorder="1"/>
    <xf numFmtId="3" fontId="7" fillId="7" borderId="64" xfId="0" applyNumberFormat="1" applyFont="1" applyFill="1" applyBorder="1"/>
    <xf numFmtId="3" fontId="7" fillId="7" borderId="66" xfId="17" applyNumberFormat="1" applyFont="1" applyFill="1" applyBorder="1"/>
    <xf numFmtId="3" fontId="7" fillId="7" borderId="65" xfId="0" applyNumberFormat="1" applyFont="1" applyFill="1" applyBorder="1"/>
    <xf numFmtId="3" fontId="7" fillId="7" borderId="26" xfId="17" applyNumberFormat="1" applyFont="1" applyFill="1" applyBorder="1"/>
    <xf numFmtId="0" fontId="7" fillId="7" borderId="0" xfId="0" applyFont="1" applyFill="1"/>
    <xf numFmtId="3" fontId="7" fillId="7" borderId="58" xfId="17" applyNumberFormat="1" applyFont="1" applyFill="1" applyBorder="1"/>
    <xf numFmtId="167" fontId="7" fillId="10" borderId="11" xfId="0" applyNumberFormat="1" applyFont="1" applyFill="1" applyBorder="1" applyAlignment="1">
      <alignment horizontal="center" vertical="center"/>
    </xf>
    <xf numFmtId="167" fontId="7" fillId="10" borderId="5" xfId="0" applyNumberFormat="1" applyFont="1" applyFill="1" applyBorder="1" applyAlignment="1">
      <alignment horizontal="center" vertical="center"/>
    </xf>
    <xf numFmtId="3" fontId="0" fillId="7" borderId="52" xfId="0" applyNumberFormat="1" applyFill="1" applyBorder="1"/>
    <xf numFmtId="3" fontId="0" fillId="7" borderId="67" xfId="0" applyNumberFormat="1" applyFill="1" applyBorder="1"/>
    <xf numFmtId="3" fontId="7" fillId="7" borderId="67" xfId="0" applyNumberFormat="1" applyFont="1" applyFill="1" applyBorder="1"/>
    <xf numFmtId="167" fontId="7" fillId="10" borderId="6" xfId="0" applyNumberFormat="1" applyFont="1" applyFill="1" applyBorder="1" applyAlignment="1">
      <alignment horizontal="center" vertical="center"/>
    </xf>
    <xf numFmtId="3" fontId="0" fillId="7" borderId="75" xfId="0" applyNumberFormat="1" applyFill="1" applyBorder="1"/>
    <xf numFmtId="3" fontId="7" fillId="7" borderId="23" xfId="0" applyNumberFormat="1" applyFont="1" applyFill="1" applyBorder="1"/>
    <xf numFmtId="3" fontId="7" fillId="7" borderId="24" xfId="0" applyNumberFormat="1" applyFont="1" applyFill="1" applyBorder="1"/>
    <xf numFmtId="3" fontId="7" fillId="7" borderId="69" xfId="0" applyNumberFormat="1" applyFont="1" applyFill="1" applyBorder="1"/>
    <xf numFmtId="0" fontId="0" fillId="7" borderId="62" xfId="0" applyFill="1" applyBorder="1" applyAlignment="1">
      <alignment horizontal="center"/>
    </xf>
    <xf numFmtId="0" fontId="59" fillId="45" borderId="64" xfId="0" applyFont="1" applyFill="1" applyBorder="1" applyAlignment="1">
      <alignment vertical="center"/>
    </xf>
    <xf numFmtId="0" fontId="59" fillId="45" borderId="64" xfId="0" applyFont="1" applyFill="1" applyBorder="1" applyAlignment="1">
      <alignment horizontal="center" vertical="center"/>
    </xf>
    <xf numFmtId="49" fontId="0" fillId="7" borderId="64" xfId="0" applyNumberFormat="1" applyFill="1" applyBorder="1" applyAlignment="1">
      <alignment wrapText="1"/>
    </xf>
    <xf numFmtId="0" fontId="60" fillId="0" borderId="64" xfId="0" applyFont="1" applyBorder="1"/>
    <xf numFmtId="0" fontId="7" fillId="42" borderId="73" xfId="0" applyFont="1" applyFill="1" applyBorder="1" applyAlignment="1">
      <alignment vertical="center"/>
    </xf>
    <xf numFmtId="0" fontId="7" fillId="42" borderId="46" xfId="0" applyFont="1" applyFill="1" applyBorder="1" applyAlignment="1">
      <alignment vertical="center"/>
    </xf>
    <xf numFmtId="0" fontId="7" fillId="42" borderId="73" xfId="0" applyFont="1" applyFill="1" applyBorder="1" applyAlignment="1">
      <alignment horizontal="center" vertical="center"/>
    </xf>
    <xf numFmtId="0" fontId="7" fillId="42" borderId="11" xfId="0" applyFont="1" applyFill="1" applyBorder="1" applyAlignment="1">
      <alignment horizontal="center" vertical="center"/>
    </xf>
    <xf numFmtId="0" fontId="7" fillId="42" borderId="63" xfId="0" applyFont="1" applyFill="1" applyBorder="1" applyAlignment="1">
      <alignment horizontal="center" vertical="center"/>
    </xf>
    <xf numFmtId="49" fontId="0" fillId="7" borderId="62" xfId="0" applyNumberFormat="1" applyFont="1" applyFill="1" applyBorder="1"/>
    <xf numFmtId="0" fontId="61" fillId="47" borderId="2" xfId="0" applyFont="1" applyFill="1" applyBorder="1" applyAlignment="1">
      <alignment horizontal="center"/>
    </xf>
    <xf numFmtId="0" fontId="61" fillId="48" borderId="15" xfId="0" applyFont="1" applyFill="1" applyBorder="1" applyAlignment="1">
      <alignment horizontal="center"/>
    </xf>
    <xf numFmtId="0" fontId="61" fillId="48" borderId="16" xfId="0" applyFont="1" applyFill="1" applyBorder="1" applyAlignment="1">
      <alignment horizontal="center"/>
    </xf>
    <xf numFmtId="0" fontId="62" fillId="7" borderId="38" xfId="0" applyFont="1" applyFill="1" applyBorder="1" applyAlignment="1">
      <alignment horizontal="center"/>
    </xf>
    <xf numFmtId="169" fontId="57" fillId="7" borderId="62" xfId="0" applyNumberFormat="1" applyFont="1" applyFill="1" applyBorder="1" applyAlignment="1">
      <alignment horizontal="center"/>
    </xf>
    <xf numFmtId="169" fontId="57" fillId="7" borderId="64" xfId="0" applyNumberFormat="1" applyFont="1" applyFill="1" applyBorder="1" applyAlignment="1">
      <alignment horizontal="center"/>
    </xf>
    <xf numFmtId="0" fontId="63" fillId="20" borderId="65" xfId="0" applyFont="1" applyFill="1" applyBorder="1" applyAlignment="1">
      <alignment horizontal="center"/>
    </xf>
    <xf numFmtId="169" fontId="63" fillId="20" borderId="64" xfId="0" applyNumberFormat="1" applyFont="1" applyFill="1" applyBorder="1" applyAlignment="1">
      <alignment horizontal="center"/>
    </xf>
    <xf numFmtId="0" fontId="62" fillId="7" borderId="65" xfId="0" applyFont="1" applyFill="1" applyBorder="1" applyAlignment="1">
      <alignment horizontal="center"/>
    </xf>
    <xf numFmtId="0" fontId="57" fillId="34" borderId="65" xfId="0" applyFont="1" applyFill="1" applyBorder="1" applyAlignment="1">
      <alignment horizontal="center"/>
    </xf>
    <xf numFmtId="0" fontId="63" fillId="46" borderId="65" xfId="0" applyFont="1" applyFill="1" applyBorder="1" applyAlignment="1">
      <alignment horizontal="center"/>
    </xf>
    <xf numFmtId="169" fontId="63" fillId="46" borderId="64" xfId="0" applyNumberFormat="1" applyFont="1" applyFill="1" applyBorder="1" applyAlignment="1">
      <alignment horizontal="center"/>
    </xf>
    <xf numFmtId="0" fontId="64" fillId="36" borderId="20" xfId="0" applyFont="1" applyFill="1" applyBorder="1" applyAlignment="1">
      <alignment horizontal="center"/>
    </xf>
    <xf numFmtId="7" fontId="64" fillId="36" borderId="15" xfId="0" applyNumberFormat="1" applyFont="1" applyFill="1" applyBorder="1" applyAlignment="1">
      <alignment horizontal="center"/>
    </xf>
    <xf numFmtId="7" fontId="64" fillId="36" borderId="16" xfId="0" applyNumberFormat="1" applyFont="1" applyFill="1" applyBorder="1" applyAlignment="1">
      <alignment horizontal="center"/>
    </xf>
    <xf numFmtId="7" fontId="0" fillId="0" borderId="0" xfId="0" applyNumberFormat="1"/>
    <xf numFmtId="0" fontId="57" fillId="18" borderId="65" xfId="0" applyFont="1" applyFill="1" applyBorder="1" applyAlignment="1">
      <alignment horizontal="center"/>
    </xf>
    <xf numFmtId="169" fontId="57" fillId="18" borderId="64" xfId="0" applyNumberFormat="1" applyFont="1" applyFill="1" applyBorder="1" applyAlignment="1">
      <alignment horizontal="center"/>
    </xf>
    <xf numFmtId="170" fontId="0" fillId="0" borderId="0" xfId="0" applyNumberFormat="1"/>
    <xf numFmtId="169" fontId="44" fillId="7" borderId="64" xfId="0" applyNumberFormat="1" applyFont="1" applyFill="1" applyBorder="1" applyAlignment="1">
      <alignment vertical="center" wrapText="1"/>
    </xf>
    <xf numFmtId="14" fontId="40" fillId="28" borderId="43" xfId="0" applyNumberFormat="1" applyFont="1" applyFill="1" applyBorder="1" applyAlignment="1" applyProtection="1">
      <alignment horizontal="center" vertical="center" wrapText="1"/>
    </xf>
    <xf numFmtId="169" fontId="46" fillId="30" borderId="64" xfId="0" applyNumberFormat="1" applyFont="1" applyFill="1" applyBorder="1" applyAlignment="1">
      <alignment horizontal="right" vertical="center" wrapText="1"/>
    </xf>
    <xf numFmtId="169" fontId="58" fillId="49" borderId="66" xfId="0" applyNumberFormat="1" applyFont="1" applyFill="1" applyBorder="1" applyAlignment="1"/>
    <xf numFmtId="0" fontId="41" fillId="33" borderId="0" xfId="0" applyFont="1" applyFill="1" applyAlignment="1">
      <alignment horizontal="center" vertical="center"/>
    </xf>
    <xf numFmtId="0" fontId="45" fillId="33" borderId="6" xfId="0" applyFont="1" applyFill="1" applyBorder="1"/>
    <xf numFmtId="0" fontId="45" fillId="33" borderId="0" xfId="0" applyFont="1" applyFill="1" applyBorder="1"/>
    <xf numFmtId="0" fontId="45" fillId="33" borderId="9" xfId="0" applyFont="1" applyFill="1" applyBorder="1"/>
    <xf numFmtId="0" fontId="48" fillId="33" borderId="0" xfId="0" applyFont="1" applyFill="1"/>
    <xf numFmtId="0" fontId="51" fillId="33" borderId="0" xfId="0" applyFont="1" applyFill="1"/>
    <xf numFmtId="0" fontId="45" fillId="33" borderId="0" xfId="0" applyFont="1" applyFill="1"/>
    <xf numFmtId="0" fontId="5" fillId="33" borderId="0" xfId="0" applyFont="1" applyFill="1"/>
    <xf numFmtId="0" fontId="55" fillId="33" borderId="0" xfId="0" applyFont="1" applyFill="1"/>
    <xf numFmtId="169" fontId="44" fillId="7" borderId="64" xfId="0" applyNumberFormat="1" applyFont="1" applyFill="1" applyBorder="1" applyAlignment="1">
      <alignment horizontal="left" vertical="center" wrapText="1"/>
    </xf>
    <xf numFmtId="14" fontId="2" fillId="0" borderId="0" xfId="18" applyNumberFormat="1" applyFont="1"/>
    <xf numFmtId="14" fontId="0" fillId="0" borderId="0" xfId="0" applyNumberFormat="1"/>
    <xf numFmtId="0" fontId="2" fillId="0" borderId="64" xfId="0" applyFont="1" applyFill="1" applyBorder="1" applyAlignment="1">
      <alignment horizontal="center"/>
    </xf>
    <xf numFmtId="164" fontId="2" fillId="0" borderId="64" xfId="1" applyNumberFormat="1" applyFont="1" applyFill="1" applyBorder="1" applyAlignment="1">
      <alignment horizontal="center"/>
    </xf>
    <xf numFmtId="0" fontId="2" fillId="0" borderId="64" xfId="0" applyFont="1" applyFill="1" applyBorder="1" applyAlignment="1">
      <alignment horizontal="center" wrapText="1"/>
    </xf>
    <xf numFmtId="0" fontId="2" fillId="0" borderId="62" xfId="0" applyFont="1" applyFill="1" applyBorder="1" applyAlignment="1">
      <alignment horizontal="center"/>
    </xf>
    <xf numFmtId="44" fontId="2" fillId="0" borderId="64" xfId="1" applyFont="1" applyFill="1" applyBorder="1" applyAlignment="1">
      <alignment horizontal="center"/>
    </xf>
    <xf numFmtId="0" fontId="2" fillId="0" borderId="0" xfId="0" applyFont="1" applyFill="1" applyBorder="1" applyAlignment="1">
      <alignment horizontal="center"/>
    </xf>
    <xf numFmtId="6" fontId="2" fillId="0" borderId="27" xfId="0" applyNumberFormat="1" applyFont="1" applyFill="1" applyBorder="1" applyAlignment="1">
      <alignment horizontal="center"/>
    </xf>
    <xf numFmtId="6" fontId="2" fillId="0" borderId="27" xfId="0" applyNumberFormat="1" applyFont="1" applyFill="1" applyBorder="1" applyAlignment="1">
      <alignment horizontal="right"/>
    </xf>
    <xf numFmtId="164" fontId="2" fillId="0" borderId="27" xfId="0" applyNumberFormat="1" applyFont="1" applyFill="1" applyBorder="1" applyAlignment="1">
      <alignment horizontal="center"/>
    </xf>
    <xf numFmtId="0" fontId="2" fillId="0" borderId="51" xfId="0" applyFont="1" applyFill="1" applyBorder="1" applyAlignment="1">
      <alignment horizontal="center"/>
    </xf>
    <xf numFmtId="6" fontId="0" fillId="0" borderId="0" xfId="0" applyNumberFormat="1"/>
    <xf numFmtId="0" fontId="0" fillId="0" borderId="0" xfId="0" applyFill="1"/>
    <xf numFmtId="0" fontId="59" fillId="0" borderId="45" xfId="0" applyFont="1" applyBorder="1" applyAlignment="1">
      <alignment vertical="center"/>
    </xf>
    <xf numFmtId="0" fontId="59" fillId="0" borderId="11" xfId="0" applyFont="1" applyBorder="1" applyAlignment="1">
      <alignment vertical="center"/>
    </xf>
    <xf numFmtId="0" fontId="59" fillId="51" borderId="82" xfId="0" applyFont="1" applyFill="1" applyBorder="1" applyAlignment="1">
      <alignment vertical="center"/>
    </xf>
    <xf numFmtId="4" fontId="70" fillId="0" borderId="10" xfId="0" applyNumberFormat="1" applyFont="1" applyBorder="1" applyAlignment="1">
      <alignment vertical="center"/>
    </xf>
    <xf numFmtId="44" fontId="70" fillId="0" borderId="10" xfId="1" applyFont="1" applyBorder="1" applyAlignment="1">
      <alignment vertical="center"/>
    </xf>
    <xf numFmtId="0" fontId="59" fillId="0" borderId="0" xfId="0" applyFont="1" applyBorder="1" applyAlignment="1">
      <alignment vertical="center"/>
    </xf>
    <xf numFmtId="44" fontId="70" fillId="0" borderId="0" xfId="1" applyFont="1" applyBorder="1" applyAlignment="1">
      <alignment vertical="center"/>
    </xf>
    <xf numFmtId="0" fontId="71" fillId="7" borderId="0" xfId="0" applyFont="1" applyFill="1" applyBorder="1" applyAlignment="1">
      <alignment vertical="center"/>
    </xf>
    <xf numFmtId="44" fontId="71" fillId="7" borderId="0" xfId="1" applyFont="1" applyFill="1" applyBorder="1" applyAlignment="1">
      <alignment vertical="center"/>
    </xf>
    <xf numFmtId="0" fontId="59" fillId="0" borderId="4" xfId="0" applyFont="1" applyBorder="1" applyAlignment="1">
      <alignment horizontal="center" vertical="center"/>
    </xf>
    <xf numFmtId="44" fontId="59" fillId="50" borderId="10" xfId="1" applyFont="1" applyFill="1" applyBorder="1" applyAlignment="1">
      <alignment vertical="center"/>
    </xf>
    <xf numFmtId="0" fontId="59" fillId="0" borderId="42" xfId="0" applyFont="1" applyFill="1" applyBorder="1" applyAlignment="1">
      <alignment vertical="center"/>
    </xf>
    <xf numFmtId="4" fontId="0" fillId="0" borderId="0" xfId="0" applyNumberFormat="1"/>
    <xf numFmtId="0" fontId="71" fillId="7" borderId="42" xfId="0" applyFont="1" applyFill="1" applyBorder="1" applyAlignment="1">
      <alignment vertical="center"/>
    </xf>
    <xf numFmtId="44" fontId="72" fillId="7" borderId="0" xfId="1" applyFont="1" applyFill="1"/>
    <xf numFmtId="0" fontId="68" fillId="22" borderId="0" xfId="0" applyFont="1" applyFill="1" applyBorder="1" applyAlignment="1">
      <alignment vertical="center"/>
    </xf>
    <xf numFmtId="44" fontId="7" fillId="22" borderId="0" xfId="0" applyNumberFormat="1" applyFont="1" applyFill="1"/>
    <xf numFmtId="44" fontId="7" fillId="0" borderId="0" xfId="0" applyNumberFormat="1" applyFont="1"/>
    <xf numFmtId="9" fontId="46" fillId="22" borderId="6" xfId="0" applyNumberFormat="1" applyFont="1" applyFill="1" applyBorder="1" applyAlignment="1">
      <alignment horizontal="center" vertical="center" wrapText="1"/>
    </xf>
    <xf numFmtId="1" fontId="46" fillId="18" borderId="0" xfId="0" applyNumberFormat="1" applyFont="1" applyFill="1" applyBorder="1" applyAlignment="1">
      <alignment horizontal="center" vertical="center" wrapText="1"/>
    </xf>
    <xf numFmtId="169" fontId="46" fillId="0" borderId="9" xfId="0" applyNumberFormat="1" applyFont="1" applyFill="1" applyBorder="1" applyAlignment="1">
      <alignment horizontal="right" vertical="center" wrapText="1"/>
    </xf>
    <xf numFmtId="169" fontId="49" fillId="0" borderId="81" xfId="0" applyNumberFormat="1" applyFont="1" applyFill="1" applyBorder="1" applyAlignment="1">
      <alignment horizontal="right" vertical="center" wrapText="1"/>
    </xf>
    <xf numFmtId="0" fontId="37" fillId="28" borderId="89" xfId="0" applyFont="1" applyFill="1" applyBorder="1" applyAlignment="1" applyProtection="1">
      <alignment vertical="center" wrapText="1"/>
    </xf>
    <xf numFmtId="169" fontId="45" fillId="0" borderId="85" xfId="0" applyNumberFormat="1" applyFont="1" applyFill="1" applyBorder="1" applyAlignment="1">
      <alignment horizontal="right" vertical="center" wrapText="1"/>
    </xf>
    <xf numFmtId="169" fontId="58" fillId="49" borderId="89" xfId="0" applyNumberFormat="1" applyFont="1" applyFill="1" applyBorder="1" applyAlignment="1"/>
    <xf numFmtId="169" fontId="46" fillId="0" borderId="85" xfId="0" applyNumberFormat="1" applyFont="1" applyFill="1" applyBorder="1" applyAlignment="1">
      <alignment horizontal="right" vertical="center" wrapText="1"/>
    </xf>
    <xf numFmtId="0" fontId="40" fillId="28" borderId="94" xfId="0" applyFont="1" applyFill="1" applyBorder="1" applyAlignment="1" applyProtection="1">
      <alignment horizontal="center" vertical="center" wrapText="1"/>
    </xf>
    <xf numFmtId="169" fontId="52" fillId="0" borderId="3" xfId="0" applyNumberFormat="1" applyFont="1" applyFill="1" applyBorder="1" applyAlignment="1">
      <alignment horizontal="right" vertical="center" wrapText="1"/>
    </xf>
    <xf numFmtId="169" fontId="45" fillId="0" borderId="80" xfId="0" applyNumberFormat="1" applyFont="1" applyFill="1" applyBorder="1" applyAlignment="1">
      <alignment horizontal="right" vertical="center" wrapText="1"/>
    </xf>
    <xf numFmtId="169" fontId="35" fillId="0" borderId="95" xfId="0" applyNumberFormat="1" applyFont="1" applyFill="1" applyBorder="1" applyAlignment="1" applyProtection="1">
      <alignment horizontal="right" vertical="center" wrapText="1"/>
    </xf>
    <xf numFmtId="0" fontId="7" fillId="0" borderId="0" xfId="0" applyFont="1"/>
    <xf numFmtId="169" fontId="44" fillId="7" borderId="87" xfId="0" applyNumberFormat="1" applyFont="1" applyFill="1" applyBorder="1" applyAlignment="1">
      <alignment vertical="center" wrapText="1"/>
    </xf>
    <xf numFmtId="0" fontId="0" fillId="0" borderId="0" xfId="0" applyAlignment="1">
      <alignment vertical="center"/>
    </xf>
    <xf numFmtId="0" fontId="0" fillId="0" borderId="91" xfId="0" applyBorder="1"/>
    <xf numFmtId="0" fontId="0" fillId="0" borderId="87" xfId="0" applyBorder="1"/>
    <xf numFmtId="0" fontId="0" fillId="0" borderId="23" xfId="0" applyBorder="1"/>
    <xf numFmtId="0" fontId="0" fillId="0" borderId="83" xfId="0" applyBorder="1"/>
    <xf numFmtId="169" fontId="47" fillId="29" borderId="87" xfId="0" applyNumberFormat="1" applyFont="1" applyFill="1" applyBorder="1" applyAlignment="1">
      <alignment horizontal="right" vertical="center" wrapText="1"/>
    </xf>
    <xf numFmtId="169" fontId="47" fillId="29" borderId="86" xfId="0" applyNumberFormat="1" applyFont="1" applyFill="1" applyBorder="1" applyAlignment="1">
      <alignment horizontal="right" vertical="center" wrapText="1"/>
    </xf>
    <xf numFmtId="0" fontId="50" fillId="28" borderId="5" xfId="0" applyFont="1" applyFill="1" applyBorder="1" applyAlignment="1" applyProtection="1">
      <alignment horizontal="left" vertical="center" wrapText="1"/>
    </xf>
    <xf numFmtId="0" fontId="44" fillId="7" borderId="87" xfId="0" applyNumberFormat="1" applyFont="1" applyFill="1" applyBorder="1" applyAlignment="1">
      <alignment horizontal="left" vertical="center" wrapText="1"/>
    </xf>
    <xf numFmtId="0" fontId="38" fillId="33" borderId="0" xfId="0" applyFont="1" applyFill="1" applyBorder="1" applyAlignment="1">
      <alignment horizontal="center"/>
    </xf>
    <xf numFmtId="0" fontId="7" fillId="0" borderId="0" xfId="0" applyFont="1" applyAlignment="1">
      <alignment horizontal="center" vertical="center"/>
    </xf>
    <xf numFmtId="169" fontId="44" fillId="7" borderId="87" xfId="0" applyNumberFormat="1" applyFont="1" applyFill="1" applyBorder="1" applyAlignment="1">
      <alignment horizontal="left" vertical="center" wrapText="1"/>
    </xf>
    <xf numFmtId="0" fontId="44" fillId="7" borderId="87" xfId="0" applyNumberFormat="1" applyFont="1" applyFill="1" applyBorder="1" applyAlignment="1">
      <alignment horizontal="center" vertical="center" wrapText="1"/>
    </xf>
    <xf numFmtId="0" fontId="0" fillId="52" borderId="84" xfId="0" applyFill="1" applyBorder="1"/>
    <xf numFmtId="0" fontId="0" fillId="53" borderId="84" xfId="0" applyFill="1" applyBorder="1"/>
    <xf numFmtId="0" fontId="7" fillId="5" borderId="87" xfId="0" applyFont="1" applyFill="1" applyBorder="1" applyAlignment="1">
      <alignment horizontal="center" vertical="center"/>
    </xf>
    <xf numFmtId="0" fontId="58" fillId="47" borderId="87" xfId="0" applyFont="1" applyFill="1" applyBorder="1" applyAlignment="1">
      <alignment horizontal="center"/>
    </xf>
    <xf numFmtId="7" fontId="0" fillId="20" borderId="87" xfId="0" applyNumberFormat="1" applyFill="1" applyBorder="1" applyAlignment="1">
      <alignment horizontal="center"/>
    </xf>
    <xf numFmtId="0" fontId="7" fillId="10" borderId="88" xfId="0" applyFont="1" applyFill="1" applyBorder="1" applyAlignment="1">
      <alignment vertical="center"/>
    </xf>
    <xf numFmtId="0" fontId="7" fillId="10" borderId="89" xfId="0" applyFont="1" applyFill="1" applyBorder="1" applyAlignment="1">
      <alignment vertical="center"/>
    </xf>
    <xf numFmtId="170" fontId="0" fillId="22" borderId="87" xfId="1" applyNumberFormat="1" applyFont="1" applyFill="1" applyBorder="1" applyAlignment="1" applyProtection="1">
      <alignment horizontal="center" vertical="center"/>
    </xf>
    <xf numFmtId="3" fontId="0" fillId="22" borderId="87" xfId="0" applyNumberFormat="1" applyFill="1" applyBorder="1" applyAlignment="1">
      <alignment horizontal="center" vertical="center"/>
    </xf>
    <xf numFmtId="170" fontId="0" fillId="0" borderId="0" xfId="1" applyNumberFormat="1" applyFont="1" applyFill="1" applyBorder="1" applyAlignment="1" applyProtection="1">
      <alignment horizontal="center" vertical="center"/>
    </xf>
    <xf numFmtId="0" fontId="7" fillId="3" borderId="88" xfId="0" applyFont="1" applyFill="1" applyBorder="1"/>
    <xf numFmtId="0" fontId="7" fillId="3" borderId="85" xfId="0" applyFont="1" applyFill="1" applyBorder="1"/>
    <xf numFmtId="0" fontId="7" fillId="3" borderId="89" xfId="0" applyFont="1" applyFill="1" applyBorder="1"/>
    <xf numFmtId="0" fontId="34" fillId="54" borderId="87" xfId="0" applyFont="1" applyFill="1" applyBorder="1" applyAlignment="1">
      <alignment horizontal="center" vertical="center"/>
    </xf>
    <xf numFmtId="172" fontId="34" fillId="54" borderId="87" xfId="0" applyNumberFormat="1" applyFont="1" applyFill="1" applyBorder="1" applyAlignment="1">
      <alignment horizontal="center" vertical="center"/>
    </xf>
    <xf numFmtId="0" fontId="0" fillId="0" borderId="0" xfId="0" applyAlignment="1">
      <alignment horizontal="center" vertical="center"/>
    </xf>
    <xf numFmtId="0" fontId="34" fillId="0" borderId="0" xfId="0" applyFont="1" applyAlignment="1">
      <alignment horizontal="center" vertical="center"/>
    </xf>
    <xf numFmtId="172" fontId="0" fillId="55" borderId="84" xfId="0" applyNumberFormat="1" applyFill="1" applyBorder="1" applyAlignment="1">
      <alignment horizontal="center" vertical="center"/>
    </xf>
    <xf numFmtId="37" fontId="0" fillId="55" borderId="30" xfId="0" applyNumberFormat="1" applyFill="1" applyBorder="1" applyAlignment="1">
      <alignment horizontal="center" vertical="center"/>
    </xf>
    <xf numFmtId="0" fontId="0" fillId="22" borderId="30" xfId="0" applyFill="1" applyBorder="1" applyAlignment="1">
      <alignment horizontal="center" vertical="center"/>
    </xf>
    <xf numFmtId="0" fontId="0" fillId="55" borderId="80" xfId="0" applyFill="1" applyBorder="1" applyAlignment="1">
      <alignment horizontal="center" vertical="center"/>
    </xf>
    <xf numFmtId="172" fontId="0" fillId="0" borderId="0" xfId="0" applyNumberFormat="1" applyAlignment="1">
      <alignment horizontal="center" vertical="center"/>
    </xf>
    <xf numFmtId="7" fontId="0" fillId="56" borderId="87" xfId="0" applyNumberFormat="1" applyFill="1" applyBorder="1" applyAlignment="1">
      <alignment horizontal="center" vertical="center"/>
    </xf>
    <xf numFmtId="0" fontId="0" fillId="55" borderId="51" xfId="0" applyFill="1" applyBorder="1" applyAlignment="1">
      <alignment horizontal="center" vertical="center"/>
    </xf>
    <xf numFmtId="7" fontId="0" fillId="0" borderId="0" xfId="0" applyNumberFormat="1" applyAlignment="1">
      <alignment horizontal="center" vertical="center"/>
    </xf>
    <xf numFmtId="0" fontId="0" fillId="57" borderId="80" xfId="0" applyFill="1" applyBorder="1" applyAlignment="1">
      <alignment horizontal="center" vertical="center"/>
    </xf>
    <xf numFmtId="172" fontId="0" fillId="57" borderId="84" xfId="0" applyNumberFormat="1" applyFill="1" applyBorder="1" applyAlignment="1">
      <alignment horizontal="center" vertical="center"/>
    </xf>
    <xf numFmtId="37" fontId="0" fillId="57" borderId="30" xfId="0" applyNumberFormat="1" applyFill="1" applyBorder="1" applyAlignment="1">
      <alignment horizontal="center" vertical="center"/>
    </xf>
    <xf numFmtId="0" fontId="0" fillId="53" borderId="30" xfId="0" applyFill="1" applyBorder="1" applyAlignment="1">
      <alignment horizontal="center" vertical="center"/>
    </xf>
    <xf numFmtId="7" fontId="0" fillId="53" borderId="87" xfId="0" applyNumberFormat="1" applyFill="1" applyBorder="1" applyAlignment="1">
      <alignment horizontal="center" vertical="center"/>
    </xf>
    <xf numFmtId="0" fontId="0" fillId="57" borderId="51" xfId="0" applyFill="1" applyBorder="1" applyAlignment="1">
      <alignment horizontal="center" vertical="center"/>
    </xf>
    <xf numFmtId="0" fontId="0" fillId="56" borderId="30" xfId="0" applyFill="1" applyBorder="1" applyAlignment="1">
      <alignment horizontal="center" vertical="center"/>
    </xf>
    <xf numFmtId="0" fontId="0" fillId="55" borderId="86" xfId="0" applyFill="1" applyBorder="1" applyAlignment="1">
      <alignment horizontal="center" vertical="center"/>
    </xf>
    <xf numFmtId="49" fontId="7" fillId="54" borderId="87" xfId="0" applyNumberFormat="1" applyFont="1" applyFill="1" applyBorder="1" applyAlignment="1">
      <alignment horizontal="center" vertical="center"/>
    </xf>
    <xf numFmtId="170" fontId="7" fillId="54" borderId="87" xfId="0" applyNumberFormat="1" applyFont="1" applyFill="1" applyBorder="1" applyAlignment="1">
      <alignment horizontal="center" vertical="center"/>
    </xf>
    <xf numFmtId="0" fontId="7" fillId="54" borderId="87" xfId="0" applyFont="1" applyFill="1" applyBorder="1" applyAlignment="1">
      <alignment horizontal="center" vertical="center"/>
    </xf>
    <xf numFmtId="2" fontId="7" fillId="54" borderId="87" xfId="0" applyNumberFormat="1" applyFont="1" applyFill="1" applyBorder="1" applyAlignment="1">
      <alignment horizontal="center" vertical="center"/>
    </xf>
    <xf numFmtId="173" fontId="7" fillId="54" borderId="87" xfId="0" applyNumberFormat="1" applyFont="1" applyFill="1" applyBorder="1" applyAlignment="1">
      <alignment horizontal="center" vertical="center"/>
    </xf>
    <xf numFmtId="0" fontId="7" fillId="54" borderId="86" xfId="0" applyFont="1" applyFill="1" applyBorder="1" applyAlignment="1">
      <alignment horizontal="center" vertical="center"/>
    </xf>
    <xf numFmtId="2" fontId="7" fillId="0" borderId="0" xfId="0" applyNumberFormat="1" applyFont="1" applyAlignment="1">
      <alignment horizontal="center" vertical="center"/>
    </xf>
    <xf numFmtId="49" fontId="22" fillId="0" borderId="0" xfId="0" applyNumberFormat="1" applyFont="1" applyAlignment="1">
      <alignment horizontal="center" vertical="center"/>
    </xf>
    <xf numFmtId="0" fontId="22" fillId="0" borderId="0" xfId="0" applyFont="1" applyAlignment="1">
      <alignment horizontal="center" vertical="center"/>
    </xf>
    <xf numFmtId="172" fontId="22" fillId="0" borderId="0" xfId="0" applyNumberFormat="1" applyFont="1" applyAlignment="1">
      <alignment horizontal="center" vertical="center"/>
    </xf>
    <xf numFmtId="49" fontId="7" fillId="36" borderId="87" xfId="0" applyNumberFormat="1" applyFont="1" applyFill="1" applyBorder="1" applyAlignment="1">
      <alignment horizontal="center" vertical="center"/>
    </xf>
    <xf numFmtId="0" fontId="7" fillId="36" borderId="87" xfId="0" applyFont="1" applyFill="1" applyBorder="1" applyAlignment="1">
      <alignment horizontal="center" vertical="center"/>
    </xf>
    <xf numFmtId="172" fontId="7" fillId="36" borderId="87" xfId="0" applyNumberFormat="1" applyFont="1" applyFill="1" applyBorder="1" applyAlignment="1">
      <alignment horizontal="center" vertical="center"/>
    </xf>
    <xf numFmtId="174" fontId="7" fillId="36" borderId="87" xfId="0" applyNumberFormat="1" applyFont="1" applyFill="1" applyBorder="1" applyAlignment="1">
      <alignment horizontal="center" vertical="center"/>
    </xf>
    <xf numFmtId="175" fontId="7" fillId="0" borderId="0" xfId="0" applyNumberFormat="1" applyFont="1" applyAlignment="1">
      <alignment horizontal="center" vertical="center"/>
    </xf>
    <xf numFmtId="0" fontId="7" fillId="3" borderId="87" xfId="0" applyFont="1" applyFill="1" applyBorder="1" applyAlignment="1">
      <alignment horizontal="center" vertical="center" wrapText="1"/>
    </xf>
    <xf numFmtId="173" fontId="0" fillId="22" borderId="87" xfId="1" applyNumberFormat="1" applyFont="1" applyFill="1" applyBorder="1" applyAlignment="1" applyProtection="1">
      <alignment horizontal="center"/>
    </xf>
    <xf numFmtId="44" fontId="0" fillId="0" borderId="0" xfId="1" applyFont="1" applyFill="1" applyBorder="1" applyProtection="1"/>
    <xf numFmtId="0" fontId="7" fillId="48" borderId="88" xfId="0" applyFont="1" applyFill="1" applyBorder="1" applyAlignment="1">
      <alignment vertical="center"/>
    </xf>
    <xf numFmtId="0" fontId="7" fillId="48" borderId="85" xfId="0" applyFont="1" applyFill="1" applyBorder="1" applyAlignment="1">
      <alignment vertical="center"/>
    </xf>
    <xf numFmtId="0" fontId="7" fillId="48" borderId="89" xfId="0" applyFont="1" applyFill="1" applyBorder="1" applyAlignment="1">
      <alignment vertical="center"/>
    </xf>
    <xf numFmtId="0" fontId="0" fillId="48" borderId="85" xfId="0" applyFill="1" applyBorder="1" applyAlignment="1">
      <alignment vertical="center"/>
    </xf>
    <xf numFmtId="0" fontId="0" fillId="48" borderId="89" xfId="0" applyFill="1" applyBorder="1" applyAlignment="1">
      <alignment vertical="center"/>
    </xf>
    <xf numFmtId="0" fontId="34" fillId="47" borderId="84" xfId="0" applyFont="1" applyFill="1" applyBorder="1"/>
    <xf numFmtId="0" fontId="34" fillId="47" borderId="84" xfId="0" applyFont="1" applyFill="1" applyBorder="1" applyAlignment="1">
      <alignment horizontal="center" vertical="center"/>
    </xf>
    <xf numFmtId="0" fontId="34" fillId="47" borderId="30" xfId="0" applyFont="1" applyFill="1" applyBorder="1" applyAlignment="1">
      <alignment horizontal="center" vertical="center"/>
    </xf>
    <xf numFmtId="0" fontId="34" fillId="0" borderId="87" xfId="0" applyFont="1" applyBorder="1"/>
    <xf numFmtId="0" fontId="34" fillId="0" borderId="87" xfId="0" applyFont="1" applyBorder="1" applyAlignment="1">
      <alignment horizontal="center" vertical="center"/>
    </xf>
    <xf numFmtId="0" fontId="34" fillId="0" borderId="88" xfId="0" applyFont="1" applyBorder="1" applyAlignment="1">
      <alignment horizontal="center" vertical="center"/>
    </xf>
    <xf numFmtId="0" fontId="34" fillId="0" borderId="89" xfId="0" applyFont="1" applyBorder="1"/>
    <xf numFmtId="0" fontId="0" fillId="13" borderId="84" xfId="0" applyFill="1" applyBorder="1"/>
    <xf numFmtId="0" fontId="0" fillId="13" borderId="84" xfId="0" applyFill="1" applyBorder="1" applyAlignment="1">
      <alignment horizontal="center" vertical="center"/>
    </xf>
    <xf numFmtId="170" fontId="0" fillId="13" borderId="84" xfId="0" applyNumberFormat="1" applyFill="1" applyBorder="1" applyAlignment="1">
      <alignment horizontal="center"/>
    </xf>
    <xf numFmtId="170" fontId="0" fillId="13" borderId="30" xfId="0" applyNumberFormat="1" applyFill="1" applyBorder="1" applyAlignment="1">
      <alignment horizontal="center"/>
    </xf>
    <xf numFmtId="0" fontId="0" fillId="0" borderId="89" xfId="0" applyBorder="1" applyProtection="1">
      <protection locked="0"/>
    </xf>
    <xf numFmtId="0" fontId="0" fillId="0" borderId="87" xfId="0" applyBorder="1" applyProtection="1">
      <protection locked="0"/>
    </xf>
    <xf numFmtId="0" fontId="0" fillId="0" borderId="87" xfId="0" applyBorder="1" applyAlignment="1" applyProtection="1">
      <alignment horizontal="center" vertical="center"/>
      <protection locked="0"/>
    </xf>
    <xf numFmtId="170" fontId="0" fillId="0" borderId="0" xfId="0" applyNumberFormat="1" applyProtection="1">
      <protection locked="0"/>
    </xf>
    <xf numFmtId="0" fontId="0" fillId="0" borderId="84" xfId="0" applyBorder="1"/>
    <xf numFmtId="0" fontId="0" fillId="0" borderId="84" xfId="0" applyBorder="1" applyAlignment="1">
      <alignment horizontal="center" vertical="center"/>
    </xf>
    <xf numFmtId="170" fontId="0" fillId="0" borderId="84" xfId="0" applyNumberFormat="1" applyBorder="1" applyAlignment="1">
      <alignment horizontal="center"/>
    </xf>
    <xf numFmtId="170" fontId="0" fillId="0" borderId="30" xfId="0" applyNumberFormat="1" applyBorder="1" applyAlignment="1">
      <alignment horizontal="center"/>
    </xf>
    <xf numFmtId="0" fontId="0" fillId="0" borderId="81" xfId="0" applyBorder="1" applyProtection="1">
      <protection locked="0"/>
    </xf>
    <xf numFmtId="0" fontId="0" fillId="0" borderId="30" xfId="0" applyBorder="1" applyProtection="1">
      <protection locked="0"/>
    </xf>
    <xf numFmtId="0" fontId="0" fillId="0" borderId="0" xfId="0" applyProtection="1">
      <protection locked="0"/>
    </xf>
    <xf numFmtId="170" fontId="0" fillId="13" borderId="84" xfId="0" applyNumberFormat="1" applyFill="1" applyBorder="1"/>
    <xf numFmtId="170" fontId="0" fillId="0" borderId="87" xfId="0" applyNumberFormat="1" applyBorder="1" applyProtection="1">
      <protection locked="0"/>
    </xf>
    <xf numFmtId="170" fontId="0" fillId="0" borderId="84" xfId="0" applyNumberFormat="1" applyBorder="1" applyAlignment="1">
      <alignment horizontal="center" vertical="center"/>
    </xf>
    <xf numFmtId="0" fontId="0" fillId="0" borderId="30" xfId="0" applyBorder="1" applyAlignment="1" applyProtection="1">
      <alignment horizontal="center" vertical="center"/>
      <protection locked="0"/>
    </xf>
    <xf numFmtId="170" fontId="0" fillId="0" borderId="87" xfId="0" applyNumberFormat="1" applyBorder="1" applyAlignment="1" applyProtection="1">
      <alignment horizontal="center" vertical="center"/>
      <protection locked="0"/>
    </xf>
    <xf numFmtId="0" fontId="0" fillId="4" borderId="84" xfId="0" applyFill="1" applyBorder="1"/>
    <xf numFmtId="0" fontId="0" fillId="4" borderId="84" xfId="0" applyFill="1" applyBorder="1" applyAlignment="1">
      <alignment horizontal="center" vertical="center"/>
    </xf>
    <xf numFmtId="170" fontId="0" fillId="4" borderId="84" xfId="0" applyNumberFormat="1" applyFill="1" applyBorder="1" applyAlignment="1">
      <alignment horizontal="center" vertical="center"/>
    </xf>
    <xf numFmtId="170" fontId="0" fillId="4" borderId="84" xfId="0" applyNumberFormat="1" applyFill="1" applyBorder="1" applyAlignment="1">
      <alignment horizontal="center"/>
    </xf>
    <xf numFmtId="0" fontId="0" fillId="4" borderId="81" xfId="0" applyFill="1" applyBorder="1" applyProtection="1">
      <protection locked="0"/>
    </xf>
    <xf numFmtId="0" fontId="0" fillId="4" borderId="87" xfId="0" applyFill="1" applyBorder="1" applyProtection="1">
      <protection locked="0"/>
    </xf>
    <xf numFmtId="0" fontId="0" fillId="4" borderId="30" xfId="0" applyFill="1" applyBorder="1" applyAlignment="1" applyProtection="1">
      <alignment horizontal="center" vertical="center"/>
      <protection locked="0"/>
    </xf>
    <xf numFmtId="170" fontId="0" fillId="4" borderId="87" xfId="0" applyNumberFormat="1" applyFill="1" applyBorder="1" applyAlignment="1" applyProtection="1">
      <alignment horizontal="center" vertical="center"/>
      <protection locked="0"/>
    </xf>
    <xf numFmtId="0" fontId="0" fillId="0" borderId="88" xfId="0" applyBorder="1"/>
    <xf numFmtId="0" fontId="0" fillId="0" borderId="88" xfId="0" applyBorder="1" applyAlignment="1">
      <alignment horizontal="center" vertical="center"/>
    </xf>
    <xf numFmtId="170" fontId="0" fillId="0" borderId="88" xfId="0" applyNumberFormat="1" applyBorder="1" applyAlignment="1">
      <alignment horizontal="center" vertical="center"/>
    </xf>
    <xf numFmtId="170" fontId="0" fillId="0" borderId="88" xfId="0" applyNumberFormat="1" applyBorder="1" applyAlignment="1">
      <alignment horizontal="center"/>
    </xf>
    <xf numFmtId="170" fontId="0" fillId="0" borderId="87" xfId="0" applyNumberFormat="1" applyBorder="1" applyAlignment="1">
      <alignment horizontal="center"/>
    </xf>
    <xf numFmtId="0" fontId="7" fillId="3" borderId="87" xfId="0" applyFont="1" applyFill="1" applyBorder="1"/>
    <xf numFmtId="0" fontId="7" fillId="3" borderId="87" xfId="0" applyFont="1" applyFill="1" applyBorder="1" applyProtection="1">
      <protection locked="0"/>
    </xf>
    <xf numFmtId="0" fontId="7" fillId="3" borderId="87" xfId="0" applyFont="1" applyFill="1" applyBorder="1" applyAlignment="1" applyProtection="1">
      <alignment horizontal="center" vertical="center"/>
      <protection locked="0"/>
    </xf>
    <xf numFmtId="170" fontId="7" fillId="3" borderId="87" xfId="0" applyNumberFormat="1" applyFont="1" applyFill="1" applyBorder="1" applyAlignment="1">
      <alignment horizontal="center"/>
    </xf>
    <xf numFmtId="0" fontId="7" fillId="3" borderId="81" xfId="0" applyFont="1" applyFill="1" applyBorder="1" applyProtection="1">
      <protection locked="0"/>
    </xf>
    <xf numFmtId="0" fontId="7" fillId="3" borderId="30" xfId="0" applyFont="1" applyFill="1" applyBorder="1" applyProtection="1">
      <protection locked="0"/>
    </xf>
    <xf numFmtId="0" fontId="7" fillId="3" borderId="30" xfId="0" applyFont="1" applyFill="1" applyBorder="1" applyAlignment="1" applyProtection="1">
      <alignment horizontal="center" vertical="center"/>
      <protection locked="0"/>
    </xf>
    <xf numFmtId="170" fontId="7" fillId="3" borderId="30" xfId="0" applyNumberFormat="1" applyFont="1" applyFill="1" applyBorder="1" applyAlignment="1">
      <alignment horizontal="center"/>
    </xf>
    <xf numFmtId="170" fontId="7" fillId="0" borderId="0" xfId="0" applyNumberFormat="1" applyFont="1" applyProtection="1">
      <protection locked="0"/>
    </xf>
    <xf numFmtId="170" fontId="7" fillId="3" borderId="84" xfId="0" applyNumberFormat="1" applyFont="1" applyFill="1" applyBorder="1" applyAlignment="1">
      <alignment horizontal="center"/>
    </xf>
    <xf numFmtId="173" fontId="0" fillId="22" borderId="87" xfId="1" applyNumberFormat="1" applyFont="1" applyFill="1" applyBorder="1" applyProtection="1"/>
    <xf numFmtId="0" fontId="34" fillId="0" borderId="39" xfId="0" applyFont="1" applyBorder="1"/>
    <xf numFmtId="0" fontId="34" fillId="0" borderId="86" xfId="0" applyFont="1" applyBorder="1" applyAlignment="1">
      <alignment horizontal="center" vertical="center"/>
    </xf>
    <xf numFmtId="0" fontId="34" fillId="0" borderId="38" xfId="0" applyFont="1" applyBorder="1" applyAlignment="1">
      <alignment horizontal="center" vertical="center"/>
    </xf>
    <xf numFmtId="0" fontId="0" fillId="52" borderId="84" xfId="0" applyFill="1" applyBorder="1" applyAlignment="1">
      <alignment horizontal="center" vertical="center"/>
    </xf>
    <xf numFmtId="170" fontId="0" fillId="52" borderId="84" xfId="0" applyNumberFormat="1" applyFill="1" applyBorder="1" applyAlignment="1">
      <alignment horizontal="center"/>
    </xf>
    <xf numFmtId="170" fontId="0" fillId="52" borderId="87" xfId="0" applyNumberFormat="1" applyFill="1" applyBorder="1" applyAlignment="1">
      <alignment horizontal="center"/>
    </xf>
    <xf numFmtId="0" fontId="0" fillId="0" borderId="87" xfId="0" applyBorder="1" applyAlignment="1">
      <alignment horizontal="center" vertical="center"/>
    </xf>
    <xf numFmtId="0" fontId="0" fillId="53" borderId="84" xfId="0" applyFill="1" applyBorder="1" applyAlignment="1">
      <alignment horizontal="center" vertical="center"/>
    </xf>
    <xf numFmtId="0" fontId="0" fillId="58" borderId="84" xfId="0" applyFill="1" applyBorder="1" applyAlignment="1">
      <alignment horizontal="center" vertical="center"/>
    </xf>
    <xf numFmtId="170" fontId="0" fillId="53" borderId="84" xfId="0" applyNumberFormat="1" applyFill="1" applyBorder="1" applyAlignment="1">
      <alignment horizontal="center"/>
    </xf>
    <xf numFmtId="170" fontId="0" fillId="53" borderId="87" xfId="0" applyNumberFormat="1" applyFill="1" applyBorder="1" applyAlignment="1">
      <alignment horizontal="center"/>
    </xf>
    <xf numFmtId="0" fontId="0" fillId="53" borderId="88" xfId="0" applyFill="1" applyBorder="1"/>
    <xf numFmtId="0" fontId="0" fillId="53" borderId="88" xfId="0" applyFill="1" applyBorder="1" applyAlignment="1">
      <alignment horizontal="center" vertical="center"/>
    </xf>
    <xf numFmtId="170" fontId="0" fillId="53" borderId="88" xfId="0" applyNumberFormat="1" applyFill="1" applyBorder="1" applyAlignment="1">
      <alignment horizontal="center"/>
    </xf>
    <xf numFmtId="0" fontId="0" fillId="52" borderId="96" xfId="0" applyFill="1" applyBorder="1"/>
    <xf numFmtId="0" fontId="0" fillId="52" borderId="96" xfId="0" applyFill="1" applyBorder="1" applyAlignment="1">
      <alignment horizontal="center"/>
    </xf>
    <xf numFmtId="173" fontId="0" fillId="52" borderId="96" xfId="0" applyNumberFormat="1" applyFill="1" applyBorder="1" applyAlignment="1">
      <alignment horizontal="center"/>
    </xf>
    <xf numFmtId="173" fontId="0" fillId="52" borderId="87" xfId="0" applyNumberFormat="1" applyFill="1" applyBorder="1" applyAlignment="1">
      <alignment horizontal="center"/>
    </xf>
    <xf numFmtId="0" fontId="0" fillId="52" borderId="96" xfId="0" applyFill="1" applyBorder="1" applyAlignment="1">
      <alignment horizontal="center" vertical="center"/>
    </xf>
    <xf numFmtId="0" fontId="0" fillId="53" borderId="87" xfId="0" applyFill="1" applyBorder="1"/>
    <xf numFmtId="0" fontId="0" fillId="53" borderId="87" xfId="0" applyFill="1" applyBorder="1" applyAlignment="1">
      <alignment horizontal="center"/>
    </xf>
    <xf numFmtId="173" fontId="0" fillId="53" borderId="87" xfId="0" applyNumberFormat="1" applyFill="1" applyBorder="1" applyAlignment="1">
      <alignment horizontal="center"/>
    </xf>
    <xf numFmtId="0" fontId="0" fillId="53" borderId="87" xfId="0" applyFill="1" applyBorder="1" applyAlignment="1">
      <alignment horizontal="center" vertical="center"/>
    </xf>
    <xf numFmtId="0" fontId="7" fillId="48" borderId="87" xfId="0" applyFont="1" applyFill="1" applyBorder="1"/>
    <xf numFmtId="170" fontId="7" fillId="48" borderId="87" xfId="0" applyNumberFormat="1" applyFont="1" applyFill="1" applyBorder="1" applyAlignment="1">
      <alignment horizontal="center"/>
    </xf>
    <xf numFmtId="164" fontId="34" fillId="10" borderId="87" xfId="1" applyNumberFormat="1" applyFont="1" applyFill="1" applyBorder="1" applyAlignment="1">
      <alignment horizontal="center" vertical="top" wrapText="1"/>
    </xf>
    <xf numFmtId="173" fontId="22" fillId="59" borderId="87" xfId="1" applyNumberFormat="1" applyFont="1" applyFill="1" applyBorder="1" applyAlignment="1" applyProtection="1">
      <alignment horizontal="center" vertical="top" wrapText="1"/>
      <protection locked="0"/>
    </xf>
    <xf numFmtId="173" fontId="22" fillId="59" borderId="87" xfId="1" applyNumberFormat="1" applyFont="1" applyFill="1" applyBorder="1" applyAlignment="1">
      <alignment horizontal="center" vertical="top" wrapText="1"/>
    </xf>
    <xf numFmtId="176" fontId="22" fillId="59" borderId="87" xfId="1" applyNumberFormat="1" applyFont="1" applyFill="1" applyBorder="1" applyAlignment="1" applyProtection="1">
      <alignment horizontal="center" vertical="top" wrapText="1"/>
      <protection locked="0"/>
    </xf>
    <xf numFmtId="176" fontId="22" fillId="59" borderId="87" xfId="1" applyNumberFormat="1" applyFont="1" applyFill="1" applyBorder="1" applyAlignment="1">
      <alignment horizontal="center" vertical="top" wrapText="1"/>
    </xf>
    <xf numFmtId="173" fontId="22" fillId="0" borderId="87" xfId="1" applyNumberFormat="1" applyFont="1" applyBorder="1" applyAlignment="1" applyProtection="1">
      <alignment horizontal="center" vertical="top" wrapText="1"/>
      <protection locked="0"/>
    </xf>
    <xf numFmtId="173" fontId="22" fillId="0" borderId="87" xfId="1" applyNumberFormat="1" applyFont="1" applyBorder="1" applyAlignment="1">
      <alignment horizontal="center" vertical="top" wrapText="1"/>
    </xf>
    <xf numFmtId="176" fontId="22" fillId="0" borderId="87" xfId="1" applyNumberFormat="1" applyFont="1" applyBorder="1" applyAlignment="1" applyProtection="1">
      <alignment horizontal="center" vertical="top" wrapText="1"/>
      <protection locked="0"/>
    </xf>
    <xf numFmtId="176" fontId="22" fillId="0" borderId="87" xfId="1" applyNumberFormat="1" applyFont="1" applyBorder="1" applyAlignment="1">
      <alignment horizontal="center" vertical="top" wrapText="1"/>
    </xf>
    <xf numFmtId="173" fontId="34" fillId="60" borderId="87" xfId="1" applyNumberFormat="1" applyFont="1" applyFill="1" applyBorder="1" applyAlignment="1">
      <alignment horizontal="center" wrapText="1"/>
    </xf>
    <xf numFmtId="176" fontId="34" fillId="60" borderId="30" xfId="1" applyNumberFormat="1" applyFont="1" applyFill="1" applyBorder="1" applyAlignment="1">
      <alignment horizontal="center" wrapText="1"/>
    </xf>
    <xf numFmtId="176" fontId="34" fillId="60" borderId="87" xfId="1" applyNumberFormat="1" applyFont="1" applyFill="1" applyBorder="1" applyAlignment="1">
      <alignment horizontal="center" wrapText="1"/>
    </xf>
    <xf numFmtId="0" fontId="34" fillId="0" borderId="0" xfId="0" applyFont="1" applyAlignment="1">
      <alignment horizontal="right" vertical="top" wrapText="1"/>
    </xf>
    <xf numFmtId="164" fontId="22" fillId="0" borderId="0" xfId="1" applyNumberFormat="1" applyFont="1" applyBorder="1" applyAlignment="1">
      <alignment horizontal="center" vertical="top" wrapText="1"/>
    </xf>
    <xf numFmtId="164" fontId="22" fillId="0" borderId="80" xfId="1" applyNumberFormat="1" applyFont="1" applyBorder="1" applyAlignment="1">
      <alignment horizontal="center" vertical="top" wrapText="1"/>
    </xf>
    <xf numFmtId="42" fontId="75" fillId="0" borderId="0" xfId="0" applyNumberFormat="1" applyFont="1" applyAlignment="1">
      <alignment horizontal="center" vertical="top" wrapText="1"/>
    </xf>
    <xf numFmtId="0" fontId="0" fillId="0" borderId="80" xfId="0" applyBorder="1"/>
    <xf numFmtId="0" fontId="34" fillId="0" borderId="80" xfId="0" applyFont="1" applyBorder="1" applyAlignment="1">
      <alignment horizontal="right" vertical="top" wrapText="1"/>
    </xf>
    <xf numFmtId="0" fontId="22" fillId="0" borderId="0" xfId="0" applyFont="1" applyAlignment="1">
      <alignment vertical="top" wrapText="1"/>
    </xf>
    <xf numFmtId="164" fontId="22" fillId="0" borderId="0" xfId="1" applyNumberFormat="1" applyFont="1" applyAlignment="1">
      <alignment vertical="top" wrapText="1"/>
    </xf>
    <xf numFmtId="169" fontId="49" fillId="24" borderId="81" xfId="0" applyNumberFormat="1" applyFont="1" applyFill="1" applyBorder="1" applyAlignment="1">
      <alignment horizontal="right" vertical="center" wrapText="1"/>
    </xf>
    <xf numFmtId="0" fontId="0" fillId="0" borderId="0" xfId="0" applyAlignment="1">
      <alignment horizontal="center"/>
    </xf>
    <xf numFmtId="0" fontId="78" fillId="0" borderId="0" xfId="20" applyFont="1"/>
    <xf numFmtId="14" fontId="78" fillId="0" borderId="0" xfId="20" applyNumberFormat="1" applyFont="1" applyAlignment="1">
      <alignment horizontal="right"/>
    </xf>
    <xf numFmtId="168" fontId="78" fillId="0" borderId="0" xfId="20" applyNumberFormat="1" applyFont="1" applyAlignment="1">
      <alignment horizontal="right"/>
    </xf>
    <xf numFmtId="4" fontId="78" fillId="0" borderId="0" xfId="20" applyNumberFormat="1" applyFont="1" applyAlignment="1">
      <alignment horizontal="right"/>
    </xf>
    <xf numFmtId="3" fontId="78" fillId="0" borderId="0" xfId="20" applyNumberFormat="1" applyFont="1" applyAlignment="1">
      <alignment horizontal="right"/>
    </xf>
    <xf numFmtId="7" fontId="7" fillId="0" borderId="0" xfId="0" applyNumberFormat="1" applyFont="1" applyAlignment="1">
      <alignment horizontal="center" vertical="center"/>
    </xf>
    <xf numFmtId="0" fontId="78" fillId="25" borderId="87" xfId="20" applyFont="1" applyFill="1" applyBorder="1"/>
    <xf numFmtId="169" fontId="43" fillId="7" borderId="6" xfId="0" applyNumberFormat="1" applyFont="1" applyFill="1" applyBorder="1" applyAlignment="1">
      <alignment horizontal="center" vertical="center" wrapText="1"/>
    </xf>
    <xf numFmtId="169" fontId="43" fillId="7" borderId="0" xfId="0" applyNumberFormat="1" applyFont="1" applyFill="1" applyBorder="1" applyAlignment="1">
      <alignment horizontal="center" vertical="center" wrapText="1"/>
    </xf>
    <xf numFmtId="169" fontId="43" fillId="7" borderId="9" xfId="0" applyNumberFormat="1" applyFont="1" applyFill="1" applyBorder="1" applyAlignment="1">
      <alignment horizontal="center" vertical="center" wrapText="1"/>
    </xf>
    <xf numFmtId="0" fontId="40" fillId="35" borderId="0" xfId="0" applyFont="1" applyFill="1" applyBorder="1" applyAlignment="1" applyProtection="1">
      <alignment horizontal="center" vertical="center" wrapText="1"/>
    </xf>
    <xf numFmtId="0" fontId="7" fillId="10" borderId="88" xfId="0" applyFont="1" applyFill="1" applyBorder="1" applyAlignment="1">
      <alignment horizontal="center" vertical="center"/>
    </xf>
    <xf numFmtId="0" fontId="7" fillId="10" borderId="87" xfId="0" applyFont="1" applyFill="1" applyBorder="1" applyAlignment="1">
      <alignment horizontal="center" vertical="center"/>
    </xf>
    <xf numFmtId="0" fontId="58" fillId="47" borderId="88" xfId="0" applyFont="1" applyFill="1" applyBorder="1" applyAlignment="1">
      <alignment horizontal="center"/>
    </xf>
    <xf numFmtId="0" fontId="58" fillId="47" borderId="89" xfId="0" applyFont="1" applyFill="1" applyBorder="1" applyAlignment="1">
      <alignment horizontal="center"/>
    </xf>
    <xf numFmtId="0" fontId="38" fillId="0" borderId="0" xfId="0" applyFont="1" applyAlignment="1">
      <alignment horizontal="center" wrapText="1"/>
    </xf>
    <xf numFmtId="169" fontId="44" fillId="7" borderId="6" xfId="0" applyNumberFormat="1" applyFont="1" applyFill="1" applyBorder="1" applyAlignment="1">
      <alignment horizontal="center" vertical="center" wrapText="1"/>
    </xf>
    <xf numFmtId="169" fontId="44" fillId="7" borderId="0" xfId="0" applyNumberFormat="1" applyFont="1" applyFill="1" applyBorder="1" applyAlignment="1">
      <alignment horizontal="center" vertical="center" wrapText="1"/>
    </xf>
    <xf numFmtId="169" fontId="44" fillId="7" borderId="9" xfId="0" applyNumberFormat="1" applyFont="1" applyFill="1" applyBorder="1" applyAlignment="1">
      <alignment horizontal="center" vertical="center" wrapText="1"/>
    </xf>
    <xf numFmtId="169" fontId="50" fillId="48" borderId="0" xfId="0" applyNumberFormat="1" applyFont="1" applyFill="1" applyBorder="1" applyAlignment="1">
      <alignment horizontal="center" vertical="center" wrapText="1"/>
    </xf>
    <xf numFmtId="169" fontId="50" fillId="35" borderId="0" xfId="0" applyNumberFormat="1" applyFont="1" applyFill="1" applyBorder="1" applyAlignment="1">
      <alignment horizontal="center" vertical="center" wrapText="1"/>
    </xf>
    <xf numFmtId="0" fontId="50" fillId="28" borderId="0" xfId="0" applyFont="1" applyFill="1" applyBorder="1" applyAlignment="1" applyProtection="1">
      <alignment horizontal="left" vertical="center" wrapText="1"/>
    </xf>
    <xf numFmtId="169" fontId="50" fillId="33" borderId="0" xfId="0" applyNumberFormat="1" applyFont="1" applyFill="1" applyBorder="1" applyAlignment="1">
      <alignment horizontal="center" vertical="center" wrapText="1"/>
    </xf>
    <xf numFmtId="0" fontId="53" fillId="28" borderId="0" xfId="0" applyFont="1" applyFill="1" applyBorder="1" applyAlignment="1" applyProtection="1">
      <alignment horizontal="center" vertical="center" wrapText="1"/>
    </xf>
    <xf numFmtId="0" fontId="50" fillId="0" borderId="0" xfId="0" applyFont="1" applyBorder="1" applyAlignment="1">
      <alignment horizontal="center" vertical="center" wrapText="1"/>
    </xf>
    <xf numFmtId="0" fontId="44" fillId="7" borderId="88" xfId="0" applyNumberFormat="1" applyFont="1" applyFill="1" applyBorder="1" applyAlignment="1">
      <alignment horizontal="left" vertical="center" wrapText="1"/>
    </xf>
    <xf numFmtId="0" fontId="44" fillId="7" borderId="88" xfId="0" applyNumberFormat="1" applyFont="1" applyFill="1" applyBorder="1" applyAlignment="1">
      <alignment horizontal="center" vertical="center" wrapText="1"/>
    </xf>
    <xf numFmtId="0" fontId="58" fillId="49" borderId="87" xfId="0" applyFont="1" applyFill="1" applyBorder="1" applyAlignment="1">
      <alignment horizontal="center"/>
    </xf>
    <xf numFmtId="0" fontId="34" fillId="22" borderId="87" xfId="0" applyFont="1" applyFill="1" applyBorder="1" applyAlignment="1">
      <alignment horizontal="center" vertical="top" wrapText="1"/>
    </xf>
    <xf numFmtId="0" fontId="34" fillId="22" borderId="87" xfId="0" applyFont="1" applyFill="1" applyBorder="1" applyAlignment="1" applyProtection="1">
      <alignment horizontal="center" vertical="center"/>
      <protection locked="0"/>
    </xf>
    <xf numFmtId="0" fontId="76" fillId="0" borderId="0" xfId="0" applyFont="1"/>
    <xf numFmtId="0" fontId="7" fillId="0" borderId="0" xfId="0" applyFont="1" applyAlignment="1">
      <alignment horizontal="center"/>
    </xf>
    <xf numFmtId="0" fontId="58" fillId="47" borderId="101" xfId="0" applyFont="1" applyFill="1" applyBorder="1" applyAlignment="1">
      <alignment horizontal="center"/>
    </xf>
    <xf numFmtId="0" fontId="58" fillId="47" borderId="102" xfId="0" applyFont="1" applyFill="1" applyBorder="1" applyAlignment="1">
      <alignment horizontal="center"/>
    </xf>
    <xf numFmtId="0" fontId="58" fillId="47" borderId="87" xfId="0" applyFont="1" applyFill="1" applyBorder="1"/>
    <xf numFmtId="0" fontId="58" fillId="47" borderId="103" xfId="0" applyFont="1" applyFill="1" applyBorder="1" applyAlignment="1">
      <alignment horizontal="center"/>
    </xf>
    <xf numFmtId="0" fontId="79" fillId="0" borderId="97" xfId="21"/>
    <xf numFmtId="7" fontId="0" fillId="20" borderId="88" xfId="0" applyNumberFormat="1" applyFill="1" applyBorder="1" applyAlignment="1">
      <alignment horizontal="center"/>
    </xf>
    <xf numFmtId="7" fontId="0" fillId="20" borderId="101" xfId="0" applyNumberFormat="1" applyFill="1" applyBorder="1" applyAlignment="1">
      <alignment horizontal="center"/>
    </xf>
    <xf numFmtId="7" fontId="0" fillId="20" borderId="102" xfId="0" applyNumberFormat="1" applyFill="1" applyBorder="1" applyAlignment="1">
      <alignment horizontal="center"/>
    </xf>
    <xf numFmtId="7" fontId="0" fillId="20" borderId="89" xfId="0" applyNumberFormat="1" applyFill="1" applyBorder="1" applyAlignment="1">
      <alignment horizontal="center"/>
    </xf>
    <xf numFmtId="7" fontId="0" fillId="20" borderId="87" xfId="0" applyNumberFormat="1" applyFill="1" applyBorder="1"/>
    <xf numFmtId="8" fontId="0" fillId="0" borderId="104" xfId="0" applyNumberFormat="1" applyBorder="1"/>
    <xf numFmtId="0" fontId="36" fillId="0" borderId="0" xfId="0" applyFont="1"/>
    <xf numFmtId="8" fontId="0" fillId="0" borderId="0" xfId="0" applyNumberFormat="1"/>
    <xf numFmtId="9" fontId="0" fillId="34" borderId="87" xfId="0" applyNumberFormat="1" applyFill="1" applyBorder="1" applyAlignment="1">
      <alignment horizontal="center"/>
    </xf>
    <xf numFmtId="7" fontId="0" fillId="0" borderId="87" xfId="0" applyNumberFormat="1" applyBorder="1" applyAlignment="1">
      <alignment horizontal="center"/>
    </xf>
    <xf numFmtId="7" fontId="0" fillId="0" borderId="88" xfId="0" applyNumberFormat="1" applyBorder="1" applyAlignment="1">
      <alignment horizontal="center"/>
    </xf>
    <xf numFmtId="7" fontId="0" fillId="0" borderId="101" xfId="0" applyNumberFormat="1" applyBorder="1" applyAlignment="1">
      <alignment horizontal="center"/>
    </xf>
    <xf numFmtId="7" fontId="0" fillId="0" borderId="102" xfId="0" applyNumberFormat="1" applyBorder="1" applyAlignment="1">
      <alignment horizontal="center"/>
    </xf>
    <xf numFmtId="7" fontId="0" fillId="0" borderId="89" xfId="0" applyNumberFormat="1" applyBorder="1" applyAlignment="1">
      <alignment horizontal="center"/>
    </xf>
    <xf numFmtId="173" fontId="0" fillId="0" borderId="0" xfId="0" applyNumberFormat="1"/>
    <xf numFmtId="7" fontId="7" fillId="0" borderId="105" xfId="22" applyNumberFormat="1" applyBorder="1" applyAlignment="1">
      <alignment horizontal="center"/>
    </xf>
    <xf numFmtId="7" fontId="7" fillId="20" borderId="106" xfId="0" applyNumberFormat="1" applyFont="1" applyFill="1" applyBorder="1" applyAlignment="1">
      <alignment horizontal="center"/>
    </xf>
    <xf numFmtId="7" fontId="7" fillId="0" borderId="98" xfId="22" applyNumberFormat="1"/>
    <xf numFmtId="0" fontId="1" fillId="62" borderId="0" xfId="23"/>
    <xf numFmtId="0" fontId="1" fillId="63" borderId="107" xfId="24" applyBorder="1"/>
    <xf numFmtId="0" fontId="81" fillId="0" borderId="0" xfId="0" applyFont="1"/>
    <xf numFmtId="7" fontId="82" fillId="0" borderId="0" xfId="0" applyNumberFormat="1" applyFont="1"/>
    <xf numFmtId="0" fontId="7" fillId="0" borderId="98" xfId="22"/>
    <xf numFmtId="0" fontId="79" fillId="0" borderId="97" xfId="21" applyAlignment="1">
      <alignment horizontal="center" vertical="center"/>
    </xf>
    <xf numFmtId="0" fontId="0" fillId="22" borderId="108" xfId="0" applyFill="1" applyBorder="1" applyAlignment="1">
      <alignment horizontal="center" vertical="center"/>
    </xf>
    <xf numFmtId="7" fontId="7" fillId="0" borderId="0" xfId="0" applyNumberFormat="1" applyFont="1"/>
    <xf numFmtId="170" fontId="1" fillId="13" borderId="86" xfId="0" applyNumberFormat="1" applyFont="1" applyFill="1" applyBorder="1" applyAlignment="1" applyProtection="1">
      <alignment horizontal="center"/>
      <protection locked="0"/>
    </xf>
    <xf numFmtId="49" fontId="0" fillId="0" borderId="0" xfId="0" quotePrefix="1" applyNumberFormat="1" applyProtection="1">
      <protection locked="0"/>
    </xf>
    <xf numFmtId="170" fontId="0" fillId="13" borderId="86" xfId="0" applyNumberFormat="1" applyFill="1" applyBorder="1" applyAlignment="1" applyProtection="1">
      <alignment horizontal="center"/>
      <protection locked="0"/>
    </xf>
    <xf numFmtId="170" fontId="0" fillId="0" borderId="86" xfId="0" applyNumberFormat="1" applyBorder="1" applyAlignment="1" applyProtection="1">
      <alignment horizontal="center"/>
      <protection locked="0"/>
    </xf>
    <xf numFmtId="3" fontId="7" fillId="0" borderId="98" xfId="22" applyNumberFormat="1" applyProtection="1">
      <protection locked="0"/>
    </xf>
    <xf numFmtId="170" fontId="0" fillId="0" borderId="0" xfId="0" quotePrefix="1" applyNumberFormat="1" applyProtection="1">
      <protection locked="0"/>
    </xf>
    <xf numFmtId="3" fontId="7" fillId="0" borderId="98" xfId="22" applyNumberFormat="1"/>
    <xf numFmtId="0" fontId="0" fillId="0" borderId="89" xfId="0" applyBorder="1" applyAlignment="1" applyProtection="1">
      <alignment vertical="top" wrapText="1"/>
      <protection locked="0"/>
    </xf>
    <xf numFmtId="170" fontId="0" fillId="53" borderId="51" xfId="0" applyNumberFormat="1" applyFill="1" applyBorder="1" applyAlignment="1" applyProtection="1">
      <alignment horizontal="center"/>
      <protection locked="0"/>
    </xf>
    <xf numFmtId="0" fontId="0" fillId="64" borderId="84" xfId="0" applyFill="1" applyBorder="1" applyAlignment="1">
      <alignment horizontal="center" vertical="center"/>
    </xf>
    <xf numFmtId="0" fontId="0" fillId="0" borderId="0" xfId="0" quotePrefix="1" applyAlignment="1">
      <alignment wrapText="1"/>
    </xf>
    <xf numFmtId="170" fontId="0" fillId="53" borderId="30" xfId="0" applyNumberFormat="1" applyFill="1" applyBorder="1" applyAlignment="1" applyProtection="1">
      <alignment horizontal="center"/>
      <protection locked="0"/>
    </xf>
    <xf numFmtId="170" fontId="1" fillId="53" borderId="30" xfId="0" applyNumberFormat="1" applyFont="1" applyFill="1" applyBorder="1" applyAlignment="1" applyProtection="1">
      <alignment horizontal="center"/>
      <protection locked="0"/>
    </xf>
    <xf numFmtId="170" fontId="1" fillId="53" borderId="84" xfId="0" applyNumberFormat="1" applyFont="1" applyFill="1" applyBorder="1" applyAlignment="1">
      <alignment horizontal="center"/>
    </xf>
    <xf numFmtId="8" fontId="7" fillId="0" borderId="0" xfId="0" applyNumberFormat="1" applyFont="1"/>
    <xf numFmtId="0" fontId="0" fillId="0" borderId="0" xfId="0" applyAlignment="1">
      <alignment vertical="top" wrapText="1"/>
    </xf>
    <xf numFmtId="0" fontId="82" fillId="0" borderId="0" xfId="0" quotePrefix="1" applyFont="1"/>
    <xf numFmtId="8" fontId="7" fillId="0" borderId="98" xfId="22" applyNumberFormat="1"/>
    <xf numFmtId="49" fontId="79" fillId="0" borderId="97" xfId="21" applyNumberFormat="1" applyAlignment="1">
      <alignment vertical="top" wrapText="1"/>
    </xf>
    <xf numFmtId="0" fontId="0" fillId="0" borderId="0" xfId="0" quotePrefix="1" applyAlignment="1">
      <alignment horizontal="right"/>
    </xf>
    <xf numFmtId="0" fontId="0" fillId="0" borderId="0" xfId="0" quotePrefix="1"/>
    <xf numFmtId="44" fontId="0" fillId="0" borderId="0" xfId="0" applyNumberFormat="1"/>
    <xf numFmtId="44" fontId="7" fillId="0" borderId="98" xfId="22" applyNumberFormat="1"/>
    <xf numFmtId="0" fontId="0" fillId="0" borderId="0" xfId="0" quotePrefix="1" applyAlignment="1">
      <alignment horizontal="right" vertical="center"/>
    </xf>
    <xf numFmtId="0" fontId="0" fillId="0" borderId="0" xfId="0" applyAlignment="1">
      <alignment wrapText="1"/>
    </xf>
    <xf numFmtId="0" fontId="58" fillId="65" borderId="87" xfId="0" applyFont="1" applyFill="1" applyBorder="1"/>
    <xf numFmtId="0" fontId="58" fillId="65" borderId="51" xfId="0" applyFont="1" applyFill="1" applyBorder="1"/>
    <xf numFmtId="44" fontId="0" fillId="0" borderId="87" xfId="1" applyFont="1" applyBorder="1"/>
    <xf numFmtId="8" fontId="79" fillId="0" borderId="97" xfId="21" applyNumberFormat="1"/>
    <xf numFmtId="0" fontId="0" fillId="0" borderId="109" xfId="0" applyBorder="1"/>
    <xf numFmtId="0" fontId="0" fillId="0" borderId="110" xfId="0" applyBorder="1"/>
    <xf numFmtId="0" fontId="7" fillId="0" borderId="111" xfId="0" applyFont="1" applyBorder="1" applyAlignment="1">
      <alignment horizontal="right"/>
    </xf>
    <xf numFmtId="44" fontId="0" fillId="0" borderId="111" xfId="1" applyFont="1" applyBorder="1"/>
    <xf numFmtId="0" fontId="7" fillId="0" borderId="0" xfId="0" applyFont="1" applyAlignment="1">
      <alignment wrapText="1"/>
    </xf>
    <xf numFmtId="0" fontId="79" fillId="0" borderId="97" xfId="21" applyAlignment="1">
      <alignment horizontal="center" vertical="center" wrapText="1"/>
    </xf>
    <xf numFmtId="8" fontId="0" fillId="0" borderId="0" xfId="0" applyNumberFormat="1" applyAlignment="1">
      <alignment vertical="center"/>
    </xf>
    <xf numFmtId="0" fontId="82" fillId="0" borderId="0" xfId="0" applyFont="1" applyAlignment="1">
      <alignment horizontal="center" vertical="center"/>
    </xf>
    <xf numFmtId="0" fontId="44" fillId="7" borderId="38" xfId="0" applyNumberFormat="1" applyFont="1" applyFill="1" applyBorder="1" applyAlignment="1">
      <alignment horizontal="center" vertical="center" wrapText="1"/>
    </xf>
    <xf numFmtId="169" fontId="44" fillId="0" borderId="88" xfId="0" applyNumberFormat="1" applyFont="1" applyBorder="1" applyAlignment="1">
      <alignment horizontal="center" vertical="center" wrapText="1"/>
    </xf>
    <xf numFmtId="169" fontId="44" fillId="0" borderId="87" xfId="0" applyNumberFormat="1" applyFont="1" applyBorder="1" applyAlignment="1">
      <alignment horizontal="center" vertical="center" wrapText="1"/>
    </xf>
    <xf numFmtId="169" fontId="48" fillId="32" borderId="87" xfId="0" applyNumberFormat="1" applyFont="1" applyFill="1" applyBorder="1" applyAlignment="1">
      <alignment horizontal="center" vertical="center" wrapText="1"/>
    </xf>
    <xf numFmtId="44" fontId="44" fillId="7" borderId="87" xfId="1" applyFont="1" applyFill="1" applyBorder="1" applyAlignment="1">
      <alignment horizontal="center" vertical="center" wrapText="1"/>
    </xf>
    <xf numFmtId="44" fontId="44" fillId="7" borderId="87" xfId="1" applyFont="1" applyFill="1" applyBorder="1" applyAlignment="1">
      <alignment horizontal="left" vertical="center" wrapText="1"/>
    </xf>
    <xf numFmtId="0" fontId="2" fillId="0" borderId="0" xfId="20" applyFont="1"/>
    <xf numFmtId="44" fontId="38" fillId="0" borderId="0" xfId="0" applyNumberFormat="1" applyFont="1" applyAlignment="1">
      <alignment horizontal="center"/>
    </xf>
    <xf numFmtId="0" fontId="2" fillId="0" borderId="0" xfId="25" applyFont="1"/>
    <xf numFmtId="14" fontId="2" fillId="0" borderId="0" xfId="25" applyNumberFormat="1" applyFont="1" applyAlignment="1">
      <alignment horizontal="right"/>
    </xf>
    <xf numFmtId="168" fontId="2" fillId="0" borderId="0" xfId="25" applyNumberFormat="1" applyFont="1" applyAlignment="1">
      <alignment horizontal="right"/>
    </xf>
    <xf numFmtId="4" fontId="2" fillId="0" borderId="0" xfId="25" applyNumberFormat="1" applyFont="1" applyAlignment="1">
      <alignment horizontal="right"/>
    </xf>
    <xf numFmtId="3" fontId="2" fillId="0" borderId="0" xfId="25" applyNumberFormat="1" applyFont="1" applyAlignment="1">
      <alignment horizontal="right"/>
    </xf>
    <xf numFmtId="44" fontId="38" fillId="0" borderId="0" xfId="0" applyNumberFormat="1" applyFont="1"/>
    <xf numFmtId="0" fontId="84" fillId="0" borderId="0" xfId="26" applyAlignment="1">
      <alignment vertical="top"/>
    </xf>
    <xf numFmtId="14" fontId="84" fillId="0" borderId="0" xfId="26" applyNumberFormat="1" applyAlignment="1">
      <alignment horizontal="right" vertical="top"/>
    </xf>
    <xf numFmtId="168" fontId="84" fillId="0" borderId="0" xfId="26" applyNumberFormat="1" applyAlignment="1">
      <alignment horizontal="right" vertical="top"/>
    </xf>
    <xf numFmtId="4" fontId="84" fillId="0" borderId="0" xfId="26" applyNumberFormat="1" applyAlignment="1">
      <alignment horizontal="right" vertical="top"/>
    </xf>
    <xf numFmtId="3" fontId="84" fillId="0" borderId="0" xfId="26" applyNumberFormat="1" applyAlignment="1">
      <alignment horizontal="right" vertical="top"/>
    </xf>
    <xf numFmtId="169" fontId="47" fillId="67" borderId="86" xfId="0" applyNumberFormat="1" applyFont="1" applyFill="1" applyBorder="1" applyAlignment="1">
      <alignment horizontal="right" vertical="center" wrapText="1"/>
    </xf>
    <xf numFmtId="169" fontId="47" fillId="5" borderId="86" xfId="0" applyNumberFormat="1" applyFont="1" applyFill="1" applyBorder="1" applyAlignment="1">
      <alignment horizontal="right" vertical="center" wrapText="1"/>
    </xf>
    <xf numFmtId="4" fontId="85" fillId="0" borderId="0" xfId="0" applyNumberFormat="1" applyFont="1"/>
    <xf numFmtId="164" fontId="38" fillId="0" borderId="0" xfId="0" applyNumberFormat="1" applyFont="1" applyAlignment="1">
      <alignment horizontal="center"/>
    </xf>
    <xf numFmtId="3" fontId="38" fillId="0" borderId="0" xfId="0" applyNumberFormat="1" applyFont="1" applyAlignment="1">
      <alignment horizontal="center"/>
    </xf>
    <xf numFmtId="0" fontId="2" fillId="0" borderId="0" xfId="25" applyAlignment="1">
      <alignment vertical="top"/>
    </xf>
    <xf numFmtId="14" fontId="2" fillId="0" borderId="0" xfId="25" applyNumberFormat="1" applyAlignment="1">
      <alignment horizontal="right" vertical="top"/>
    </xf>
    <xf numFmtId="168" fontId="2" fillId="0" borderId="0" xfId="25" applyNumberFormat="1" applyAlignment="1">
      <alignment horizontal="right" vertical="top"/>
    </xf>
    <xf numFmtId="4" fontId="2" fillId="0" borderId="0" xfId="25" applyNumberFormat="1" applyAlignment="1">
      <alignment horizontal="right" vertical="top"/>
    </xf>
    <xf numFmtId="3" fontId="2" fillId="0" borderId="0" xfId="25" applyNumberFormat="1" applyAlignment="1">
      <alignment horizontal="right" vertical="top"/>
    </xf>
    <xf numFmtId="4" fontId="38" fillId="0" borderId="0" xfId="0" applyNumberFormat="1" applyFont="1" applyAlignment="1">
      <alignment horizontal="center"/>
    </xf>
    <xf numFmtId="0" fontId="0" fillId="0" borderId="12" xfId="0" applyBorder="1"/>
    <xf numFmtId="0" fontId="0" fillId="0" borderId="8" xfId="0" applyBorder="1"/>
    <xf numFmtId="0" fontId="0" fillId="0" borderId="13" xfId="0" applyBorder="1" applyAlignment="1">
      <alignment horizontal="right"/>
    </xf>
    <xf numFmtId="8" fontId="0" fillId="0" borderId="13" xfId="0" applyNumberFormat="1" applyBorder="1" applyAlignment="1">
      <alignment horizontal="right"/>
    </xf>
    <xf numFmtId="8" fontId="0" fillId="0" borderId="10" xfId="0" applyNumberFormat="1" applyBorder="1" applyAlignment="1">
      <alignment horizontal="right"/>
    </xf>
    <xf numFmtId="10" fontId="0" fillId="0" borderId="0" xfId="16" applyNumberFormat="1" applyFont="1"/>
    <xf numFmtId="44" fontId="0" fillId="0" borderId="83" xfId="1" applyFont="1" applyBorder="1"/>
    <xf numFmtId="0" fontId="58" fillId="35" borderId="17" xfId="0" applyFont="1" applyFill="1" applyBorder="1"/>
    <xf numFmtId="0" fontId="58" fillId="35" borderId="78" xfId="0" applyFont="1" applyFill="1" applyBorder="1"/>
    <xf numFmtId="44" fontId="7" fillId="0" borderId="37" xfId="0" applyNumberFormat="1" applyFont="1" applyBorder="1"/>
    <xf numFmtId="44" fontId="7" fillId="0" borderId="69" xfId="0" applyNumberFormat="1" applyFont="1" applyBorder="1"/>
    <xf numFmtId="0" fontId="86" fillId="0" borderId="0" xfId="27" applyAlignment="1">
      <alignment vertical="top"/>
    </xf>
    <xf numFmtId="44" fontId="5" fillId="0" borderId="0" xfId="27" applyNumberFormat="1" applyFont="1" applyAlignment="1">
      <alignment vertical="top"/>
    </xf>
    <xf numFmtId="169" fontId="45" fillId="7" borderId="52" xfId="0" applyNumberFormat="1" applyFont="1" applyFill="1" applyBorder="1" applyAlignment="1">
      <alignment horizontal="right" vertical="center" wrapText="1"/>
    </xf>
    <xf numFmtId="0" fontId="58" fillId="35" borderId="17" xfId="0" applyFont="1" applyFill="1" applyBorder="1" applyAlignment="1">
      <alignment horizontal="center"/>
    </xf>
    <xf numFmtId="0" fontId="58" fillId="35" borderId="112" xfId="0" applyFont="1" applyFill="1" applyBorder="1" applyAlignment="1">
      <alignment horizontal="center"/>
    </xf>
    <xf numFmtId="0" fontId="86" fillId="0" borderId="0" xfId="30" applyFont="1"/>
    <xf numFmtId="14" fontId="86" fillId="0" borderId="0" xfId="30" applyNumberFormat="1" applyFont="1" applyAlignment="1">
      <alignment horizontal="right"/>
    </xf>
    <xf numFmtId="3" fontId="86" fillId="0" borderId="0" xfId="30" applyNumberFormat="1" applyFont="1" applyAlignment="1">
      <alignment horizontal="right"/>
    </xf>
    <xf numFmtId="4" fontId="86" fillId="0" borderId="0" xfId="30" applyNumberFormat="1" applyFont="1" applyAlignment="1">
      <alignment horizontal="right"/>
    </xf>
    <xf numFmtId="0" fontId="86" fillId="0" borderId="0" xfId="30" applyAlignment="1">
      <alignment vertical="top"/>
    </xf>
    <xf numFmtId="14" fontId="86" fillId="0" borderId="0" xfId="30" applyNumberFormat="1" applyAlignment="1">
      <alignment horizontal="right" vertical="top"/>
    </xf>
    <xf numFmtId="168" fontId="86" fillId="0" borderId="0" xfId="30" applyNumberFormat="1" applyAlignment="1">
      <alignment horizontal="right" vertical="top"/>
    </xf>
    <xf numFmtId="4" fontId="86" fillId="0" borderId="0" xfId="30" applyNumberFormat="1" applyAlignment="1">
      <alignment horizontal="right" vertical="top"/>
    </xf>
    <xf numFmtId="3" fontId="86" fillId="0" borderId="0" xfId="30" applyNumberFormat="1" applyAlignment="1">
      <alignment horizontal="right" vertical="top"/>
    </xf>
    <xf numFmtId="14" fontId="0" fillId="0" borderId="0" xfId="0" applyNumberFormat="1" applyBorder="1"/>
    <xf numFmtId="3" fontId="38" fillId="0" borderId="0" xfId="0" applyNumberFormat="1" applyFont="1" applyAlignment="1">
      <alignment horizontal="center" wrapText="1"/>
    </xf>
    <xf numFmtId="0" fontId="0" fillId="0" borderId="17" xfId="0" applyBorder="1"/>
    <xf numFmtId="16" fontId="0" fillId="0" borderId="37" xfId="0" applyNumberFormat="1" applyBorder="1"/>
    <xf numFmtId="4" fontId="78" fillId="0" borderId="87" xfId="20" applyNumberFormat="1" applyFont="1" applyBorder="1" applyAlignment="1">
      <alignment horizontal="right"/>
    </xf>
    <xf numFmtId="0" fontId="78" fillId="0" borderId="87" xfId="20" applyFont="1" applyBorder="1"/>
    <xf numFmtId="0" fontId="2" fillId="0" borderId="87" xfId="25" applyFont="1" applyBorder="1"/>
    <xf numFmtId="0" fontId="2" fillId="0" borderId="0" xfId="26" applyFont="1" applyAlignment="1">
      <alignment vertical="top"/>
    </xf>
    <xf numFmtId="0" fontId="84" fillId="0" borderId="87" xfId="26" applyBorder="1" applyAlignment="1">
      <alignment vertical="top"/>
    </xf>
    <xf numFmtId="4" fontId="86" fillId="0" borderId="87" xfId="30" applyNumberFormat="1" applyBorder="1" applyAlignment="1">
      <alignment horizontal="right" vertical="top"/>
    </xf>
    <xf numFmtId="0" fontId="86" fillId="0" borderId="87" xfId="30" applyBorder="1" applyAlignment="1">
      <alignment vertical="top"/>
    </xf>
    <xf numFmtId="44" fontId="78" fillId="0" borderId="87" xfId="1" applyFont="1" applyBorder="1" applyAlignment="1">
      <alignment horizontal="right"/>
    </xf>
    <xf numFmtId="44" fontId="2" fillId="0" borderId="87" xfId="1" applyFont="1" applyBorder="1" applyAlignment="1">
      <alignment horizontal="right"/>
    </xf>
    <xf numFmtId="44" fontId="2" fillId="0" borderId="87" xfId="1" applyFont="1" applyBorder="1" applyAlignment="1">
      <alignment horizontal="right" vertical="top"/>
    </xf>
    <xf numFmtId="44" fontId="84" fillId="0" borderId="87" xfId="1" applyFont="1" applyBorder="1" applyAlignment="1">
      <alignment horizontal="right" vertical="top"/>
    </xf>
    <xf numFmtId="44" fontId="86" fillId="0" borderId="87" xfId="1" applyFont="1" applyBorder="1" applyAlignment="1">
      <alignment horizontal="right" vertical="top"/>
    </xf>
    <xf numFmtId="0" fontId="2" fillId="0" borderId="87" xfId="25" applyBorder="1" applyAlignment="1">
      <alignment vertical="top"/>
    </xf>
    <xf numFmtId="0" fontId="2" fillId="0" borderId="87" xfId="20" applyFont="1" applyBorder="1"/>
    <xf numFmtId="0" fontId="2" fillId="0" borderId="0" xfId="30" applyFont="1"/>
    <xf numFmtId="16" fontId="0" fillId="0" borderId="69" xfId="0" applyNumberFormat="1" applyBorder="1"/>
    <xf numFmtId="0" fontId="1" fillId="20" borderId="20" xfId="29" applyFill="1" applyBorder="1" applyAlignment="1">
      <alignment horizontal="center" vertical="center" wrapText="1"/>
    </xf>
    <xf numFmtId="0" fontId="86" fillId="0" borderId="15" xfId="27" applyBorder="1" applyAlignment="1">
      <alignment horizontal="center" vertical="center"/>
    </xf>
    <xf numFmtId="44" fontId="86" fillId="0" borderId="114" xfId="1" applyFont="1" applyBorder="1" applyAlignment="1">
      <alignment horizontal="center" vertical="center"/>
    </xf>
    <xf numFmtId="44" fontId="86" fillId="0" borderId="15" xfId="1" applyFont="1" applyBorder="1" applyAlignment="1">
      <alignment vertical="top"/>
    </xf>
    <xf numFmtId="0" fontId="0" fillId="0" borderId="15" xfId="0" applyBorder="1"/>
    <xf numFmtId="16" fontId="0" fillId="0" borderId="16" xfId="0" applyNumberFormat="1" applyBorder="1"/>
    <xf numFmtId="44" fontId="2" fillId="0" borderId="17" xfId="1" applyFont="1" applyBorder="1" applyAlignment="1">
      <alignment horizontal="right" vertical="top"/>
    </xf>
    <xf numFmtId="0" fontId="2" fillId="0" borderId="17" xfId="25" applyBorder="1" applyAlignment="1">
      <alignment vertical="top"/>
    </xf>
    <xf numFmtId="16" fontId="0" fillId="0" borderId="78" xfId="0" applyNumberFormat="1" applyBorder="1"/>
    <xf numFmtId="44" fontId="2" fillId="0" borderId="83" xfId="1" applyFont="1" applyBorder="1" applyAlignment="1">
      <alignment horizontal="right" vertical="top"/>
    </xf>
    <xf numFmtId="44" fontId="84" fillId="0" borderId="17" xfId="1" applyFont="1" applyBorder="1" applyAlignment="1">
      <alignment horizontal="right" vertical="top"/>
    </xf>
    <xf numFmtId="0" fontId="84" fillId="0" borderId="17" xfId="26" applyBorder="1" applyAlignment="1">
      <alignment vertical="top"/>
    </xf>
    <xf numFmtId="0" fontId="2" fillId="0" borderId="83" xfId="25" applyBorder="1" applyAlignment="1">
      <alignment vertical="top"/>
    </xf>
    <xf numFmtId="0" fontId="86" fillId="0" borderId="17" xfId="30" applyBorder="1" applyAlignment="1">
      <alignment vertical="top"/>
    </xf>
    <xf numFmtId="44" fontId="86" fillId="0" borderId="83" xfId="1" applyFont="1" applyBorder="1" applyAlignment="1">
      <alignment horizontal="right" vertical="top"/>
    </xf>
    <xf numFmtId="0" fontId="86" fillId="0" borderId="83" xfId="30" applyBorder="1" applyAlignment="1">
      <alignment vertical="top"/>
    </xf>
    <xf numFmtId="44" fontId="84" fillId="0" borderId="83" xfId="1" applyFont="1" applyBorder="1" applyAlignment="1">
      <alignment horizontal="right" vertical="top"/>
    </xf>
    <xf numFmtId="0" fontId="84" fillId="0" borderId="83" xfId="26" applyBorder="1" applyAlignment="1">
      <alignment vertical="top"/>
    </xf>
    <xf numFmtId="0" fontId="2" fillId="0" borderId="17" xfId="25" applyFont="1" applyBorder="1"/>
    <xf numFmtId="44" fontId="2" fillId="0" borderId="17" xfId="1" applyFont="1" applyBorder="1" applyAlignment="1">
      <alignment horizontal="right"/>
    </xf>
    <xf numFmtId="44" fontId="2" fillId="0" borderId="83" xfId="1" applyFont="1" applyBorder="1" applyAlignment="1">
      <alignment horizontal="right"/>
    </xf>
    <xf numFmtId="0" fontId="2" fillId="0" borderId="83" xfId="25" applyFont="1" applyBorder="1"/>
    <xf numFmtId="44" fontId="78" fillId="0" borderId="17" xfId="1" applyFont="1" applyBorder="1" applyAlignment="1">
      <alignment horizontal="right"/>
    </xf>
    <xf numFmtId="0" fontId="78" fillId="0" borderId="17" xfId="20" applyFont="1" applyBorder="1"/>
    <xf numFmtId="0" fontId="1" fillId="20" borderId="20" xfId="29" applyFill="1" applyBorder="1" applyAlignment="1">
      <alignment horizontal="center" vertical="center"/>
    </xf>
    <xf numFmtId="0" fontId="1" fillId="0" borderId="15" xfId="29" applyBorder="1" applyAlignment="1">
      <alignment horizontal="center" vertical="center"/>
    </xf>
    <xf numFmtId="44" fontId="1" fillId="0" borderId="15" xfId="1" applyBorder="1" applyAlignment="1">
      <alignment horizontal="center" vertical="center"/>
    </xf>
    <xf numFmtId="44" fontId="1" fillId="0" borderId="15" xfId="1" applyFont="1" applyBorder="1"/>
    <xf numFmtId="44" fontId="78" fillId="0" borderId="83" xfId="1" applyFont="1" applyBorder="1" applyAlignment="1">
      <alignment horizontal="right"/>
    </xf>
    <xf numFmtId="0" fontId="78" fillId="0" borderId="83" xfId="20" applyFont="1" applyBorder="1"/>
    <xf numFmtId="44" fontId="1" fillId="0" borderId="114" xfId="1" applyBorder="1" applyAlignment="1">
      <alignment horizontal="center" vertical="center"/>
    </xf>
    <xf numFmtId="0" fontId="0" fillId="20" borderId="20" xfId="29" applyFont="1" applyFill="1" applyBorder="1" applyAlignment="1">
      <alignment horizontal="center" vertical="center"/>
    </xf>
    <xf numFmtId="3" fontId="1" fillId="0" borderId="15" xfId="29" applyNumberFormat="1" applyBorder="1" applyAlignment="1">
      <alignment horizontal="center" vertical="center"/>
    </xf>
    <xf numFmtId="4" fontId="2" fillId="0" borderId="15" xfId="25" applyNumberFormat="1" applyBorder="1" applyAlignment="1">
      <alignment horizontal="right" vertical="top"/>
    </xf>
    <xf numFmtId="0" fontId="2" fillId="0" borderId="15" xfId="25" applyBorder="1" applyAlignment="1">
      <alignment vertical="top"/>
    </xf>
    <xf numFmtId="4" fontId="86" fillId="0" borderId="17" xfId="30" applyNumberFormat="1" applyBorder="1" applyAlignment="1">
      <alignment horizontal="right" vertical="top"/>
    </xf>
    <xf numFmtId="4" fontId="86" fillId="0" borderId="83" xfId="30" applyNumberFormat="1" applyBorder="1" applyAlignment="1">
      <alignment horizontal="right" vertical="top"/>
    </xf>
    <xf numFmtId="4" fontId="78" fillId="0" borderId="114" xfId="20" applyNumberFormat="1" applyFont="1" applyBorder="1" applyAlignment="1">
      <alignment horizontal="center"/>
    </xf>
    <xf numFmtId="4" fontId="78" fillId="0" borderId="15" xfId="20" applyNumberFormat="1" applyFont="1" applyBorder="1" applyAlignment="1">
      <alignment horizontal="right"/>
    </xf>
    <xf numFmtId="0" fontId="78" fillId="0" borderId="15" xfId="20" applyFont="1" applyBorder="1"/>
    <xf numFmtId="4" fontId="78" fillId="0" borderId="17" xfId="20" applyNumberFormat="1" applyFont="1" applyBorder="1" applyAlignment="1">
      <alignment horizontal="right"/>
    </xf>
    <xf numFmtId="4" fontId="78" fillId="0" borderId="83" xfId="20" applyNumberFormat="1" applyFont="1" applyBorder="1" applyAlignment="1">
      <alignment horizontal="right"/>
    </xf>
    <xf numFmtId="0" fontId="65" fillId="69" borderId="73" xfId="0" applyFont="1" applyFill="1" applyBorder="1"/>
    <xf numFmtId="0" fontId="65" fillId="69" borderId="46" xfId="0" applyFont="1" applyFill="1" applyBorder="1"/>
    <xf numFmtId="0" fontId="65" fillId="69" borderId="47" xfId="0" applyFont="1" applyFill="1" applyBorder="1"/>
    <xf numFmtId="0" fontId="0" fillId="36" borderId="91" xfId="0" applyFill="1" applyBorder="1"/>
    <xf numFmtId="0" fontId="0" fillId="22" borderId="91" xfId="0" applyFill="1" applyBorder="1"/>
    <xf numFmtId="0" fontId="0" fillId="22" borderId="23" xfId="0" applyFill="1" applyBorder="1"/>
    <xf numFmtId="0" fontId="7" fillId="0" borderId="11" xfId="0" applyFont="1" applyBorder="1"/>
    <xf numFmtId="44" fontId="0" fillId="36" borderId="37" xfId="1" applyFont="1" applyFill="1" applyBorder="1" applyAlignment="1">
      <alignment horizontal="center"/>
    </xf>
    <xf numFmtId="44" fontId="0" fillId="22" borderId="37" xfId="1" applyFont="1" applyFill="1" applyBorder="1" applyAlignment="1">
      <alignment horizontal="center"/>
    </xf>
    <xf numFmtId="44" fontId="0" fillId="22" borderId="69" xfId="1" applyFont="1" applyFill="1" applyBorder="1" applyAlignment="1">
      <alignment horizontal="center"/>
    </xf>
    <xf numFmtId="0" fontId="0" fillId="22" borderId="68" xfId="0" applyFill="1" applyBorder="1"/>
    <xf numFmtId="44" fontId="0" fillId="22" borderId="90" xfId="1" applyFont="1" applyFill="1" applyBorder="1" applyAlignment="1">
      <alignment horizontal="center"/>
    </xf>
    <xf numFmtId="0" fontId="0" fillId="36" borderId="18" xfId="0" applyFill="1" applyBorder="1"/>
    <xf numFmtId="44" fontId="0" fillId="36" borderId="78" xfId="1" applyFont="1" applyFill="1" applyBorder="1" applyAlignment="1">
      <alignment horizontal="center"/>
    </xf>
    <xf numFmtId="0" fontId="0" fillId="36" borderId="23" xfId="0" applyFill="1" applyBorder="1"/>
    <xf numFmtId="44" fontId="0" fillId="36" borderId="69" xfId="1" applyFont="1" applyFill="1" applyBorder="1" applyAlignment="1">
      <alignment horizontal="center"/>
    </xf>
    <xf numFmtId="0" fontId="7" fillId="7" borderId="87" xfId="0" applyFont="1" applyFill="1" applyBorder="1"/>
    <xf numFmtId="164" fontId="0" fillId="0" borderId="87" xfId="1" applyNumberFormat="1" applyFont="1" applyBorder="1"/>
    <xf numFmtId="0" fontId="7" fillId="0" borderId="87" xfId="0" applyFont="1" applyBorder="1"/>
    <xf numFmtId="164" fontId="0" fillId="5" borderId="87" xfId="0" applyNumberFormat="1" applyFill="1" applyBorder="1"/>
    <xf numFmtId="0" fontId="87" fillId="70" borderId="11" xfId="0" applyFont="1" applyFill="1" applyBorder="1" applyAlignment="1">
      <alignment vertical="center" wrapText="1"/>
    </xf>
    <xf numFmtId="0" fontId="87" fillId="70" borderId="2" xfId="0" applyFont="1" applyFill="1" applyBorder="1" applyAlignment="1">
      <alignment vertical="center" wrapText="1"/>
    </xf>
    <xf numFmtId="0" fontId="87" fillId="71" borderId="116" xfId="0" applyFont="1" applyFill="1" applyBorder="1" applyAlignment="1">
      <alignment vertical="center" wrapText="1"/>
    </xf>
    <xf numFmtId="0" fontId="87" fillId="71" borderId="12" xfId="0" applyFont="1" applyFill="1" applyBorder="1" applyAlignment="1">
      <alignment vertical="center" wrapText="1"/>
    </xf>
    <xf numFmtId="44" fontId="87" fillId="71" borderId="117" xfId="1" applyFont="1" applyFill="1" applyBorder="1" applyAlignment="1">
      <alignment vertical="center" wrapText="1"/>
    </xf>
    <xf numFmtId="0" fontId="87" fillId="71" borderId="45" xfId="0" applyFont="1" applyFill="1" applyBorder="1" applyAlignment="1">
      <alignment vertical="center" wrapText="1"/>
    </xf>
    <xf numFmtId="0" fontId="87" fillId="71" borderId="117" xfId="0" applyFont="1" applyFill="1" applyBorder="1" applyAlignment="1">
      <alignment vertical="center" wrapText="1"/>
    </xf>
    <xf numFmtId="44" fontId="87" fillId="71" borderId="42" xfId="1" applyFont="1" applyFill="1" applyBorder="1" applyAlignment="1">
      <alignment vertical="center" wrapText="1"/>
    </xf>
    <xf numFmtId="0" fontId="88" fillId="71" borderId="2" xfId="0" applyFont="1" applyFill="1" applyBorder="1" applyAlignment="1">
      <alignment vertical="center" wrapText="1"/>
    </xf>
    <xf numFmtId="44" fontId="88" fillId="71" borderId="11" xfId="1" applyFont="1" applyFill="1" applyBorder="1" applyAlignment="1">
      <alignment vertical="center" wrapText="1"/>
    </xf>
    <xf numFmtId="0" fontId="87" fillId="71" borderId="42" xfId="0" applyFont="1" applyFill="1" applyBorder="1" applyAlignment="1">
      <alignment vertical="center" wrapText="1"/>
    </xf>
    <xf numFmtId="0" fontId="88" fillId="71" borderId="11" xfId="0" applyFont="1" applyFill="1" applyBorder="1" applyAlignment="1">
      <alignment vertical="center" wrapText="1"/>
    </xf>
    <xf numFmtId="0" fontId="65" fillId="40" borderId="18" xfId="0" applyFont="1" applyFill="1" applyBorder="1"/>
    <xf numFmtId="0" fontId="65" fillId="40" borderId="17" xfId="0" applyFont="1" applyFill="1" applyBorder="1"/>
    <xf numFmtId="0" fontId="65" fillId="40" borderId="47" xfId="0" applyFont="1" applyFill="1" applyBorder="1"/>
    <xf numFmtId="0" fontId="65" fillId="40" borderId="112" xfId="0" applyFont="1" applyFill="1" applyBorder="1"/>
    <xf numFmtId="44" fontId="7" fillId="0" borderId="0" xfId="1" applyFont="1" applyBorder="1"/>
    <xf numFmtId="44" fontId="7" fillId="0" borderId="0" xfId="0" applyNumberFormat="1" applyFont="1" applyBorder="1"/>
    <xf numFmtId="0" fontId="7" fillId="22" borderId="0" xfId="0" applyFont="1" applyFill="1"/>
    <xf numFmtId="44" fontId="7" fillId="22" borderId="0" xfId="1" applyFont="1" applyFill="1" applyBorder="1"/>
    <xf numFmtId="0" fontId="0" fillId="0" borderId="87" xfId="0" applyFill="1" applyBorder="1"/>
    <xf numFmtId="8" fontId="0" fillId="0" borderId="87" xfId="1" applyNumberFormat="1" applyFont="1" applyBorder="1"/>
    <xf numFmtId="169" fontId="46" fillId="30" borderId="87" xfId="0" applyNumberFormat="1" applyFont="1" applyFill="1" applyBorder="1" applyAlignment="1">
      <alignment horizontal="right" vertical="center" wrapText="1"/>
    </xf>
    <xf numFmtId="169" fontId="44" fillId="5" borderId="27" xfId="0" applyNumberFormat="1" applyFont="1" applyFill="1" applyBorder="1" applyAlignment="1">
      <alignment horizontal="left" vertical="center" wrapText="1"/>
    </xf>
    <xf numFmtId="0" fontId="44" fillId="5" borderId="38" xfId="0" applyNumberFormat="1" applyFont="1" applyFill="1" applyBorder="1" applyAlignment="1">
      <alignment horizontal="center" vertical="center" wrapText="1"/>
    </xf>
    <xf numFmtId="44" fontId="44" fillId="5" borderId="87" xfId="1" applyFont="1" applyFill="1" applyBorder="1" applyAlignment="1">
      <alignment horizontal="center" vertical="center" wrapText="1"/>
    </xf>
    <xf numFmtId="0" fontId="90" fillId="72" borderId="11" xfId="0" applyFont="1" applyFill="1" applyBorder="1" applyAlignment="1">
      <alignment vertical="center"/>
    </xf>
    <xf numFmtId="8" fontId="89" fillId="0" borderId="0" xfId="0" applyNumberFormat="1" applyFont="1"/>
    <xf numFmtId="0" fontId="59" fillId="73" borderId="17" xfId="0" applyFont="1" applyFill="1" applyBorder="1" applyAlignment="1">
      <alignment horizontal="right" vertical="center"/>
    </xf>
    <xf numFmtId="44" fontId="59" fillId="73" borderId="17" xfId="1" applyFont="1" applyFill="1" applyBorder="1" applyAlignment="1">
      <alignment vertical="center"/>
    </xf>
    <xf numFmtId="0" fontId="59" fillId="73" borderId="17" xfId="0" applyFont="1" applyFill="1" applyBorder="1" applyAlignment="1">
      <alignment vertical="center"/>
    </xf>
    <xf numFmtId="0" fontId="59" fillId="73" borderId="87" xfId="0" applyFont="1" applyFill="1" applyBorder="1" applyAlignment="1">
      <alignment horizontal="right" vertical="center"/>
    </xf>
    <xf numFmtId="44" fontId="59" fillId="73" borderId="87" xfId="1" applyFont="1" applyFill="1" applyBorder="1" applyAlignment="1">
      <alignment vertical="center"/>
    </xf>
    <xf numFmtId="0" fontId="59" fillId="36" borderId="87" xfId="0" applyFont="1" applyFill="1" applyBorder="1" applyAlignment="1">
      <alignment vertical="center"/>
    </xf>
    <xf numFmtId="0" fontId="0" fillId="36" borderId="87" xfId="0" applyFill="1" applyBorder="1" applyAlignment="1">
      <alignment wrapText="1"/>
    </xf>
    <xf numFmtId="44" fontId="0" fillId="36" borderId="87" xfId="1" applyFont="1" applyFill="1" applyBorder="1"/>
    <xf numFmtId="0" fontId="59" fillId="73" borderId="83" xfId="0" applyFont="1" applyFill="1" applyBorder="1" applyAlignment="1">
      <alignment horizontal="right" vertical="center"/>
    </xf>
    <xf numFmtId="44" fontId="59" fillId="73" borderId="83" xfId="1" applyFont="1" applyFill="1" applyBorder="1" applyAlignment="1">
      <alignment vertical="center"/>
    </xf>
    <xf numFmtId="0" fontId="59" fillId="36" borderId="17" xfId="0" applyFont="1" applyFill="1" applyBorder="1" applyAlignment="1">
      <alignment horizontal="right" vertical="center"/>
    </xf>
    <xf numFmtId="44" fontId="59" fillId="36" borderId="17" xfId="1" applyFont="1" applyFill="1" applyBorder="1" applyAlignment="1">
      <alignment vertical="center"/>
    </xf>
    <xf numFmtId="0" fontId="59" fillId="36" borderId="17" xfId="0" applyFont="1" applyFill="1" applyBorder="1" applyAlignment="1">
      <alignment vertical="center"/>
    </xf>
    <xf numFmtId="0" fontId="0" fillId="36" borderId="83" xfId="0" applyFill="1" applyBorder="1" applyAlignment="1">
      <alignment wrapText="1"/>
    </xf>
    <xf numFmtId="44" fontId="0" fillId="36" borderId="83" xfId="1" applyFont="1" applyFill="1" applyBorder="1"/>
    <xf numFmtId="0" fontId="59" fillId="36" borderId="83" xfId="0" applyFont="1" applyFill="1" applyBorder="1" applyAlignment="1">
      <alignment vertical="center"/>
    </xf>
    <xf numFmtId="0" fontId="88" fillId="70" borderId="119" xfId="0" applyFont="1" applyFill="1" applyBorder="1" applyAlignment="1">
      <alignment vertical="center" wrapText="1"/>
    </xf>
    <xf numFmtId="0" fontId="88" fillId="70" borderId="120" xfId="0" applyFont="1" applyFill="1" applyBorder="1" applyAlignment="1">
      <alignment vertical="center" wrapText="1"/>
    </xf>
    <xf numFmtId="44" fontId="87" fillId="71" borderId="121" xfId="1" applyFont="1" applyFill="1" applyBorder="1" applyAlignment="1">
      <alignment vertical="center" wrapText="1"/>
    </xf>
    <xf numFmtId="44" fontId="87" fillId="74" borderId="121" xfId="1" applyFont="1" applyFill="1" applyBorder="1" applyAlignment="1">
      <alignment vertical="center" wrapText="1"/>
    </xf>
    <xf numFmtId="0" fontId="88" fillId="33" borderId="120" xfId="0" applyFont="1" applyFill="1" applyBorder="1" applyAlignment="1">
      <alignment vertical="center" wrapText="1"/>
    </xf>
    <xf numFmtId="0" fontId="87" fillId="33" borderId="121" xfId="0" applyFont="1" applyFill="1" applyBorder="1" applyAlignment="1">
      <alignment vertical="center" wrapText="1"/>
    </xf>
    <xf numFmtId="44" fontId="88" fillId="74" borderId="121" xfId="1" applyFont="1" applyFill="1" applyBorder="1" applyAlignment="1">
      <alignment vertical="center" wrapText="1"/>
    </xf>
    <xf numFmtId="44" fontId="88" fillId="71" borderId="121" xfId="1" applyFont="1" applyFill="1" applyBorder="1" applyAlignment="1">
      <alignment vertical="center" wrapText="1"/>
    </xf>
    <xf numFmtId="0" fontId="92" fillId="35" borderId="118" xfId="0" applyFont="1" applyFill="1" applyBorder="1" applyAlignment="1">
      <alignment vertical="center" wrapText="1"/>
    </xf>
    <xf numFmtId="0" fontId="86" fillId="0" borderId="0" xfId="30" applyBorder="1" applyAlignment="1">
      <alignment horizontal="right" vertical="top"/>
    </xf>
    <xf numFmtId="0" fontId="86" fillId="0" borderId="0" xfId="30" applyBorder="1" applyAlignment="1">
      <alignment vertical="top"/>
    </xf>
    <xf numFmtId="14" fontId="86" fillId="0" borderId="0" xfId="30" applyNumberFormat="1" applyBorder="1" applyAlignment="1">
      <alignment horizontal="right" vertical="top"/>
    </xf>
    <xf numFmtId="3" fontId="86" fillId="0" borderId="0" xfId="30" applyNumberFormat="1" applyBorder="1" applyAlignment="1">
      <alignment horizontal="right" vertical="top"/>
    </xf>
    <xf numFmtId="4" fontId="86" fillId="0" borderId="0" xfId="30" applyNumberFormat="1" applyBorder="1" applyAlignment="1">
      <alignment horizontal="right" vertical="top"/>
    </xf>
    <xf numFmtId="0" fontId="86" fillId="0" borderId="9" xfId="30" applyBorder="1" applyAlignment="1">
      <alignment vertical="top"/>
    </xf>
    <xf numFmtId="14" fontId="86" fillId="0" borderId="9" xfId="30" applyNumberFormat="1" applyBorder="1" applyAlignment="1">
      <alignment horizontal="right" vertical="top"/>
    </xf>
    <xf numFmtId="3" fontId="86" fillId="0" borderId="9" xfId="30" applyNumberFormat="1" applyBorder="1" applyAlignment="1">
      <alignment horizontal="right" vertical="top"/>
    </xf>
    <xf numFmtId="4" fontId="86" fillId="0" borderId="9" xfId="30" applyNumberFormat="1" applyBorder="1" applyAlignment="1">
      <alignment horizontal="right" vertical="top"/>
    </xf>
    <xf numFmtId="14" fontId="0" fillId="0" borderId="9" xfId="0" applyNumberFormat="1" applyBorder="1"/>
    <xf numFmtId="0" fontId="94" fillId="38" borderId="87" xfId="31" applyFont="1" applyFill="1" applyBorder="1" applyAlignment="1">
      <alignment vertical="top"/>
    </xf>
    <xf numFmtId="0" fontId="86" fillId="0" borderId="0" xfId="31" applyAlignment="1">
      <alignment vertical="top"/>
    </xf>
    <xf numFmtId="0" fontId="86" fillId="20" borderId="87" xfId="31" applyFill="1" applyBorder="1" applyAlignment="1">
      <alignment vertical="top"/>
    </xf>
    <xf numFmtId="44" fontId="86" fillId="0" borderId="87" xfId="1" applyFont="1" applyBorder="1" applyAlignment="1">
      <alignment vertical="top"/>
    </xf>
    <xf numFmtId="44" fontId="86" fillId="0" borderId="87" xfId="31" applyNumberFormat="1" applyBorder="1" applyAlignment="1">
      <alignment vertical="top"/>
    </xf>
    <xf numFmtId="0" fontId="2" fillId="0" borderId="0" xfId="31" applyFont="1" applyAlignment="1">
      <alignment vertical="top"/>
    </xf>
    <xf numFmtId="0" fontId="94" fillId="75" borderId="87" xfId="31" applyFont="1" applyFill="1" applyBorder="1" applyAlignment="1">
      <alignment vertical="top"/>
    </xf>
    <xf numFmtId="0" fontId="86" fillId="36" borderId="87" xfId="31" applyFill="1" applyBorder="1" applyAlignment="1">
      <alignment vertical="top"/>
    </xf>
    <xf numFmtId="44" fontId="2" fillId="0" borderId="0" xfId="1" applyFont="1" applyAlignment="1">
      <alignment horizontal="right" vertical="top"/>
    </xf>
    <xf numFmtId="0" fontId="0" fillId="0" borderId="18" xfId="0" applyBorder="1"/>
    <xf numFmtId="0" fontId="0" fillId="0" borderId="78" xfId="0" applyBorder="1"/>
    <xf numFmtId="8" fontId="0" fillId="0" borderId="37" xfId="0" applyNumberFormat="1" applyBorder="1"/>
    <xf numFmtId="6" fontId="0" fillId="0" borderId="37" xfId="0" applyNumberFormat="1" applyBorder="1"/>
    <xf numFmtId="8" fontId="0" fillId="0" borderId="69" xfId="0" applyNumberFormat="1" applyBorder="1"/>
    <xf numFmtId="169" fontId="44" fillId="68" borderId="87" xfId="0" applyNumberFormat="1" applyFont="1" applyFill="1" applyBorder="1" applyAlignment="1">
      <alignment vertical="center" wrapText="1"/>
    </xf>
    <xf numFmtId="0" fontId="44" fillId="68" borderId="88" xfId="0" applyNumberFormat="1" applyFont="1" applyFill="1" applyBorder="1" applyAlignment="1">
      <alignment horizontal="center" vertical="center" wrapText="1"/>
    </xf>
    <xf numFmtId="0" fontId="44" fillId="68" borderId="87" xfId="0" applyNumberFormat="1" applyFont="1" applyFill="1" applyBorder="1" applyAlignment="1">
      <alignment horizontal="center" vertical="center" wrapText="1"/>
    </xf>
    <xf numFmtId="44" fontId="86" fillId="0" borderId="0" xfId="1" applyFont="1" applyBorder="1" applyAlignment="1">
      <alignment horizontal="right" vertical="top"/>
    </xf>
    <xf numFmtId="9" fontId="38" fillId="7" borderId="122" xfId="16" applyFont="1" applyFill="1" applyBorder="1" applyAlignment="1">
      <alignment horizontal="center" vertical="center"/>
    </xf>
    <xf numFmtId="169" fontId="46" fillId="7" borderId="54" xfId="0" applyNumberFormat="1" applyFont="1" applyFill="1" applyBorder="1" applyAlignment="1">
      <alignment horizontal="right" vertical="center" wrapText="1"/>
    </xf>
    <xf numFmtId="169" fontId="47" fillId="68" borderId="86" xfId="0" applyNumberFormat="1" applyFont="1" applyFill="1" applyBorder="1" applyAlignment="1">
      <alignment horizontal="right" vertical="center" wrapText="1"/>
    </xf>
    <xf numFmtId="0" fontId="27" fillId="76" borderId="11" xfId="0" applyFont="1" applyFill="1" applyBorder="1" applyAlignment="1">
      <alignment horizontal="center" vertical="center" wrapText="1"/>
    </xf>
    <xf numFmtId="0" fontId="27" fillId="66" borderId="11" xfId="0" applyFont="1" applyFill="1" applyBorder="1" applyAlignment="1">
      <alignment horizontal="center" vertical="center" wrapText="1"/>
    </xf>
    <xf numFmtId="0" fontId="27" fillId="35" borderId="79" xfId="0" applyFont="1" applyFill="1" applyBorder="1" applyAlignment="1">
      <alignment vertical="center" wrapText="1"/>
    </xf>
    <xf numFmtId="0" fontId="27" fillId="37" borderId="11" xfId="0" applyFont="1" applyFill="1" applyBorder="1" applyAlignment="1">
      <alignment horizontal="center" vertical="center" wrapText="1"/>
    </xf>
    <xf numFmtId="0" fontId="40" fillId="31" borderId="54" xfId="0" applyFont="1" applyFill="1" applyBorder="1" applyAlignment="1">
      <alignment horizontal="left" vertical="center"/>
    </xf>
    <xf numFmtId="0" fontId="40" fillId="31" borderId="123" xfId="0" applyFont="1" applyFill="1" applyBorder="1" applyAlignment="1">
      <alignment horizontal="left" vertical="center"/>
    </xf>
    <xf numFmtId="164" fontId="38" fillId="7" borderId="53" xfId="0" applyNumberFormat="1" applyFont="1" applyFill="1" applyBorder="1" applyAlignment="1">
      <alignment horizontal="center" vertical="center"/>
    </xf>
    <xf numFmtId="164" fontId="38" fillId="7" borderId="26" xfId="0" applyNumberFormat="1" applyFont="1" applyFill="1" applyBorder="1" applyAlignment="1">
      <alignment horizontal="center" vertical="center"/>
    </xf>
    <xf numFmtId="164" fontId="38" fillId="7" borderId="26" xfId="1" applyNumberFormat="1" applyFont="1" applyFill="1" applyBorder="1" applyAlignment="1">
      <alignment horizontal="center" vertical="center"/>
    </xf>
    <xf numFmtId="164" fontId="38" fillId="0" borderId="26" xfId="1" applyNumberFormat="1" applyFont="1" applyBorder="1" applyAlignment="1">
      <alignment horizontal="center" vertical="center"/>
    </xf>
    <xf numFmtId="177" fontId="38" fillId="0" borderId="22" xfId="16" applyNumberFormat="1" applyFont="1" applyBorder="1" applyAlignment="1">
      <alignment horizontal="center" vertical="center"/>
    </xf>
    <xf numFmtId="164" fontId="38" fillId="0" borderId="45" xfId="0" applyNumberFormat="1" applyFont="1" applyBorder="1" applyAlignment="1">
      <alignment horizontal="center" vertical="center"/>
    </xf>
    <xf numFmtId="9" fontId="38" fillId="0" borderId="22" xfId="16" applyFont="1" applyBorder="1" applyAlignment="1">
      <alignment horizontal="center" vertical="center"/>
    </xf>
    <xf numFmtId="0" fontId="27" fillId="77" borderId="11" xfId="0" applyFont="1" applyFill="1" applyBorder="1" applyAlignment="1">
      <alignment horizontal="center" vertical="center" wrapText="1"/>
    </xf>
    <xf numFmtId="169" fontId="49" fillId="24" borderId="56" xfId="0" applyNumberFormat="1" applyFont="1" applyFill="1" applyBorder="1" applyAlignment="1">
      <alignment horizontal="right" vertical="center" wrapText="1"/>
    </xf>
    <xf numFmtId="169" fontId="49" fillId="24" borderId="80" xfId="0" applyNumberFormat="1" applyFont="1" applyFill="1" applyBorder="1" applyAlignment="1">
      <alignment horizontal="right" vertical="center" wrapText="1"/>
    </xf>
    <xf numFmtId="0" fontId="37" fillId="28" borderId="88" xfId="0" applyFont="1" applyFill="1" applyBorder="1" applyAlignment="1" applyProtection="1">
      <alignment vertical="center" wrapText="1"/>
    </xf>
    <xf numFmtId="169" fontId="47" fillId="29" borderId="38" xfId="0" applyNumberFormat="1" applyFont="1" applyFill="1" applyBorder="1" applyAlignment="1">
      <alignment horizontal="right" vertical="center" wrapText="1"/>
    </xf>
    <xf numFmtId="169" fontId="67" fillId="29" borderId="88" xfId="0" applyNumberFormat="1" applyFont="1" applyFill="1" applyBorder="1" applyAlignment="1">
      <alignment horizontal="right" vertical="center" wrapText="1"/>
    </xf>
    <xf numFmtId="169" fontId="52" fillId="24" borderId="2" xfId="0" applyNumberFormat="1" applyFont="1" applyFill="1" applyBorder="1" applyAlignment="1">
      <alignment horizontal="right" vertical="center" wrapText="1"/>
    </xf>
    <xf numFmtId="169" fontId="46" fillId="30" borderId="88" xfId="0" applyNumberFormat="1" applyFont="1" applyFill="1" applyBorder="1" applyAlignment="1">
      <alignment horizontal="right" vertical="center" wrapText="1"/>
    </xf>
    <xf numFmtId="169" fontId="46" fillId="30" borderId="84" xfId="0" applyNumberFormat="1" applyFont="1" applyFill="1" applyBorder="1" applyAlignment="1">
      <alignment horizontal="right" vertical="center" wrapText="1"/>
    </xf>
    <xf numFmtId="169" fontId="54" fillId="24" borderId="2" xfId="0" applyNumberFormat="1" applyFont="1" applyFill="1" applyBorder="1" applyAlignment="1">
      <alignment horizontal="right" vertical="center" wrapText="1"/>
    </xf>
    <xf numFmtId="169" fontId="56" fillId="24" borderId="38" xfId="0" applyNumberFormat="1" applyFont="1" applyFill="1" applyBorder="1" applyAlignment="1">
      <alignment horizontal="right" vertical="center" wrapText="1"/>
    </xf>
    <xf numFmtId="0" fontId="39" fillId="5" borderId="12" xfId="0" applyFont="1" applyFill="1" applyBorder="1" applyAlignment="1">
      <alignment horizontal="center" vertical="center"/>
    </xf>
    <xf numFmtId="0" fontId="39" fillId="5" borderId="0" xfId="0" applyFont="1" applyFill="1" applyBorder="1" applyAlignment="1">
      <alignment horizontal="center" vertical="center"/>
    </xf>
    <xf numFmtId="0" fontId="39" fillId="5" borderId="13" xfId="0" applyFont="1" applyFill="1" applyBorder="1" applyAlignment="1">
      <alignment horizontal="center" vertical="center"/>
    </xf>
    <xf numFmtId="0" fontId="40" fillId="28" borderId="124" xfId="0" applyFont="1" applyFill="1" applyBorder="1" applyAlignment="1" applyProtection="1">
      <alignment horizontal="center" vertical="center" wrapText="1"/>
    </xf>
    <xf numFmtId="14" fontId="40" fillId="28" borderId="13" xfId="0" applyNumberFormat="1" applyFont="1" applyFill="1" applyBorder="1" applyAlignment="1" applyProtection="1">
      <alignment horizontal="center" vertical="center" wrapText="1"/>
    </xf>
    <xf numFmtId="0" fontId="40" fillId="28" borderId="125" xfId="0" applyFont="1" applyFill="1" applyBorder="1" applyAlignment="1" applyProtection="1">
      <alignment horizontal="center" vertical="center" wrapText="1"/>
    </xf>
    <xf numFmtId="0" fontId="40" fillId="28" borderId="13" xfId="0" applyFont="1" applyFill="1" applyBorder="1" applyAlignment="1" applyProtection="1">
      <alignment horizontal="center" vertical="center" wrapText="1"/>
    </xf>
    <xf numFmtId="169" fontId="49" fillId="24" borderId="58" xfId="0" applyNumberFormat="1" applyFont="1" applyFill="1" applyBorder="1" applyAlignment="1">
      <alignment horizontal="right" vertical="center" wrapText="1"/>
    </xf>
    <xf numFmtId="169" fontId="49" fillId="24" borderId="31" xfId="0" applyNumberFormat="1" applyFont="1" applyFill="1" applyBorder="1" applyAlignment="1">
      <alignment horizontal="right" vertical="center" wrapText="1"/>
    </xf>
    <xf numFmtId="0" fontId="37" fillId="28" borderId="91" xfId="0" applyFont="1" applyFill="1" applyBorder="1" applyAlignment="1" applyProtection="1">
      <alignment vertical="center" wrapText="1"/>
    </xf>
    <xf numFmtId="0" fontId="37" fillId="28" borderId="87" xfId="0" applyFont="1" applyFill="1" applyBorder="1" applyAlignment="1" applyProtection="1">
      <alignment vertical="center" wrapText="1"/>
    </xf>
    <xf numFmtId="0" fontId="37" fillId="28" borderId="37" xfId="0" applyFont="1" applyFill="1" applyBorder="1" applyAlignment="1" applyProtection="1">
      <alignment vertical="center" wrapText="1"/>
    </xf>
    <xf numFmtId="169" fontId="47" fillId="29" borderId="90" xfId="0" applyNumberFormat="1" applyFont="1" applyFill="1" applyBorder="1" applyAlignment="1">
      <alignment horizontal="right" vertical="center" wrapText="1"/>
    </xf>
    <xf numFmtId="169" fontId="58" fillId="49" borderId="91" xfId="0" applyNumberFormat="1" applyFont="1" applyFill="1" applyBorder="1" applyAlignment="1"/>
    <xf numFmtId="169" fontId="67" fillId="29" borderId="87" xfId="0" applyNumberFormat="1" applyFont="1" applyFill="1" applyBorder="1" applyAlignment="1">
      <alignment horizontal="right" vertical="center" wrapText="1"/>
    </xf>
    <xf numFmtId="169" fontId="47" fillId="29" borderId="37" xfId="0" applyNumberFormat="1" applyFont="1" applyFill="1" applyBorder="1" applyAlignment="1">
      <alignment horizontal="right" vertical="center" wrapText="1"/>
    </xf>
    <xf numFmtId="169" fontId="46" fillId="30" borderId="37" xfId="0" applyNumberFormat="1" applyFont="1" applyFill="1" applyBorder="1" applyAlignment="1">
      <alignment horizontal="right" vertical="center" wrapText="1"/>
    </xf>
    <xf numFmtId="169" fontId="46" fillId="30" borderId="122" xfId="0" applyNumberFormat="1" applyFont="1" applyFill="1" applyBorder="1" applyAlignment="1">
      <alignment horizontal="right" vertical="center" wrapText="1"/>
    </xf>
    <xf numFmtId="169" fontId="35" fillId="0" borderId="23" xfId="0" applyNumberFormat="1" applyFont="1" applyFill="1" applyBorder="1" applyAlignment="1" applyProtection="1">
      <alignment horizontal="right" vertical="center" wrapText="1"/>
    </xf>
    <xf numFmtId="169" fontId="56" fillId="24" borderId="50" xfId="0" applyNumberFormat="1" applyFont="1" applyFill="1" applyBorder="1" applyAlignment="1">
      <alignment horizontal="right" vertical="center" wrapText="1"/>
    </xf>
    <xf numFmtId="0" fontId="44" fillId="5" borderId="88" xfId="0" applyNumberFormat="1" applyFont="1" applyFill="1" applyBorder="1" applyAlignment="1">
      <alignment horizontal="center" vertical="center" wrapText="1"/>
    </xf>
    <xf numFmtId="8" fontId="15" fillId="0" borderId="87" xfId="0" applyNumberFormat="1" applyFont="1" applyBorder="1" applyAlignment="1">
      <alignment wrapText="1"/>
    </xf>
    <xf numFmtId="0" fontId="15" fillId="0" borderId="87" xfId="0" applyFont="1" applyBorder="1" applyAlignment="1">
      <alignment horizontal="left"/>
    </xf>
    <xf numFmtId="0" fontId="15" fillId="0" borderId="87" xfId="0" applyFont="1" applyBorder="1" applyAlignment="1">
      <alignment horizontal="left" wrapText="1"/>
    </xf>
    <xf numFmtId="0" fontId="20" fillId="10" borderId="87" xfId="0" applyFont="1" applyFill="1" applyBorder="1" applyAlignment="1">
      <alignment horizontal="left" vertical="center"/>
    </xf>
    <xf numFmtId="0" fontId="20" fillId="10" borderId="87" xfId="0" applyFont="1" applyFill="1" applyBorder="1" applyAlignment="1">
      <alignment horizontal="left" vertical="center" wrapText="1"/>
    </xf>
    <xf numFmtId="0" fontId="15" fillId="0" borderId="87" xfId="0" applyFont="1" applyFill="1" applyBorder="1" applyAlignment="1">
      <alignment horizontal="left" wrapText="1"/>
    </xf>
    <xf numFmtId="0" fontId="0" fillId="0" borderId="87" xfId="0" applyBorder="1" applyAlignment="1">
      <alignment wrapText="1"/>
    </xf>
    <xf numFmtId="0" fontId="0" fillId="0" borderId="0" xfId="0"/>
    <xf numFmtId="0" fontId="7" fillId="0" borderId="91" xfId="0" applyFont="1" applyBorder="1"/>
    <xf numFmtId="0" fontId="7" fillId="0" borderId="23" xfId="0" applyFont="1" applyBorder="1"/>
    <xf numFmtId="164" fontId="0" fillId="0" borderId="83" xfId="1" applyNumberFormat="1" applyFont="1" applyBorder="1"/>
    <xf numFmtId="4" fontId="86" fillId="0" borderId="0" xfId="30" applyNumberFormat="1" applyFill="1" applyAlignment="1">
      <alignment horizontal="right" vertical="top"/>
    </xf>
    <xf numFmtId="169" fontId="46" fillId="7" borderId="85" xfId="0" applyNumberFormat="1" applyFont="1" applyFill="1" applyBorder="1" applyAlignment="1">
      <alignment horizontal="right" vertical="center" wrapText="1"/>
    </xf>
    <xf numFmtId="0" fontId="65" fillId="35" borderId="0" xfId="0" applyFont="1" applyFill="1" applyBorder="1"/>
    <xf numFmtId="0" fontId="65" fillId="35" borderId="73" xfId="0" applyFont="1" applyFill="1" applyBorder="1"/>
    <xf numFmtId="0" fontId="65" fillId="35" borderId="74" xfId="0" applyFont="1" applyFill="1" applyBorder="1"/>
    <xf numFmtId="0" fontId="65" fillId="35" borderId="46" xfId="0" applyFont="1" applyFill="1" applyBorder="1"/>
    <xf numFmtId="0" fontId="65" fillId="35" borderId="47" xfId="0" applyFont="1" applyFill="1" applyBorder="1"/>
    <xf numFmtId="0" fontId="7" fillId="22" borderId="11" xfId="0" applyFont="1" applyFill="1" applyBorder="1"/>
    <xf numFmtId="164" fontId="7" fillId="22" borderId="11" xfId="0" applyNumberFormat="1" applyFont="1" applyFill="1" applyBorder="1"/>
    <xf numFmtId="164" fontId="7" fillId="22" borderId="4" xfId="0" applyNumberFormat="1" applyFont="1" applyFill="1" applyBorder="1"/>
    <xf numFmtId="164" fontId="7" fillId="22" borderId="78" xfId="0" applyNumberFormat="1" applyFont="1" applyFill="1" applyBorder="1"/>
    <xf numFmtId="169" fontId="46" fillId="107" borderId="85" xfId="0" applyNumberFormat="1" applyFont="1" applyFill="1" applyBorder="1" applyAlignment="1">
      <alignment horizontal="right" vertical="center" wrapText="1"/>
    </xf>
    <xf numFmtId="169" fontId="45" fillId="107" borderId="85" xfId="0" applyNumberFormat="1" applyFont="1" applyFill="1" applyBorder="1" applyAlignment="1">
      <alignment horizontal="right" vertical="center" wrapText="1"/>
    </xf>
    <xf numFmtId="169" fontId="45" fillId="107" borderId="54" xfId="0" applyNumberFormat="1" applyFont="1" applyFill="1" applyBorder="1" applyAlignment="1">
      <alignment horizontal="right" vertical="center" wrapText="1"/>
    </xf>
    <xf numFmtId="44" fontId="44" fillId="107" borderId="87" xfId="1" applyFont="1" applyFill="1" applyBorder="1" applyAlignment="1">
      <alignment horizontal="center" vertical="center" wrapText="1"/>
    </xf>
    <xf numFmtId="169" fontId="45" fillId="107" borderId="55" xfId="0" applyNumberFormat="1" applyFont="1" applyFill="1" applyBorder="1" applyAlignment="1">
      <alignment horizontal="right" vertical="center" wrapText="1"/>
    </xf>
    <xf numFmtId="169" fontId="45" fillId="5" borderId="55" xfId="0" applyNumberFormat="1" applyFont="1" applyFill="1" applyBorder="1" applyAlignment="1">
      <alignment horizontal="right" vertical="center" wrapText="1"/>
    </xf>
    <xf numFmtId="169" fontId="46" fillId="7" borderId="64" xfId="0" applyNumberFormat="1" applyFont="1" applyFill="1" applyBorder="1" applyAlignment="1">
      <alignment horizontal="right" vertical="center" wrapText="1"/>
    </xf>
    <xf numFmtId="169" fontId="47" fillId="5" borderId="90" xfId="0" applyNumberFormat="1" applyFont="1" applyFill="1" applyBorder="1" applyAlignment="1">
      <alignment horizontal="right" vertical="center" wrapText="1"/>
    </xf>
    <xf numFmtId="0" fontId="2" fillId="0" borderId="0" xfId="30" applyFont="1" applyAlignment="1">
      <alignment vertical="top"/>
    </xf>
    <xf numFmtId="0" fontId="78" fillId="25" borderId="88" xfId="20" applyFont="1" applyFill="1" applyBorder="1"/>
    <xf numFmtId="0" fontId="78" fillId="25" borderId="20" xfId="20" applyFont="1" applyFill="1" applyBorder="1"/>
    <xf numFmtId="0" fontId="78" fillId="25" borderId="15" xfId="20" applyFont="1" applyFill="1" applyBorder="1"/>
    <xf numFmtId="14" fontId="2" fillId="25" borderId="16" xfId="19" applyNumberFormat="1" applyFont="1" applyFill="1" applyBorder="1"/>
    <xf numFmtId="0" fontId="106" fillId="0" borderId="0" xfId="69" applyFont="1"/>
    <xf numFmtId="14" fontId="106" fillId="0" borderId="0" xfId="69" applyNumberFormat="1" applyFont="1" applyAlignment="1">
      <alignment horizontal="right"/>
    </xf>
    <xf numFmtId="3" fontId="106" fillId="0" borderId="0" xfId="69" applyNumberFormat="1" applyFont="1" applyAlignment="1">
      <alignment horizontal="right"/>
    </xf>
    <xf numFmtId="4" fontId="106" fillId="0" borderId="0" xfId="69" applyNumberFormat="1" applyFont="1" applyAlignment="1">
      <alignment horizontal="right"/>
    </xf>
    <xf numFmtId="0" fontId="58" fillId="108" borderId="0" xfId="0" applyFont="1" applyFill="1"/>
    <xf numFmtId="44" fontId="7" fillId="0" borderId="87" xfId="1" applyFont="1" applyBorder="1"/>
    <xf numFmtId="0" fontId="106" fillId="0" borderId="0" xfId="69" applyAlignment="1">
      <alignment vertical="top"/>
    </xf>
    <xf numFmtId="14" fontId="106" fillId="0" borderId="0" xfId="69" applyNumberFormat="1" applyAlignment="1">
      <alignment horizontal="right" vertical="top"/>
    </xf>
    <xf numFmtId="3" fontId="106" fillId="0" borderId="0" xfId="69" applyNumberFormat="1" applyAlignment="1">
      <alignment horizontal="right" vertical="top"/>
    </xf>
    <xf numFmtId="4" fontId="106" fillId="0" borderId="0" xfId="69" applyNumberFormat="1" applyAlignment="1">
      <alignment horizontal="right" vertical="top"/>
    </xf>
    <xf numFmtId="168" fontId="106" fillId="0" borderId="0" xfId="69" applyNumberFormat="1" applyAlignment="1">
      <alignment horizontal="right" vertical="top"/>
    </xf>
    <xf numFmtId="168" fontId="106" fillId="0" borderId="0" xfId="69" applyNumberFormat="1" applyFont="1" applyAlignment="1">
      <alignment horizontal="right"/>
    </xf>
    <xf numFmtId="0" fontId="106" fillId="0" borderId="9" xfId="69" applyBorder="1" applyAlignment="1">
      <alignment vertical="top"/>
    </xf>
    <xf numFmtId="14" fontId="106" fillId="0" borderId="9" xfId="69" applyNumberFormat="1" applyBorder="1" applyAlignment="1">
      <alignment horizontal="right" vertical="top"/>
    </xf>
    <xf numFmtId="3" fontId="106" fillId="0" borderId="9" xfId="69" applyNumberFormat="1" applyBorder="1" applyAlignment="1">
      <alignment horizontal="right" vertical="top"/>
    </xf>
    <xf numFmtId="4" fontId="106" fillId="0" borderId="9" xfId="69" applyNumberFormat="1" applyBorder="1" applyAlignment="1">
      <alignment horizontal="right" vertical="top"/>
    </xf>
    <xf numFmtId="169" fontId="45" fillId="21" borderId="52" xfId="0" applyNumberFormat="1" applyFont="1" applyFill="1" applyBorder="1" applyAlignment="1">
      <alignment horizontal="right" vertical="center" wrapText="1"/>
    </xf>
    <xf numFmtId="0" fontId="7" fillId="36" borderId="18" xfId="0" applyFont="1" applyFill="1" applyBorder="1"/>
    <xf numFmtId="164" fontId="0" fillId="36" borderId="17" xfId="1" applyNumberFormat="1" applyFont="1" applyFill="1" applyBorder="1"/>
    <xf numFmtId="164" fontId="7" fillId="36" borderId="78" xfId="0" applyNumberFormat="1" applyFont="1" applyFill="1" applyBorder="1"/>
    <xf numFmtId="0" fontId="7" fillId="36" borderId="91" xfId="0" applyFont="1" applyFill="1" applyBorder="1"/>
    <xf numFmtId="164" fontId="0" fillId="36" borderId="87" xfId="1" applyNumberFormat="1" applyFont="1" applyFill="1" applyBorder="1"/>
    <xf numFmtId="0" fontId="65" fillId="48" borderId="87" xfId="0" applyFont="1" applyFill="1" applyBorder="1"/>
    <xf numFmtId="164" fontId="0" fillId="0" borderId="87" xfId="0" applyNumberFormat="1" applyBorder="1"/>
    <xf numFmtId="0" fontId="20" fillId="10" borderId="51" xfId="0" applyFont="1" applyFill="1" applyBorder="1" applyAlignment="1">
      <alignment horizontal="left" vertical="center" wrapText="1"/>
    </xf>
    <xf numFmtId="0" fontId="0" fillId="0" borderId="87" xfId="0" applyBorder="1" applyAlignment="1">
      <alignment horizontal="center" wrapText="1"/>
    </xf>
    <xf numFmtId="169" fontId="44" fillId="22" borderId="87" xfId="0" applyNumberFormat="1" applyFont="1" applyFill="1" applyBorder="1" applyAlignment="1">
      <alignment vertical="center" wrapText="1"/>
    </xf>
    <xf numFmtId="0" fontId="44" fillId="22" borderId="88" xfId="0" applyNumberFormat="1" applyFont="1" applyFill="1" applyBorder="1" applyAlignment="1">
      <alignment horizontal="center" vertical="center" wrapText="1"/>
    </xf>
    <xf numFmtId="0" fontId="44" fillId="22" borderId="87" xfId="0" applyNumberFormat="1" applyFont="1" applyFill="1" applyBorder="1" applyAlignment="1">
      <alignment horizontal="center" vertical="center" wrapText="1"/>
    </xf>
    <xf numFmtId="169" fontId="44" fillId="18" borderId="87" xfId="0" applyNumberFormat="1" applyFont="1" applyFill="1" applyBorder="1" applyAlignment="1">
      <alignment vertical="center" wrapText="1"/>
    </xf>
    <xf numFmtId="0" fontId="44" fillId="18" borderId="88" xfId="0" applyNumberFormat="1" applyFont="1" applyFill="1" applyBorder="1" applyAlignment="1">
      <alignment horizontal="center" vertical="center" wrapText="1"/>
    </xf>
    <xf numFmtId="10" fontId="44" fillId="18" borderId="87" xfId="0" applyNumberFormat="1" applyFont="1" applyFill="1" applyBorder="1" applyAlignment="1">
      <alignment horizontal="center" vertical="center" wrapText="1"/>
    </xf>
    <xf numFmtId="0" fontId="44" fillId="22" borderId="88" xfId="0" applyNumberFormat="1" applyFont="1" applyFill="1" applyBorder="1" applyAlignment="1">
      <alignment horizontal="left" vertical="center" wrapText="1"/>
    </xf>
    <xf numFmtId="9" fontId="44" fillId="22" borderId="87" xfId="0" applyNumberFormat="1" applyFont="1" applyFill="1" applyBorder="1" applyAlignment="1">
      <alignment horizontal="left" vertical="center" wrapText="1"/>
    </xf>
    <xf numFmtId="0" fontId="44" fillId="18" borderId="88" xfId="0" applyNumberFormat="1" applyFont="1" applyFill="1" applyBorder="1" applyAlignment="1">
      <alignment horizontal="left" vertical="center" wrapText="1"/>
    </xf>
    <xf numFmtId="9" fontId="44" fillId="18" borderId="87" xfId="0" applyNumberFormat="1" applyFont="1" applyFill="1" applyBorder="1" applyAlignment="1">
      <alignment horizontal="left" vertical="center" wrapText="1"/>
    </xf>
    <xf numFmtId="44" fontId="44" fillId="18" borderId="87" xfId="1" applyFont="1" applyFill="1" applyBorder="1" applyAlignment="1">
      <alignment horizontal="left" vertical="center" wrapText="1"/>
    </xf>
    <xf numFmtId="0" fontId="44" fillId="22" borderId="87" xfId="0" applyNumberFormat="1" applyFont="1" applyFill="1" applyBorder="1" applyAlignment="1">
      <alignment horizontal="left" vertical="center" wrapText="1"/>
    </xf>
    <xf numFmtId="0" fontId="44" fillId="18" borderId="87" xfId="0" applyNumberFormat="1" applyFont="1" applyFill="1" applyBorder="1" applyAlignment="1">
      <alignment horizontal="left" vertical="center" wrapText="1"/>
    </xf>
    <xf numFmtId="44" fontId="44" fillId="22" borderId="87" xfId="1" applyFont="1" applyFill="1" applyBorder="1" applyAlignment="1">
      <alignment horizontal="left" vertical="center" wrapText="1"/>
    </xf>
    <xf numFmtId="6" fontId="44" fillId="18" borderId="87" xfId="0" applyNumberFormat="1" applyFont="1" applyFill="1" applyBorder="1" applyAlignment="1">
      <alignment horizontal="center" vertical="center" wrapText="1"/>
    </xf>
    <xf numFmtId="4" fontId="44" fillId="18" borderId="87" xfId="0" applyNumberFormat="1" applyFont="1" applyFill="1" applyBorder="1" applyAlignment="1">
      <alignment horizontal="center" vertical="center" wrapText="1"/>
    </xf>
    <xf numFmtId="6" fontId="44" fillId="22" borderId="87" xfId="0" applyNumberFormat="1" applyFont="1" applyFill="1" applyBorder="1" applyAlignment="1">
      <alignment horizontal="center" vertical="center" wrapText="1"/>
    </xf>
    <xf numFmtId="8" fontId="44" fillId="18" borderId="87" xfId="0" applyNumberFormat="1" applyFont="1" applyFill="1" applyBorder="1" applyAlignment="1">
      <alignment horizontal="center" vertical="center" wrapText="1"/>
    </xf>
    <xf numFmtId="0" fontId="0" fillId="109" borderId="87" xfId="0" applyFont="1" applyFill="1" applyBorder="1" applyAlignment="1">
      <alignment wrapText="1"/>
    </xf>
    <xf numFmtId="169" fontId="44" fillId="22" borderId="87" xfId="0" applyNumberFormat="1" applyFont="1" applyFill="1" applyBorder="1" applyAlignment="1">
      <alignment horizontal="left" vertical="center" wrapText="1"/>
    </xf>
    <xf numFmtId="169" fontId="44" fillId="22" borderId="27" xfId="0" applyNumberFormat="1" applyFont="1" applyFill="1" applyBorder="1" applyAlignment="1">
      <alignment horizontal="left" vertical="center" wrapText="1"/>
    </xf>
    <xf numFmtId="169" fontId="44" fillId="18" borderId="64" xfId="0" applyNumberFormat="1" applyFont="1" applyFill="1" applyBorder="1" applyAlignment="1">
      <alignment horizontal="left" vertical="center" wrapText="1"/>
    </xf>
    <xf numFmtId="169" fontId="44" fillId="18" borderId="87" xfId="0" applyNumberFormat="1" applyFont="1" applyFill="1" applyBorder="1" applyAlignment="1">
      <alignment horizontal="left" vertical="center" wrapText="1"/>
    </xf>
    <xf numFmtId="169" fontId="44" fillId="18" borderId="27" xfId="0" applyNumberFormat="1" applyFont="1" applyFill="1" applyBorder="1" applyAlignment="1">
      <alignment horizontal="left" vertical="center" wrapText="1"/>
    </xf>
    <xf numFmtId="4" fontId="106" fillId="0" borderId="0" xfId="69" applyNumberFormat="1" applyFill="1" applyAlignment="1">
      <alignment horizontal="right" vertical="top"/>
    </xf>
    <xf numFmtId="0" fontId="65" fillId="108" borderId="87" xfId="0" applyFont="1" applyFill="1" applyBorder="1" applyAlignment="1">
      <alignment horizontal="center" vertical="center"/>
    </xf>
    <xf numFmtId="0" fontId="0" fillId="0" borderId="87" xfId="0" applyBorder="1" applyAlignment="1">
      <alignment horizontal="center"/>
    </xf>
    <xf numFmtId="8" fontId="0" fillId="0" borderId="87" xfId="0" applyNumberFormat="1" applyBorder="1" applyAlignment="1">
      <alignment horizontal="center"/>
    </xf>
    <xf numFmtId="9" fontId="0" fillId="0" borderId="87" xfId="0" applyNumberFormat="1" applyBorder="1" applyAlignment="1">
      <alignment horizontal="center"/>
    </xf>
    <xf numFmtId="9" fontId="0" fillId="0" borderId="0" xfId="16" applyFont="1"/>
    <xf numFmtId="169" fontId="47" fillId="68" borderId="90" xfId="0" applyNumberFormat="1" applyFont="1" applyFill="1" applyBorder="1" applyAlignment="1">
      <alignment horizontal="right" vertical="center" wrapText="1"/>
    </xf>
    <xf numFmtId="169" fontId="46" fillId="36" borderId="8" xfId="0" applyNumberFormat="1" applyFont="1" applyFill="1" applyBorder="1" applyAlignment="1">
      <alignment horizontal="right" vertical="center" wrapText="1"/>
    </xf>
    <xf numFmtId="164" fontId="38" fillId="0" borderId="0" xfId="1" applyNumberFormat="1" applyFont="1" applyAlignment="1">
      <alignment horizontal="center"/>
    </xf>
    <xf numFmtId="164" fontId="38" fillId="0" borderId="0" xfId="1" applyNumberFormat="1" applyFont="1"/>
    <xf numFmtId="164" fontId="0" fillId="0" borderId="0" xfId="1" applyNumberFormat="1" applyFont="1"/>
    <xf numFmtId="0" fontId="2" fillId="0" borderId="0" xfId="69" applyFont="1" applyAlignment="1">
      <alignment vertical="top"/>
    </xf>
    <xf numFmtId="0" fontId="0" fillId="0" borderId="0" xfId="0" applyBorder="1" applyAlignment="1">
      <alignment horizontal="center"/>
    </xf>
    <xf numFmtId="164" fontId="0" fillId="0" borderId="0" xfId="1" applyNumberFormat="1" applyFont="1" applyBorder="1"/>
    <xf numFmtId="164" fontId="7" fillId="7" borderId="0" xfId="1" applyNumberFormat="1" applyFont="1" applyFill="1"/>
    <xf numFmtId="178" fontId="38" fillId="0" borderId="0" xfId="0" applyNumberFormat="1" applyFont="1" applyAlignment="1">
      <alignment horizontal="center"/>
    </xf>
    <xf numFmtId="0" fontId="106" fillId="0" borderId="87" xfId="70" applyBorder="1" applyAlignment="1">
      <alignment vertical="top"/>
    </xf>
    <xf numFmtId="0" fontId="5" fillId="0" borderId="2" xfId="70" applyFont="1" applyBorder="1" applyAlignment="1">
      <alignment vertical="top"/>
    </xf>
    <xf numFmtId="0" fontId="5" fillId="0" borderId="3" xfId="70" applyNumberFormat="1" applyFont="1" applyBorder="1" applyAlignment="1">
      <alignment vertical="top"/>
    </xf>
    <xf numFmtId="44" fontId="5" fillId="0" borderId="4" xfId="70" applyNumberFormat="1" applyFont="1" applyBorder="1" applyAlignment="1">
      <alignment vertical="top"/>
    </xf>
    <xf numFmtId="0" fontId="94" fillId="39" borderId="87" xfId="70" applyFont="1" applyFill="1" applyBorder="1" applyAlignment="1">
      <alignment vertical="top"/>
    </xf>
    <xf numFmtId="0" fontId="106" fillId="36" borderId="87" xfId="70" applyFill="1" applyBorder="1" applyAlignment="1">
      <alignment horizontal="left" vertical="top"/>
    </xf>
    <xf numFmtId="0" fontId="106" fillId="36" borderId="87" xfId="70" applyNumberFormat="1" applyFill="1" applyBorder="1" applyAlignment="1">
      <alignment vertical="top"/>
    </xf>
    <xf numFmtId="44" fontId="106" fillId="36" borderId="87" xfId="70" applyNumberFormat="1" applyFill="1" applyBorder="1" applyAlignment="1">
      <alignment vertical="top"/>
    </xf>
    <xf numFmtId="44" fontId="106" fillId="20" borderId="41" xfId="1" applyFont="1" applyFill="1" applyBorder="1" applyAlignment="1">
      <alignment vertical="top"/>
    </xf>
    <xf numFmtId="44" fontId="106" fillId="20" borderId="42" xfId="1" applyFont="1" applyFill="1" applyBorder="1" applyAlignment="1">
      <alignment vertical="top"/>
    </xf>
    <xf numFmtId="44" fontId="106" fillId="0" borderId="42" xfId="1" applyFont="1" applyBorder="1" applyAlignment="1">
      <alignment vertical="top"/>
    </xf>
    <xf numFmtId="44" fontId="106" fillId="0" borderId="45" xfId="1" applyFont="1" applyBorder="1" applyAlignment="1">
      <alignment vertical="top"/>
    </xf>
    <xf numFmtId="44" fontId="5" fillId="22" borderId="15" xfId="1" applyFont="1" applyFill="1" applyBorder="1" applyAlignment="1">
      <alignment vertical="top"/>
    </xf>
    <xf numFmtId="0" fontId="94" fillId="38" borderId="11" xfId="70" applyFont="1" applyFill="1" applyBorder="1" applyAlignment="1">
      <alignment vertical="top"/>
    </xf>
    <xf numFmtId="44" fontId="94" fillId="38" borderId="11" xfId="1" applyFont="1" applyFill="1" applyBorder="1" applyAlignment="1">
      <alignment vertical="top"/>
    </xf>
    <xf numFmtId="44" fontId="27" fillId="110" borderId="17" xfId="1" applyNumberFormat="1" applyFont="1" applyFill="1" applyBorder="1" applyAlignment="1">
      <alignment vertical="top"/>
    </xf>
    <xf numFmtId="44" fontId="27" fillId="110" borderId="78" xfId="1" applyNumberFormat="1" applyFont="1" applyFill="1" applyBorder="1" applyAlignment="1">
      <alignment vertical="top"/>
    </xf>
    <xf numFmtId="0" fontId="106" fillId="20" borderId="41" xfId="70" applyFill="1" applyBorder="1" applyAlignment="1">
      <alignment horizontal="left" vertical="top"/>
    </xf>
    <xf numFmtId="0" fontId="2" fillId="20" borderId="87" xfId="70" applyFont="1" applyFill="1" applyBorder="1" applyAlignment="1">
      <alignment vertical="top"/>
    </xf>
    <xf numFmtId="0" fontId="106" fillId="20" borderId="37" xfId="70" applyFill="1" applyBorder="1" applyAlignment="1">
      <alignment vertical="top"/>
    </xf>
    <xf numFmtId="0" fontId="106" fillId="20" borderId="42" xfId="70" applyFill="1" applyBorder="1" applyAlignment="1">
      <alignment horizontal="left" vertical="top"/>
    </xf>
    <xf numFmtId="0" fontId="2" fillId="20" borderId="37" xfId="70" applyFont="1" applyFill="1" applyBorder="1" applyAlignment="1">
      <alignment vertical="top"/>
    </xf>
    <xf numFmtId="0" fontId="106" fillId="20" borderId="87" xfId="70" applyFill="1" applyBorder="1" applyAlignment="1">
      <alignment vertical="top"/>
    </xf>
    <xf numFmtId="0" fontId="2" fillId="20" borderId="37" xfId="70" applyFont="1" applyFill="1" applyBorder="1" applyAlignment="1">
      <alignment vertical="top" wrapText="1"/>
    </xf>
    <xf numFmtId="0" fontId="106" fillId="20" borderId="45" xfId="70" applyFill="1" applyBorder="1" applyAlignment="1">
      <alignment horizontal="left" vertical="top"/>
    </xf>
    <xf numFmtId="0" fontId="106" fillId="20" borderId="87" xfId="70" applyFill="1" applyBorder="1" applyAlignment="1">
      <alignment vertical="top" wrapText="1"/>
    </xf>
    <xf numFmtId="0" fontId="106" fillId="0" borderId="45" xfId="70" applyBorder="1" applyAlignment="1">
      <alignment horizontal="left" vertical="top"/>
    </xf>
    <xf numFmtId="0" fontId="106" fillId="0" borderId="37" xfId="70" applyBorder="1" applyAlignment="1">
      <alignment vertical="top"/>
    </xf>
    <xf numFmtId="0" fontId="106" fillId="0" borderId="11" xfId="70" applyBorder="1" applyAlignment="1">
      <alignment horizontal="left" vertical="top"/>
    </xf>
    <xf numFmtId="0" fontId="106" fillId="0" borderId="30" xfId="70" applyBorder="1" applyAlignment="1">
      <alignment vertical="top"/>
    </xf>
    <xf numFmtId="0" fontId="106" fillId="0" borderId="122" xfId="70" applyBorder="1" applyAlignment="1">
      <alignment vertical="top"/>
    </xf>
    <xf numFmtId="0" fontId="5" fillId="22" borderId="20" xfId="70" applyFont="1" applyFill="1" applyBorder="1" applyAlignment="1">
      <alignment vertical="top"/>
    </xf>
    <xf numFmtId="0" fontId="5" fillId="22" borderId="15" xfId="70" applyFont="1" applyFill="1" applyBorder="1" applyAlignment="1">
      <alignment vertical="top"/>
    </xf>
    <xf numFmtId="0" fontId="5" fillId="22" borderId="16" xfId="70" applyFont="1" applyFill="1" applyBorder="1" applyAlignment="1">
      <alignment vertical="top"/>
    </xf>
    <xf numFmtId="169" fontId="45" fillId="5" borderId="52" xfId="0" applyNumberFormat="1" applyFont="1" applyFill="1" applyBorder="1" applyAlignment="1">
      <alignment horizontal="right" vertical="center" wrapText="1"/>
    </xf>
    <xf numFmtId="0" fontId="22" fillId="2" borderId="0" xfId="0" applyFont="1" applyFill="1" applyAlignment="1">
      <alignment vertical="top" wrapText="1"/>
    </xf>
    <xf numFmtId="0" fontId="20" fillId="7" borderId="27" xfId="0" applyFont="1" applyFill="1" applyBorder="1" applyAlignment="1">
      <alignment horizontal="center" vertical="center"/>
    </xf>
    <xf numFmtId="0" fontId="23" fillId="38" borderId="41" xfId="0" applyFont="1" applyFill="1" applyBorder="1" applyAlignment="1">
      <alignment horizontal="center" wrapText="1"/>
    </xf>
    <xf numFmtId="0" fontId="23" fillId="38" borderId="45" xfId="0" applyFont="1" applyFill="1" applyBorder="1" applyAlignment="1">
      <alignment horizontal="center" wrapText="1"/>
    </xf>
    <xf numFmtId="0" fontId="23" fillId="39" borderId="5" xfId="0" applyFont="1" applyFill="1" applyBorder="1" applyAlignment="1">
      <alignment horizontal="center"/>
    </xf>
    <xf numFmtId="0" fontId="23" fillId="39" borderId="7" xfId="0" applyFont="1" applyFill="1" applyBorder="1" applyAlignment="1">
      <alignment horizontal="center"/>
    </xf>
    <xf numFmtId="0" fontId="23" fillId="39" borderId="8" xfId="0" applyFont="1" applyFill="1" applyBorder="1" applyAlignment="1">
      <alignment horizontal="center"/>
    </xf>
    <xf numFmtId="0" fontId="23" fillId="39" borderId="10" xfId="0" applyFont="1" applyFill="1" applyBorder="1" applyAlignment="1">
      <alignment horizontal="center"/>
    </xf>
    <xf numFmtId="169" fontId="47" fillId="29" borderId="47" xfId="0" applyNumberFormat="1" applyFont="1" applyFill="1" applyBorder="1" applyAlignment="1">
      <alignment horizontal="right" vertical="center" wrapText="1"/>
    </xf>
    <xf numFmtId="169" fontId="47" fillId="29" borderId="48" xfId="0" applyNumberFormat="1" applyFont="1" applyFill="1" applyBorder="1" applyAlignment="1">
      <alignment horizontal="right" vertical="center" wrapText="1"/>
    </xf>
    <xf numFmtId="169" fontId="47" fillId="29" borderId="50" xfId="0" applyNumberFormat="1" applyFont="1" applyFill="1" applyBorder="1" applyAlignment="1">
      <alignment horizontal="right" vertical="center" wrapText="1"/>
    </xf>
    <xf numFmtId="169" fontId="47" fillId="5" borderId="47" xfId="0" applyNumberFormat="1" applyFont="1" applyFill="1" applyBorder="1" applyAlignment="1">
      <alignment horizontal="right" vertical="center" wrapText="1"/>
    </xf>
    <xf numFmtId="169" fontId="47" fillId="5" borderId="48" xfId="0" applyNumberFormat="1" applyFont="1" applyFill="1" applyBorder="1" applyAlignment="1">
      <alignment horizontal="right" vertical="center" wrapText="1"/>
    </xf>
    <xf numFmtId="169" fontId="47" fillId="5" borderId="50" xfId="0" applyNumberFormat="1" applyFont="1" applyFill="1" applyBorder="1" applyAlignment="1">
      <alignment horizontal="right" vertical="center" wrapText="1"/>
    </xf>
    <xf numFmtId="0" fontId="74" fillId="35" borderId="5" xfId="0" applyFont="1" applyFill="1" applyBorder="1" applyAlignment="1" applyProtection="1">
      <alignment horizontal="center" vertical="center" wrapText="1"/>
    </xf>
    <xf numFmtId="0" fontId="40" fillId="35" borderId="6" xfId="0" applyFont="1" applyFill="1" applyBorder="1" applyAlignment="1" applyProtection="1">
      <alignment horizontal="center" vertical="center" wrapText="1"/>
    </xf>
    <xf numFmtId="0" fontId="40" fillId="35" borderId="12" xfId="0" applyFont="1" applyFill="1" applyBorder="1" applyAlignment="1" applyProtection="1">
      <alignment horizontal="center" vertical="center" wrapText="1"/>
    </xf>
    <xf numFmtId="0" fontId="40" fillId="35" borderId="0" xfId="0" applyFont="1" applyFill="1" applyBorder="1" applyAlignment="1" applyProtection="1">
      <alignment horizontal="center" vertical="center" wrapText="1"/>
    </xf>
    <xf numFmtId="0" fontId="40" fillId="35" borderId="8" xfId="0" applyFont="1" applyFill="1" applyBorder="1" applyAlignment="1" applyProtection="1">
      <alignment horizontal="center" vertical="center" wrapText="1"/>
    </xf>
    <xf numFmtId="0" fontId="40" fillId="35" borderId="9" xfId="0" applyFont="1" applyFill="1" applyBorder="1" applyAlignment="1" applyProtection="1">
      <alignment horizontal="center" vertical="center" wrapText="1"/>
    </xf>
    <xf numFmtId="169" fontId="43" fillId="7" borderId="46" xfId="0" applyNumberFormat="1" applyFont="1" applyFill="1" applyBorder="1" applyAlignment="1">
      <alignment horizontal="left" vertical="center" wrapText="1"/>
    </xf>
    <xf numFmtId="169" fontId="43" fillId="7" borderId="51" xfId="0" applyNumberFormat="1" applyFont="1" applyFill="1" applyBorder="1" applyAlignment="1">
      <alignment horizontal="left" vertical="center" wrapText="1"/>
    </xf>
    <xf numFmtId="169" fontId="43" fillId="7" borderId="49" xfId="0" applyNumberFormat="1" applyFont="1" applyFill="1" applyBorder="1" applyAlignment="1">
      <alignment horizontal="left" vertical="center" wrapText="1"/>
    </xf>
    <xf numFmtId="169" fontId="44" fillId="7" borderId="46" xfId="0" applyNumberFormat="1" applyFont="1" applyFill="1" applyBorder="1" applyAlignment="1">
      <alignment horizontal="left" vertical="center" wrapText="1"/>
    </xf>
    <xf numFmtId="169" fontId="44" fillId="7" borderId="51" xfId="0" applyNumberFormat="1" applyFont="1" applyFill="1" applyBorder="1" applyAlignment="1">
      <alignment horizontal="left" vertical="center" wrapText="1"/>
    </xf>
    <xf numFmtId="169" fontId="44" fillId="7" borderId="49" xfId="0" applyNumberFormat="1" applyFont="1" applyFill="1" applyBorder="1" applyAlignment="1">
      <alignment horizontal="left" vertical="center" wrapText="1"/>
    </xf>
    <xf numFmtId="169" fontId="44" fillId="7" borderId="46" xfId="0" applyNumberFormat="1" applyFont="1" applyFill="1" applyBorder="1" applyAlignment="1">
      <alignment horizontal="center" vertical="center" wrapText="1"/>
    </xf>
    <xf numFmtId="169" fontId="44" fillId="7" borderId="40" xfId="0" applyNumberFormat="1" applyFont="1" applyFill="1" applyBorder="1" applyAlignment="1">
      <alignment horizontal="center" vertical="center" wrapText="1"/>
    </xf>
    <xf numFmtId="169" fontId="44" fillId="7" borderId="1" xfId="0" applyNumberFormat="1" applyFont="1" applyFill="1" applyBorder="1" applyAlignment="1">
      <alignment horizontal="center" vertical="center" wrapText="1"/>
    </xf>
    <xf numFmtId="0" fontId="44" fillId="7" borderId="63" xfId="0" applyNumberFormat="1" applyFont="1" applyFill="1" applyBorder="1" applyAlignment="1">
      <alignment horizontal="center" vertical="center" wrapText="1"/>
    </xf>
    <xf numFmtId="0" fontId="44" fillId="7" borderId="92" xfId="0" applyNumberFormat="1" applyFont="1" applyFill="1" applyBorder="1" applyAlignment="1">
      <alignment horizontal="center" vertical="center" wrapText="1"/>
    </xf>
    <xf numFmtId="0" fontId="44" fillId="7" borderId="93" xfId="0" applyNumberFormat="1" applyFont="1" applyFill="1" applyBorder="1" applyAlignment="1">
      <alignment horizontal="center" vertical="center" wrapText="1"/>
    </xf>
    <xf numFmtId="169" fontId="47" fillId="29" borderId="63" xfId="0" applyNumberFormat="1" applyFont="1" applyFill="1" applyBorder="1" applyAlignment="1">
      <alignment horizontal="right" vertical="center" wrapText="1"/>
    </xf>
    <xf numFmtId="169" fontId="47" fillId="29" borderId="92" xfId="0" applyNumberFormat="1" applyFont="1" applyFill="1" applyBorder="1" applyAlignment="1">
      <alignment horizontal="right" vertical="center" wrapText="1"/>
    </xf>
    <xf numFmtId="169" fontId="47" fillId="29" borderId="93" xfId="0" applyNumberFormat="1" applyFont="1" applyFill="1" applyBorder="1" applyAlignment="1">
      <alignment horizontal="right" vertical="center" wrapText="1"/>
    </xf>
    <xf numFmtId="169" fontId="44" fillId="7" borderId="63" xfId="0" applyNumberFormat="1" applyFont="1" applyFill="1" applyBorder="1" applyAlignment="1">
      <alignment horizontal="center" vertical="center" wrapText="1"/>
    </xf>
    <xf numFmtId="169" fontId="44" fillId="7" borderId="92" xfId="0" applyNumberFormat="1" applyFont="1" applyFill="1" applyBorder="1" applyAlignment="1">
      <alignment horizontal="center" vertical="center" wrapText="1"/>
    </xf>
    <xf numFmtId="169" fontId="44" fillId="7" borderId="93" xfId="0" applyNumberFormat="1" applyFont="1" applyFill="1" applyBorder="1" applyAlignment="1">
      <alignment horizontal="center" vertical="center" wrapText="1"/>
    </xf>
    <xf numFmtId="9" fontId="44" fillId="7" borderId="63" xfId="16" applyFont="1" applyFill="1" applyBorder="1" applyAlignment="1">
      <alignment horizontal="center" vertical="center" wrapText="1"/>
    </xf>
    <xf numFmtId="9" fontId="44" fillId="7" borderId="92" xfId="16" applyFont="1" applyFill="1" applyBorder="1" applyAlignment="1">
      <alignment horizontal="center" vertical="center" wrapText="1"/>
    </xf>
    <xf numFmtId="9" fontId="44" fillId="7" borderId="93" xfId="16" applyFont="1" applyFill="1" applyBorder="1" applyAlignment="1">
      <alignment horizontal="center" vertical="center" wrapText="1"/>
    </xf>
    <xf numFmtId="0" fontId="39" fillId="61" borderId="5" xfId="0" applyFont="1" applyFill="1" applyBorder="1" applyAlignment="1">
      <alignment horizontal="center" vertical="center"/>
    </xf>
    <xf numFmtId="0" fontId="39" fillId="61" borderId="6" xfId="0" applyFont="1" applyFill="1" applyBorder="1" applyAlignment="1">
      <alignment horizontal="center" vertical="center"/>
    </xf>
    <xf numFmtId="0" fontId="39" fillId="61" borderId="7" xfId="0" applyFont="1" applyFill="1" applyBorder="1" applyAlignment="1">
      <alignment horizontal="center" vertical="center"/>
    </xf>
    <xf numFmtId="0" fontId="39" fillId="61" borderId="8" xfId="0" applyFont="1" applyFill="1" applyBorder="1" applyAlignment="1">
      <alignment horizontal="center" vertical="center"/>
    </xf>
    <xf numFmtId="0" fontId="39" fillId="61" borderId="9" xfId="0" applyFont="1" applyFill="1" applyBorder="1" applyAlignment="1">
      <alignment horizontal="center" vertical="center"/>
    </xf>
    <xf numFmtId="0" fontId="39" fillId="61" borderId="10" xfId="0" applyFont="1" applyFill="1" applyBorder="1" applyAlignment="1">
      <alignment horizontal="center" vertical="center"/>
    </xf>
    <xf numFmtId="0" fontId="41" fillId="33" borderId="0" xfId="0" applyFont="1" applyFill="1" applyAlignment="1">
      <alignment horizontal="center"/>
    </xf>
    <xf numFmtId="169" fontId="44" fillId="5" borderId="30" xfId="0" applyNumberFormat="1" applyFont="1" applyFill="1" applyBorder="1" applyAlignment="1">
      <alignment horizontal="center" vertical="center" wrapText="1"/>
    </xf>
    <xf numFmtId="169" fontId="44" fillId="5" borderId="51" xfId="0" applyNumberFormat="1" applyFont="1" applyFill="1" applyBorder="1" applyAlignment="1">
      <alignment horizontal="center" vertical="center" wrapText="1"/>
    </xf>
    <xf numFmtId="169" fontId="44" fillId="5" borderId="86" xfId="0" applyNumberFormat="1" applyFont="1" applyFill="1" applyBorder="1" applyAlignment="1">
      <alignment horizontal="center" vertical="center" wrapText="1"/>
    </xf>
    <xf numFmtId="0" fontId="0" fillId="34" borderId="84" xfId="0" applyFont="1" applyFill="1" applyBorder="1" applyAlignment="1">
      <alignment horizontal="center"/>
    </xf>
    <xf numFmtId="0" fontId="0" fillId="34" borderId="80" xfId="0" applyFont="1" applyFill="1" applyBorder="1" applyAlignment="1">
      <alignment horizontal="center"/>
    </xf>
    <xf numFmtId="0" fontId="0" fillId="34" borderId="81" xfId="0" applyFont="1" applyFill="1" applyBorder="1" applyAlignment="1">
      <alignment horizontal="center"/>
    </xf>
    <xf numFmtId="169" fontId="44" fillId="7" borderId="51" xfId="0" applyNumberFormat="1" applyFont="1" applyFill="1" applyBorder="1" applyAlignment="1">
      <alignment horizontal="center" vertical="center" wrapText="1"/>
    </xf>
    <xf numFmtId="169" fontId="44" fillId="7" borderId="49" xfId="0" applyNumberFormat="1" applyFont="1" applyFill="1" applyBorder="1" applyAlignment="1">
      <alignment horizontal="center" vertical="center" wrapText="1"/>
    </xf>
    <xf numFmtId="0" fontId="50" fillId="28" borderId="2" xfId="0" applyFont="1" applyFill="1" applyBorder="1" applyAlignment="1" applyProtection="1">
      <alignment horizontal="center" vertical="center" wrapText="1"/>
    </xf>
    <xf numFmtId="0" fontId="50" fillId="28" borderId="3" xfId="0" applyFont="1" applyFill="1" applyBorder="1" applyAlignment="1" applyProtection="1">
      <alignment horizontal="center" vertical="center" wrapText="1"/>
    </xf>
    <xf numFmtId="0" fontId="50" fillId="0" borderId="3" xfId="0" applyFont="1" applyBorder="1" applyAlignment="1">
      <alignment horizontal="center" vertical="center" wrapText="1"/>
    </xf>
    <xf numFmtId="169" fontId="50" fillId="48" borderId="2" xfId="0" applyNumberFormat="1" applyFont="1" applyFill="1" applyBorder="1" applyAlignment="1">
      <alignment horizontal="center" vertical="center" wrapText="1"/>
    </xf>
    <xf numFmtId="169" fontId="50" fillId="48" borderId="3" xfId="0" applyNumberFormat="1" applyFont="1" applyFill="1" applyBorder="1" applyAlignment="1">
      <alignment horizontal="center" vertical="center" wrapText="1"/>
    </xf>
    <xf numFmtId="169" fontId="48" fillId="32" borderId="59" xfId="0" applyNumberFormat="1" applyFont="1" applyFill="1" applyBorder="1" applyAlignment="1">
      <alignment horizontal="center" vertical="center" wrapText="1"/>
    </xf>
    <xf numFmtId="169" fontId="48" fillId="32" borderId="60" xfId="0" applyNumberFormat="1" applyFont="1" applyFill="1" applyBorder="1" applyAlignment="1">
      <alignment horizontal="center" vertical="center" wrapText="1"/>
    </xf>
    <xf numFmtId="0" fontId="53" fillId="28" borderId="76" xfId="0" applyFont="1" applyFill="1" applyBorder="1" applyAlignment="1" applyProtection="1">
      <alignment horizontal="center" vertical="center" wrapText="1"/>
    </xf>
    <xf numFmtId="0" fontId="53" fillId="28" borderId="77" xfId="0" applyFont="1" applyFill="1" applyBorder="1" applyAlignment="1" applyProtection="1">
      <alignment horizontal="center" vertical="center" wrapText="1"/>
    </xf>
    <xf numFmtId="169" fontId="50" fillId="33" borderId="2" xfId="0" applyNumberFormat="1" applyFont="1" applyFill="1" applyBorder="1" applyAlignment="1">
      <alignment horizontal="center" vertical="center" wrapText="1"/>
    </xf>
    <xf numFmtId="169" fontId="50" fillId="33" borderId="3" xfId="0" applyNumberFormat="1" applyFont="1" applyFill="1" applyBorder="1" applyAlignment="1">
      <alignment horizontal="center" vertical="center" wrapText="1"/>
    </xf>
    <xf numFmtId="169" fontId="50" fillId="35" borderId="2" xfId="0" applyNumberFormat="1" applyFont="1" applyFill="1" applyBorder="1" applyAlignment="1">
      <alignment horizontal="center" vertical="center" wrapText="1"/>
    </xf>
    <xf numFmtId="169" fontId="50" fillId="35" borderId="3" xfId="0" applyNumberFormat="1" applyFont="1" applyFill="1" applyBorder="1" applyAlignment="1">
      <alignment horizontal="center" vertical="center" wrapText="1"/>
    </xf>
    <xf numFmtId="169" fontId="43" fillId="7" borderId="63" xfId="0" applyNumberFormat="1" applyFont="1" applyFill="1" applyBorder="1" applyAlignment="1">
      <alignment horizontal="center" vertical="center" wrapText="1"/>
    </xf>
    <xf numFmtId="169" fontId="43" fillId="7" borderId="6" xfId="0" applyNumberFormat="1" applyFont="1" applyFill="1" applyBorder="1" applyAlignment="1">
      <alignment horizontal="center" vertical="center" wrapText="1"/>
    </xf>
    <xf numFmtId="169" fontId="43" fillId="7" borderId="92" xfId="0" applyNumberFormat="1" applyFont="1" applyFill="1" applyBorder="1" applyAlignment="1">
      <alignment horizontal="center" vertical="center" wrapText="1"/>
    </xf>
    <xf numFmtId="169" fontId="43" fillId="7" borderId="0" xfId="0" applyNumberFormat="1" applyFont="1" applyFill="1" applyBorder="1" applyAlignment="1">
      <alignment horizontal="center" vertical="center" wrapText="1"/>
    </xf>
    <xf numFmtId="169" fontId="43" fillId="7" borderId="93" xfId="0" applyNumberFormat="1" applyFont="1" applyFill="1" applyBorder="1" applyAlignment="1">
      <alignment horizontal="center" vertical="center" wrapText="1"/>
    </xf>
    <xf numFmtId="169" fontId="43" fillId="7" borderId="9" xfId="0" applyNumberFormat="1" applyFont="1" applyFill="1" applyBorder="1" applyAlignment="1">
      <alignment horizontal="center" vertical="center" wrapText="1"/>
    </xf>
    <xf numFmtId="0" fontId="58" fillId="49" borderId="38" xfId="0" applyFont="1" applyFill="1" applyBorder="1" applyAlignment="1">
      <alignment horizontal="center"/>
    </xf>
    <xf numFmtId="0" fontId="58" fillId="49" borderId="52" xfId="0" applyFont="1" applyFill="1" applyBorder="1" applyAlignment="1">
      <alignment horizontal="center"/>
    </xf>
    <xf numFmtId="169" fontId="44" fillId="5" borderId="88" xfId="0" applyNumberFormat="1" applyFont="1" applyFill="1" applyBorder="1" applyAlignment="1">
      <alignment horizontal="center" vertical="center" wrapText="1"/>
    </xf>
    <xf numFmtId="169" fontId="44" fillId="5" borderId="85" xfId="0" applyNumberFormat="1" applyFont="1" applyFill="1" applyBorder="1" applyAlignment="1">
      <alignment horizontal="center" vertical="center" wrapText="1"/>
    </xf>
    <xf numFmtId="169" fontId="44" fillId="5" borderId="89" xfId="0" applyNumberFormat="1" applyFont="1" applyFill="1" applyBorder="1" applyAlignment="1">
      <alignment horizontal="center" vertical="center" wrapText="1"/>
    </xf>
    <xf numFmtId="169" fontId="44" fillId="21" borderId="88" xfId="0" applyNumberFormat="1" applyFont="1" applyFill="1" applyBorder="1" applyAlignment="1">
      <alignment horizontal="center" vertical="center" wrapText="1"/>
    </xf>
    <xf numFmtId="169" fontId="44" fillId="21" borderId="85" xfId="0" applyNumberFormat="1" applyFont="1" applyFill="1" applyBorder="1" applyAlignment="1">
      <alignment horizontal="center" vertical="center" wrapText="1"/>
    </xf>
    <xf numFmtId="169" fontId="44" fillId="21" borderId="89" xfId="0" applyNumberFormat="1" applyFont="1" applyFill="1" applyBorder="1" applyAlignment="1">
      <alignment horizontal="center" vertical="center" wrapText="1"/>
    </xf>
    <xf numFmtId="169" fontId="44" fillId="107" borderId="88" xfId="0" applyNumberFormat="1" applyFont="1" applyFill="1" applyBorder="1" applyAlignment="1">
      <alignment horizontal="center" vertical="center" wrapText="1"/>
    </xf>
    <xf numFmtId="169" fontId="44" fillId="107" borderId="85" xfId="0" applyNumberFormat="1" applyFont="1" applyFill="1" applyBorder="1" applyAlignment="1">
      <alignment horizontal="center" vertical="center" wrapText="1"/>
    </xf>
    <xf numFmtId="169" fontId="44" fillId="107" borderId="89" xfId="0" applyNumberFormat="1" applyFont="1" applyFill="1" applyBorder="1" applyAlignment="1">
      <alignment horizontal="center" vertical="center" wrapText="1"/>
    </xf>
    <xf numFmtId="0" fontId="7" fillId="44" borderId="6" xfId="0" applyFont="1" applyFill="1" applyBorder="1" applyAlignment="1">
      <alignment horizontal="center" vertical="center"/>
    </xf>
    <xf numFmtId="0" fontId="7" fillId="44" borderId="7" xfId="0" applyFont="1" applyFill="1" applyBorder="1" applyAlignment="1">
      <alignment horizontal="center" vertical="center"/>
    </xf>
    <xf numFmtId="0" fontId="7" fillId="44" borderId="9" xfId="0" applyFont="1" applyFill="1" applyBorder="1" applyAlignment="1">
      <alignment horizontal="center" vertical="center"/>
    </xf>
    <xf numFmtId="0" fontId="7" fillId="44" borderId="10" xfId="0" applyFont="1" applyFill="1" applyBorder="1" applyAlignment="1">
      <alignment horizontal="center" vertical="center"/>
    </xf>
    <xf numFmtId="169" fontId="43" fillId="36" borderId="63" xfId="0" applyNumberFormat="1" applyFont="1" applyFill="1" applyBorder="1" applyAlignment="1">
      <alignment horizontal="center" vertical="center" wrapText="1"/>
    </xf>
    <xf numFmtId="169" fontId="43" fillId="36" borderId="6" xfId="0" applyNumberFormat="1" applyFont="1" applyFill="1" applyBorder="1" applyAlignment="1">
      <alignment horizontal="center" vertical="center" wrapText="1"/>
    </xf>
    <xf numFmtId="169" fontId="43" fillId="36" borderId="74" xfId="0" applyNumberFormat="1" applyFont="1" applyFill="1" applyBorder="1" applyAlignment="1">
      <alignment horizontal="center" vertical="center" wrapText="1"/>
    </xf>
    <xf numFmtId="169" fontId="43" fillId="36" borderId="92" xfId="0" applyNumberFormat="1" applyFont="1" applyFill="1" applyBorder="1" applyAlignment="1">
      <alignment horizontal="center" vertical="center" wrapText="1"/>
    </xf>
    <xf numFmtId="169" fontId="43" fillId="36" borderId="0" xfId="0" applyNumberFormat="1" applyFont="1" applyFill="1" applyBorder="1" applyAlignment="1">
      <alignment horizontal="center" vertical="center" wrapText="1"/>
    </xf>
    <xf numFmtId="169" fontId="43" fillId="36" borderId="133" xfId="0" applyNumberFormat="1" applyFont="1" applyFill="1" applyBorder="1" applyAlignment="1">
      <alignment horizontal="center" vertical="center" wrapText="1"/>
    </xf>
    <xf numFmtId="169" fontId="43" fillId="36" borderId="93" xfId="0" applyNumberFormat="1" applyFont="1" applyFill="1" applyBorder="1" applyAlignment="1">
      <alignment horizontal="center" vertical="center" wrapText="1"/>
    </xf>
    <xf numFmtId="169" fontId="43" fillId="36" borderId="9" xfId="0" applyNumberFormat="1" applyFont="1" applyFill="1" applyBorder="1" applyAlignment="1">
      <alignment horizontal="center" vertical="center" wrapText="1"/>
    </xf>
    <xf numFmtId="169" fontId="43" fillId="36" borderId="134" xfId="0" applyNumberFormat="1" applyFont="1" applyFill="1" applyBorder="1" applyAlignment="1">
      <alignment horizontal="center" vertical="center" wrapText="1"/>
    </xf>
    <xf numFmtId="0" fontId="0" fillId="0" borderId="12" xfId="0" applyBorder="1" applyAlignment="1">
      <alignment horizontal="center"/>
    </xf>
    <xf numFmtId="0" fontId="0" fillId="0" borderId="12" xfId="0" applyBorder="1" applyAlignment="1">
      <alignment horizontal="center" vertical="center"/>
    </xf>
    <xf numFmtId="0" fontId="59" fillId="73" borderId="18" xfId="0" applyFont="1" applyFill="1" applyBorder="1" applyAlignment="1">
      <alignment horizontal="center" vertical="center"/>
    </xf>
    <xf numFmtId="0" fontId="59" fillId="73" borderId="91" xfId="0" applyFont="1" applyFill="1" applyBorder="1" applyAlignment="1">
      <alignment horizontal="center" vertical="center"/>
    </xf>
    <xf numFmtId="0" fontId="59" fillId="73" borderId="23" xfId="0" applyFont="1" applyFill="1" applyBorder="1" applyAlignment="1">
      <alignment horizontal="center" vertical="center"/>
    </xf>
    <xf numFmtId="44" fontId="59" fillId="73" borderId="17" xfId="1" applyFont="1" applyFill="1" applyBorder="1" applyAlignment="1">
      <alignment horizontal="center" vertical="center"/>
    </xf>
    <xf numFmtId="44" fontId="59" fillId="73" borderId="87" xfId="1" applyFont="1" applyFill="1" applyBorder="1" applyAlignment="1">
      <alignment horizontal="center" vertical="center"/>
    </xf>
    <xf numFmtId="44" fontId="59" fillId="73" borderId="83" xfId="1" applyFont="1" applyFill="1" applyBorder="1" applyAlignment="1">
      <alignment horizontal="center" vertical="center"/>
    </xf>
    <xf numFmtId="0" fontId="0" fillId="73" borderId="47" xfId="0" applyFill="1" applyBorder="1" applyAlignment="1">
      <alignment horizontal="center" vertical="center" wrapText="1"/>
    </xf>
    <xf numFmtId="0" fontId="0" fillId="73" borderId="48" xfId="0" applyFill="1" applyBorder="1" applyAlignment="1">
      <alignment horizontal="center" vertical="center" wrapText="1"/>
    </xf>
    <xf numFmtId="0" fontId="0" fillId="73" borderId="50" xfId="0" applyFill="1" applyBorder="1" applyAlignment="1">
      <alignment horizontal="center" vertical="center" wrapText="1"/>
    </xf>
    <xf numFmtId="0" fontId="0" fillId="36" borderId="73" xfId="0" applyFill="1" applyBorder="1" applyAlignment="1">
      <alignment horizontal="center" vertical="center"/>
    </xf>
    <xf numFmtId="0" fontId="0" fillId="36" borderId="113" xfId="0" applyFill="1" applyBorder="1" applyAlignment="1">
      <alignment horizontal="center" vertical="center"/>
    </xf>
    <xf numFmtId="0" fontId="0" fillId="36" borderId="115" xfId="0" applyFill="1" applyBorder="1" applyAlignment="1">
      <alignment horizontal="center" vertical="center"/>
    </xf>
    <xf numFmtId="44" fontId="0" fillId="36" borderId="46" xfId="1" applyFont="1" applyFill="1" applyBorder="1" applyAlignment="1">
      <alignment horizontal="center" vertical="center"/>
    </xf>
    <xf numFmtId="44" fontId="0" fillId="36" borderId="51" xfId="1" applyFont="1" applyFill="1" applyBorder="1" applyAlignment="1">
      <alignment horizontal="center" vertical="center"/>
    </xf>
    <xf numFmtId="44" fontId="0" fillId="36" borderId="49" xfId="1" applyFont="1" applyFill="1" applyBorder="1" applyAlignment="1">
      <alignment horizontal="center" vertical="center"/>
    </xf>
    <xf numFmtId="0" fontId="0" fillId="36" borderId="47" xfId="0" applyFill="1" applyBorder="1" applyAlignment="1">
      <alignment horizontal="center" vertical="center" wrapText="1"/>
    </xf>
    <xf numFmtId="0" fontId="0" fillId="36" borderId="48" xfId="0" applyFill="1" applyBorder="1" applyAlignment="1">
      <alignment horizontal="center" vertical="center" wrapText="1"/>
    </xf>
    <xf numFmtId="0" fontId="0" fillId="36" borderId="50" xfId="0" applyFill="1" applyBorder="1" applyAlignment="1">
      <alignment horizontal="center" vertical="center" wrapText="1"/>
    </xf>
    <xf numFmtId="0" fontId="1" fillId="0" borderId="46" xfId="29" applyBorder="1" applyAlignment="1">
      <alignment horizontal="center" vertical="center"/>
    </xf>
    <xf numFmtId="0" fontId="1" fillId="0" borderId="51" xfId="29" applyBorder="1" applyAlignment="1">
      <alignment horizontal="center" vertical="center"/>
    </xf>
    <xf numFmtId="0" fontId="1" fillId="0" borderId="49" xfId="29" applyBorder="1" applyAlignment="1">
      <alignment horizontal="center" vertical="center"/>
    </xf>
    <xf numFmtId="44" fontId="1" fillId="0" borderId="46" xfId="1" applyBorder="1" applyAlignment="1">
      <alignment horizontal="center" vertical="center"/>
    </xf>
    <xf numFmtId="44" fontId="1" fillId="0" borderId="51" xfId="1" applyBorder="1" applyAlignment="1">
      <alignment horizontal="center" vertical="center"/>
    </xf>
    <xf numFmtId="44" fontId="1" fillId="0" borderId="49" xfId="1" applyBorder="1" applyAlignment="1">
      <alignment horizontal="center" vertical="center"/>
    </xf>
    <xf numFmtId="0" fontId="1" fillId="20" borderId="73" xfId="29" applyFill="1" applyBorder="1" applyAlignment="1">
      <alignment horizontal="center" vertical="center"/>
    </xf>
    <xf numFmtId="0" fontId="1" fillId="20" borderId="113" xfId="29" applyFill="1" applyBorder="1" applyAlignment="1">
      <alignment horizontal="center" vertical="center"/>
    </xf>
    <xf numFmtId="0" fontId="1" fillId="20" borderId="115" xfId="29" applyFill="1" applyBorder="1" applyAlignment="1">
      <alignment horizontal="center" vertical="center"/>
    </xf>
    <xf numFmtId="44" fontId="1" fillId="0" borderId="17" xfId="1" applyBorder="1" applyAlignment="1">
      <alignment horizontal="center" vertical="center"/>
    </xf>
    <xf numFmtId="44" fontId="1" fillId="0" borderId="87" xfId="1" applyBorder="1" applyAlignment="1">
      <alignment horizontal="center" vertical="center"/>
    </xf>
    <xf numFmtId="44" fontId="1" fillId="0" borderId="83" xfId="1" applyBorder="1" applyAlignment="1">
      <alignment horizontal="center" vertical="center"/>
    </xf>
    <xf numFmtId="0" fontId="1" fillId="20" borderId="73" xfId="29" applyFill="1" applyBorder="1" applyAlignment="1">
      <alignment horizontal="center" vertical="center" wrapText="1"/>
    </xf>
    <xf numFmtId="0" fontId="1" fillId="20" borderId="113" xfId="29" applyFill="1" applyBorder="1" applyAlignment="1">
      <alignment horizontal="center" vertical="center" wrapText="1"/>
    </xf>
    <xf numFmtId="0" fontId="1" fillId="20" borderId="115" xfId="29" applyFill="1" applyBorder="1" applyAlignment="1">
      <alignment horizontal="center" vertical="center" wrapText="1"/>
    </xf>
    <xf numFmtId="0" fontId="86" fillId="0" borderId="46" xfId="27" applyBorder="1" applyAlignment="1">
      <alignment horizontal="center" vertical="center"/>
    </xf>
    <xf numFmtId="0" fontId="86" fillId="0" borderId="51" xfId="27" applyBorder="1" applyAlignment="1">
      <alignment horizontal="center" vertical="center"/>
    </xf>
    <xf numFmtId="0" fontId="86" fillId="0" borderId="49" xfId="27" applyBorder="1" applyAlignment="1">
      <alignment horizontal="center" vertical="center"/>
    </xf>
    <xf numFmtId="44" fontId="86" fillId="0" borderId="63" xfId="1" applyFont="1" applyBorder="1" applyAlignment="1">
      <alignment horizontal="center" vertical="center"/>
    </xf>
    <xf numFmtId="44" fontId="86" fillId="0" borderId="92" xfId="1" applyFont="1" applyBorder="1" applyAlignment="1">
      <alignment horizontal="center" vertical="center"/>
    </xf>
    <xf numFmtId="44" fontId="86" fillId="0" borderId="93" xfId="1" applyFont="1" applyBorder="1" applyAlignment="1">
      <alignment horizontal="center" vertical="center"/>
    </xf>
    <xf numFmtId="0" fontId="34" fillId="0" borderId="2" xfId="0" applyFont="1" applyBorder="1" applyAlignment="1">
      <alignment horizontal="center"/>
    </xf>
    <xf numFmtId="0" fontId="34" fillId="0" borderId="4" xfId="0" applyFont="1" applyBorder="1" applyAlignment="1">
      <alignment horizontal="center"/>
    </xf>
    <xf numFmtId="0" fontId="58" fillId="35" borderId="18" xfId="0" applyFont="1" applyFill="1" applyBorder="1" applyAlignment="1">
      <alignment horizontal="center"/>
    </xf>
    <xf numFmtId="0" fontId="58" fillId="35" borderId="17" xfId="0" applyFont="1" applyFill="1" applyBorder="1" applyAlignment="1">
      <alignment horizontal="center"/>
    </xf>
    <xf numFmtId="0" fontId="58" fillId="35" borderId="79" xfId="0" applyFont="1" applyFill="1" applyBorder="1" applyAlignment="1">
      <alignment horizontal="center"/>
    </xf>
    <xf numFmtId="0" fontId="58" fillId="35" borderId="112" xfId="0" applyFont="1" applyFill="1" applyBorder="1" applyAlignment="1">
      <alignment horizontal="center"/>
    </xf>
    <xf numFmtId="0" fontId="0" fillId="20" borderId="73" xfId="29" applyFont="1" applyFill="1" applyBorder="1" applyAlignment="1">
      <alignment horizontal="center" vertical="center"/>
    </xf>
    <xf numFmtId="4" fontId="78" fillId="0" borderId="63" xfId="20" applyNumberFormat="1" applyFont="1" applyBorder="1" applyAlignment="1">
      <alignment horizontal="center"/>
    </xf>
    <xf numFmtId="4" fontId="78" fillId="0" borderId="92" xfId="20" applyNumberFormat="1" applyFont="1" applyBorder="1" applyAlignment="1">
      <alignment horizontal="center"/>
    </xf>
    <xf numFmtId="4" fontId="78" fillId="0" borderId="93" xfId="20" applyNumberFormat="1" applyFont="1" applyBorder="1" applyAlignment="1">
      <alignment horizontal="center"/>
    </xf>
    <xf numFmtId="0" fontId="0" fillId="0" borderId="41" xfId="0" applyBorder="1" applyAlignment="1">
      <alignment horizontal="center" vertical="center" wrapText="1"/>
    </xf>
    <xf numFmtId="0" fontId="0" fillId="0" borderId="42" xfId="0" applyBorder="1" applyAlignment="1">
      <alignment horizontal="center" vertical="center" wrapText="1"/>
    </xf>
    <xf numFmtId="0" fontId="0" fillId="0" borderId="45" xfId="0" applyBorder="1" applyAlignment="1">
      <alignment horizontal="center" vertical="center" wrapText="1"/>
    </xf>
    <xf numFmtId="0" fontId="0" fillId="0" borderId="87" xfId="0" applyBorder="1" applyAlignment="1">
      <alignment horizontal="center" vertical="center"/>
    </xf>
    <xf numFmtId="44" fontId="0" fillId="0" borderId="30" xfId="1" applyFont="1" applyBorder="1" applyAlignment="1">
      <alignment horizontal="center" vertical="center"/>
    </xf>
    <xf numFmtId="44" fontId="0" fillId="0" borderId="51" xfId="1" applyFont="1" applyBorder="1" applyAlignment="1">
      <alignment horizontal="center" vertical="center"/>
    </xf>
    <xf numFmtId="44" fontId="0" fillId="0" borderId="86" xfId="1" applyFont="1" applyBorder="1" applyAlignment="1">
      <alignment horizontal="center" vertical="center"/>
    </xf>
    <xf numFmtId="0" fontId="34" fillId="60" borderId="85" xfId="0" applyFont="1" applyFill="1" applyBorder="1" applyAlignment="1">
      <alignment horizontal="center" wrapText="1"/>
    </xf>
    <xf numFmtId="0" fontId="34" fillId="60" borderId="89" xfId="0" applyFont="1" applyFill="1" applyBorder="1" applyAlignment="1">
      <alignment horizontal="center" wrapText="1"/>
    </xf>
    <xf numFmtId="0" fontId="34" fillId="60" borderId="88" xfId="0" applyFont="1" applyFill="1" applyBorder="1" applyAlignment="1">
      <alignment horizontal="center" wrapText="1"/>
    </xf>
    <xf numFmtId="0" fontId="22" fillId="0" borderId="88" xfId="0" applyFont="1" applyBorder="1" applyAlignment="1" applyProtection="1">
      <alignment vertical="center" wrapText="1"/>
      <protection locked="0"/>
    </xf>
    <xf numFmtId="0" fontId="22" fillId="0" borderId="89" xfId="0" applyFont="1" applyBorder="1" applyAlignment="1" applyProtection="1">
      <alignment vertical="center" wrapText="1"/>
      <protection locked="0"/>
    </xf>
    <xf numFmtId="0" fontId="22" fillId="0" borderId="88" xfId="0" applyFont="1" applyBorder="1" applyAlignment="1" applyProtection="1">
      <alignment horizontal="center" vertical="center" wrapText="1"/>
      <protection locked="0"/>
    </xf>
    <xf numFmtId="0" fontId="22" fillId="0" borderId="89" xfId="0" applyFont="1" applyBorder="1" applyAlignment="1" applyProtection="1">
      <alignment horizontal="center" vertical="center" wrapText="1"/>
      <protection locked="0"/>
    </xf>
    <xf numFmtId="0" fontId="22" fillId="59" borderId="88" xfId="0" applyFont="1" applyFill="1" applyBorder="1" applyAlignment="1" applyProtection="1">
      <alignment vertical="center" wrapText="1"/>
      <protection locked="0"/>
    </xf>
    <xf numFmtId="0" fontId="22" fillId="59" borderId="89" xfId="0" applyFont="1" applyFill="1" applyBorder="1" applyAlignment="1" applyProtection="1">
      <alignment vertical="center" wrapText="1"/>
      <protection locked="0"/>
    </xf>
    <xf numFmtId="0" fontId="22" fillId="59" borderId="88" xfId="0" applyFont="1" applyFill="1" applyBorder="1" applyAlignment="1" applyProtection="1">
      <alignment horizontal="center" vertical="center" wrapText="1"/>
      <protection locked="0"/>
    </xf>
    <xf numFmtId="0" fontId="22" fillId="59" borderId="89" xfId="0" applyFont="1" applyFill="1" applyBorder="1" applyAlignment="1" applyProtection="1">
      <alignment horizontal="center" vertical="center" wrapText="1"/>
      <protection locked="0"/>
    </xf>
    <xf numFmtId="0" fontId="0" fillId="48" borderId="0" xfId="0" applyFill="1" applyAlignment="1">
      <alignment horizontal="center" vertical="center"/>
    </xf>
    <xf numFmtId="0" fontId="34" fillId="10" borderId="88" xfId="0" applyFont="1" applyFill="1" applyBorder="1" applyAlignment="1">
      <alignment horizontal="center" vertical="center"/>
    </xf>
    <xf numFmtId="0" fontId="34" fillId="10" borderId="89" xfId="0" applyFont="1" applyFill="1" applyBorder="1" applyAlignment="1">
      <alignment horizontal="center" vertical="center"/>
    </xf>
    <xf numFmtId="0" fontId="7" fillId="10" borderId="88" xfId="0" applyFont="1" applyFill="1" applyBorder="1" applyAlignment="1">
      <alignment horizontal="center" vertical="center"/>
    </xf>
    <xf numFmtId="0" fontId="7" fillId="10" borderId="89" xfId="0" applyFont="1" applyFill="1" applyBorder="1" applyAlignment="1">
      <alignment horizontal="center" vertical="center"/>
    </xf>
    <xf numFmtId="0" fontId="0" fillId="48" borderId="87" xfId="0" applyFill="1" applyBorder="1" applyAlignment="1">
      <alignment horizontal="center" vertical="center"/>
    </xf>
    <xf numFmtId="0" fontId="7" fillId="10" borderId="88" xfId="0" applyFont="1" applyFill="1" applyBorder="1" applyAlignment="1">
      <alignment horizontal="center"/>
    </xf>
    <xf numFmtId="0" fontId="7" fillId="10" borderId="89" xfId="0" applyFont="1" applyFill="1" applyBorder="1" applyAlignment="1">
      <alignment horizontal="center"/>
    </xf>
    <xf numFmtId="49" fontId="0" fillId="57" borderId="30" xfId="0" applyNumberFormat="1" applyFill="1" applyBorder="1" applyAlignment="1">
      <alignment horizontal="center"/>
    </xf>
    <xf numFmtId="49" fontId="0" fillId="57" borderId="86" xfId="0" applyNumberFormat="1" applyFill="1" applyBorder="1" applyAlignment="1">
      <alignment horizontal="center"/>
    </xf>
    <xf numFmtId="49" fontId="0" fillId="57" borderId="30" xfId="0" applyNumberFormat="1" applyFill="1" applyBorder="1" applyAlignment="1">
      <alignment horizontal="center" vertical="center" wrapText="1"/>
    </xf>
    <xf numFmtId="49" fontId="0" fillId="57" borderId="86" xfId="0" applyNumberFormat="1" applyFill="1" applyBorder="1" applyAlignment="1">
      <alignment horizontal="center" vertical="center" wrapText="1"/>
    </xf>
    <xf numFmtId="49" fontId="0" fillId="55" borderId="30" xfId="0" applyNumberFormat="1" applyFill="1" applyBorder="1" applyAlignment="1">
      <alignment horizontal="center"/>
    </xf>
    <xf numFmtId="49" fontId="0" fillId="55" borderId="86" xfId="0" applyNumberFormat="1" applyFill="1" applyBorder="1" applyAlignment="1">
      <alignment horizontal="center"/>
    </xf>
    <xf numFmtId="49" fontId="0" fillId="55" borderId="30" xfId="0" applyNumberFormat="1" applyFill="1" applyBorder="1" applyAlignment="1">
      <alignment horizontal="center" vertical="center" wrapText="1"/>
    </xf>
    <xf numFmtId="49" fontId="0" fillId="55" borderId="86" xfId="0" applyNumberFormat="1" applyFill="1" applyBorder="1" applyAlignment="1">
      <alignment horizontal="center" vertical="center" wrapText="1"/>
    </xf>
    <xf numFmtId="49" fontId="0" fillId="57" borderId="51" xfId="0" applyNumberFormat="1" applyFill="1" applyBorder="1" applyAlignment="1">
      <alignment horizontal="center"/>
    </xf>
    <xf numFmtId="49" fontId="0" fillId="57" borderId="51" xfId="0" applyNumberFormat="1" applyFill="1" applyBorder="1" applyAlignment="1">
      <alignment horizontal="center" vertical="center" wrapText="1"/>
    </xf>
    <xf numFmtId="49" fontId="0" fillId="55" borderId="108" xfId="0" applyNumberFormat="1" applyFill="1" applyBorder="1" applyAlignment="1">
      <alignment horizontal="center"/>
    </xf>
    <xf numFmtId="49" fontId="0" fillId="55" borderId="108" xfId="0" applyNumberFormat="1" applyFill="1" applyBorder="1" applyAlignment="1">
      <alignment horizontal="center" vertical="center" wrapText="1"/>
    </xf>
    <xf numFmtId="0" fontId="7" fillId="10" borderId="87" xfId="0" applyFont="1" applyFill="1" applyBorder="1" applyAlignment="1">
      <alignment horizontal="center" vertical="center"/>
    </xf>
    <xf numFmtId="0" fontId="7" fillId="34" borderId="88" xfId="0" applyFont="1" applyFill="1" applyBorder="1"/>
    <xf numFmtId="0" fontId="7" fillId="34" borderId="89" xfId="0" applyFont="1" applyFill="1" applyBorder="1"/>
    <xf numFmtId="0" fontId="7" fillId="34" borderId="88" xfId="0" applyFont="1" applyFill="1" applyBorder="1" applyAlignment="1">
      <alignment horizontal="left"/>
    </xf>
    <xf numFmtId="0" fontId="7" fillId="34" borderId="89" xfId="0" applyFont="1" applyFill="1" applyBorder="1" applyAlignment="1">
      <alignment horizontal="left"/>
    </xf>
    <xf numFmtId="0" fontId="7" fillId="20" borderId="88" xfId="0" applyFont="1" applyFill="1" applyBorder="1"/>
    <xf numFmtId="0" fontId="7" fillId="20" borderId="89" xfId="0" applyFont="1" applyFill="1" applyBorder="1"/>
    <xf numFmtId="0" fontId="7" fillId="20" borderId="88" xfId="0" applyFont="1" applyFill="1" applyBorder="1" applyAlignment="1">
      <alignment horizontal="left"/>
    </xf>
    <xf numFmtId="0" fontId="7" fillId="20" borderId="89" xfId="0" applyFont="1" applyFill="1" applyBorder="1" applyAlignment="1">
      <alignment horizontal="left"/>
    </xf>
    <xf numFmtId="0" fontId="80" fillId="10" borderId="87" xfId="0" applyFont="1" applyFill="1" applyBorder="1" applyAlignment="1">
      <alignment horizontal="center"/>
    </xf>
    <xf numFmtId="0" fontId="7" fillId="0" borderId="52" xfId="0" applyFont="1" applyBorder="1" applyAlignment="1">
      <alignment horizontal="center"/>
    </xf>
    <xf numFmtId="0" fontId="7" fillId="0" borderId="99" xfId="0" applyFont="1" applyBorder="1" applyAlignment="1">
      <alignment horizontal="center"/>
    </xf>
    <xf numFmtId="0" fontId="7" fillId="0" borderId="100" xfId="0" applyFont="1" applyBorder="1" applyAlignment="1">
      <alignment horizontal="center"/>
    </xf>
    <xf numFmtId="0" fontId="58" fillId="47" borderId="88" xfId="0" applyFont="1" applyFill="1" applyBorder="1" applyAlignment="1">
      <alignment horizontal="center"/>
    </xf>
    <xf numFmtId="0" fontId="58" fillId="47" borderId="89" xfId="0" applyFont="1" applyFill="1" applyBorder="1" applyAlignment="1">
      <alignment horizontal="center"/>
    </xf>
    <xf numFmtId="0" fontId="25" fillId="7" borderId="12" xfId="0" applyFont="1" applyFill="1" applyBorder="1" applyAlignment="1">
      <alignment horizontal="center" vertical="center" wrapText="1"/>
    </xf>
    <xf numFmtId="0" fontId="25" fillId="7" borderId="0" xfId="0" applyFont="1" applyFill="1" applyBorder="1" applyAlignment="1">
      <alignment horizontal="center" vertical="center" wrapText="1"/>
    </xf>
    <xf numFmtId="0" fontId="25" fillId="7" borderId="8" xfId="0" applyFont="1" applyFill="1" applyBorder="1" applyAlignment="1">
      <alignment horizontal="center" vertical="center" wrapText="1"/>
    </xf>
    <xf numFmtId="0" fontId="25" fillId="7" borderId="9" xfId="0" applyFont="1" applyFill="1" applyBorder="1" applyAlignment="1">
      <alignment horizontal="center" vertical="center" wrapText="1"/>
    </xf>
    <xf numFmtId="0" fontId="15" fillId="14" borderId="0" xfId="0" applyFont="1" applyFill="1" applyBorder="1" applyAlignment="1">
      <alignment vertical="center" wrapText="1"/>
    </xf>
    <xf numFmtId="0" fontId="15" fillId="14" borderId="13" xfId="0" applyFont="1" applyFill="1" applyBorder="1" applyAlignment="1">
      <alignment vertical="center" wrapText="1"/>
    </xf>
    <xf numFmtId="0" fontId="24" fillId="7" borderId="0" xfId="0" applyFont="1" applyFill="1" applyBorder="1" applyAlignment="1">
      <alignment vertical="center" wrapText="1"/>
    </xf>
    <xf numFmtId="0" fontId="24" fillId="7" borderId="13" xfId="0" applyFont="1" applyFill="1" applyBorder="1" applyAlignment="1">
      <alignment vertical="center" wrapText="1"/>
    </xf>
    <xf numFmtId="0" fontId="21" fillId="14" borderId="0" xfId="0" applyFont="1" applyFill="1" applyBorder="1" applyAlignment="1">
      <alignment vertical="center" wrapText="1"/>
    </xf>
    <xf numFmtId="0" fontId="21" fillId="14" borderId="13" xfId="0" applyFont="1" applyFill="1" applyBorder="1" applyAlignment="1">
      <alignment vertical="center" wrapText="1"/>
    </xf>
    <xf numFmtId="0" fontId="15" fillId="14" borderId="9" xfId="0" applyFont="1" applyFill="1" applyBorder="1" applyAlignment="1">
      <alignment vertical="center" wrapText="1"/>
    </xf>
    <xf numFmtId="0" fontId="15" fillId="14" borderId="10" xfId="0" applyFont="1" applyFill="1" applyBorder="1" applyAlignment="1">
      <alignment vertical="center" wrapText="1"/>
    </xf>
    <xf numFmtId="0" fontId="27" fillId="23" borderId="0" xfId="0" applyFont="1" applyFill="1" applyAlignment="1">
      <alignment horizontal="center" vertical="center"/>
    </xf>
    <xf numFmtId="0" fontId="24" fillId="14" borderId="0" xfId="0" applyFont="1" applyFill="1" applyBorder="1" applyAlignment="1">
      <alignment vertical="center" wrapText="1"/>
    </xf>
    <xf numFmtId="0" fontId="24" fillId="14" borderId="13" xfId="0" applyFont="1" applyFill="1" applyBorder="1" applyAlignment="1">
      <alignment vertical="center" wrapText="1"/>
    </xf>
    <xf numFmtId="0" fontId="25" fillId="13" borderId="12" xfId="0" applyFont="1" applyFill="1" applyBorder="1" applyAlignment="1">
      <alignment horizontal="center" vertical="center" wrapText="1"/>
    </xf>
    <xf numFmtId="0" fontId="25" fillId="13" borderId="0" xfId="0" applyFont="1" applyFill="1" applyBorder="1" applyAlignment="1">
      <alignment horizontal="center" vertical="center" wrapText="1"/>
    </xf>
    <xf numFmtId="0" fontId="24" fillId="4" borderId="0" xfId="0" applyFont="1" applyFill="1" applyBorder="1" applyAlignment="1">
      <alignment vertical="center" wrapText="1"/>
    </xf>
    <xf numFmtId="0" fontId="24" fillId="4" borderId="13" xfId="0" applyFont="1" applyFill="1" applyBorder="1" applyAlignment="1">
      <alignment vertical="center" wrapText="1"/>
    </xf>
    <xf numFmtId="0" fontId="24" fillId="13" borderId="0" xfId="0" applyFont="1" applyFill="1" applyBorder="1" applyAlignment="1">
      <alignment vertical="center" wrapText="1"/>
    </xf>
    <xf numFmtId="0" fontId="24" fillId="13" borderId="13" xfId="0" applyFont="1" applyFill="1" applyBorder="1" applyAlignment="1">
      <alignment vertical="center" wrapText="1"/>
    </xf>
    <xf numFmtId="0" fontId="25" fillId="13" borderId="5" xfId="0" applyFont="1" applyFill="1" applyBorder="1" applyAlignment="1">
      <alignment horizontal="center" vertical="center" wrapText="1"/>
    </xf>
    <xf numFmtId="0" fontId="25" fillId="13" borderId="6" xfId="0" applyFont="1" applyFill="1" applyBorder="1" applyAlignment="1">
      <alignment horizontal="center" vertical="center" wrapText="1"/>
    </xf>
    <xf numFmtId="0" fontId="15" fillId="13" borderId="6" xfId="0" applyFont="1" applyFill="1" applyBorder="1" applyAlignment="1">
      <alignment vertical="center" wrapText="1"/>
    </xf>
    <xf numFmtId="0" fontId="15" fillId="13" borderId="7" xfId="0" applyFont="1" applyFill="1" applyBorder="1" applyAlignment="1">
      <alignment vertical="center" wrapText="1"/>
    </xf>
    <xf numFmtId="0" fontId="15" fillId="4" borderId="0" xfId="0" applyFont="1" applyFill="1" applyBorder="1" applyAlignment="1">
      <alignment vertical="center" wrapText="1"/>
    </xf>
    <xf numFmtId="0" fontId="15" fillId="4" borderId="13" xfId="0" applyFont="1" applyFill="1" applyBorder="1" applyAlignment="1">
      <alignment vertical="center" wrapText="1"/>
    </xf>
    <xf numFmtId="0" fontId="16" fillId="10" borderId="33" xfId="0" applyFont="1" applyFill="1" applyBorder="1" applyAlignment="1">
      <alignment horizontal="center" wrapText="1"/>
    </xf>
    <xf numFmtId="0" fontId="16" fillId="10" borderId="32" xfId="0" applyFont="1" applyFill="1" applyBorder="1" applyAlignment="1">
      <alignment horizontal="center" wrapText="1"/>
    </xf>
    <xf numFmtId="0" fontId="16" fillId="10" borderId="34" xfId="0" applyFont="1" applyFill="1" applyBorder="1" applyAlignment="1">
      <alignment horizontal="center" wrapText="1"/>
    </xf>
    <xf numFmtId="0" fontId="23" fillId="19" borderId="2" xfId="0" applyFont="1" applyFill="1" applyBorder="1" applyAlignment="1">
      <alignment horizontal="center" wrapText="1"/>
    </xf>
    <xf numFmtId="0" fontId="23" fillId="19" borderId="3" xfId="0" applyFont="1" applyFill="1" applyBorder="1" applyAlignment="1">
      <alignment horizontal="center" wrapText="1"/>
    </xf>
    <xf numFmtId="0" fontId="23" fillId="19" borderId="4" xfId="0" applyFont="1" applyFill="1" applyBorder="1" applyAlignment="1">
      <alignment horizontal="center" wrapText="1"/>
    </xf>
    <xf numFmtId="0" fontId="23" fillId="12" borderId="2" xfId="0" applyFont="1" applyFill="1" applyBorder="1" applyAlignment="1">
      <alignment horizontal="center" vertical="center" wrapText="1"/>
    </xf>
    <xf numFmtId="0" fontId="23" fillId="12" borderId="3" xfId="0" applyFont="1" applyFill="1" applyBorder="1" applyAlignment="1">
      <alignment horizontal="center" vertical="center" wrapText="1"/>
    </xf>
    <xf numFmtId="0" fontId="23" fillId="12" borderId="4" xfId="0" applyFont="1" applyFill="1" applyBorder="1" applyAlignment="1">
      <alignment horizontal="center" vertical="center" wrapText="1"/>
    </xf>
    <xf numFmtId="0" fontId="0" fillId="73" borderId="87" xfId="0" applyFill="1" applyBorder="1" applyAlignment="1">
      <alignment horizontal="center"/>
    </xf>
  </cellXfs>
  <cellStyles count="71">
    <cellStyle name="20% - Accent1" xfId="48" builtinId="30" customBuiltin="1"/>
    <cellStyle name="20% - Accent2" xfId="52" builtinId="34" customBuiltin="1"/>
    <cellStyle name="20% - Accent3" xfId="55" builtinId="38" customBuiltin="1"/>
    <cellStyle name="20% - Accent4" xfId="59" builtinId="42" customBuiltin="1"/>
    <cellStyle name="20% - Accent5" xfId="63" builtinId="46" customBuiltin="1"/>
    <cellStyle name="20% - Accent6" xfId="66" builtinId="50" customBuiltin="1"/>
    <cellStyle name="40% - Accent1" xfId="49" builtinId="31" customBuiltin="1"/>
    <cellStyle name="40% - Accent2" xfId="53" builtinId="35" customBuiltin="1"/>
    <cellStyle name="40% - Accent3" xfId="56" builtinId="39" customBuiltin="1"/>
    <cellStyle name="40% - Accent4" xfId="60" builtinId="43" customBuiltin="1"/>
    <cellStyle name="40% - Accent5" xfId="64" builtinId="47" customBuiltin="1"/>
    <cellStyle name="40% - Accent6" xfId="67" builtinId="51" customBuiltin="1"/>
    <cellStyle name="60% - Accent1" xfId="50" builtinId="32" customBuiltin="1"/>
    <cellStyle name="60% - Accent2" xfId="23" builtinId="36" customBuiltin="1"/>
    <cellStyle name="60% - Accent3" xfId="57" builtinId="40" customBuiltin="1"/>
    <cellStyle name="60% - Accent4" xfId="61" builtinId="44" customBuiltin="1"/>
    <cellStyle name="60% - Accent5" xfId="24" builtinId="48" customBuiltin="1"/>
    <cellStyle name="60% - Accent6" xfId="68" builtinId="52" customBuiltin="1"/>
    <cellStyle name="Accent1" xfId="47" builtinId="29" customBuiltin="1"/>
    <cellStyle name="Accent2" xfId="51" builtinId="33" customBuiltin="1"/>
    <cellStyle name="Accent3" xfId="54" builtinId="37" customBuiltin="1"/>
    <cellStyle name="Accent4" xfId="58" builtinId="41" customBuiltin="1"/>
    <cellStyle name="Accent5" xfId="62" builtinId="45" customBuiltin="1"/>
    <cellStyle name="Accent6" xfId="65" builtinId="49" customBuiltin="1"/>
    <cellStyle name="Bad" xfId="37" builtinId="27" customBuiltin="1"/>
    <cellStyle name="Calculation" xfId="41" builtinId="22" customBuiltin="1"/>
    <cellStyle name="Check Cell" xfId="43" builtinId="23" customBuiltin="1"/>
    <cellStyle name="Comma" xfId="17" builtinId="3"/>
    <cellStyle name="Comma 2" xfId="9" xr:uid="{00000000-0005-0000-0000-000001000000}"/>
    <cellStyle name="Comma 3" xfId="14" xr:uid="{00000000-0005-0000-0000-000002000000}"/>
    <cellStyle name="Currency" xfId="1" builtinId="4"/>
    <cellStyle name="Currency 2" xfId="4" xr:uid="{00000000-0005-0000-0000-000004000000}"/>
    <cellStyle name="Explanatory Text" xfId="46" builtinId="53" customBuiltin="1"/>
    <cellStyle name="Good" xfId="36" builtinId="26" customBuiltin="1"/>
    <cellStyle name="Heading 1" xfId="33" builtinId="16" customBuiltin="1"/>
    <cellStyle name="Heading 2" xfId="21" builtinId="17" customBuiltin="1"/>
    <cellStyle name="Heading 3" xfId="34" builtinId="18" customBuiltin="1"/>
    <cellStyle name="Heading 4" xfId="35" builtinId="19" customBuiltin="1"/>
    <cellStyle name="Input" xfId="39" builtinId="20" customBuiltin="1"/>
    <cellStyle name="Linked Cell" xfId="42" builtinId="24" customBuiltin="1"/>
    <cellStyle name="Neutral" xfId="38" builtinId="28" customBuiltin="1"/>
    <cellStyle name="Normal" xfId="0" builtinId="0"/>
    <cellStyle name="Normal 2" xfId="2" xr:uid="{00000000-0005-0000-0000-000009000000}"/>
    <cellStyle name="Normal 2 2" xfId="10" xr:uid="{00000000-0005-0000-0000-00000A000000}"/>
    <cellStyle name="Normal 2 3" xfId="6" xr:uid="{00000000-0005-0000-0000-00000B000000}"/>
    <cellStyle name="Normal 3" xfId="3" xr:uid="{00000000-0005-0000-0000-00000C000000}"/>
    <cellStyle name="Normal 3 2" xfId="7" xr:uid="{00000000-0005-0000-0000-00000D000000}"/>
    <cellStyle name="Normal 3_Sheet1" xfId="28" xr:uid="{F25F9732-F239-49A2-A77C-9123261CA7AB}"/>
    <cellStyle name="Normal 4" xfId="8" xr:uid="{00000000-0005-0000-0000-00000E000000}"/>
    <cellStyle name="Normal 5" xfId="5" xr:uid="{00000000-0005-0000-0000-00000F000000}"/>
    <cellStyle name="Normal 6" xfId="13" xr:uid="{00000000-0005-0000-0000-000010000000}"/>
    <cellStyle name="Normal 7" xfId="15" xr:uid="{00000000-0005-0000-0000-000011000000}"/>
    <cellStyle name="Normal 9" xfId="11" xr:uid="{00000000-0005-0000-0000-000012000000}"/>
    <cellStyle name="Normal_9. Actuals SAP Extract" xfId="19" xr:uid="{7E4F811E-8840-44DF-BE3C-D16B246A490E}"/>
    <cellStyle name="Normal_9. Actuals SAP Extract_1" xfId="18" xr:uid="{00000000-0005-0000-0000-000014000000}"/>
    <cellStyle name="Normal_9. Actuals SAP Extract_2" xfId="20" xr:uid="{528F74D8-CDF4-4879-8F8D-D1A88F46BB6E}"/>
    <cellStyle name="Normal_9. Actuals SAP Extract_3" xfId="25" xr:uid="{78C9788F-6611-4F51-9DB9-D5FAF7C3BA47}"/>
    <cellStyle name="Normal_9. Actuals SAP Extract_4" xfId="26" xr:uid="{D74BF178-5E08-4E12-93A8-104A07911BB6}"/>
    <cellStyle name="Normal_9. Actuals SAP Extract_5" xfId="30" xr:uid="{6E664099-151B-46BF-82E2-35589D1B80CF}"/>
    <cellStyle name="Normal_9. Actuals SAP Extract_6" xfId="69" xr:uid="{C4648E3E-AA07-406C-BF73-B6CC4237D1A8}"/>
    <cellStyle name="Normal_Sheet1" xfId="27" xr:uid="{65E9CAA1-309F-4405-8BC2-EA6DCC1D33AF}"/>
    <cellStyle name="Normal_Sheet10" xfId="70" xr:uid="{D9670668-D6F0-4BAE-9BE8-D15DC171CE34}"/>
    <cellStyle name="Normal_Sheet2" xfId="29" xr:uid="{B6DE3D45-0BA8-48F4-9957-C1B25684742F}"/>
    <cellStyle name="Normal_Sheet5" xfId="31" xr:uid="{9C6E8ECD-9D2D-498D-84F3-9D3449D2AF89}"/>
    <cellStyle name="Note" xfId="45" builtinId="10" customBuiltin="1"/>
    <cellStyle name="Output" xfId="40" builtinId="21" customBuiltin="1"/>
    <cellStyle name="Percent" xfId="16" builtinId="5"/>
    <cellStyle name="Percent 2" xfId="12" xr:uid="{00000000-0005-0000-0000-00001D000000}"/>
    <cellStyle name="Title" xfId="32" builtinId="15" customBuiltin="1"/>
    <cellStyle name="Total" xfId="22" builtinId="25" customBuiltin="1"/>
    <cellStyle name="Warning Text" xfId="44" builtinId="11" customBuiltin="1"/>
  </cellStyles>
  <dxfs count="250">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ill>
        <patternFill>
          <bgColor theme="0" tint="-4.9989318521683403E-2"/>
        </patternFill>
      </fill>
    </dxf>
    <dxf>
      <font>
        <color rgb="FF006100"/>
      </font>
      <fill>
        <patternFill>
          <bgColor rgb="FFC6EFCE"/>
        </patternFill>
      </fill>
    </dxf>
    <dxf>
      <font>
        <color rgb="FF9C0006"/>
      </font>
      <fill>
        <patternFill>
          <bgColor rgb="FFFFC7CE"/>
        </patternFill>
      </fill>
    </dxf>
    <dxf>
      <numFmt numFmtId="170" formatCode="&quot;$&quot;#,##0.00"/>
      <border diagonalUp="0" diagonalDown="0" outline="0">
        <left style="thin">
          <color indexed="64"/>
        </left>
        <right style="thin">
          <color indexed="64"/>
        </right>
        <top style="thin">
          <color indexed="64"/>
        </top>
        <bottom/>
      </border>
    </dxf>
    <dxf>
      <font>
        <strike val="0"/>
        <outline val="0"/>
        <shadow val="0"/>
        <u val="none"/>
        <vertAlign val="baseline"/>
        <sz val="11"/>
        <name val="Calibri"/>
        <scheme val="minor"/>
      </font>
      <numFmt numFmtId="170" formatCode="&quot;$&quot;#,##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70" formatCode="&quot;$&quot;#,##0.00"/>
      <border diagonalUp="0" diagonalDown="0" outline="0">
        <left style="thin">
          <color indexed="64"/>
        </left>
        <right/>
        <top style="thin">
          <color indexed="64"/>
        </top>
        <bottom/>
      </border>
    </dxf>
    <dxf>
      <font>
        <strike val="0"/>
        <outline val="0"/>
        <shadow val="0"/>
        <u val="none"/>
        <vertAlign val="baseline"/>
        <sz val="11"/>
        <name val="Calibri"/>
        <scheme val="minor"/>
      </font>
      <numFmt numFmtId="170" formatCode="&quot;$&quot;#,##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protection locked="0" hidden="0"/>
    </dxf>
    <dxf>
      <numFmt numFmtId="170" formatCode="&quot;$&quot;#,##0.00"/>
      <border diagonalUp="0" diagonalDown="0" outline="0">
        <left style="thin">
          <color indexed="64"/>
        </left>
        <right style="thin">
          <color indexed="64"/>
        </right>
        <top style="thin">
          <color indexed="64"/>
        </top>
        <bottom/>
      </border>
    </dxf>
    <dxf>
      <font>
        <strike val="0"/>
        <outline val="0"/>
        <shadow val="0"/>
        <u val="none"/>
        <vertAlign val="baseline"/>
        <sz val="11"/>
        <name val="Calibri"/>
        <scheme val="minor"/>
      </font>
      <numFmt numFmtId="170" formatCode="&quot;$&quot;#,##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protection locked="0" hidden="0"/>
    </dxf>
    <dxf>
      <numFmt numFmtId="170" formatCode="&quot;$&quot;#,##0.00"/>
      <border diagonalUp="0" diagonalDown="0" outline="0">
        <left style="thin">
          <color indexed="64"/>
        </left>
        <right style="thin">
          <color indexed="64"/>
        </right>
        <top style="thin">
          <color indexed="64"/>
        </top>
        <bottom/>
      </border>
    </dxf>
    <dxf>
      <font>
        <strike val="0"/>
        <outline val="0"/>
        <shadow val="0"/>
        <u val="none"/>
        <vertAlign val="baseline"/>
        <sz val="11"/>
        <name val="Calibri"/>
        <scheme val="minor"/>
      </font>
      <numFmt numFmtId="170" formatCode="&quot;$&quot;#,##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protection locked="0" hidden="0"/>
    </dxf>
    <dxf>
      <numFmt numFmtId="170" formatCode="&quot;$&quot;#,##0.00"/>
      <border diagonalUp="0" diagonalDown="0" outline="0">
        <left style="thin">
          <color indexed="64"/>
        </left>
        <right style="thin">
          <color indexed="64"/>
        </right>
        <top style="thin">
          <color indexed="64"/>
        </top>
        <bottom/>
      </border>
    </dxf>
    <dxf>
      <font>
        <strike val="0"/>
        <outline val="0"/>
        <shadow val="0"/>
        <u val="none"/>
        <vertAlign val="baseline"/>
        <sz val="11"/>
        <name val="Calibri"/>
        <scheme val="minor"/>
      </font>
      <numFmt numFmtId="170" formatCode="&quot;$&quot;#,##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protection locked="0" hidden="0"/>
    </dxf>
    <dxf>
      <numFmt numFmtId="170" formatCode="&quot;$&quot;#,##0.00"/>
      <border diagonalUp="0" diagonalDown="0" outline="0">
        <left style="thin">
          <color indexed="64"/>
        </left>
        <right style="thin">
          <color indexed="64"/>
        </right>
        <top style="thin">
          <color indexed="64"/>
        </top>
        <bottom/>
      </border>
    </dxf>
    <dxf>
      <font>
        <strike val="0"/>
        <outline val="0"/>
        <shadow val="0"/>
        <u val="none"/>
        <vertAlign val="baseline"/>
        <sz val="11"/>
        <name val="Calibri"/>
        <scheme val="minor"/>
      </font>
      <numFmt numFmtId="170" formatCode="&quot;$&quot;#,##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protection locked="0" hidden="0"/>
    </dxf>
    <dxf>
      <numFmt numFmtId="170" formatCode="&quot;$&quot;#,##0.00"/>
      <border diagonalUp="0" diagonalDown="0" outline="0">
        <left style="thin">
          <color indexed="64"/>
        </left>
        <right style="thin">
          <color indexed="64"/>
        </right>
        <top style="thin">
          <color indexed="64"/>
        </top>
        <bottom/>
      </border>
    </dxf>
    <dxf>
      <font>
        <strike val="0"/>
        <outline val="0"/>
        <shadow val="0"/>
        <u val="none"/>
        <vertAlign val="baseline"/>
        <sz val="11"/>
        <name val="Calibri"/>
        <scheme val="minor"/>
      </font>
      <numFmt numFmtId="170" formatCode="&quot;$&quot;#,##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protection locked="0" hidden="0"/>
    </dxf>
    <dxf>
      <numFmt numFmtId="170" formatCode="&quot;$&quot;#,##0.00"/>
      <border diagonalUp="0" diagonalDown="0" outline="0">
        <left style="thin">
          <color indexed="64"/>
        </left>
        <right style="thin">
          <color indexed="64"/>
        </right>
        <top style="thin">
          <color indexed="64"/>
        </top>
        <bottom/>
      </border>
    </dxf>
    <dxf>
      <font>
        <strike val="0"/>
        <outline val="0"/>
        <shadow val="0"/>
        <u val="none"/>
        <vertAlign val="baseline"/>
        <sz val="11"/>
        <name val="Calibri"/>
        <scheme val="minor"/>
      </font>
      <numFmt numFmtId="170" formatCode="&quot;$&quot;#,##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protection locked="0" hidden="0"/>
    </dxf>
    <dxf>
      <numFmt numFmtId="170" formatCode="&quot;$&quot;#,##0.00"/>
      <border diagonalUp="0" diagonalDown="0" outline="0">
        <left style="thin">
          <color indexed="64"/>
        </left>
        <right style="thin">
          <color indexed="64"/>
        </right>
        <top style="thin">
          <color indexed="64"/>
        </top>
        <bottom/>
      </border>
    </dxf>
    <dxf>
      <font>
        <strike val="0"/>
        <outline val="0"/>
        <shadow val="0"/>
        <u val="none"/>
        <vertAlign val="baseline"/>
        <sz val="11"/>
        <name val="Calibri"/>
        <scheme val="minor"/>
      </font>
      <numFmt numFmtId="170" formatCode="&quot;$&quot;#,##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protection locked="0" hidden="0"/>
    </dxf>
    <dxf>
      <numFmt numFmtId="170" formatCode="&quot;$&quot;#,##0.00"/>
      <border diagonalUp="0" diagonalDown="0" outline="0">
        <left style="thin">
          <color indexed="64"/>
        </left>
        <right style="thin">
          <color indexed="64"/>
        </right>
        <top style="thin">
          <color indexed="64"/>
        </top>
        <bottom/>
      </border>
    </dxf>
    <dxf>
      <font>
        <strike val="0"/>
        <outline val="0"/>
        <shadow val="0"/>
        <u val="none"/>
        <vertAlign val="baseline"/>
        <sz val="11"/>
        <name val="Calibri"/>
        <scheme val="minor"/>
      </font>
      <numFmt numFmtId="170" formatCode="&quot;$&quot;#,##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protection locked="0" hidden="0"/>
    </dxf>
    <dxf>
      <numFmt numFmtId="170" formatCode="&quot;$&quot;#,##0.00"/>
      <border diagonalUp="0" diagonalDown="0" outline="0">
        <left style="thin">
          <color indexed="64"/>
        </left>
        <right style="thin">
          <color indexed="64"/>
        </right>
        <top style="thin">
          <color indexed="64"/>
        </top>
        <bottom/>
      </border>
    </dxf>
    <dxf>
      <font>
        <strike val="0"/>
        <outline val="0"/>
        <shadow val="0"/>
        <u val="none"/>
        <vertAlign val="baseline"/>
        <sz val="11"/>
        <name val="Calibri"/>
        <scheme val="minor"/>
      </font>
      <numFmt numFmtId="170" formatCode="&quot;$&quot;#,##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protection locked="0" hidden="0"/>
    </dxf>
    <dxf>
      <numFmt numFmtId="170" formatCode="&quot;$&quot;#,##0.00"/>
      <border diagonalUp="0" diagonalDown="0" outline="0">
        <left style="thin">
          <color indexed="64"/>
        </left>
        <right style="thin">
          <color indexed="64"/>
        </right>
        <top style="thin">
          <color indexed="64"/>
        </top>
        <bottom/>
      </border>
    </dxf>
    <dxf>
      <font>
        <strike val="0"/>
        <outline val="0"/>
        <shadow val="0"/>
        <u val="none"/>
        <vertAlign val="baseline"/>
        <sz val="11"/>
        <name val="Calibri"/>
        <scheme val="minor"/>
      </font>
      <numFmt numFmtId="170" formatCode="&quot;$&quot;#,##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protection locked="0" hidden="0"/>
    </dxf>
    <dxf>
      <numFmt numFmtId="170" formatCode="&quot;$&quot;#,##0.00"/>
      <border diagonalUp="0" diagonalDown="0" outline="0">
        <left style="thin">
          <color indexed="64"/>
        </left>
        <right style="thin">
          <color indexed="64"/>
        </right>
        <top style="thin">
          <color indexed="64"/>
        </top>
        <bottom/>
      </border>
    </dxf>
    <dxf>
      <font>
        <strike val="0"/>
        <outline val="0"/>
        <shadow val="0"/>
        <u val="none"/>
        <vertAlign val="baseline"/>
        <sz val="11"/>
        <name val="Calibri"/>
        <scheme val="minor"/>
      </font>
      <numFmt numFmtId="170" formatCode="&quot;$&quot;#,##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protection locked="0" hidden="0"/>
    </dxf>
    <dxf>
      <font>
        <strike val="0"/>
        <outline val="0"/>
        <shadow val="0"/>
        <u val="none"/>
        <vertAlign val="baseline"/>
        <sz val="11"/>
        <name val="Calibri"/>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border>
      <protection locked="0" hidden="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1"/>
        <name val="Calibri"/>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0" hidden="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1"/>
        <name val="Calibri"/>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border diagonalUp="0" diagonalDown="0" outline="0">
        <left/>
        <right style="thin">
          <color indexed="64"/>
        </right>
        <top style="thin">
          <color indexed="64"/>
        </top>
        <bottom/>
      </border>
    </dxf>
    <dxf>
      <font>
        <strike val="0"/>
        <outline val="0"/>
        <shadow val="0"/>
        <u val="none"/>
        <vertAlign val="baseline"/>
        <sz val="11"/>
        <name val="Calibri"/>
        <scheme val="minor"/>
      </font>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1"/>
        <name val="Calibri"/>
        <scheme val="minor"/>
      </font>
      <protection locked="1" hidden="0"/>
    </dxf>
    <dxf>
      <border outline="0">
        <bottom style="thin">
          <color indexed="64"/>
        </bottom>
      </border>
    </dxf>
    <dxf>
      <font>
        <b/>
        <i val="0"/>
        <strike val="0"/>
        <condense val="0"/>
        <extend val="0"/>
        <outline val="0"/>
        <shadow val="0"/>
        <u val="none"/>
        <vertAlign val="baseline"/>
        <sz val="11"/>
        <color auto="1"/>
        <name val="Calibri"/>
        <scheme val="minor"/>
      </font>
      <alignment horizontal="center" vertical="center" textRotation="0" wrapText="0" indent="0" justifyLastLine="0" shrinkToFit="0" readingOrder="0"/>
      <border diagonalUp="0" diagonalDown="0" outline="0">
        <left style="thin">
          <color indexed="64"/>
        </left>
        <right style="thin">
          <color indexed="64"/>
        </right>
        <top/>
        <bottom/>
      </border>
      <protection locked="1" hidden="0"/>
    </dxf>
    <dxf>
      <numFmt numFmtId="170" formatCode="&quot;$&quot;#,##0.0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1"/>
        <name val="Calibri"/>
        <scheme val="minor"/>
      </font>
      <numFmt numFmtId="170" formatCode="&quot;$&quot;#,##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70" formatCode="&quot;$&quot;#,##0.0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1"/>
        <name val="Calibri"/>
        <scheme val="minor"/>
      </font>
      <numFmt numFmtId="170" formatCode="&quot;$&quot;#,##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numFmt numFmtId="170" formatCode="&quot;$&quot;#,##0.0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1"/>
        <name val="Calibri"/>
        <scheme val="minor"/>
      </font>
      <numFmt numFmtId="170" formatCode="&quot;$&quot;#,##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numFmt numFmtId="170" formatCode="&quot;$&quot;#,##0.0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1"/>
        <name val="Calibri"/>
        <scheme val="minor"/>
      </font>
      <numFmt numFmtId="170" formatCode="&quot;$&quot;#,##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numFmt numFmtId="170" formatCode="&quot;$&quot;#,##0.0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1"/>
        <name val="Calibri"/>
        <scheme val="minor"/>
      </font>
      <numFmt numFmtId="170" formatCode="&quot;$&quot;#,##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numFmt numFmtId="170" formatCode="&quot;$&quot;#,##0.0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1"/>
        <name val="Calibri"/>
        <scheme val="minor"/>
      </font>
      <numFmt numFmtId="170" formatCode="&quot;$&quot;#,##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numFmt numFmtId="170" formatCode="&quot;$&quot;#,##0.0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1"/>
        <name val="Calibri"/>
        <scheme val="minor"/>
      </font>
      <numFmt numFmtId="170" formatCode="&quot;$&quot;#,##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numFmt numFmtId="170" formatCode="&quot;$&quot;#,##0.0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1"/>
        <name val="Calibri"/>
        <scheme val="minor"/>
      </font>
      <numFmt numFmtId="170" formatCode="&quot;$&quot;#,##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numFmt numFmtId="170" formatCode="&quot;$&quot;#,##0.0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1"/>
        <name val="Calibri"/>
        <scheme val="minor"/>
      </font>
      <numFmt numFmtId="170" formatCode="&quot;$&quot;#,##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numFmt numFmtId="170" formatCode="&quot;$&quot;#,##0.0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1"/>
        <name val="Calibri"/>
        <scheme val="minor"/>
      </font>
      <numFmt numFmtId="170" formatCode="&quot;$&quot;#,##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numFmt numFmtId="170" formatCode="&quot;$&quot;#,##0.0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1"/>
        <name val="Calibri"/>
        <scheme val="minor"/>
      </font>
      <numFmt numFmtId="170" formatCode="&quot;$&quot;#,##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numFmt numFmtId="170" formatCode="&quot;$&quot;#,##0.0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1"/>
        <name val="Calibri"/>
        <scheme val="minor"/>
      </font>
      <numFmt numFmtId="170" formatCode="&quot;$&quot;#,##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numFmt numFmtId="170" formatCode="&quot;$&quot;#,##0.0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1"/>
        <name val="Calibri"/>
        <scheme val="minor"/>
      </font>
      <numFmt numFmtId="170" formatCode="&quot;$&quot;#,##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1"/>
        <name val="Calibri"/>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1"/>
        <name val="Calibri"/>
        <scheme val="minor"/>
      </font>
      <border diagonalUp="0" diagonalDown="0" outline="0">
        <left style="thin">
          <color indexed="64"/>
        </left>
        <right style="thin">
          <color indexed="64"/>
        </right>
        <top style="thin">
          <color indexed="64"/>
        </top>
        <bottom/>
      </border>
      <protection locked="0" hidden="0"/>
    </dxf>
    <dxf>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1"/>
        <name val="Calibri"/>
        <scheme val="minor"/>
      </font>
      <border diagonalUp="0" diagonalDown="0" outline="0">
        <left style="thin">
          <color indexed="64"/>
        </left>
        <right style="thin">
          <color indexed="64"/>
        </right>
        <top style="thin">
          <color indexed="64"/>
        </top>
        <bottom style="thin">
          <color indexed="64"/>
        </bottom>
      </border>
      <protection locked="0" hidden="0"/>
    </dxf>
    <dxf>
      <border diagonalUp="0" diagonalDown="0" outline="0">
        <left/>
        <right style="thin">
          <color indexed="64"/>
        </right>
        <top style="thin">
          <color indexed="64"/>
        </top>
        <bottom/>
      </border>
      <protection locked="0" hidden="0"/>
    </dxf>
    <dxf>
      <font>
        <strike val="0"/>
        <outline val="0"/>
        <shadow val="0"/>
        <u val="none"/>
        <vertAlign val="baseline"/>
        <sz val="11"/>
        <name val="Calibri"/>
        <scheme val="minor"/>
      </font>
      <border diagonalUp="0" diagonalDown="0" outline="0">
        <left/>
        <right style="thin">
          <color indexed="64"/>
        </right>
        <top style="thin">
          <color indexed="64"/>
        </top>
        <bottom/>
      </border>
      <protection locked="0" hidden="0"/>
    </dxf>
    <dxf>
      <border outline="0">
        <top style="thin">
          <color indexed="64"/>
        </top>
      </border>
    </dxf>
    <dxf>
      <protection locked="1" hidden="0"/>
    </dxf>
    <dxf>
      <border outline="0">
        <left style="thin">
          <color indexed="64"/>
        </left>
        <right style="thin">
          <color indexed="64"/>
        </right>
        <top style="thin">
          <color indexed="64"/>
        </top>
        <bottom style="thin">
          <color indexed="64"/>
        </bottom>
      </border>
    </dxf>
    <dxf>
      <font>
        <strike val="0"/>
        <outline val="0"/>
        <shadow val="0"/>
        <u val="none"/>
        <vertAlign val="baseline"/>
        <sz val="11"/>
        <name val="Calibri"/>
        <scheme val="minor"/>
      </font>
      <protection locked="1" hidden="0"/>
    </dxf>
    <dxf>
      <border>
        <bottom style="thin">
          <color indexed="64"/>
        </bottom>
      </border>
    </dxf>
    <dxf>
      <font>
        <b/>
        <i val="0"/>
        <strike val="0"/>
        <condense val="0"/>
        <extend val="0"/>
        <outline val="0"/>
        <shadow val="0"/>
        <u val="none"/>
        <vertAlign val="baseline"/>
        <sz val="11"/>
        <color auto="1"/>
        <name val="Calibri"/>
        <scheme val="minor"/>
      </font>
      <alignment horizontal="center" vertical="center" textRotation="0" wrapText="0" indent="0" justifyLastLine="0" shrinkToFit="0" readingOrder="0"/>
      <border diagonalUp="0" diagonalDown="0" outline="0">
        <left style="thin">
          <color indexed="64"/>
        </left>
        <right style="thin">
          <color indexed="64"/>
        </right>
        <top/>
        <bottom/>
      </border>
      <protection locked="1" hidden="0"/>
    </dxf>
    <dxf>
      <numFmt numFmtId="170" formatCode="&quot;$&quot;#,##0.00"/>
      <border diagonalUp="0" diagonalDown="0" outline="0">
        <left style="thin">
          <color indexed="64"/>
        </left>
        <right style="thin">
          <color indexed="64"/>
        </right>
        <top style="thin">
          <color indexed="64"/>
        </top>
        <bottom/>
      </border>
    </dxf>
    <dxf>
      <font>
        <strike val="0"/>
        <outline val="0"/>
        <shadow val="0"/>
        <u val="none"/>
        <vertAlign val="baseline"/>
        <sz val="11"/>
        <name val="Calibri"/>
        <scheme val="minor"/>
      </font>
      <numFmt numFmtId="170" formatCode="&quot;$&quot;#,##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70" formatCode="&quot;$&quot;#,##0.00"/>
      <border diagonalUp="0" diagonalDown="0" outline="0">
        <left style="thin">
          <color indexed="64"/>
        </left>
        <right/>
        <top style="thin">
          <color indexed="64"/>
        </top>
        <bottom/>
      </border>
    </dxf>
    <dxf>
      <font>
        <strike val="0"/>
        <outline val="0"/>
        <shadow val="0"/>
        <u val="none"/>
        <vertAlign val="baseline"/>
        <sz val="11"/>
        <name val="Calibri"/>
        <scheme val="minor"/>
      </font>
      <numFmt numFmtId="170" formatCode="&quot;$&quot;#,##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protection locked="0" hidden="0"/>
    </dxf>
    <dxf>
      <numFmt numFmtId="170" formatCode="&quot;$&quot;#,##0.00"/>
      <border diagonalUp="0" diagonalDown="0" outline="0">
        <left style="thin">
          <color indexed="64"/>
        </left>
        <right style="thin">
          <color indexed="64"/>
        </right>
        <top style="thin">
          <color indexed="64"/>
        </top>
        <bottom/>
      </border>
    </dxf>
    <dxf>
      <font>
        <strike val="0"/>
        <outline val="0"/>
        <shadow val="0"/>
        <u val="none"/>
        <vertAlign val="baseline"/>
        <sz val="11"/>
        <name val="Calibri"/>
        <scheme val="minor"/>
      </font>
      <numFmt numFmtId="170" formatCode="&quot;$&quot;#,##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protection locked="0" hidden="0"/>
    </dxf>
    <dxf>
      <numFmt numFmtId="170" formatCode="&quot;$&quot;#,##0.00"/>
      <border diagonalUp="0" diagonalDown="0" outline="0">
        <left style="thin">
          <color indexed="64"/>
        </left>
        <right style="thin">
          <color indexed="64"/>
        </right>
        <top style="thin">
          <color indexed="64"/>
        </top>
        <bottom/>
      </border>
    </dxf>
    <dxf>
      <font>
        <strike val="0"/>
        <outline val="0"/>
        <shadow val="0"/>
        <u val="none"/>
        <vertAlign val="baseline"/>
        <sz val="11"/>
        <name val="Calibri"/>
        <scheme val="minor"/>
      </font>
      <numFmt numFmtId="170" formatCode="&quot;$&quot;#,##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protection locked="0" hidden="0"/>
    </dxf>
    <dxf>
      <numFmt numFmtId="170" formatCode="&quot;$&quot;#,##0.00"/>
      <border diagonalUp="0" diagonalDown="0" outline="0">
        <left style="thin">
          <color indexed="64"/>
        </left>
        <right style="thin">
          <color indexed="64"/>
        </right>
        <top style="thin">
          <color indexed="64"/>
        </top>
        <bottom/>
      </border>
    </dxf>
    <dxf>
      <font>
        <strike val="0"/>
        <outline val="0"/>
        <shadow val="0"/>
        <u val="none"/>
        <vertAlign val="baseline"/>
        <sz val="11"/>
        <name val="Calibri"/>
        <scheme val="minor"/>
      </font>
      <numFmt numFmtId="170" formatCode="&quot;$&quot;#,##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protection locked="0" hidden="0"/>
    </dxf>
    <dxf>
      <numFmt numFmtId="170" formatCode="&quot;$&quot;#,##0.00"/>
      <border diagonalUp="0" diagonalDown="0" outline="0">
        <left style="thin">
          <color indexed="64"/>
        </left>
        <right style="thin">
          <color indexed="64"/>
        </right>
        <top style="thin">
          <color indexed="64"/>
        </top>
        <bottom/>
      </border>
    </dxf>
    <dxf>
      <font>
        <strike val="0"/>
        <outline val="0"/>
        <shadow val="0"/>
        <u val="none"/>
        <vertAlign val="baseline"/>
        <sz val="11"/>
        <name val="Calibri"/>
        <scheme val="minor"/>
      </font>
      <numFmt numFmtId="170" formatCode="&quot;$&quot;#,##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protection locked="0" hidden="0"/>
    </dxf>
    <dxf>
      <numFmt numFmtId="170" formatCode="&quot;$&quot;#,##0.00"/>
      <border diagonalUp="0" diagonalDown="0" outline="0">
        <left style="thin">
          <color indexed="64"/>
        </left>
        <right style="thin">
          <color indexed="64"/>
        </right>
        <top style="thin">
          <color indexed="64"/>
        </top>
        <bottom/>
      </border>
    </dxf>
    <dxf>
      <font>
        <strike val="0"/>
        <outline val="0"/>
        <shadow val="0"/>
        <u val="none"/>
        <vertAlign val="baseline"/>
        <sz val="11"/>
        <name val="Calibri"/>
        <scheme val="minor"/>
      </font>
      <numFmt numFmtId="170" formatCode="&quot;$&quot;#,##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protection locked="0" hidden="0"/>
    </dxf>
    <dxf>
      <numFmt numFmtId="170" formatCode="&quot;$&quot;#,##0.00"/>
      <border diagonalUp="0" diagonalDown="0" outline="0">
        <left style="thin">
          <color indexed="64"/>
        </left>
        <right style="thin">
          <color indexed="64"/>
        </right>
        <top style="thin">
          <color indexed="64"/>
        </top>
        <bottom/>
      </border>
    </dxf>
    <dxf>
      <font>
        <strike val="0"/>
        <outline val="0"/>
        <shadow val="0"/>
        <u val="none"/>
        <vertAlign val="baseline"/>
        <sz val="11"/>
        <name val="Calibri"/>
        <scheme val="minor"/>
      </font>
      <numFmt numFmtId="170" formatCode="&quot;$&quot;#,##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protection locked="0" hidden="0"/>
    </dxf>
    <dxf>
      <numFmt numFmtId="170" formatCode="&quot;$&quot;#,##0.00"/>
      <border diagonalUp="0" diagonalDown="0" outline="0">
        <left style="thin">
          <color indexed="64"/>
        </left>
        <right style="thin">
          <color indexed="64"/>
        </right>
        <top style="thin">
          <color indexed="64"/>
        </top>
        <bottom/>
      </border>
    </dxf>
    <dxf>
      <font>
        <strike val="0"/>
        <outline val="0"/>
        <shadow val="0"/>
        <u val="none"/>
        <vertAlign val="baseline"/>
        <sz val="11"/>
        <name val="Calibri"/>
        <scheme val="minor"/>
      </font>
      <numFmt numFmtId="170" formatCode="&quot;$&quot;#,##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protection locked="0" hidden="0"/>
    </dxf>
    <dxf>
      <numFmt numFmtId="170" formatCode="&quot;$&quot;#,##0.00"/>
      <border diagonalUp="0" diagonalDown="0" outline="0">
        <left style="thin">
          <color indexed="64"/>
        </left>
        <right style="thin">
          <color indexed="64"/>
        </right>
        <top style="thin">
          <color indexed="64"/>
        </top>
        <bottom/>
      </border>
    </dxf>
    <dxf>
      <font>
        <strike val="0"/>
        <outline val="0"/>
        <shadow val="0"/>
        <u val="none"/>
        <vertAlign val="baseline"/>
        <sz val="11"/>
        <name val="Calibri"/>
        <scheme val="minor"/>
      </font>
      <numFmt numFmtId="170" formatCode="&quot;$&quot;#,##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protection locked="0" hidden="0"/>
    </dxf>
    <dxf>
      <numFmt numFmtId="170" formatCode="&quot;$&quot;#,##0.00"/>
      <border diagonalUp="0" diagonalDown="0" outline="0">
        <left style="thin">
          <color indexed="64"/>
        </left>
        <right style="thin">
          <color indexed="64"/>
        </right>
        <top style="thin">
          <color indexed="64"/>
        </top>
        <bottom/>
      </border>
    </dxf>
    <dxf>
      <font>
        <strike val="0"/>
        <outline val="0"/>
        <shadow val="0"/>
        <u val="none"/>
        <vertAlign val="baseline"/>
        <sz val="11"/>
        <name val="Calibri"/>
        <scheme val="minor"/>
      </font>
      <numFmt numFmtId="170" formatCode="&quot;$&quot;#,##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protection locked="0" hidden="0"/>
    </dxf>
    <dxf>
      <numFmt numFmtId="170" formatCode="&quot;$&quot;#,##0.00"/>
      <border diagonalUp="0" diagonalDown="0" outline="0">
        <left style="thin">
          <color indexed="64"/>
        </left>
        <right style="thin">
          <color indexed="64"/>
        </right>
        <top style="thin">
          <color indexed="64"/>
        </top>
        <bottom/>
      </border>
    </dxf>
    <dxf>
      <font>
        <strike val="0"/>
        <outline val="0"/>
        <shadow val="0"/>
        <u val="none"/>
        <vertAlign val="baseline"/>
        <sz val="11"/>
        <name val="Calibri"/>
        <scheme val="minor"/>
      </font>
      <numFmt numFmtId="170" formatCode="&quot;$&quot;#,##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protection locked="0" hidden="0"/>
    </dxf>
    <dxf>
      <numFmt numFmtId="170" formatCode="&quot;$&quot;#,##0.00"/>
      <border diagonalUp="0" diagonalDown="0" outline="0">
        <left style="thin">
          <color indexed="64"/>
        </left>
        <right style="thin">
          <color indexed="64"/>
        </right>
        <top style="thin">
          <color indexed="64"/>
        </top>
        <bottom/>
      </border>
    </dxf>
    <dxf>
      <font>
        <strike val="0"/>
        <outline val="0"/>
        <shadow val="0"/>
        <u val="none"/>
        <vertAlign val="baseline"/>
        <sz val="11"/>
        <name val="Calibri"/>
        <scheme val="minor"/>
      </font>
      <numFmt numFmtId="170" formatCode="&quot;$&quot;#,##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protection locked="0" hidden="0"/>
    </dxf>
    <dxf>
      <font>
        <strike val="0"/>
        <outline val="0"/>
        <shadow val="0"/>
        <u val="none"/>
        <vertAlign val="baseline"/>
        <sz val="11"/>
        <name val="Calibri"/>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border>
      <protection locked="0" hidden="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1"/>
        <name val="Calibri"/>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0" hidden="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1"/>
        <name val="Calibri"/>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border diagonalUp="0" diagonalDown="0" outline="0">
        <left/>
        <right style="thin">
          <color indexed="64"/>
        </right>
        <top style="thin">
          <color indexed="64"/>
        </top>
        <bottom/>
      </border>
    </dxf>
    <dxf>
      <font>
        <strike val="0"/>
        <outline val="0"/>
        <shadow val="0"/>
        <u val="none"/>
        <vertAlign val="baseline"/>
        <sz val="11"/>
        <name val="Calibri"/>
        <scheme val="minor"/>
      </font>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1"/>
        <name val="Calibri"/>
        <scheme val="minor"/>
      </font>
      <protection locked="1" hidden="0"/>
    </dxf>
    <dxf>
      <border outline="0">
        <bottom style="thin">
          <color indexed="64"/>
        </bottom>
      </border>
    </dxf>
    <dxf>
      <font>
        <b/>
        <i val="0"/>
        <strike val="0"/>
        <condense val="0"/>
        <extend val="0"/>
        <outline val="0"/>
        <shadow val="0"/>
        <u val="none"/>
        <vertAlign val="baseline"/>
        <sz val="11"/>
        <color auto="1"/>
        <name val="Calibri"/>
        <scheme val="minor"/>
      </font>
      <alignment horizontal="center" vertical="center" textRotation="0" wrapText="0" indent="0" justifyLastLine="0" shrinkToFit="0" readingOrder="0"/>
      <border diagonalUp="0" diagonalDown="0" outline="0">
        <left style="thin">
          <color indexed="64"/>
        </left>
        <right style="thin">
          <color indexed="64"/>
        </right>
        <top/>
        <bottom/>
      </border>
      <protection locked="1" hidden="0"/>
    </dxf>
    <dxf>
      <numFmt numFmtId="170" formatCode="&quot;$&quot;#,##0.00"/>
      <border diagonalUp="0" diagonalDown="0" outline="0">
        <left style="thin">
          <color indexed="64"/>
        </left>
        <right style="thin">
          <color indexed="64"/>
        </right>
        <top style="thin">
          <color indexed="64"/>
        </top>
        <bottom/>
      </border>
    </dxf>
    <dxf>
      <font>
        <strike val="0"/>
        <outline val="0"/>
        <shadow val="0"/>
        <u val="none"/>
        <vertAlign val="baseline"/>
        <sz val="11"/>
        <name val="Calibri"/>
        <scheme val="minor"/>
      </font>
      <numFmt numFmtId="170" formatCode="&quot;$&quot;#,##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style="thin">
          <color indexed="64"/>
        </left>
        <right/>
        <top style="thin">
          <color indexed="64"/>
        </top>
        <bottom/>
      </border>
      <protection locked="1" hidden="0"/>
    </dxf>
    <dxf>
      <numFmt numFmtId="170" formatCode="&quot;$&quot;#,##0.00"/>
      <border diagonalUp="0" diagonalDown="0" outline="0">
        <left style="thin">
          <color indexed="64"/>
        </left>
        <right/>
        <top style="thin">
          <color indexed="64"/>
        </top>
        <bottom/>
      </border>
    </dxf>
    <dxf>
      <font>
        <strike val="0"/>
        <outline val="0"/>
        <shadow val="0"/>
        <u val="none"/>
        <vertAlign val="baseline"/>
        <sz val="11"/>
        <name val="Calibri"/>
        <scheme val="minor"/>
      </font>
      <numFmt numFmtId="170" formatCode="&quot;$&quot;#,##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border>
      <protection locked="0" hidden="0"/>
    </dxf>
    <dxf>
      <numFmt numFmtId="170" formatCode="&quot;$&quot;#,##0.00"/>
      <border diagonalUp="0" diagonalDown="0" outline="0">
        <left style="thin">
          <color indexed="64"/>
        </left>
        <right style="thin">
          <color indexed="64"/>
        </right>
        <top style="thin">
          <color indexed="64"/>
        </top>
        <bottom/>
      </border>
    </dxf>
    <dxf>
      <font>
        <strike val="0"/>
        <outline val="0"/>
        <shadow val="0"/>
        <u val="none"/>
        <vertAlign val="baseline"/>
        <sz val="11"/>
        <name val="Calibri"/>
        <scheme val="minor"/>
      </font>
      <numFmt numFmtId="170" formatCode="&quot;$&quot;#,##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border>
      <protection locked="0" hidden="0"/>
    </dxf>
    <dxf>
      <numFmt numFmtId="170" formatCode="&quot;$&quot;#,##0.00"/>
      <border diagonalUp="0" diagonalDown="0" outline="0">
        <left style="thin">
          <color indexed="64"/>
        </left>
        <right style="thin">
          <color indexed="64"/>
        </right>
        <top style="thin">
          <color indexed="64"/>
        </top>
        <bottom/>
      </border>
    </dxf>
    <dxf>
      <font>
        <strike val="0"/>
        <outline val="0"/>
        <shadow val="0"/>
        <u val="none"/>
        <vertAlign val="baseline"/>
        <sz val="11"/>
        <name val="Calibri"/>
        <scheme val="minor"/>
      </font>
      <numFmt numFmtId="170" formatCode="&quot;$&quot;#,##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border>
      <protection locked="0" hidden="0"/>
    </dxf>
    <dxf>
      <numFmt numFmtId="170" formatCode="&quot;$&quot;#,##0.00"/>
      <border diagonalUp="0" diagonalDown="0" outline="0">
        <left style="thin">
          <color indexed="64"/>
        </left>
        <right style="thin">
          <color indexed="64"/>
        </right>
        <top style="thin">
          <color indexed="64"/>
        </top>
        <bottom/>
      </border>
    </dxf>
    <dxf>
      <font>
        <strike val="0"/>
        <outline val="0"/>
        <shadow val="0"/>
        <u val="none"/>
        <vertAlign val="baseline"/>
        <sz val="11"/>
        <name val="Calibri"/>
        <scheme val="minor"/>
      </font>
      <numFmt numFmtId="170" formatCode="&quot;$&quot;#,##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border>
      <protection locked="0" hidden="0"/>
    </dxf>
    <dxf>
      <numFmt numFmtId="170" formatCode="&quot;$&quot;#,##0.00"/>
      <border diagonalUp="0" diagonalDown="0" outline="0">
        <left style="thin">
          <color indexed="64"/>
        </left>
        <right style="thin">
          <color indexed="64"/>
        </right>
        <top style="thin">
          <color indexed="64"/>
        </top>
        <bottom/>
      </border>
    </dxf>
    <dxf>
      <font>
        <strike val="0"/>
        <outline val="0"/>
        <shadow val="0"/>
        <u val="none"/>
        <vertAlign val="baseline"/>
        <sz val="11"/>
        <name val="Calibri"/>
        <scheme val="minor"/>
      </font>
      <numFmt numFmtId="170" formatCode="&quot;$&quot;#,##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border>
      <protection locked="0" hidden="0"/>
    </dxf>
    <dxf>
      <numFmt numFmtId="170" formatCode="&quot;$&quot;#,##0.00"/>
      <border diagonalUp="0" diagonalDown="0" outline="0">
        <left style="thin">
          <color indexed="64"/>
        </left>
        <right style="thin">
          <color indexed="64"/>
        </right>
        <top style="thin">
          <color indexed="64"/>
        </top>
        <bottom/>
      </border>
    </dxf>
    <dxf>
      <font>
        <strike val="0"/>
        <outline val="0"/>
        <shadow val="0"/>
        <u val="none"/>
        <vertAlign val="baseline"/>
        <sz val="11"/>
        <name val="Calibri"/>
        <scheme val="minor"/>
      </font>
      <numFmt numFmtId="170" formatCode="&quot;$&quot;#,##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border>
      <protection locked="0" hidden="0"/>
    </dxf>
    <dxf>
      <numFmt numFmtId="170" formatCode="&quot;$&quot;#,##0.00"/>
      <border diagonalUp="0" diagonalDown="0" outline="0">
        <left style="thin">
          <color indexed="64"/>
        </left>
        <right style="thin">
          <color indexed="64"/>
        </right>
        <top style="thin">
          <color indexed="64"/>
        </top>
        <bottom/>
      </border>
    </dxf>
    <dxf>
      <font>
        <strike val="0"/>
        <outline val="0"/>
        <shadow val="0"/>
        <u val="none"/>
        <vertAlign val="baseline"/>
        <sz val="11"/>
        <name val="Calibri"/>
        <scheme val="minor"/>
      </font>
      <numFmt numFmtId="170" formatCode="&quot;$&quot;#,##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border>
      <protection locked="0" hidden="0"/>
    </dxf>
    <dxf>
      <numFmt numFmtId="170" formatCode="&quot;$&quot;#,##0.00"/>
      <border diagonalUp="0" diagonalDown="0" outline="0">
        <left style="thin">
          <color indexed="64"/>
        </left>
        <right style="thin">
          <color indexed="64"/>
        </right>
        <top style="thin">
          <color indexed="64"/>
        </top>
        <bottom/>
      </border>
    </dxf>
    <dxf>
      <font>
        <strike val="0"/>
        <outline val="0"/>
        <shadow val="0"/>
        <u val="none"/>
        <vertAlign val="baseline"/>
        <sz val="11"/>
        <name val="Calibri"/>
        <scheme val="minor"/>
      </font>
      <numFmt numFmtId="170" formatCode="&quot;$&quot;#,##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border>
      <protection locked="0" hidden="0"/>
    </dxf>
    <dxf>
      <numFmt numFmtId="170" formatCode="&quot;$&quot;#,##0.00"/>
      <border diagonalUp="0" diagonalDown="0" outline="0">
        <left style="thin">
          <color indexed="64"/>
        </left>
        <right style="thin">
          <color indexed="64"/>
        </right>
        <top style="thin">
          <color indexed="64"/>
        </top>
        <bottom/>
      </border>
    </dxf>
    <dxf>
      <font>
        <strike val="0"/>
        <outline val="0"/>
        <shadow val="0"/>
        <u val="none"/>
        <vertAlign val="baseline"/>
        <sz val="11"/>
        <name val="Calibri"/>
        <scheme val="minor"/>
      </font>
      <numFmt numFmtId="170" formatCode="&quot;$&quot;#,##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border>
      <protection locked="0" hidden="0"/>
    </dxf>
    <dxf>
      <numFmt numFmtId="170" formatCode="&quot;$&quot;#,##0.00"/>
      <border diagonalUp="0" diagonalDown="0" outline="0">
        <left style="thin">
          <color indexed="64"/>
        </left>
        <right style="thin">
          <color indexed="64"/>
        </right>
        <top style="thin">
          <color indexed="64"/>
        </top>
        <bottom/>
      </border>
    </dxf>
    <dxf>
      <font>
        <strike val="0"/>
        <outline val="0"/>
        <shadow val="0"/>
        <u val="none"/>
        <vertAlign val="baseline"/>
        <sz val="11"/>
        <name val="Calibri"/>
        <scheme val="minor"/>
      </font>
      <numFmt numFmtId="170" formatCode="&quot;$&quot;#,##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border>
      <protection locked="0" hidden="0"/>
    </dxf>
    <dxf>
      <numFmt numFmtId="170" formatCode="&quot;$&quot;#,##0.00"/>
      <border diagonalUp="0" diagonalDown="0" outline="0">
        <left style="thin">
          <color indexed="64"/>
        </left>
        <right style="thin">
          <color indexed="64"/>
        </right>
        <top style="thin">
          <color indexed="64"/>
        </top>
        <bottom/>
      </border>
    </dxf>
    <dxf>
      <font>
        <strike val="0"/>
        <outline val="0"/>
        <shadow val="0"/>
        <u val="none"/>
        <vertAlign val="baseline"/>
        <sz val="11"/>
        <name val="Calibri"/>
        <scheme val="minor"/>
      </font>
      <numFmt numFmtId="170" formatCode="&quot;$&quot;#,##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protection locked="0" hidden="0"/>
    </dxf>
    <dxf>
      <numFmt numFmtId="170" formatCode="&quot;$&quot;#,##0.00"/>
      <border diagonalUp="0" diagonalDown="0" outline="0">
        <left style="thin">
          <color indexed="64"/>
        </left>
        <right style="thin">
          <color indexed="64"/>
        </right>
        <top style="thin">
          <color indexed="64"/>
        </top>
        <bottom/>
      </border>
    </dxf>
    <dxf>
      <font>
        <strike val="0"/>
        <outline val="0"/>
        <shadow val="0"/>
        <u val="none"/>
        <vertAlign val="baseline"/>
        <sz val="11"/>
        <name val="Calibri"/>
        <scheme val="minor"/>
      </font>
      <numFmt numFmtId="170" formatCode="&quot;$&quot;#,##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protection locked="0" hidden="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1"/>
        <name val="Calibri"/>
        <scheme val="minor"/>
      </font>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border>
      <protection locked="0" hidden="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1"/>
        <name val="Calibri"/>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0" hidden="0"/>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1"/>
        <name val="Calibri"/>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border diagonalUp="0" diagonalDown="0" outline="0">
        <left/>
        <right style="thin">
          <color indexed="64"/>
        </right>
        <top style="thin">
          <color indexed="64"/>
        </top>
        <bottom/>
      </border>
    </dxf>
    <dxf>
      <font>
        <strike val="0"/>
        <outline val="0"/>
        <shadow val="0"/>
        <u val="none"/>
        <vertAlign val="baseline"/>
        <sz val="11"/>
        <name val="Calibri"/>
        <scheme val="minor"/>
      </font>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1"/>
        <name val="Calibri"/>
        <scheme val="minor"/>
      </font>
      <protection locked="1" hidden="0"/>
    </dxf>
    <dxf>
      <border outline="0">
        <bottom style="thin">
          <color indexed="64"/>
        </bottom>
      </border>
    </dxf>
    <dxf>
      <font>
        <b/>
        <i val="0"/>
        <strike val="0"/>
        <condense val="0"/>
        <extend val="0"/>
        <outline val="0"/>
        <shadow val="0"/>
        <u val="none"/>
        <vertAlign val="baseline"/>
        <sz val="11"/>
        <color auto="1"/>
        <name val="Calibri"/>
        <scheme val="minor"/>
      </font>
      <alignment horizontal="center" vertical="center" textRotation="0" wrapText="0" indent="0" justifyLastLine="0" shrinkToFit="0" readingOrder="0"/>
      <border diagonalUp="0" diagonalDown="0" outline="0">
        <left style="thin">
          <color indexed="64"/>
        </left>
        <right style="thin">
          <color indexed="64"/>
        </right>
        <top/>
        <bottom/>
      </border>
      <protection locked="1" hidden="0"/>
    </dxf>
    <dxf>
      <numFmt numFmtId="170" formatCode="&quot;$&quot;#,##0.0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1"/>
        <name val="Calibri"/>
        <scheme val="minor"/>
      </font>
      <numFmt numFmtId="170" formatCode="&quot;$&quot;#,##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70" formatCode="&quot;$&quot;#,##0.0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1"/>
        <name val="Calibri"/>
        <scheme val="minor"/>
      </font>
      <numFmt numFmtId="170" formatCode="&quot;$&quot;#,##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numFmt numFmtId="170" formatCode="&quot;$&quot;#,##0.0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1"/>
        <name val="Calibri"/>
        <scheme val="minor"/>
      </font>
      <numFmt numFmtId="170" formatCode="&quot;$&quot;#,##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numFmt numFmtId="170" formatCode="&quot;$&quot;#,##0.0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1"/>
        <name val="Calibri"/>
        <scheme val="minor"/>
      </font>
      <numFmt numFmtId="170" formatCode="&quot;$&quot;#,##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numFmt numFmtId="170" formatCode="&quot;$&quot;#,##0.0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1"/>
        <name val="Calibri"/>
        <scheme val="minor"/>
      </font>
      <numFmt numFmtId="170" formatCode="&quot;$&quot;#,##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numFmt numFmtId="170" formatCode="&quot;$&quot;#,##0.0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1"/>
        <name val="Calibri"/>
        <scheme val="minor"/>
      </font>
      <numFmt numFmtId="170" formatCode="&quot;$&quot;#,##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numFmt numFmtId="170" formatCode="&quot;$&quot;#,##0.0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1"/>
        <name val="Calibri"/>
        <scheme val="minor"/>
      </font>
      <numFmt numFmtId="170" formatCode="&quot;$&quot;#,##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numFmt numFmtId="170" formatCode="&quot;$&quot;#,##0.0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1"/>
        <name val="Calibri"/>
        <scheme val="minor"/>
      </font>
      <numFmt numFmtId="170" formatCode="&quot;$&quot;#,##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numFmt numFmtId="170" formatCode="&quot;$&quot;#,##0.0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1"/>
        <name val="Calibri"/>
        <scheme val="minor"/>
      </font>
      <numFmt numFmtId="170" formatCode="&quot;$&quot;#,##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numFmt numFmtId="170" formatCode="&quot;$&quot;#,##0.0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1"/>
        <name val="Calibri"/>
        <scheme val="minor"/>
      </font>
      <numFmt numFmtId="170" formatCode="&quot;$&quot;#,##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numFmt numFmtId="170" formatCode="&quot;$&quot;#,##0.0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1"/>
        <name val="Calibri"/>
        <scheme val="minor"/>
      </font>
      <numFmt numFmtId="170" formatCode="&quot;$&quot;#,##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numFmt numFmtId="170" formatCode="&quot;$&quot;#,##0.0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1"/>
        <name val="Calibri"/>
        <scheme val="minor"/>
      </font>
      <numFmt numFmtId="170" formatCode="&quot;$&quot;#,##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numFmt numFmtId="170" formatCode="&quot;$&quot;#,##0.0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1"/>
        <name val="Calibri"/>
        <scheme val="minor"/>
      </font>
      <numFmt numFmtId="170" formatCode="&quot;$&quot;#,##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1"/>
        <name val="Calibri"/>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1"/>
        <name val="Calibri"/>
        <scheme val="minor"/>
      </font>
      <border diagonalUp="0" diagonalDown="0" outline="0">
        <left style="thin">
          <color indexed="64"/>
        </left>
        <right style="thin">
          <color indexed="64"/>
        </right>
        <top style="thin">
          <color indexed="64"/>
        </top>
        <bottom/>
      </border>
      <protection locked="0" hidden="0"/>
    </dxf>
    <dxf>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1"/>
        <name val="Calibri"/>
        <scheme val="minor"/>
      </font>
      <border diagonalUp="0" diagonalDown="0" outline="0">
        <left style="thin">
          <color indexed="64"/>
        </left>
        <right style="thin">
          <color indexed="64"/>
        </right>
        <top style="thin">
          <color indexed="64"/>
        </top>
        <bottom style="thin">
          <color indexed="64"/>
        </bottom>
      </border>
      <protection locked="0" hidden="0"/>
    </dxf>
    <dxf>
      <border diagonalUp="0" diagonalDown="0" outline="0">
        <left/>
        <right style="thin">
          <color indexed="64"/>
        </right>
        <top style="thin">
          <color indexed="64"/>
        </top>
        <bottom/>
      </border>
      <protection locked="0" hidden="0"/>
    </dxf>
    <dxf>
      <font>
        <strike val="0"/>
        <outline val="0"/>
        <shadow val="0"/>
        <u val="none"/>
        <vertAlign val="baseline"/>
        <sz val="11"/>
        <name val="Calibri"/>
        <scheme val="minor"/>
      </font>
      <border diagonalUp="0" diagonalDown="0" outline="0">
        <left/>
        <right style="thin">
          <color indexed="64"/>
        </right>
        <top style="thin">
          <color indexed="64"/>
        </top>
        <bottom/>
      </border>
      <protection locked="0" hidden="0"/>
    </dxf>
    <dxf>
      <border outline="0">
        <top style="thin">
          <color indexed="64"/>
        </top>
      </border>
    </dxf>
    <dxf>
      <protection locked="1" hidden="0"/>
    </dxf>
    <dxf>
      <border outline="0">
        <left style="thin">
          <color indexed="64"/>
        </left>
        <right style="thin">
          <color indexed="64"/>
        </right>
        <top style="thin">
          <color indexed="64"/>
        </top>
        <bottom style="thin">
          <color indexed="64"/>
        </bottom>
      </border>
    </dxf>
    <dxf>
      <font>
        <strike val="0"/>
        <outline val="0"/>
        <shadow val="0"/>
        <u val="none"/>
        <vertAlign val="baseline"/>
        <sz val="11"/>
        <name val="Calibri"/>
        <scheme val="minor"/>
      </font>
      <protection locked="1" hidden="0"/>
    </dxf>
    <dxf>
      <border>
        <bottom style="thin">
          <color indexed="64"/>
        </bottom>
      </border>
    </dxf>
    <dxf>
      <font>
        <b/>
        <i val="0"/>
        <strike val="0"/>
        <condense val="0"/>
        <extend val="0"/>
        <outline val="0"/>
        <shadow val="0"/>
        <u val="none"/>
        <vertAlign val="baseline"/>
        <sz val="11"/>
        <color auto="1"/>
        <name val="Calibri"/>
        <scheme val="minor"/>
      </font>
      <alignment horizontal="center" vertical="center" textRotation="0" wrapText="0" indent="0" justifyLastLine="0" shrinkToFit="0" readingOrder="0"/>
      <border diagonalUp="0" diagonalDown="0" outline="0">
        <left style="thin">
          <color indexed="64"/>
        </left>
        <right style="thin">
          <color indexed="64"/>
        </right>
        <top/>
        <bottom/>
      </border>
      <protection locked="1" hidden="0"/>
    </dxf>
    <dxf>
      <numFmt numFmtId="170" formatCode="&quot;$&quot;#,##0.0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1"/>
        <name val="Calibri"/>
        <scheme val="minor"/>
      </font>
      <numFmt numFmtId="170" formatCode="&quot;$&quot;#,##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70" formatCode="&quot;$&quot;#,##0.0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1"/>
        <name val="Calibri"/>
        <scheme val="minor"/>
      </font>
      <numFmt numFmtId="170" formatCode="&quot;$&quot;#,##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numFmt numFmtId="170" formatCode="&quot;$&quot;#,##0.0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1"/>
        <name val="Calibri"/>
        <scheme val="minor"/>
      </font>
      <numFmt numFmtId="170" formatCode="&quot;$&quot;#,##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numFmt numFmtId="170" formatCode="&quot;$&quot;#,##0.0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1"/>
        <name val="Calibri"/>
        <scheme val="minor"/>
      </font>
      <numFmt numFmtId="170" formatCode="&quot;$&quot;#,##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numFmt numFmtId="170" formatCode="&quot;$&quot;#,##0.0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1"/>
        <name val="Calibri"/>
        <scheme val="minor"/>
      </font>
      <numFmt numFmtId="170" formatCode="&quot;$&quot;#,##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numFmt numFmtId="170" formatCode="&quot;$&quot;#,##0.0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1"/>
        <name val="Calibri"/>
        <scheme val="minor"/>
      </font>
      <numFmt numFmtId="170" formatCode="&quot;$&quot;#,##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numFmt numFmtId="170" formatCode="&quot;$&quot;#,##0.0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1"/>
        <name val="Calibri"/>
        <scheme val="minor"/>
      </font>
      <numFmt numFmtId="170" formatCode="&quot;$&quot;#,##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numFmt numFmtId="170" formatCode="&quot;$&quot;#,##0.0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1"/>
        <name val="Calibri"/>
        <scheme val="minor"/>
      </font>
      <numFmt numFmtId="170" formatCode="&quot;$&quot;#,##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numFmt numFmtId="170" formatCode="&quot;$&quot;#,##0.0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1"/>
        <name val="Calibri"/>
        <scheme val="minor"/>
      </font>
      <numFmt numFmtId="170" formatCode="&quot;$&quot;#,##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numFmt numFmtId="170" formatCode="&quot;$&quot;#,##0.0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1"/>
        <name val="Calibri"/>
        <scheme val="minor"/>
      </font>
      <numFmt numFmtId="170" formatCode="&quot;$&quot;#,##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numFmt numFmtId="170" formatCode="&quot;$&quot;#,##0.0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1"/>
        <name val="Calibri"/>
        <scheme val="minor"/>
      </font>
      <numFmt numFmtId="170" formatCode="&quot;$&quot;#,##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numFmt numFmtId="170" formatCode="&quot;$&quot;#,##0.0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1"/>
        <name val="Calibri"/>
        <scheme val="minor"/>
      </font>
      <numFmt numFmtId="170" formatCode="&quot;$&quot;#,##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numFmt numFmtId="170" formatCode="&quot;$&quot;#,##0.0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1"/>
        <name val="Calibri"/>
        <scheme val="minor"/>
      </font>
      <numFmt numFmtId="170" formatCode="&quot;$&quot;#,##0.0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1"/>
        <name val="Calibri"/>
        <scheme val="minor"/>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1"/>
        <name val="Calibri"/>
        <scheme val="minor"/>
      </font>
      <border diagonalUp="0" diagonalDown="0" outline="0">
        <left style="thin">
          <color indexed="64"/>
        </left>
        <right style="thin">
          <color indexed="64"/>
        </right>
        <top style="thin">
          <color indexed="64"/>
        </top>
        <bottom/>
      </border>
      <protection locked="0" hidden="0"/>
    </dxf>
    <dxf>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1"/>
        <name val="Calibri"/>
        <scheme val="minor"/>
      </font>
      <border diagonalUp="0" diagonalDown="0" outline="0">
        <left style="thin">
          <color indexed="64"/>
        </left>
        <right style="thin">
          <color indexed="64"/>
        </right>
        <top style="thin">
          <color indexed="64"/>
        </top>
        <bottom style="thin">
          <color indexed="64"/>
        </bottom>
      </border>
      <protection locked="0" hidden="0"/>
    </dxf>
    <dxf>
      <border diagonalUp="0" diagonalDown="0" outline="0">
        <left/>
        <right style="thin">
          <color indexed="64"/>
        </right>
        <top style="thin">
          <color indexed="64"/>
        </top>
        <bottom/>
      </border>
      <protection locked="0" hidden="0"/>
    </dxf>
    <dxf>
      <font>
        <strike val="0"/>
        <outline val="0"/>
        <shadow val="0"/>
        <u val="none"/>
        <vertAlign val="baseline"/>
        <sz val="11"/>
        <name val="Calibri"/>
        <scheme val="minor"/>
      </font>
      <border diagonalUp="0" diagonalDown="0" outline="0">
        <left/>
        <right style="thin">
          <color indexed="64"/>
        </right>
        <top style="thin">
          <color indexed="64"/>
        </top>
        <bottom/>
      </border>
      <protection locked="0" hidden="0"/>
    </dxf>
    <dxf>
      <border outline="0">
        <top style="thin">
          <color indexed="64"/>
        </top>
      </border>
    </dxf>
    <dxf>
      <protection locked="1" hidden="0"/>
    </dxf>
    <dxf>
      <border outline="0">
        <left style="thin">
          <color indexed="64"/>
        </left>
        <right style="thin">
          <color indexed="64"/>
        </right>
        <top style="thin">
          <color indexed="64"/>
        </top>
        <bottom style="thin">
          <color indexed="64"/>
        </bottom>
      </border>
    </dxf>
    <dxf>
      <font>
        <strike val="0"/>
        <outline val="0"/>
        <shadow val="0"/>
        <u val="none"/>
        <vertAlign val="baseline"/>
        <sz val="11"/>
        <name val="Calibri"/>
        <scheme val="minor"/>
      </font>
      <protection locked="1" hidden="0"/>
    </dxf>
    <dxf>
      <border>
        <bottom style="thin">
          <color indexed="64"/>
        </bottom>
      </border>
    </dxf>
    <dxf>
      <font>
        <b/>
        <i val="0"/>
        <strike val="0"/>
        <condense val="0"/>
        <extend val="0"/>
        <outline val="0"/>
        <shadow val="0"/>
        <u val="none"/>
        <vertAlign val="baseline"/>
        <sz val="11"/>
        <color auto="1"/>
        <name val="Calibri"/>
        <scheme val="minor"/>
      </font>
      <alignment horizontal="center" vertical="center" textRotation="0" wrapText="0" indent="0" justifyLastLine="0" shrinkToFit="0" readingOrder="0"/>
      <border diagonalUp="0" diagonalDown="0" outline="0">
        <left style="thin">
          <color indexed="64"/>
        </left>
        <right style="thin">
          <color indexed="64"/>
        </right>
        <top/>
        <bottom/>
      </border>
      <protection locked="1" hidden="0"/>
    </dxf>
    <dxf>
      <fill>
        <patternFill>
          <bgColor rgb="FF00FF00"/>
        </patternFill>
      </fill>
    </dxf>
  </dxfs>
  <tableStyles count="1" defaultTableStyle="TableStyleMedium2" defaultPivotStyle="PivotStyleLight16">
    <tableStyle name="PivotTable Style 1" table="0" count="1" xr9:uid="{00000000-0011-0000-FFFF-FFFF00000000}">
      <tableStyleElement type="firstSubtotalRow" dxfId="249"/>
    </tableStyle>
  </tableStyles>
  <colors>
    <mruColors>
      <color rgb="FFB7BEDF"/>
      <color rgb="FFCCCCFF"/>
      <color rgb="FFCCFFFF"/>
      <color rgb="FFC1A5E9"/>
      <color rgb="FF34A68E"/>
      <color rgb="FF9900CC"/>
      <color rgb="FFCC66FF"/>
      <color rgb="FFCC3399"/>
      <color rgb="FFADE1C1"/>
      <color rgb="FF66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xdr:col>
      <xdr:colOff>476250</xdr:colOff>
      <xdr:row>6</xdr:row>
      <xdr:rowOff>117475</xdr:rowOff>
    </xdr:to>
    <xdr:pic>
      <xdr:nvPicPr>
        <xdr:cNvPr id="3" name="Picture 2" descr="Financials–Total URB Approved Pgm Budget&#10;Master WBS Code:                                                I.39424.1.x URB Approved budget: $4,288,000.00 &#10;Spend to date: $3,668,968.11 &#10;Estimate to complete: $591,365.00&#10;Estimate at complete: $4,260,333.11&#10;Over (+) / Under (-) budget: $27,666.89&#10;">
          <a:extLst>
            <a:ext uri="{FF2B5EF4-FFF2-40B4-BE49-F238E27FC236}">
              <a16:creationId xmlns:a16="http://schemas.microsoft.com/office/drawing/2014/main" id="{6A0513A5-0DD8-71B5-96D9-963DC5812F8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3086100" cy="1038225"/>
        </a:xfrm>
        <a:prstGeom prst="rect">
          <a:avLst/>
        </a:prstGeom>
        <a:noFill/>
      </xdr:spPr>
    </xdr:pic>
    <xdr:clientData/>
  </xdr:twoCellAnchor>
  <xdr:twoCellAnchor>
    <xdr:from>
      <xdr:col>4</xdr:col>
      <xdr:colOff>95250</xdr:colOff>
      <xdr:row>1</xdr:row>
      <xdr:rowOff>0</xdr:rowOff>
    </xdr:from>
    <xdr:to>
      <xdr:col>9</xdr:col>
      <xdr:colOff>133350</xdr:colOff>
      <xdr:row>8</xdr:row>
      <xdr:rowOff>82550</xdr:rowOff>
    </xdr:to>
    <xdr:pic>
      <xdr:nvPicPr>
        <xdr:cNvPr id="2" name="Picture 1" descr="Financials–Total URB Approved Prgm Budget&#10;Master WBS Code:                                                I.39424.1.x URB Approved budget: $6,600,000.00 &#10;Spend to date: $3,871,325.90 &#10;Estimate to complete: $2,600,00.00&#10;Estimate at complete: $6,471,326.00&#10;Over (+) / Under (-) budget: $128,674.00&#10;Under budget                                                                      1.9%&#10;">
          <a:extLst>
            <a:ext uri="{FF2B5EF4-FFF2-40B4-BE49-F238E27FC236}">
              <a16:creationId xmlns:a16="http://schemas.microsoft.com/office/drawing/2014/main" id="{4F0BDB58-9727-6814-A346-CE5C7B5641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54450" y="184150"/>
          <a:ext cx="3086100" cy="1371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0</xdr:rowOff>
    </xdr:from>
    <xdr:to>
      <xdr:col>11</xdr:col>
      <xdr:colOff>438150</xdr:colOff>
      <xdr:row>13</xdr:row>
      <xdr:rowOff>6350</xdr:rowOff>
    </xdr:to>
    <xdr:pic>
      <xdr:nvPicPr>
        <xdr:cNvPr id="2" name="Picture 1">
          <a:extLst>
            <a:ext uri="{FF2B5EF4-FFF2-40B4-BE49-F238E27FC236}">
              <a16:creationId xmlns:a16="http://schemas.microsoft.com/office/drawing/2014/main" id="{B8653C50-3754-BA44-73B9-206C580B89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025650"/>
          <a:ext cx="7143750" cy="1111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4</xdr:col>
      <xdr:colOff>19050</xdr:colOff>
      <xdr:row>123</xdr:row>
      <xdr:rowOff>38100</xdr:rowOff>
    </xdr:from>
    <xdr:to>
      <xdr:col>4</xdr:col>
      <xdr:colOff>104775</xdr:colOff>
      <xdr:row>126</xdr:row>
      <xdr:rowOff>161925</xdr:rowOff>
    </xdr:to>
    <xdr:sp macro="" textlink="">
      <xdr:nvSpPr>
        <xdr:cNvPr id="2" name="Right Brace 1">
          <a:extLst>
            <a:ext uri="{FF2B5EF4-FFF2-40B4-BE49-F238E27FC236}">
              <a16:creationId xmlns:a16="http://schemas.microsoft.com/office/drawing/2014/main" id="{E17BCE27-283C-47C1-8E90-6C27BC047C49}"/>
            </a:ext>
          </a:extLst>
        </xdr:cNvPr>
        <xdr:cNvSpPr/>
      </xdr:nvSpPr>
      <xdr:spPr>
        <a:xfrm>
          <a:off x="8229600" y="26174700"/>
          <a:ext cx="85725" cy="873125"/>
        </a:xfrm>
        <a:prstGeom prst="rightBrace">
          <a:avLst/>
        </a:prstGeom>
      </xdr:spPr>
      <xdr:style>
        <a:lnRef idx="2">
          <a:schemeClr val="accent1"/>
        </a:lnRef>
        <a:fillRef idx="0">
          <a:schemeClr val="accent1"/>
        </a:fillRef>
        <a:effectRef idx="1">
          <a:schemeClr val="accent1"/>
        </a:effectRef>
        <a:fontRef idx="minor">
          <a:schemeClr val="tx1"/>
        </a:fontRef>
      </xdr:style>
      <xdr:txBody>
        <a:bodyPr vertOverflow="clip" horzOverflow="clip" rtlCol="0" anchor="t"/>
        <a:lstStyle/>
        <a:p>
          <a:pPr algn="l"/>
          <a:endParaRPr lang="en-US" sz="1100"/>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C90222960\AppData\Local\Microsoft\Windows\INetCache\Content.Outlook\1U40H156\PSEGLI-SGP-TP001%20-%20PRJ13810%20-%20Cost%20Estimator.xlsm" TargetMode="External"/><Relationship Id="rId1" Type="http://schemas.openxmlformats.org/officeDocument/2006/relationships/externalLinkPath" Target="file:///C:\Users\C90222960\AppData\Local\Microsoft\Windows\INetCache\Content.Outlook\1U40H156\PSEGLI-SGP-TP001%20-%20PRJ13810%20-%20Cost%20Estimator.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https://pseg-my.sharepoint.us/personal/chad_boyett_pseg_com/Documents/(PRJ13797)%20JMUX%20Replacement%20-%20Est%20(2024-27)Final.xlsm" TargetMode="External"/><Relationship Id="rId1" Type="http://schemas.openxmlformats.org/officeDocument/2006/relationships/externalLinkPath" Target="/personal/chad_boyett_pseg_com/Documents/(PRJ13797)%20JMUX%20Replacement%20-%20Est%20(2024-27)Fin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verPage"/>
      <sheetName val="Error_Log"/>
      <sheetName val="Instructions"/>
      <sheetName val="ROM_Gates 1_2"/>
      <sheetName val="Detailed_Estimate"/>
      <sheetName val="Total_Estimate"/>
      <sheetName val="Rates"/>
      <sheetName val="Estimation Factors"/>
    </sheetNames>
    <sheetDataSet>
      <sheetData sheetId="0"/>
      <sheetData sheetId="1"/>
      <sheetData sheetId="2"/>
      <sheetData sheetId="3"/>
      <sheetData sheetId="4">
        <row r="1">
          <cell r="B1" t="str">
            <v>Waterfall</v>
          </cell>
        </row>
      </sheetData>
      <sheetData sheetId="5"/>
      <sheetData sheetId="6">
        <row r="2">
          <cell r="A2" t="str">
            <v>Long Island Title</v>
          </cell>
        </row>
        <row r="14">
          <cell r="A14" t="str">
            <v>Capital</v>
          </cell>
        </row>
        <row r="15">
          <cell r="A15" t="str">
            <v>O&amp;M</v>
          </cell>
        </row>
      </sheetData>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verPage"/>
      <sheetName val="Error_Log"/>
      <sheetName val="Instructions"/>
      <sheetName val="Project_Summary_(auto_fill)"/>
      <sheetName val="ROM_Gates 1_2"/>
      <sheetName val="Detailed_Estimate"/>
      <sheetName val="Total_Estimate"/>
      <sheetName val="Estimated Itemized Spend "/>
      <sheetName val="Labor_Cost_by_Month"/>
      <sheetName val="Lists"/>
      <sheetName val="Rates"/>
      <sheetName val="Estimation Factors"/>
    </sheetNames>
    <sheetDataSet>
      <sheetData sheetId="0" refreshError="1"/>
      <sheetData sheetId="1" refreshError="1"/>
      <sheetData sheetId="2" refreshError="1"/>
      <sheetData sheetId="3" refreshError="1"/>
      <sheetData sheetId="4" refreshError="1"/>
      <sheetData sheetId="5">
        <row r="1">
          <cell r="B1" t="str">
            <v>Agile</v>
          </cell>
        </row>
        <row r="7">
          <cell r="J7">
            <v>90</v>
          </cell>
        </row>
        <row r="245">
          <cell r="J245">
            <v>0</v>
          </cell>
        </row>
      </sheetData>
      <sheetData sheetId="6" refreshError="1"/>
      <sheetData sheetId="7" refreshError="1"/>
      <sheetData sheetId="8" refreshError="1"/>
      <sheetData sheetId="9">
        <row r="6">
          <cell r="G6" t="str">
            <v>No</v>
          </cell>
        </row>
        <row r="7">
          <cell r="G7" t="str">
            <v>Yes</v>
          </cell>
        </row>
      </sheetData>
      <sheetData sheetId="10">
        <row r="2">
          <cell r="A2" t="str">
            <v>New Jersey Title</v>
          </cell>
          <cell r="B2" t="str">
            <v xml:space="preserve"> Rate</v>
          </cell>
        </row>
        <row r="3">
          <cell r="A3" t="str">
            <v>Associate</v>
          </cell>
          <cell r="B3">
            <v>43.99</v>
          </cell>
        </row>
        <row r="4">
          <cell r="A4" t="str">
            <v>Sr. Associate</v>
          </cell>
          <cell r="B4">
            <v>63.22</v>
          </cell>
          <cell r="I4" t="str">
            <v>Installing Material</v>
          </cell>
          <cell r="J4" t="str">
            <v>No</v>
          </cell>
        </row>
        <row r="5">
          <cell r="A5" t="str">
            <v>Consultant</v>
          </cell>
          <cell r="B5">
            <v>82.83</v>
          </cell>
          <cell r="I5" t="str">
            <v>EMC-On site Installation</v>
          </cell>
          <cell r="J5" t="str">
            <v>No</v>
          </cell>
        </row>
        <row r="6">
          <cell r="A6" t="str">
            <v>Sr. Consultant</v>
          </cell>
          <cell r="B6">
            <v>102.32</v>
          </cell>
          <cell r="I6" t="str">
            <v>EMC-Remote Installation</v>
          </cell>
          <cell r="J6" t="str">
            <v>Yes</v>
          </cell>
        </row>
        <row r="7">
          <cell r="A7" t="str">
            <v>Principal</v>
          </cell>
          <cell r="B7">
            <v>132.76</v>
          </cell>
          <cell r="I7" t="str">
            <v>Infrastructure</v>
          </cell>
          <cell r="J7" t="str">
            <v>No</v>
          </cell>
        </row>
        <row r="8">
          <cell r="A8" t="str">
            <v>Sr. Manager</v>
          </cell>
          <cell r="B8">
            <v>191.58</v>
          </cell>
          <cell r="I8" t="str">
            <v>Project Management</v>
          </cell>
          <cell r="J8" t="str">
            <v>Yes</v>
          </cell>
        </row>
        <row r="9">
          <cell r="I9" t="str">
            <v>Other</v>
          </cell>
          <cell r="J9" t="str">
            <v>No</v>
          </cell>
        </row>
        <row r="10">
          <cell r="A10" t="str">
            <v>Long Island Title</v>
          </cell>
          <cell r="B10" t="str">
            <v xml:space="preserve"> Rate</v>
          </cell>
        </row>
        <row r="11">
          <cell r="A11" t="str">
            <v>LI Sr. Associate</v>
          </cell>
          <cell r="B11">
            <v>232.41</v>
          </cell>
        </row>
        <row r="12">
          <cell r="A12" t="str">
            <v>LI Non Sr. IT Manager</v>
          </cell>
          <cell r="B12">
            <v>258.08999999999997</v>
          </cell>
        </row>
        <row r="13">
          <cell r="A13" t="str">
            <v>LI Sr. IT Mananger</v>
          </cell>
          <cell r="B13">
            <v>318.16000000000003</v>
          </cell>
        </row>
        <row r="14">
          <cell r="A14" t="str">
            <v>LI Bus. Sr. Manager</v>
          </cell>
          <cell r="B14">
            <v>266.22000000000003</v>
          </cell>
        </row>
        <row r="15">
          <cell r="A15" t="str">
            <v>LI Bus. Associate Analyst</v>
          </cell>
          <cell r="B15">
            <v>236.64</v>
          </cell>
        </row>
        <row r="16">
          <cell r="A16" t="str">
            <v>LI Bus. Principal Analyst</v>
          </cell>
          <cell r="B16">
            <v>207.06</v>
          </cell>
        </row>
      </sheetData>
      <sheetData sheetId="11" refreshError="1"/>
    </sheetDataSet>
  </externalBook>
</externalLink>
</file>

<file path=xl/persons/person.xml><?xml version="1.0" encoding="utf-8"?>
<personList xmlns="http://schemas.microsoft.com/office/spreadsheetml/2018/threadedcomments" xmlns:x="http://schemas.openxmlformats.org/spreadsheetml/2006/main">
  <person displayName="Boyett, Chad J." id="{AB276894-6594-4DEB-8A2B-9882A316E948}" userId="S::Chad.Boyett@pseg.com::c048a36a-d551-473a-bab3-5a31816c393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86174C3-A357-4E5B-BEB6-D07B84A370B5}" name="Table163631115" displayName="Table163631115" ref="U60:AK71" totalsRowShown="0" headerRowDxfId="248" dataDxfId="246" totalsRowDxfId="244" headerRowBorderDxfId="247" tableBorderDxfId="245" totalsRowBorderDxfId="243">
  <tableColumns count="17">
    <tableColumn id="1" xr3:uid="{B17EB047-AA0C-4A23-A71C-44BF176775F4}" name="Company" dataDxfId="242" totalsRowDxfId="241"/>
    <tableColumn id="2" xr3:uid="{2E0360FE-192F-4693-ADE0-3201087143EF}" name="Item" dataDxfId="240" totalsRowDxfId="239"/>
    <tableColumn id="16" xr3:uid="{ED7A1147-9C2B-4A6F-A1DD-57B0C97C3EE8}" name="Capital/O&amp;M" dataDxfId="238" totalsRowDxfId="237"/>
    <tableColumn id="17" xr3:uid="{7AFBB7FD-2F8B-4DF8-B999-56F5819F1A7C}" name="Taxable" dataDxfId="236" totalsRowDxfId="235"/>
    <tableColumn id="3" xr3:uid="{9E7E47E0-256B-4EAA-97D4-5D1D659E7B53}" name="Jan" dataDxfId="234" totalsRowDxfId="233">
      <calculatedColumnFormula>SUM(Y53:Y60)+0.07*SUM(Y53:Y60)</calculatedColumnFormula>
    </tableColumn>
    <tableColumn id="4" xr3:uid="{475185AE-8CF4-4E87-AF94-B772B7B98B12}" name="Feb" dataDxfId="232" totalsRowDxfId="231"/>
    <tableColumn id="5" xr3:uid="{D926C9D4-556E-4149-AF08-8F65C24B786D}" name="Mar" dataDxfId="230" totalsRowDxfId="229"/>
    <tableColumn id="6" xr3:uid="{2E20EC42-0455-46C6-A87D-CEE5BD3E5E06}" name="Apr" dataDxfId="228" totalsRowDxfId="227"/>
    <tableColumn id="7" xr3:uid="{05D117AD-65B2-4597-B156-27E5D438E353}" name="May" dataDxfId="226" totalsRowDxfId="225"/>
    <tableColumn id="8" xr3:uid="{811C54B4-ED29-4220-B4D1-40151D6E1DEF}" name="Jun" dataDxfId="224" totalsRowDxfId="223"/>
    <tableColumn id="9" xr3:uid="{7BEF271B-ECAD-4896-BEEA-AAA12ECAE8CA}" name="Jul" dataDxfId="222" totalsRowDxfId="221"/>
    <tableColumn id="10" xr3:uid="{0F3F29A7-1FEA-470B-AA9B-47D0967A24AF}" name="Aug" dataDxfId="220" totalsRowDxfId="219"/>
    <tableColumn id="11" xr3:uid="{2BCFCEF5-3075-471D-A6E2-E04F12BEA141}" name="Sep" dataDxfId="218" totalsRowDxfId="217"/>
    <tableColumn id="12" xr3:uid="{08BF9C17-2CCD-4DA6-BC9E-45A9BA29CA15}" name="Oct" dataDxfId="216" totalsRowDxfId="215"/>
    <tableColumn id="13" xr3:uid="{4890B239-47D5-45C5-91A8-65B27B15DAE6}" name="Nov" dataDxfId="214" totalsRowDxfId="213"/>
    <tableColumn id="14" xr3:uid="{64B645ED-4820-4079-BBA1-DF26A4A09A8D}" name="Dec" dataDxfId="212" totalsRowDxfId="211"/>
    <tableColumn id="15" xr3:uid="{F0A2B784-419F-4E68-9754-B501DC934461}" name="Total" dataDxfId="210" totalsRowDxfId="209"/>
  </tableColumns>
  <tableStyleInfo name="TableStyleMedium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3A0FE9C-B8A2-4BB5-9DE2-0D6F47214781}" name="Table163631116" displayName="Table163631116" ref="AN60:BD71" totalsRowShown="0" headerRowDxfId="208" dataDxfId="206" totalsRowDxfId="204" headerRowBorderDxfId="207" tableBorderDxfId="205" totalsRowBorderDxfId="203">
  <tableColumns count="17">
    <tableColumn id="1" xr3:uid="{F92FE591-D539-42DB-BB1D-F9D724E7D4A1}" name="Company" dataDxfId="202" totalsRowDxfId="201"/>
    <tableColumn id="2" xr3:uid="{658AD495-6F0D-4811-94AB-7DBE47E9098B}" name="Item" dataDxfId="200" totalsRowDxfId="199"/>
    <tableColumn id="16" xr3:uid="{10E8684D-2BFA-4C3B-8618-F0A6D540E840}" name="Capital/O&amp;M" dataDxfId="198" totalsRowDxfId="197"/>
    <tableColumn id="17" xr3:uid="{650CF4D9-090C-4279-9698-1D5EDD34ECF6}" name="Taxable" dataDxfId="196" totalsRowDxfId="195"/>
    <tableColumn id="3" xr3:uid="{3C58D529-C1B9-464B-9476-CAAD891046C1}" name="Jan" dataDxfId="194" totalsRowDxfId="193">
      <calculatedColumnFormula>SUM(AR53:AR60)+0.07*SUM(AR53:AR60)</calculatedColumnFormula>
    </tableColumn>
    <tableColumn id="4" xr3:uid="{85DAC5E6-FFA3-444E-B3FD-1219123AF70A}" name="Feb" dataDxfId="192" totalsRowDxfId="191"/>
    <tableColumn id="5" xr3:uid="{C20952AF-62B3-48EB-BA5B-1707D1119E3C}" name="Mar" dataDxfId="190" totalsRowDxfId="189"/>
    <tableColumn id="6" xr3:uid="{75FBB3E4-81EA-408D-8B49-6A26F2BBCFA5}" name="Apr" dataDxfId="188" totalsRowDxfId="187"/>
    <tableColumn id="7" xr3:uid="{AD0FADDD-18A8-4E6D-9B9C-45E96CB1E6CE}" name="May" dataDxfId="186" totalsRowDxfId="185"/>
    <tableColumn id="8" xr3:uid="{3D45ED4C-1780-4182-BD12-E6F0CB29B4D4}" name="Jun" dataDxfId="184" totalsRowDxfId="183"/>
    <tableColumn id="9" xr3:uid="{5CCF468E-C8B2-45A3-8F59-35A8BE609A19}" name="Jul" dataDxfId="182" totalsRowDxfId="181"/>
    <tableColumn id="10" xr3:uid="{16C66051-2756-43D6-99D5-85FA9BAB5CEF}" name="Aug" dataDxfId="180" totalsRowDxfId="179"/>
    <tableColumn id="11" xr3:uid="{12DFDE80-82C2-4E79-B41B-CCA9DCE081F3}" name="Sep" dataDxfId="178" totalsRowDxfId="177"/>
    <tableColumn id="12" xr3:uid="{CC1089B1-1F7A-4688-B097-D52BE7E530AB}" name="Oct" dataDxfId="176" totalsRowDxfId="175"/>
    <tableColumn id="13" xr3:uid="{FB59B452-C108-486B-BE10-C5B57B48AAC6}" name="Nov" dataDxfId="174" totalsRowDxfId="173"/>
    <tableColumn id="14" xr3:uid="{50715A14-F831-475F-BF54-CD6D13BF71D1}" name="Dec" dataDxfId="172" totalsRowDxfId="171"/>
    <tableColumn id="15" xr3:uid="{D1A034C9-1A9E-487C-B5DF-E888088F0253}" name="Total" dataDxfId="170" totalsRowDxfId="169"/>
  </tableColumns>
  <tableStyleInfo name="TableStyleMedium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2F830E8-6A48-4A7A-B85D-FA31C5121687}" name="Table153641217" displayName="Table153641217" ref="U80:AK88" totalsRowShown="0" headerRowDxfId="168" dataDxfId="166" headerRowBorderDxfId="167" tableBorderDxfId="165" totalsRowBorderDxfId="164">
  <tableColumns count="17">
    <tableColumn id="1" xr3:uid="{D0679F15-FDA0-4BB8-A40C-DDA0117E2630}" name="Company" dataDxfId="163" totalsRowDxfId="162"/>
    <tableColumn id="2" xr3:uid="{813B2972-5FD0-4CDF-9088-7E005A7BF59E}" name="Service Type" dataDxfId="161" totalsRowDxfId="160"/>
    <tableColumn id="16" xr3:uid="{E2F79CA0-5834-4B7D-BBFE-6928F932A129}" name="Capital/O&amp;M" dataDxfId="159" totalsRowDxfId="158"/>
    <tableColumn id="17" xr3:uid="{5B5564AA-B99D-429F-9C75-181EE520BD89}" name="Taxable" dataDxfId="157" totalsRowDxfId="156">
      <calculatedColumnFormula>IFERROR(VLOOKUP(V81,[2]Rates!$I$4:$J$19,2,),"")</calculatedColumnFormula>
    </tableColumn>
    <tableColumn id="3" xr3:uid="{EE8AF809-1588-48D0-BB05-84D53BC412E6}" name="Jan" dataDxfId="155" totalsRowDxfId="154"/>
    <tableColumn id="4" xr3:uid="{F06422AE-8EF5-4A88-8E19-2F045881AB44}" name="Feb" dataDxfId="153" totalsRowDxfId="152"/>
    <tableColumn id="5" xr3:uid="{6FBE98B8-EE11-4EAC-B688-C9CB5BFA2612}" name="Mar" dataDxfId="151" totalsRowDxfId="150"/>
    <tableColumn id="6" xr3:uid="{D01BE15F-3496-478F-9220-794D40FC620E}" name="Apr" dataDxfId="149" totalsRowDxfId="148"/>
    <tableColumn id="7" xr3:uid="{95581A8D-5A15-4998-98A3-7CE665A80849}" name="May" dataDxfId="147" totalsRowDxfId="146"/>
    <tableColumn id="8" xr3:uid="{F9D1CDAF-CDC4-41BF-AA1E-4C4E63D7ACCA}" name="Jun" dataDxfId="145" totalsRowDxfId="144"/>
    <tableColumn id="9" xr3:uid="{96A158B7-0831-4862-809E-8D2D73B97D9B}" name="Jul" dataDxfId="143" totalsRowDxfId="142"/>
    <tableColumn id="10" xr3:uid="{AB9FF508-69BD-4C73-9E37-EA4C683756E6}" name="Aug" dataDxfId="141" totalsRowDxfId="140"/>
    <tableColumn id="11" xr3:uid="{5BE86CC8-7149-418C-BE10-3076FE269F65}" name="Sep" dataDxfId="139" totalsRowDxfId="138"/>
    <tableColumn id="12" xr3:uid="{ABA9AC49-AF48-4D34-93ED-E18B396C5723}" name="Oct" dataDxfId="137" totalsRowDxfId="136"/>
    <tableColumn id="13" xr3:uid="{A5DBF9ED-4FC5-4975-B7A4-C0AC284AFEA5}" name="Nov" dataDxfId="135" totalsRowDxfId="134"/>
    <tableColumn id="14" xr3:uid="{3A360638-23BE-4F64-8892-3B4308649874}" name="Dec" dataDxfId="133" totalsRowDxfId="132"/>
    <tableColumn id="15" xr3:uid="{AA34DA26-4448-477B-B4A0-72FA42A25378}" name="Total" dataDxfId="131" totalsRowDxfId="130">
      <calculatedColumnFormula>SUM(Y81:AJ81)</calculatedColumn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FF0528D-7863-454E-80BD-80F03F66D13D}" name="Table153641218" displayName="Table153641218" ref="AN80:BD88" totalsRowShown="0" headerRowDxfId="129" dataDxfId="127" headerRowBorderDxfId="128" tableBorderDxfId="126" totalsRowBorderDxfId="125">
  <tableColumns count="17">
    <tableColumn id="1" xr3:uid="{D8F88EC6-50D8-4219-8697-8869FFD5D2AF}" name="Company" dataDxfId="124" totalsRowDxfId="123"/>
    <tableColumn id="2" xr3:uid="{43ACC188-302C-4115-B575-0B48C02CC6F2}" name="Service Type" dataDxfId="122" totalsRowDxfId="121"/>
    <tableColumn id="16" xr3:uid="{675E3611-7A1B-424E-86D4-5121AEEA377F}" name="Capital/O&amp;M" dataDxfId="120" totalsRowDxfId="119"/>
    <tableColumn id="17" xr3:uid="{F4017AA4-A843-4B7C-B5B5-F57ED6424868}" name="Taxable" dataDxfId="118">
      <calculatedColumnFormula>IFERROR(VLOOKUP(AO81,[2]Rates!$I$4:$J$19,2,),"")</calculatedColumnFormula>
    </tableColumn>
    <tableColumn id="3" xr3:uid="{FBCF661B-BAE3-47D6-AC92-7AD7F43A9B32}" name="Jan" dataDxfId="117" totalsRowDxfId="116"/>
    <tableColumn id="4" xr3:uid="{C9A5E33C-5877-4492-A070-2E18CE6F10AC}" name="Feb" dataDxfId="115" totalsRowDxfId="114"/>
    <tableColumn id="5" xr3:uid="{55A328AB-5382-4484-AB06-8CEA54FB2DCC}" name="Mar" dataDxfId="113" totalsRowDxfId="112"/>
    <tableColumn id="6" xr3:uid="{EA03B640-1AC2-41FB-AFDE-A80A7BCE8E96}" name="Apr" dataDxfId="111" totalsRowDxfId="110"/>
    <tableColumn id="7" xr3:uid="{9E358A24-D466-4E8B-8E04-163F3CE432C5}" name="May" dataDxfId="109" totalsRowDxfId="108"/>
    <tableColumn id="8" xr3:uid="{87CFD86C-A3D1-4142-BE8B-5C90BE3CA85D}" name="Jun" dataDxfId="107" totalsRowDxfId="106"/>
    <tableColumn id="9" xr3:uid="{35ABED6D-1150-413B-83F6-51938253AFBC}" name="Jul" dataDxfId="105" totalsRowDxfId="104"/>
    <tableColumn id="10" xr3:uid="{D6E0B054-28EE-4D30-8E3B-7792A2278480}" name="Aug" dataDxfId="103" totalsRowDxfId="102"/>
    <tableColumn id="11" xr3:uid="{94FE6AB6-3D46-4658-9953-A040AA7E8B02}" name="Sep" dataDxfId="101" totalsRowDxfId="100"/>
    <tableColumn id="12" xr3:uid="{4E660E94-1519-43AB-8BD9-7A6392868C0F}" name="Oct" dataDxfId="99" totalsRowDxfId="98"/>
    <tableColumn id="13" xr3:uid="{900EDC27-CC70-4FF9-9872-6AAEE66BB570}" name="Nov" dataDxfId="97" totalsRowDxfId="96"/>
    <tableColumn id="14" xr3:uid="{89BEE13D-4BC7-4B07-AAB3-56DD72E2F419}" name="Dec" dataDxfId="95" totalsRowDxfId="94"/>
    <tableColumn id="15" xr3:uid="{67A46D2D-15FB-4660-82F7-27F9A95EC792}" name="Total" dataDxfId="93" totalsRowDxfId="92">
      <calculatedColumnFormula>SUM(AR81:BC81)</calculatedColumnFormula>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97B071D-20AB-4C6D-BC88-2DFD6E33743C}" name="Table1636311162" displayName="Table1636311162" ref="BG60:BW71" totalsRowShown="0" headerRowDxfId="91" dataDxfId="89" totalsRowDxfId="87" headerRowBorderDxfId="90" tableBorderDxfId="88" totalsRowBorderDxfId="86">
  <tableColumns count="17">
    <tableColumn id="1" xr3:uid="{5FBD89D0-B58C-4A3C-9554-A31E153B6E83}" name="Company" dataDxfId="85" totalsRowDxfId="84"/>
    <tableColumn id="2" xr3:uid="{8EC07C93-F10D-415D-A96F-F3A93AB8FFBD}" name="Item" dataDxfId="83" totalsRowDxfId="82"/>
    <tableColumn id="16" xr3:uid="{E81CDF58-48CC-455B-B159-48FC4A3717F9}" name="Capital/O&amp;M" dataDxfId="81" totalsRowDxfId="80"/>
    <tableColumn id="17" xr3:uid="{AC3FA8CB-49EE-4C7F-8942-E9271474A4BA}" name="Taxable" dataDxfId="79" totalsRowDxfId="78"/>
    <tableColumn id="3" xr3:uid="{42F01757-AA46-4139-8DF3-BB4E6961AFD4}" name="Jan" dataDxfId="77" totalsRowDxfId="76">
      <calculatedColumnFormula>SUM(BK53:BK60)+0.07*SUM(BK53:BK60)</calculatedColumnFormula>
    </tableColumn>
    <tableColumn id="4" xr3:uid="{EFC8183C-892E-48BD-BAB2-7D1DEAE7995F}" name="Feb" dataDxfId="75" totalsRowDxfId="74"/>
    <tableColumn id="5" xr3:uid="{A62B9B58-EB80-497E-9180-0041FF847C17}" name="Mar" dataDxfId="73" totalsRowDxfId="72"/>
    <tableColumn id="6" xr3:uid="{DEE2312B-A749-4B5F-B50E-C7BD67027217}" name="Apr" dataDxfId="71" totalsRowDxfId="70"/>
    <tableColumn id="7" xr3:uid="{04F84B8D-60C7-4986-B7A0-462E9010E286}" name="May" dataDxfId="69" totalsRowDxfId="68"/>
    <tableColumn id="8" xr3:uid="{2A4DE38D-6563-4370-B22B-D9543F9D9E3D}" name="Jun" dataDxfId="67" totalsRowDxfId="66"/>
    <tableColumn id="9" xr3:uid="{4F6753AA-F7B2-4E9E-8919-429EAE69A60C}" name="Jul" dataDxfId="65" totalsRowDxfId="64"/>
    <tableColumn id="10" xr3:uid="{37D3193A-D2AB-4567-B48C-0E7A0E824B05}" name="Aug" dataDxfId="63" totalsRowDxfId="62"/>
    <tableColumn id="11" xr3:uid="{5682629B-2886-4818-82CA-1ECB2B838B31}" name="Sep" dataDxfId="61" totalsRowDxfId="60"/>
    <tableColumn id="12" xr3:uid="{48BDC074-C256-42B1-AE3A-5B6A7A63878B}" name="Oct" dataDxfId="59" totalsRowDxfId="58"/>
    <tableColumn id="13" xr3:uid="{A39111CF-2D4F-4A44-A58D-1979DACBAC33}" name="Nov" dataDxfId="57" totalsRowDxfId="56"/>
    <tableColumn id="14" xr3:uid="{CF7FE4A2-E3A9-401A-8883-6630DEC01CDE}" name="Dec" dataDxfId="55" totalsRowDxfId="54"/>
    <tableColumn id="15" xr3:uid="{3D8F3B10-DF38-4628-A953-C0A788AC5047}" name="Total" dataDxfId="53" totalsRowDxfId="52"/>
  </tableColumns>
  <tableStyleInfo name="TableStyleMedium1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46711CC-00C6-43ED-B129-74807AF95AA8}" name="Table1536412183" displayName="Table1536412183" ref="BG80:BW88" totalsRowShown="0" headerRowDxfId="51" dataDxfId="49" headerRowBorderDxfId="50" tableBorderDxfId="48" totalsRowBorderDxfId="47">
  <tableColumns count="17">
    <tableColumn id="1" xr3:uid="{B1F609BB-0182-4924-BCC7-F585F7B4B50B}" name="Company" dataDxfId="46" totalsRowDxfId="45"/>
    <tableColumn id="2" xr3:uid="{D3DA55C3-4DC1-4A0F-B2D8-2E683ADB94CD}" name="Service Type" dataDxfId="44" totalsRowDxfId="43"/>
    <tableColumn id="16" xr3:uid="{2F427062-85F9-4CF8-BAE8-9569E3F95719}" name="Capital/O&amp;M" dataDxfId="42" totalsRowDxfId="41"/>
    <tableColumn id="17" xr3:uid="{D9F54548-8DBD-4D6F-A01D-649D2B995B4F}" name="Taxable" dataDxfId="40">
      <calculatedColumnFormula>IFERROR(VLOOKUP(BH81,[2]Rates!$I$4:$J$19,2,),"")</calculatedColumnFormula>
    </tableColumn>
    <tableColumn id="3" xr3:uid="{94BEF260-9826-4CBF-AA9E-2D531F669B36}" name="Jan" dataDxfId="39" totalsRowDxfId="38"/>
    <tableColumn id="4" xr3:uid="{7AE78DC9-227A-4B45-85F8-9CB5FBB537E1}" name="Feb" dataDxfId="37" totalsRowDxfId="36"/>
    <tableColumn id="5" xr3:uid="{D9F5B14D-C907-4FEF-9AC1-F9465B977744}" name="Mar" dataDxfId="35" totalsRowDxfId="34"/>
    <tableColumn id="6" xr3:uid="{1B06DB17-CD3B-4328-8563-F351108E3144}" name="Apr" dataDxfId="33" totalsRowDxfId="32"/>
    <tableColumn id="7" xr3:uid="{39DE08AF-5240-455C-A72D-E0890A29CF2B}" name="May" dataDxfId="31" totalsRowDxfId="30"/>
    <tableColumn id="8" xr3:uid="{DE5A055E-87A3-4A8A-A0C2-2EABBDC481B6}" name="Jun" dataDxfId="29" totalsRowDxfId="28"/>
    <tableColumn id="9" xr3:uid="{E3497ADC-2C78-4A18-BB58-952C09A50C23}" name="Jul" dataDxfId="27" totalsRowDxfId="26"/>
    <tableColumn id="10" xr3:uid="{266D0594-B257-4F07-B091-5B16D2FE5664}" name="Aug" dataDxfId="25" totalsRowDxfId="24"/>
    <tableColumn id="11" xr3:uid="{88601649-90EE-4813-BF14-F0DCC65AB371}" name="Sep" dataDxfId="23" totalsRowDxfId="22"/>
    <tableColumn id="12" xr3:uid="{5FE9B473-20D3-4899-A581-16EB1E50CC6B}" name="Oct" dataDxfId="21" totalsRowDxfId="20"/>
    <tableColumn id="13" xr3:uid="{A0FCCBFB-B1D5-4CCD-9633-0F05688648AB}" name="Nov" dataDxfId="19" totalsRowDxfId="18"/>
    <tableColumn id="14" xr3:uid="{76583A7E-51D4-4C5D-BF32-CA5A34E5818D}" name="Dec" dataDxfId="17" totalsRowDxfId="16"/>
    <tableColumn id="15" xr3:uid="{B099A285-ECCA-4036-935D-D6E39762C369}" name="Total" dataDxfId="15" totalsRowDxfId="14">
      <calculatedColumnFormula>SUM(BK81:BV81)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2" dT="2025-03-17T20:12:46.84" personId="{AB276894-6594-4DEB-8A2B-9882A316E948}" id="{D56BD859-7B19-436F-8EA9-22188B4F9809}">
    <text>Going to URB / LIPA for additional funds to total $3.25M</text>
  </threadedComment>
  <threadedComment ref="E92" dT="2025-03-17T20:00:00.71" personId="{AB276894-6594-4DEB-8A2B-9882A316E948}" id="{B9070D26-124D-4DBB-B23D-CDEB33BBDC8D}">
    <text>$28,480.00 remaining on PO</text>
  </threadedComment>
  <threadedComment ref="E93" dT="2025-03-17T20:24:26.24" personId="{AB276894-6594-4DEB-8A2B-9882A316E948}" id="{8E5CEA83-A83C-40CE-B3D2-AA32A16F2ED5}">
    <text>137,500.0 remaining on PO</text>
  </threadedComment>
  <threadedComment ref="E93" dT="2025-08-25T14:52:41.96" personId="{AB276894-6594-4DEB-8A2B-9882A316E948}" id="{D46CD5D8-EA88-48C2-855C-1B86B6A4A141}" parentId="{8E5CEA83-A83C-40CE-B3D2-AA32A16F2ED5}">
    <text>Total Remaining:$104,500 (8/25)</text>
  </threadedComment>
  <threadedComment ref="E93" dT="2025-12-04T20:17:20.56" personId="{AB276894-6594-4DEB-8A2B-9882A316E948}" id="{CD1A3E23-191E-4C3E-B0EC-83A69BB32F52}" parentId="{8E5CEA83-A83C-40CE-B3D2-AA32A16F2ED5}">
    <text xml:space="preserve">Left as of 12/04
$104,500.00 </text>
  </threadedComment>
  <threadedComment ref="E93" dT="2026-01-12T16:39:10.97" personId="{AB276894-6594-4DEB-8A2B-9882A316E948}" id="{CB72D7D6-6113-4938-84A0-70F1BE1D20A0}" parentId="{8E5CEA83-A83C-40CE-B3D2-AA32A16F2ED5}">
    <text>$99K left on PO as of 1/12/26</text>
  </threadedComment>
  <threadedComment ref="Y93" dT="2025-09-04T15:47:09.26" personId="{AB276894-6594-4DEB-8A2B-9882A316E948}" id="{2E26BD43-D9FF-4BC6-99DE-273EB15AE6D8}">
    <text>Outstanding Invoices</text>
  </threadedComment>
  <threadedComment ref="AE93" dT="2025-12-05T18:11:16.39" personId="{AB276894-6594-4DEB-8A2B-9882A316E948}" id="{AE7FCF95-52F7-4F68-8822-1788A71BC62E}">
    <text>July + Dec Invoices</text>
  </threadedComment>
  <threadedComment ref="AG93" dT="2025-12-05T18:11:16.39" personId="{AB276894-6594-4DEB-8A2B-9882A316E948}" id="{63A0E903-85D3-44C0-849C-CFA0FF3236CA}">
    <text>July + Dec Invoices</text>
  </threadedComment>
  <threadedComment ref="E94" dT="2025-03-17T20:24:26.24" personId="{AB276894-6594-4DEB-8A2B-9882A316E948}" id="{BE0989CD-5520-4316-A24D-D374FCC62697}">
    <text>137,500.0 remaining on PO</text>
  </threadedComment>
  <threadedComment ref="X94" dT="2025-09-03T13:29:23.14" personId="{AB276894-6594-4DEB-8A2B-9882A316E948}" id="{4CDF42F3-63E8-4A93-A2D6-773E876B016F}">
    <text>From O&amp;M Journal Entry</text>
  </threadedComment>
  <threadedComment ref="E96" dT="2025-11-04T14:55:08.02" personId="{AB276894-6594-4DEB-8A2B-9882A316E948}" id="{F5E94DDE-0E97-42A7-90AC-2A64A008CD77}">
    <text>$87,506.00 remaining on PO as of 11/4/25</text>
  </threadedComment>
  <threadedComment ref="E96" dT="2026-01-12T16:41:49.03" personId="{AB276894-6594-4DEB-8A2B-9882A316E948}" id="{E1851F19-5ED0-4491-A1ED-7588382FE871}" parentId="{F5E94DDE-0E97-42A7-90AC-2A64A008CD77}">
    <text>$70,570 left on PO as of 1/12/26</text>
  </threadedComment>
  <threadedComment ref="Y96" dT="2025-09-04T15:48:20.37" personId="{AB276894-6594-4DEB-8A2B-9882A316E948}" id="{5653F993-1EA1-457B-8CF2-D0771DE8A809}">
    <text>Outstanding Invoices</text>
  </threadedComment>
  <threadedComment ref="AE96" dT="2025-12-03T14:44:49.72" personId="{AB276894-6594-4DEB-8A2B-9882A316E948}" id="{309E0CBE-C805-4E55-B5CE-623961711A7A}">
    <text>$87,506 A/R coming. Last invoice should be $76.060.  That leaves 11K</text>
  </threadedComment>
  <threadedComment ref="AG96" dT="2025-12-03T14:44:49.72" personId="{AB276894-6594-4DEB-8A2B-9882A316E948}" id="{531CF9AC-D6AB-46CA-A728-1D5840069DC6}">
    <text>$87,506 A/R coming. Last invoice should be $76.060.  That leaves 11K</text>
  </threadedComment>
  <threadedComment ref="E98" dT="2026-01-12T16:45:15.11" personId="{AB276894-6594-4DEB-8A2B-9882A316E948}" id="{61F46C0C-6909-4818-902D-E2705B54611A}">
    <text>$30,488 left on PO as of 1/12/26</text>
  </threadedComment>
  <threadedComment ref="D110" dT="2026-03-18T14:12:28.10" personId="{AB276894-6594-4DEB-8A2B-9882A316E948}" id="{2FE6E644-0B10-49FD-8AEA-A95D32867A5D}">
    <text>New 2026 PO#</text>
  </threadedComment>
  <threadedComment ref="D114" dT="2026-03-02T13:25:33.67" personId="{AB276894-6594-4DEB-8A2B-9882A316E948}" id="{68D722C7-582C-48D5-9D0B-23418493F644}">
    <text>New PO</text>
  </threadedComment>
  <threadedComment ref="E115" dT="2025-08-18T13:17:01.74" personId="{AB276894-6594-4DEB-8A2B-9882A316E948}" id="{8518CEAE-A955-43A8-B1F2-E7861A3D0045}">
    <text>$165,022.26 left on PO</text>
  </threadedComment>
  <threadedComment ref="AC116" dT="2025-10-22T13:37:08.37" personId="{AB276894-6594-4DEB-8A2B-9882A316E948}" id="{C8944CAF-08F4-4673-8778-B198559E3231}">
    <text>Oct + Nov</text>
  </threadedComment>
  <threadedComment ref="E117" dT="2026-01-12T16:53:26.94" personId="{AB276894-6594-4DEB-8A2B-9882A316E948}" id="{06C4886A-DFB8-47E8-B74C-5C31B3B9C49D}">
    <text>$68,889.60 left on PO as of 1/12/26</text>
  </threadedComment>
  <threadedComment ref="E119" dT="2026-03-20T13:55:20.14" personId="{AB276894-6594-4DEB-8A2B-9882A316E948}" id="{540586E3-3EEB-477D-9950-2478900DE08B}">
    <text>$85,072.07 remaining as of 3/20/26</text>
  </threadedComment>
  <threadedComment ref="E119" dT="2026-05-14T16:02:36.03" personId="{AB276894-6594-4DEB-8A2B-9882A316E948}" id="{AE05E707-D59D-43F8-9D3C-8F03600ECA90}" parentId="{540586E3-3EEB-477D-9950-2478900DE08B}">
    <text>But remaining $85K already accrued</text>
  </threadedComment>
  <threadedComment ref="D127" dT="2026-01-22T14:57:15.52" personId="{AB276894-6594-4DEB-8A2B-9882A316E948}" id="{A1FE595D-84B5-4F67-8B27-0D033761D67F}">
    <text>PO in process</text>
  </threadedComment>
  <threadedComment ref="D127" dT="2026-02-19T15:29:23.85" personId="{AB276894-6594-4DEB-8A2B-9882A316E948}" id="{1F9658C9-8014-4C38-9616-EE76CD55B1F7}" parentId="{A1FE595D-84B5-4F67-8B27-0D033761D67F}">
    <text>This is fake PO - replace as soon as legit available</text>
  </threadedComment>
  <threadedComment ref="AE129" dT="2025-12-04T19:29:24.53" personId="{AB276894-6594-4DEB-8A2B-9882A316E948}" id="{255F16AE-2B7C-4D15-81B8-9528F6C2E3AE}">
    <text xml:space="preserve">JE ½ of 3 invoices back to 9XNWTMSCNTRT
</text>
  </threadedComment>
  <threadedComment ref="AG129" dT="2025-12-04T19:29:24.53" personId="{AB276894-6594-4DEB-8A2B-9882A316E948}" id="{D46FD2CF-29CB-4776-AAAE-EB328C774179}">
    <text xml:space="preserve">JE ½ of 3 invoices back to 9XNWTMSCNTRT
</text>
  </threadedComment>
  <threadedComment ref="AS130" dT="2026-05-18T19:56:27.53" personId="{AB276894-6594-4DEB-8A2B-9882A316E948}" id="{2B3F21C6-BE0C-4DB2-B445-81D9DC502A23}">
    <text>Need to understand Int Resources month to month forecast.</text>
  </threadedComment>
  <threadedComment ref="AD131" dT="2025-12-03T14:37:53.08" personId="{AB276894-6594-4DEB-8A2B-9882A316E948}" id="{207077D4-A513-4D19-8B5A-BAC2421CF11C}">
    <text>Should not be here.  Needs a AR or JE.  Who entered this?</text>
  </threadedComment>
  <threadedComment ref="E133" dT="2026-05-14T15:59:15.65" personId="{AB276894-6594-4DEB-8A2B-9882A316E948}" id="{7514818D-57AA-4B57-91DF-B3E7D590969A}">
    <text>$400,564 remain as of 5/14/26.  Partially Paid + Accrued.</text>
  </threadedComment>
  <threadedComment ref="E139" dT="2025-03-17T20:09:52.73" personId="{AB276894-6594-4DEB-8A2B-9882A316E948}" id="{3E5151AC-ED3E-47D5-A6FA-8E27E5757FC6}">
    <text>190,575.00 remaining on PO</text>
  </threadedComment>
  <threadedComment ref="E140" dT="2025-10-17T13:46:37.02" personId="{AB276894-6594-4DEB-8A2B-9882A316E948}" id="{3CBBD730-40B3-4156-9991-04B736508C5B}">
    <text>$1,519,383.01 remaining as of 10/17/25</text>
  </threadedComment>
  <threadedComment ref="E140" dT="2026-01-12T16:58:40.66" personId="{AB276894-6594-4DEB-8A2B-9882A316E948}" id="{F061A18E-4BFD-4D98-A481-81615AC222F1}" parentId="{3CBBD730-40B3-4156-9991-04B736508C5B}">
    <text>$1,366,505.14 remaining as of 1/12/26</text>
  </threadedComment>
  <threadedComment ref="E140" dT="2026-05-14T15:58:22.54" personId="{AB276894-6594-4DEB-8A2B-9882A316E948}" id="{D88CA741-DE2C-4AC5-939F-0EE4363C2D1E}" parentId="{3CBBD730-40B3-4156-9991-04B736508C5B}">
    <text>$633,212 remaining as of 5/14/26</text>
  </threadedComment>
  <threadedComment ref="E142" dT="2025-09-10T14:55:03.25" personId="{AB276894-6594-4DEB-8A2B-9882A316E948}" id="{13F85F42-1699-4B17-82C1-3834CEE1639E}">
    <text>This was from PO 5000059268 and has been Paid in Full</text>
  </threadedComment>
  <threadedComment ref="E143" dT="2026-05-14T15:57:21.19" personId="{AB276894-6594-4DEB-8A2B-9882A316E948}" id="{8422BDE1-0A98-4AF4-A0C5-B913B908C02A}">
    <text>Paid in full</text>
  </threadedComment>
  <threadedComment ref="E144" dT="2025-09-04T15:14:06.52" personId="{AB276894-6594-4DEB-8A2B-9882A316E948}" id="{78776D61-B419-4212-817A-2FE2539ADE8F}">
    <text>PAID in Full</text>
  </threadedComment>
  <threadedComment ref="E146" dT="2025-09-18T20:03:17.99" personId="{AB276894-6594-4DEB-8A2B-9882A316E948}" id="{935C857E-E329-432A-88D5-8B6CD9A11DA6}">
    <text>$84,183.70 remaining on PO</text>
  </threadedComment>
  <threadedComment ref="E146" dT="2025-10-08T12:42:31.24" personId="{AB276894-6594-4DEB-8A2B-9882A316E948}" id="{27D89135-616F-419B-835F-B3EDB24D1FA5}" parentId="{935C857E-E329-432A-88D5-8B6CD9A11DA6}">
    <text>$61,808.80 left as of 10/08/25</text>
  </threadedComment>
  <threadedComment ref="E146" dT="2026-02-10T18:49:48.59" personId="{AB276894-6594-4DEB-8A2B-9882A316E948}" id="{0D0BE767-1C5C-488D-B3EA-9BE3C085236B}" parentId="{935C857E-E329-432A-88D5-8B6CD9A11DA6}">
    <text>$157.2 remaining on PO</text>
  </threadedComment>
  <threadedComment ref="E147" dT="2026-02-10T18:51:04.17" personId="{AB276894-6594-4DEB-8A2B-9882A316E948}" id="{71CC58A9-A2AA-4FA6-A8C8-776CB7504BD4}">
    <text>Paid in Full</text>
  </threadedComment>
  <threadedComment ref="E148" dT="2026-05-14T18:04:58.43" personId="{AB276894-6594-4DEB-8A2B-9882A316E948}" id="{A158AD55-F63C-4D2F-8C5F-0DA47AE0C8ED}">
    <text>Paid in Full</text>
  </threadedComment>
  <threadedComment ref="E150" dT="2026-05-18T20:48:41.51" personId="{AB276894-6594-4DEB-8A2B-9882A316E948}" id="{58134FC2-7DAD-4B0A-89FF-AD652274EF8E}">
    <text>Already re-accruing until invoiced</text>
  </threadedComment>
</ThreadedComment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0.xml.rels><?xml version="1.0" encoding="UTF-8" standalone="yes"?>
<Relationships xmlns="http://schemas.openxmlformats.org/package/2006/relationships"><Relationship Id="rId1" Type="http://schemas.openxmlformats.org/officeDocument/2006/relationships/hyperlink" Target="https://s3.ariba.com/Buyer/Main/aw?awh=r&amp;awssk=KD1eIJ412IzVJPhA&amp;realm=744218352-CHILD1"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1" Type="http://schemas.openxmlformats.org/officeDocument/2006/relationships/hyperlink" Target="https://s3.ariba.com/Buyer/Main/aw?awh=r&amp;awssk=KD1eIJ412IzVJPhA&amp;realm=744218352-CHILD1" TargetMode="External"/></Relationships>
</file>

<file path=xl/worksheets/_rels/sheet15.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 Id="rId9" Type="http://schemas.openxmlformats.org/officeDocument/2006/relationships/comments" Target="../comments2.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2:J25"/>
  <sheetViews>
    <sheetView zoomScale="60" zoomScaleNormal="60" workbookViewId="0">
      <selection activeCell="B2" sqref="B2"/>
    </sheetView>
  </sheetViews>
  <sheetFormatPr defaultRowHeight="14.5" x14ac:dyDescent="0.35"/>
  <cols>
    <col min="1" max="1" width="1.1796875" customWidth="1"/>
    <col min="2" max="2" width="6.26953125" bestFit="1" customWidth="1"/>
    <col min="3" max="3" width="16.1796875" customWidth="1"/>
    <col min="4" max="4" width="54.453125" customWidth="1"/>
    <col min="5" max="5" width="71.54296875" customWidth="1"/>
    <col min="6" max="6" width="41.1796875" customWidth="1"/>
    <col min="7" max="7" width="11.54296875" customWidth="1"/>
    <col min="8" max="8" width="10.453125" customWidth="1"/>
    <col min="9" max="10" width="11.54296875" customWidth="1"/>
    <col min="257" max="257" width="2.54296875" customWidth="1"/>
    <col min="258" max="258" width="25.54296875" customWidth="1"/>
    <col min="259" max="259" width="54.453125" customWidth="1"/>
    <col min="260" max="263" width="11.54296875" customWidth="1"/>
    <col min="264" max="264" width="2.54296875" customWidth="1"/>
    <col min="513" max="513" width="2.54296875" customWidth="1"/>
    <col min="514" max="514" width="25.54296875" customWidth="1"/>
    <col min="515" max="515" width="54.453125" customWidth="1"/>
    <col min="516" max="519" width="11.54296875" customWidth="1"/>
    <col min="520" max="520" width="2.54296875" customWidth="1"/>
    <col min="769" max="769" width="2.54296875" customWidth="1"/>
    <col min="770" max="770" width="25.54296875" customWidth="1"/>
    <col min="771" max="771" width="54.453125" customWidth="1"/>
    <col min="772" max="775" width="11.54296875" customWidth="1"/>
    <col min="776" max="776" width="2.54296875" customWidth="1"/>
    <col min="1025" max="1025" width="2.54296875" customWidth="1"/>
    <col min="1026" max="1026" width="25.54296875" customWidth="1"/>
    <col min="1027" max="1027" width="54.453125" customWidth="1"/>
    <col min="1028" max="1031" width="11.54296875" customWidth="1"/>
    <col min="1032" max="1032" width="2.54296875" customWidth="1"/>
    <col min="1281" max="1281" width="2.54296875" customWidth="1"/>
    <col min="1282" max="1282" width="25.54296875" customWidth="1"/>
    <col min="1283" max="1283" width="54.453125" customWidth="1"/>
    <col min="1284" max="1287" width="11.54296875" customWidth="1"/>
    <col min="1288" max="1288" width="2.54296875" customWidth="1"/>
    <col min="1537" max="1537" width="2.54296875" customWidth="1"/>
    <col min="1538" max="1538" width="25.54296875" customWidth="1"/>
    <col min="1539" max="1539" width="54.453125" customWidth="1"/>
    <col min="1540" max="1543" width="11.54296875" customWidth="1"/>
    <col min="1544" max="1544" width="2.54296875" customWidth="1"/>
    <col min="1793" max="1793" width="2.54296875" customWidth="1"/>
    <col min="1794" max="1794" width="25.54296875" customWidth="1"/>
    <col min="1795" max="1795" width="54.453125" customWidth="1"/>
    <col min="1796" max="1799" width="11.54296875" customWidth="1"/>
    <col min="1800" max="1800" width="2.54296875" customWidth="1"/>
    <col min="2049" max="2049" width="2.54296875" customWidth="1"/>
    <col min="2050" max="2050" width="25.54296875" customWidth="1"/>
    <col min="2051" max="2051" width="54.453125" customWidth="1"/>
    <col min="2052" max="2055" width="11.54296875" customWidth="1"/>
    <col min="2056" max="2056" width="2.54296875" customWidth="1"/>
    <col min="2305" max="2305" width="2.54296875" customWidth="1"/>
    <col min="2306" max="2306" width="25.54296875" customWidth="1"/>
    <col min="2307" max="2307" width="54.453125" customWidth="1"/>
    <col min="2308" max="2311" width="11.54296875" customWidth="1"/>
    <col min="2312" max="2312" width="2.54296875" customWidth="1"/>
    <col min="2561" max="2561" width="2.54296875" customWidth="1"/>
    <col min="2562" max="2562" width="25.54296875" customWidth="1"/>
    <col min="2563" max="2563" width="54.453125" customWidth="1"/>
    <col min="2564" max="2567" width="11.54296875" customWidth="1"/>
    <col min="2568" max="2568" width="2.54296875" customWidth="1"/>
    <col min="2817" max="2817" width="2.54296875" customWidth="1"/>
    <col min="2818" max="2818" width="25.54296875" customWidth="1"/>
    <col min="2819" max="2819" width="54.453125" customWidth="1"/>
    <col min="2820" max="2823" width="11.54296875" customWidth="1"/>
    <col min="2824" max="2824" width="2.54296875" customWidth="1"/>
    <col min="3073" max="3073" width="2.54296875" customWidth="1"/>
    <col min="3074" max="3074" width="25.54296875" customWidth="1"/>
    <col min="3075" max="3075" width="54.453125" customWidth="1"/>
    <col min="3076" max="3079" width="11.54296875" customWidth="1"/>
    <col min="3080" max="3080" width="2.54296875" customWidth="1"/>
    <col min="3329" max="3329" width="2.54296875" customWidth="1"/>
    <col min="3330" max="3330" width="25.54296875" customWidth="1"/>
    <col min="3331" max="3331" width="54.453125" customWidth="1"/>
    <col min="3332" max="3335" width="11.54296875" customWidth="1"/>
    <col min="3336" max="3336" width="2.54296875" customWidth="1"/>
    <col min="3585" max="3585" width="2.54296875" customWidth="1"/>
    <col min="3586" max="3586" width="25.54296875" customWidth="1"/>
    <col min="3587" max="3587" width="54.453125" customWidth="1"/>
    <col min="3588" max="3591" width="11.54296875" customWidth="1"/>
    <col min="3592" max="3592" width="2.54296875" customWidth="1"/>
    <col min="3841" max="3841" width="2.54296875" customWidth="1"/>
    <col min="3842" max="3842" width="25.54296875" customWidth="1"/>
    <col min="3843" max="3843" width="54.453125" customWidth="1"/>
    <col min="3844" max="3847" width="11.54296875" customWidth="1"/>
    <col min="3848" max="3848" width="2.54296875" customWidth="1"/>
    <col min="4097" max="4097" width="2.54296875" customWidth="1"/>
    <col min="4098" max="4098" width="25.54296875" customWidth="1"/>
    <col min="4099" max="4099" width="54.453125" customWidth="1"/>
    <col min="4100" max="4103" width="11.54296875" customWidth="1"/>
    <col min="4104" max="4104" width="2.54296875" customWidth="1"/>
    <col min="4353" max="4353" width="2.54296875" customWidth="1"/>
    <col min="4354" max="4354" width="25.54296875" customWidth="1"/>
    <col min="4355" max="4355" width="54.453125" customWidth="1"/>
    <col min="4356" max="4359" width="11.54296875" customWidth="1"/>
    <col min="4360" max="4360" width="2.54296875" customWidth="1"/>
    <col min="4609" max="4609" width="2.54296875" customWidth="1"/>
    <col min="4610" max="4610" width="25.54296875" customWidth="1"/>
    <col min="4611" max="4611" width="54.453125" customWidth="1"/>
    <col min="4612" max="4615" width="11.54296875" customWidth="1"/>
    <col min="4616" max="4616" width="2.54296875" customWidth="1"/>
    <col min="4865" max="4865" width="2.54296875" customWidth="1"/>
    <col min="4866" max="4866" width="25.54296875" customWidth="1"/>
    <col min="4867" max="4867" width="54.453125" customWidth="1"/>
    <col min="4868" max="4871" width="11.54296875" customWidth="1"/>
    <col min="4872" max="4872" width="2.54296875" customWidth="1"/>
    <col min="5121" max="5121" width="2.54296875" customWidth="1"/>
    <col min="5122" max="5122" width="25.54296875" customWidth="1"/>
    <col min="5123" max="5123" width="54.453125" customWidth="1"/>
    <col min="5124" max="5127" width="11.54296875" customWidth="1"/>
    <col min="5128" max="5128" width="2.54296875" customWidth="1"/>
    <col min="5377" max="5377" width="2.54296875" customWidth="1"/>
    <col min="5378" max="5378" width="25.54296875" customWidth="1"/>
    <col min="5379" max="5379" width="54.453125" customWidth="1"/>
    <col min="5380" max="5383" width="11.54296875" customWidth="1"/>
    <col min="5384" max="5384" width="2.54296875" customWidth="1"/>
    <col min="5633" max="5633" width="2.54296875" customWidth="1"/>
    <col min="5634" max="5634" width="25.54296875" customWidth="1"/>
    <col min="5635" max="5635" width="54.453125" customWidth="1"/>
    <col min="5636" max="5639" width="11.54296875" customWidth="1"/>
    <col min="5640" max="5640" width="2.54296875" customWidth="1"/>
    <col min="5889" max="5889" width="2.54296875" customWidth="1"/>
    <col min="5890" max="5890" width="25.54296875" customWidth="1"/>
    <col min="5891" max="5891" width="54.453125" customWidth="1"/>
    <col min="5892" max="5895" width="11.54296875" customWidth="1"/>
    <col min="5896" max="5896" width="2.54296875" customWidth="1"/>
    <col min="6145" max="6145" width="2.54296875" customWidth="1"/>
    <col min="6146" max="6146" width="25.54296875" customWidth="1"/>
    <col min="6147" max="6147" width="54.453125" customWidth="1"/>
    <col min="6148" max="6151" width="11.54296875" customWidth="1"/>
    <col min="6152" max="6152" width="2.54296875" customWidth="1"/>
    <col min="6401" max="6401" width="2.54296875" customWidth="1"/>
    <col min="6402" max="6402" width="25.54296875" customWidth="1"/>
    <col min="6403" max="6403" width="54.453125" customWidth="1"/>
    <col min="6404" max="6407" width="11.54296875" customWidth="1"/>
    <col min="6408" max="6408" width="2.54296875" customWidth="1"/>
    <col min="6657" max="6657" width="2.54296875" customWidth="1"/>
    <col min="6658" max="6658" width="25.54296875" customWidth="1"/>
    <col min="6659" max="6659" width="54.453125" customWidth="1"/>
    <col min="6660" max="6663" width="11.54296875" customWidth="1"/>
    <col min="6664" max="6664" width="2.54296875" customWidth="1"/>
    <col min="6913" max="6913" width="2.54296875" customWidth="1"/>
    <col min="6914" max="6914" width="25.54296875" customWidth="1"/>
    <col min="6915" max="6915" width="54.453125" customWidth="1"/>
    <col min="6916" max="6919" width="11.54296875" customWidth="1"/>
    <col min="6920" max="6920" width="2.54296875" customWidth="1"/>
    <col min="7169" max="7169" width="2.54296875" customWidth="1"/>
    <col min="7170" max="7170" width="25.54296875" customWidth="1"/>
    <col min="7171" max="7171" width="54.453125" customWidth="1"/>
    <col min="7172" max="7175" width="11.54296875" customWidth="1"/>
    <col min="7176" max="7176" width="2.54296875" customWidth="1"/>
    <col min="7425" max="7425" width="2.54296875" customWidth="1"/>
    <col min="7426" max="7426" width="25.54296875" customWidth="1"/>
    <col min="7427" max="7427" width="54.453125" customWidth="1"/>
    <col min="7428" max="7431" width="11.54296875" customWidth="1"/>
    <col min="7432" max="7432" width="2.54296875" customWidth="1"/>
    <col min="7681" max="7681" width="2.54296875" customWidth="1"/>
    <col min="7682" max="7682" width="25.54296875" customWidth="1"/>
    <col min="7683" max="7683" width="54.453125" customWidth="1"/>
    <col min="7684" max="7687" width="11.54296875" customWidth="1"/>
    <col min="7688" max="7688" width="2.54296875" customWidth="1"/>
    <col min="7937" max="7937" width="2.54296875" customWidth="1"/>
    <col min="7938" max="7938" width="25.54296875" customWidth="1"/>
    <col min="7939" max="7939" width="54.453125" customWidth="1"/>
    <col min="7940" max="7943" width="11.54296875" customWidth="1"/>
    <col min="7944" max="7944" width="2.54296875" customWidth="1"/>
    <col min="8193" max="8193" width="2.54296875" customWidth="1"/>
    <col min="8194" max="8194" width="25.54296875" customWidth="1"/>
    <col min="8195" max="8195" width="54.453125" customWidth="1"/>
    <col min="8196" max="8199" width="11.54296875" customWidth="1"/>
    <col min="8200" max="8200" width="2.54296875" customWidth="1"/>
    <col min="8449" max="8449" width="2.54296875" customWidth="1"/>
    <col min="8450" max="8450" width="25.54296875" customWidth="1"/>
    <col min="8451" max="8451" width="54.453125" customWidth="1"/>
    <col min="8452" max="8455" width="11.54296875" customWidth="1"/>
    <col min="8456" max="8456" width="2.54296875" customWidth="1"/>
    <col min="8705" max="8705" width="2.54296875" customWidth="1"/>
    <col min="8706" max="8706" width="25.54296875" customWidth="1"/>
    <col min="8707" max="8707" width="54.453125" customWidth="1"/>
    <col min="8708" max="8711" width="11.54296875" customWidth="1"/>
    <col min="8712" max="8712" width="2.54296875" customWidth="1"/>
    <col min="8961" max="8961" width="2.54296875" customWidth="1"/>
    <col min="8962" max="8962" width="25.54296875" customWidth="1"/>
    <col min="8963" max="8963" width="54.453125" customWidth="1"/>
    <col min="8964" max="8967" width="11.54296875" customWidth="1"/>
    <col min="8968" max="8968" width="2.54296875" customWidth="1"/>
    <col min="9217" max="9217" width="2.54296875" customWidth="1"/>
    <col min="9218" max="9218" width="25.54296875" customWidth="1"/>
    <col min="9219" max="9219" width="54.453125" customWidth="1"/>
    <col min="9220" max="9223" width="11.54296875" customWidth="1"/>
    <col min="9224" max="9224" width="2.54296875" customWidth="1"/>
    <col min="9473" max="9473" width="2.54296875" customWidth="1"/>
    <col min="9474" max="9474" width="25.54296875" customWidth="1"/>
    <col min="9475" max="9475" width="54.453125" customWidth="1"/>
    <col min="9476" max="9479" width="11.54296875" customWidth="1"/>
    <col min="9480" max="9480" width="2.54296875" customWidth="1"/>
    <col min="9729" max="9729" width="2.54296875" customWidth="1"/>
    <col min="9730" max="9730" width="25.54296875" customWidth="1"/>
    <col min="9731" max="9731" width="54.453125" customWidth="1"/>
    <col min="9732" max="9735" width="11.54296875" customWidth="1"/>
    <col min="9736" max="9736" width="2.54296875" customWidth="1"/>
    <col min="9985" max="9985" width="2.54296875" customWidth="1"/>
    <col min="9986" max="9986" width="25.54296875" customWidth="1"/>
    <col min="9987" max="9987" width="54.453125" customWidth="1"/>
    <col min="9988" max="9991" width="11.54296875" customWidth="1"/>
    <col min="9992" max="9992" width="2.54296875" customWidth="1"/>
    <col min="10241" max="10241" width="2.54296875" customWidth="1"/>
    <col min="10242" max="10242" width="25.54296875" customWidth="1"/>
    <col min="10243" max="10243" width="54.453125" customWidth="1"/>
    <col min="10244" max="10247" width="11.54296875" customWidth="1"/>
    <col min="10248" max="10248" width="2.54296875" customWidth="1"/>
    <col min="10497" max="10497" width="2.54296875" customWidth="1"/>
    <col min="10498" max="10498" width="25.54296875" customWidth="1"/>
    <col min="10499" max="10499" width="54.453125" customWidth="1"/>
    <col min="10500" max="10503" width="11.54296875" customWidth="1"/>
    <col min="10504" max="10504" width="2.54296875" customWidth="1"/>
    <col min="10753" max="10753" width="2.54296875" customWidth="1"/>
    <col min="10754" max="10754" width="25.54296875" customWidth="1"/>
    <col min="10755" max="10755" width="54.453125" customWidth="1"/>
    <col min="10756" max="10759" width="11.54296875" customWidth="1"/>
    <col min="10760" max="10760" width="2.54296875" customWidth="1"/>
    <col min="11009" max="11009" width="2.54296875" customWidth="1"/>
    <col min="11010" max="11010" width="25.54296875" customWidth="1"/>
    <col min="11011" max="11011" width="54.453125" customWidth="1"/>
    <col min="11012" max="11015" width="11.54296875" customWidth="1"/>
    <col min="11016" max="11016" width="2.54296875" customWidth="1"/>
    <col min="11265" max="11265" width="2.54296875" customWidth="1"/>
    <col min="11266" max="11266" width="25.54296875" customWidth="1"/>
    <col min="11267" max="11267" width="54.453125" customWidth="1"/>
    <col min="11268" max="11271" width="11.54296875" customWidth="1"/>
    <col min="11272" max="11272" width="2.54296875" customWidth="1"/>
    <col min="11521" max="11521" width="2.54296875" customWidth="1"/>
    <col min="11522" max="11522" width="25.54296875" customWidth="1"/>
    <col min="11523" max="11523" width="54.453125" customWidth="1"/>
    <col min="11524" max="11527" width="11.54296875" customWidth="1"/>
    <col min="11528" max="11528" width="2.54296875" customWidth="1"/>
    <col min="11777" max="11777" width="2.54296875" customWidth="1"/>
    <col min="11778" max="11778" width="25.54296875" customWidth="1"/>
    <col min="11779" max="11779" width="54.453125" customWidth="1"/>
    <col min="11780" max="11783" width="11.54296875" customWidth="1"/>
    <col min="11784" max="11784" width="2.54296875" customWidth="1"/>
    <col min="12033" max="12033" width="2.54296875" customWidth="1"/>
    <col min="12034" max="12034" width="25.54296875" customWidth="1"/>
    <col min="12035" max="12035" width="54.453125" customWidth="1"/>
    <col min="12036" max="12039" width="11.54296875" customWidth="1"/>
    <col min="12040" max="12040" width="2.54296875" customWidth="1"/>
    <col min="12289" max="12289" width="2.54296875" customWidth="1"/>
    <col min="12290" max="12290" width="25.54296875" customWidth="1"/>
    <col min="12291" max="12291" width="54.453125" customWidth="1"/>
    <col min="12292" max="12295" width="11.54296875" customWidth="1"/>
    <col min="12296" max="12296" width="2.54296875" customWidth="1"/>
    <col min="12545" max="12545" width="2.54296875" customWidth="1"/>
    <col min="12546" max="12546" width="25.54296875" customWidth="1"/>
    <col min="12547" max="12547" width="54.453125" customWidth="1"/>
    <col min="12548" max="12551" width="11.54296875" customWidth="1"/>
    <col min="12552" max="12552" width="2.54296875" customWidth="1"/>
    <col min="12801" max="12801" width="2.54296875" customWidth="1"/>
    <col min="12802" max="12802" width="25.54296875" customWidth="1"/>
    <col min="12803" max="12803" width="54.453125" customWidth="1"/>
    <col min="12804" max="12807" width="11.54296875" customWidth="1"/>
    <col min="12808" max="12808" width="2.54296875" customWidth="1"/>
    <col min="13057" max="13057" width="2.54296875" customWidth="1"/>
    <col min="13058" max="13058" width="25.54296875" customWidth="1"/>
    <col min="13059" max="13059" width="54.453125" customWidth="1"/>
    <col min="13060" max="13063" width="11.54296875" customWidth="1"/>
    <col min="13064" max="13064" width="2.54296875" customWidth="1"/>
    <col min="13313" max="13313" width="2.54296875" customWidth="1"/>
    <col min="13314" max="13314" width="25.54296875" customWidth="1"/>
    <col min="13315" max="13315" width="54.453125" customWidth="1"/>
    <col min="13316" max="13319" width="11.54296875" customWidth="1"/>
    <col min="13320" max="13320" width="2.54296875" customWidth="1"/>
    <col min="13569" max="13569" width="2.54296875" customWidth="1"/>
    <col min="13570" max="13570" width="25.54296875" customWidth="1"/>
    <col min="13571" max="13571" width="54.453125" customWidth="1"/>
    <col min="13572" max="13575" width="11.54296875" customWidth="1"/>
    <col min="13576" max="13576" width="2.54296875" customWidth="1"/>
    <col min="13825" max="13825" width="2.54296875" customWidth="1"/>
    <col min="13826" max="13826" width="25.54296875" customWidth="1"/>
    <col min="13827" max="13827" width="54.453125" customWidth="1"/>
    <col min="13828" max="13831" width="11.54296875" customWidth="1"/>
    <col min="13832" max="13832" width="2.54296875" customWidth="1"/>
    <col min="14081" max="14081" width="2.54296875" customWidth="1"/>
    <col min="14082" max="14082" width="25.54296875" customWidth="1"/>
    <col min="14083" max="14083" width="54.453125" customWidth="1"/>
    <col min="14084" max="14087" width="11.54296875" customWidth="1"/>
    <col min="14088" max="14088" width="2.54296875" customWidth="1"/>
    <col min="14337" max="14337" width="2.54296875" customWidth="1"/>
    <col min="14338" max="14338" width="25.54296875" customWidth="1"/>
    <col min="14339" max="14339" width="54.453125" customWidth="1"/>
    <col min="14340" max="14343" width="11.54296875" customWidth="1"/>
    <col min="14344" max="14344" width="2.54296875" customWidth="1"/>
    <col min="14593" max="14593" width="2.54296875" customWidth="1"/>
    <col min="14594" max="14594" width="25.54296875" customWidth="1"/>
    <col min="14595" max="14595" width="54.453125" customWidth="1"/>
    <col min="14596" max="14599" width="11.54296875" customWidth="1"/>
    <col min="14600" max="14600" width="2.54296875" customWidth="1"/>
    <col min="14849" max="14849" width="2.54296875" customWidth="1"/>
    <col min="14850" max="14850" width="25.54296875" customWidth="1"/>
    <col min="14851" max="14851" width="54.453125" customWidth="1"/>
    <col min="14852" max="14855" width="11.54296875" customWidth="1"/>
    <col min="14856" max="14856" width="2.54296875" customWidth="1"/>
    <col min="15105" max="15105" width="2.54296875" customWidth="1"/>
    <col min="15106" max="15106" width="25.54296875" customWidth="1"/>
    <col min="15107" max="15107" width="54.453125" customWidth="1"/>
    <col min="15108" max="15111" width="11.54296875" customWidth="1"/>
    <col min="15112" max="15112" width="2.54296875" customWidth="1"/>
    <col min="15361" max="15361" width="2.54296875" customWidth="1"/>
    <col min="15362" max="15362" width="25.54296875" customWidth="1"/>
    <col min="15363" max="15363" width="54.453125" customWidth="1"/>
    <col min="15364" max="15367" width="11.54296875" customWidth="1"/>
    <col min="15368" max="15368" width="2.54296875" customWidth="1"/>
    <col min="15617" max="15617" width="2.54296875" customWidth="1"/>
    <col min="15618" max="15618" width="25.54296875" customWidth="1"/>
    <col min="15619" max="15619" width="54.453125" customWidth="1"/>
    <col min="15620" max="15623" width="11.54296875" customWidth="1"/>
    <col min="15624" max="15624" width="2.54296875" customWidth="1"/>
    <col min="15873" max="15873" width="2.54296875" customWidth="1"/>
    <col min="15874" max="15874" width="25.54296875" customWidth="1"/>
    <col min="15875" max="15875" width="54.453125" customWidth="1"/>
    <col min="15876" max="15879" width="11.54296875" customWidth="1"/>
    <col min="15880" max="15880" width="2.54296875" customWidth="1"/>
    <col min="16129" max="16129" width="2.54296875" customWidth="1"/>
    <col min="16130" max="16130" width="25.54296875" customWidth="1"/>
    <col min="16131" max="16131" width="54.453125" customWidth="1"/>
    <col min="16132" max="16135" width="11.54296875" customWidth="1"/>
    <col min="16136" max="16136" width="2.54296875" customWidth="1"/>
  </cols>
  <sheetData>
    <row r="2" spans="2:10" ht="15.5" x14ac:dyDescent="0.35">
      <c r="B2" s="2"/>
      <c r="C2" s="22"/>
      <c r="D2" s="23"/>
      <c r="E2" s="23"/>
      <c r="F2" s="23"/>
      <c r="G2" s="24"/>
      <c r="H2" s="2"/>
      <c r="I2" s="2"/>
      <c r="J2" s="2"/>
    </row>
    <row r="3" spans="2:10" ht="15.5" x14ac:dyDescent="0.35">
      <c r="B3" s="2"/>
      <c r="C3" s="22"/>
      <c r="D3" s="23"/>
      <c r="E3" s="23"/>
      <c r="F3" s="23"/>
      <c r="G3" s="24"/>
      <c r="H3" s="2"/>
      <c r="I3" s="2"/>
      <c r="J3" s="2"/>
    </row>
    <row r="4" spans="2:10" x14ac:dyDescent="0.35">
      <c r="B4" s="2"/>
      <c r="C4" s="2"/>
      <c r="D4" s="3"/>
      <c r="E4" s="3"/>
      <c r="F4" s="3"/>
      <c r="G4" s="3"/>
      <c r="H4" s="2"/>
      <c r="I4" s="2"/>
      <c r="J4" s="2"/>
    </row>
    <row r="5" spans="2:10" x14ac:dyDescent="0.35">
      <c r="B5" s="2"/>
      <c r="C5" s="4"/>
      <c r="D5" s="3"/>
      <c r="E5" s="3"/>
      <c r="F5" s="3"/>
      <c r="G5" s="3"/>
      <c r="H5" s="2"/>
      <c r="I5" s="2"/>
      <c r="J5" s="2"/>
    </row>
    <row r="6" spans="2:10" ht="25" x14ac:dyDescent="0.5">
      <c r="B6" s="2"/>
      <c r="C6" s="11" t="s">
        <v>0</v>
      </c>
      <c r="D6" s="10"/>
      <c r="E6" s="10"/>
      <c r="F6" s="10"/>
      <c r="G6" s="3"/>
      <c r="H6" s="3"/>
      <c r="I6" s="3"/>
      <c r="J6" s="3"/>
    </row>
    <row r="7" spans="2:10" x14ac:dyDescent="0.35">
      <c r="B7" s="2"/>
      <c r="C7" s="3"/>
      <c r="D7" s="5"/>
      <c r="E7" s="5"/>
      <c r="F7" s="5"/>
      <c r="G7" s="6"/>
      <c r="H7" s="3"/>
      <c r="I7" s="3"/>
      <c r="J7" s="3"/>
    </row>
    <row r="8" spans="2:10" ht="20" x14ac:dyDescent="0.4">
      <c r="B8" s="2"/>
      <c r="C8" s="13" t="s">
        <v>1</v>
      </c>
      <c r="D8" s="12"/>
      <c r="E8" s="12"/>
      <c r="F8" s="12"/>
      <c r="G8" s="3"/>
      <c r="H8" s="3"/>
      <c r="I8" s="3"/>
      <c r="J8" s="3"/>
    </row>
    <row r="9" spans="2:10" x14ac:dyDescent="0.35">
      <c r="B9" s="2"/>
      <c r="C9" s="2"/>
      <c r="D9" s="2"/>
      <c r="E9" s="2"/>
      <c r="F9" s="2"/>
      <c r="G9" s="2"/>
      <c r="H9" s="2"/>
      <c r="I9" s="2"/>
      <c r="J9" s="2"/>
    </row>
    <row r="10" spans="2:10" ht="48.65" customHeight="1" x14ac:dyDescent="0.35">
      <c r="B10" s="2"/>
      <c r="C10" s="7" t="s">
        <v>2</v>
      </c>
      <c r="D10" s="974" t="s">
        <v>3</v>
      </c>
      <c r="E10" s="974"/>
      <c r="F10" s="974"/>
      <c r="G10" s="974"/>
      <c r="H10" s="974"/>
      <c r="I10" s="974"/>
      <c r="J10" s="974"/>
    </row>
    <row r="11" spans="2:10" ht="14.15" customHeight="1" x14ac:dyDescent="0.35">
      <c r="B11" s="2"/>
      <c r="C11" s="7" t="s">
        <v>4</v>
      </c>
      <c r="D11" s="31" t="s">
        <v>5</v>
      </c>
      <c r="E11" s="80" t="s">
        <v>6</v>
      </c>
      <c r="F11" s="80"/>
      <c r="G11" s="80"/>
      <c r="H11" s="80"/>
      <c r="I11" s="80"/>
      <c r="J11" s="80"/>
    </row>
    <row r="12" spans="2:10" ht="14.15" customHeight="1" x14ac:dyDescent="0.35">
      <c r="B12" s="2"/>
      <c r="C12" s="7"/>
      <c r="D12" s="29" t="s">
        <v>7</v>
      </c>
      <c r="E12" s="80"/>
      <c r="F12" s="80"/>
      <c r="G12" s="80"/>
      <c r="H12" s="80"/>
      <c r="I12" s="80"/>
      <c r="J12" s="80"/>
    </row>
    <row r="13" spans="2:10" ht="15" thickBot="1" x14ac:dyDescent="0.4">
      <c r="B13" s="2"/>
      <c r="C13" s="8"/>
      <c r="D13" s="9"/>
      <c r="E13" s="9"/>
      <c r="F13" s="9"/>
      <c r="G13" s="2"/>
      <c r="H13" s="2"/>
      <c r="I13" s="2"/>
      <c r="J13" s="2"/>
    </row>
    <row r="14" spans="2:10" ht="15" thickBot="1" x14ac:dyDescent="0.4">
      <c r="B14" s="36" t="s">
        <v>8</v>
      </c>
      <c r="C14" s="37" t="s">
        <v>9</v>
      </c>
      <c r="D14" s="37" t="s">
        <v>10</v>
      </c>
      <c r="E14" s="37" t="s">
        <v>11</v>
      </c>
      <c r="F14" s="37" t="s">
        <v>12</v>
      </c>
      <c r="G14" s="37" t="s">
        <v>13</v>
      </c>
      <c r="H14" s="37" t="s">
        <v>14</v>
      </c>
      <c r="I14" s="38" t="s">
        <v>15</v>
      </c>
      <c r="J14" s="39" t="s">
        <v>16</v>
      </c>
    </row>
    <row r="15" spans="2:10" ht="15" thickTop="1" x14ac:dyDescent="0.35">
      <c r="B15" s="40">
        <v>1</v>
      </c>
      <c r="C15" s="50" t="s">
        <v>17</v>
      </c>
      <c r="D15" s="51" t="s">
        <v>18</v>
      </c>
      <c r="E15" s="51" t="s">
        <v>19</v>
      </c>
      <c r="F15" s="51" t="s">
        <v>19</v>
      </c>
      <c r="G15" s="52"/>
      <c r="H15" s="52"/>
      <c r="I15" s="52"/>
      <c r="J15" s="82"/>
    </row>
    <row r="16" spans="2:10" ht="87" x14ac:dyDescent="0.35">
      <c r="B16" s="83">
        <v>2</v>
      </c>
      <c r="C16" s="50" t="s">
        <v>20</v>
      </c>
      <c r="D16" s="51" t="s">
        <v>21</v>
      </c>
      <c r="E16" s="51" t="s">
        <v>22</v>
      </c>
      <c r="F16" s="51" t="s">
        <v>23</v>
      </c>
      <c r="G16" s="53"/>
      <c r="H16" s="53" t="s">
        <v>24</v>
      </c>
      <c r="I16" s="53"/>
      <c r="J16" s="54" t="s">
        <v>24</v>
      </c>
    </row>
    <row r="17" spans="2:10" ht="43.5" x14ac:dyDescent="0.35">
      <c r="B17" s="83">
        <v>3</v>
      </c>
      <c r="C17" s="50" t="s">
        <v>25</v>
      </c>
      <c r="D17" s="55" t="s">
        <v>26</v>
      </c>
      <c r="E17" s="55" t="s">
        <v>27</v>
      </c>
      <c r="F17" s="55" t="s">
        <v>19</v>
      </c>
      <c r="G17" s="53" t="s">
        <v>24</v>
      </c>
      <c r="H17" s="53"/>
      <c r="I17" s="53"/>
      <c r="J17" s="84" t="s">
        <v>24</v>
      </c>
    </row>
    <row r="18" spans="2:10" ht="43.5" x14ac:dyDescent="0.35">
      <c r="B18" s="83">
        <v>4</v>
      </c>
      <c r="C18" s="50" t="s">
        <v>28</v>
      </c>
      <c r="D18" s="51" t="s">
        <v>29</v>
      </c>
      <c r="E18" s="51" t="s">
        <v>30</v>
      </c>
      <c r="F18" s="51" t="s">
        <v>19</v>
      </c>
      <c r="G18" s="53" t="s">
        <v>24</v>
      </c>
      <c r="H18" s="53"/>
      <c r="I18" s="53"/>
      <c r="J18" s="54"/>
    </row>
    <row r="19" spans="2:10" ht="130.5" x14ac:dyDescent="0.35">
      <c r="B19" s="83">
        <v>5</v>
      </c>
      <c r="C19" s="50" t="s">
        <v>31</v>
      </c>
      <c r="D19" s="55" t="s">
        <v>32</v>
      </c>
      <c r="E19" s="55" t="s">
        <v>33</v>
      </c>
      <c r="F19" s="55" t="s">
        <v>34</v>
      </c>
      <c r="G19" s="53"/>
      <c r="H19" s="53" t="s">
        <v>24</v>
      </c>
      <c r="I19" s="53"/>
      <c r="J19" s="54"/>
    </row>
    <row r="20" spans="2:10" ht="43.5" x14ac:dyDescent="0.35">
      <c r="B20" s="83">
        <v>6</v>
      </c>
      <c r="C20" s="50" t="s">
        <v>35</v>
      </c>
      <c r="D20" s="55" t="s">
        <v>36</v>
      </c>
      <c r="E20" s="55" t="s">
        <v>37</v>
      </c>
      <c r="F20" s="55" t="s">
        <v>19</v>
      </c>
      <c r="G20" s="53"/>
      <c r="H20" s="53" t="s">
        <v>24</v>
      </c>
      <c r="I20" s="53"/>
      <c r="J20" s="54"/>
    </row>
    <row r="21" spans="2:10" x14ac:dyDescent="0.35">
      <c r="B21" s="83">
        <v>7</v>
      </c>
      <c r="C21" s="50" t="s">
        <v>38</v>
      </c>
      <c r="D21" s="55" t="s">
        <v>39</v>
      </c>
      <c r="E21" s="55" t="s">
        <v>40</v>
      </c>
      <c r="F21" s="55" t="s">
        <v>19</v>
      </c>
      <c r="G21" s="53"/>
      <c r="H21" s="53"/>
      <c r="I21" s="53" t="s">
        <v>24</v>
      </c>
      <c r="J21" s="54"/>
    </row>
    <row r="22" spans="2:10" ht="29" x14ac:dyDescent="0.35">
      <c r="B22" s="83">
        <v>8</v>
      </c>
      <c r="C22" s="50" t="s">
        <v>41</v>
      </c>
      <c r="D22" s="55" t="s">
        <v>42</v>
      </c>
      <c r="E22" s="55" t="s">
        <v>43</v>
      </c>
      <c r="F22" s="55" t="s">
        <v>19</v>
      </c>
      <c r="G22" s="53" t="s">
        <v>24</v>
      </c>
      <c r="H22" s="53"/>
      <c r="I22" s="53"/>
      <c r="J22" s="54"/>
    </row>
    <row r="23" spans="2:10" ht="43.5" x14ac:dyDescent="0.35">
      <c r="B23" s="83">
        <v>9</v>
      </c>
      <c r="C23" s="50" t="s">
        <v>44</v>
      </c>
      <c r="D23" s="55" t="s">
        <v>45</v>
      </c>
      <c r="E23" s="55" t="s">
        <v>46</v>
      </c>
      <c r="F23" s="55" t="s">
        <v>19</v>
      </c>
      <c r="G23" s="53" t="s">
        <v>24</v>
      </c>
      <c r="H23" s="53"/>
      <c r="I23" s="53"/>
      <c r="J23" s="54"/>
    </row>
    <row r="24" spans="2:10" ht="43.5" x14ac:dyDescent="0.35">
      <c r="B24" s="56">
        <v>10</v>
      </c>
      <c r="C24" s="57" t="s">
        <v>47</v>
      </c>
      <c r="D24" s="58" t="s">
        <v>48</v>
      </c>
      <c r="E24" s="55" t="s">
        <v>46</v>
      </c>
      <c r="F24" s="55" t="s">
        <v>19</v>
      </c>
      <c r="G24" s="59" t="s">
        <v>24</v>
      </c>
      <c r="H24" s="59"/>
      <c r="I24" s="59"/>
      <c r="J24" s="60"/>
    </row>
    <row r="25" spans="2:10" ht="15" thickBot="1" x14ac:dyDescent="0.4">
      <c r="B25" s="44">
        <v>11</v>
      </c>
      <c r="C25" s="45" t="s">
        <v>49</v>
      </c>
      <c r="D25" s="46" t="s">
        <v>50</v>
      </c>
      <c r="E25" s="46" t="s">
        <v>46</v>
      </c>
      <c r="F25" s="46" t="s">
        <v>19</v>
      </c>
      <c r="G25" s="47" t="s">
        <v>24</v>
      </c>
      <c r="H25" s="47"/>
      <c r="I25" s="47"/>
      <c r="J25" s="48"/>
    </row>
  </sheetData>
  <mergeCells count="1">
    <mergeCell ref="D10:J10"/>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4" tint="0.39997558519241921"/>
  </sheetPr>
  <dimension ref="B1:AF24"/>
  <sheetViews>
    <sheetView topLeftCell="A6" zoomScaleNormal="100" workbookViewId="0">
      <selection activeCell="R24" sqref="R24"/>
    </sheetView>
  </sheetViews>
  <sheetFormatPr defaultColWidth="8.81640625" defaultRowHeight="13" x14ac:dyDescent="0.3"/>
  <cols>
    <col min="1" max="1" width="4.1796875" style="15" customWidth="1"/>
    <col min="2" max="4" width="22.453125" style="15" customWidth="1"/>
    <col min="5" max="5" width="17.7265625" style="15" customWidth="1"/>
    <col min="6" max="7" width="15.1796875" style="15" customWidth="1"/>
    <col min="8" max="8" width="16.1796875" style="15" customWidth="1"/>
    <col min="9" max="32" width="12.54296875" style="15" customWidth="1"/>
    <col min="33" max="33" width="10.453125" style="15" bestFit="1" customWidth="1"/>
    <col min="34" max="34" width="10.1796875" style="15" bestFit="1" customWidth="1"/>
    <col min="35" max="35" width="10.81640625" style="15" bestFit="1" customWidth="1"/>
    <col min="36" max="36" width="10.54296875" style="15" bestFit="1" customWidth="1"/>
    <col min="37" max="16384" width="8.81640625" style="15"/>
  </cols>
  <sheetData>
    <row r="1" spans="2:32" ht="23.25" customHeight="1" x14ac:dyDescent="0.3"/>
    <row r="2" spans="2:32" ht="26" x14ac:dyDescent="0.3">
      <c r="B2" s="91" t="s">
        <v>127</v>
      </c>
      <c r="C2" s="91" t="s">
        <v>56</v>
      </c>
      <c r="D2" s="91" t="s">
        <v>61</v>
      </c>
      <c r="E2" s="91" t="s">
        <v>165</v>
      </c>
      <c r="F2" s="91" t="s">
        <v>57</v>
      </c>
      <c r="G2" s="91" t="s">
        <v>58</v>
      </c>
      <c r="H2" s="91" t="s">
        <v>59</v>
      </c>
      <c r="I2" s="91" t="s">
        <v>60</v>
      </c>
    </row>
    <row r="3" spans="2:32" ht="43.5" customHeight="1" x14ac:dyDescent="0.3">
      <c r="B3" s="61"/>
      <c r="C3" s="89" t="s">
        <v>174</v>
      </c>
      <c r="D3" s="61"/>
      <c r="E3" s="62"/>
      <c r="F3" s="63" t="e">
        <f>SUM(F9:F12)</f>
        <v>#REF!</v>
      </c>
      <c r="G3" s="63" t="e">
        <f>SUM(G9:G12)</f>
        <v>#REF!</v>
      </c>
      <c r="H3" s="63" t="e">
        <f>SUM(H9:H12)</f>
        <v>#REF!</v>
      </c>
      <c r="I3" s="62" t="e">
        <f>E3-H3</f>
        <v>#REF!</v>
      </c>
    </row>
    <row r="4" spans="2:32" s="94" customFormat="1" ht="14.5" customHeight="1" thickBot="1" x14ac:dyDescent="0.35">
      <c r="B4" s="975"/>
      <c r="C4" s="975"/>
      <c r="D4" s="975"/>
      <c r="E4" s="92"/>
      <c r="F4" s="92"/>
      <c r="G4" s="92"/>
      <c r="H4" s="92"/>
      <c r="I4" s="92"/>
      <c r="J4" s="93">
        <v>5</v>
      </c>
      <c r="K4" s="93">
        <v>6</v>
      </c>
      <c r="L4" s="93">
        <v>7</v>
      </c>
      <c r="M4" s="93">
        <v>8</v>
      </c>
      <c r="N4" s="93">
        <v>9</v>
      </c>
      <c r="O4" s="93">
        <v>10</v>
      </c>
      <c r="P4" s="93">
        <v>11</v>
      </c>
      <c r="Q4" s="93">
        <v>12</v>
      </c>
      <c r="R4" s="93">
        <v>1</v>
      </c>
      <c r="S4" s="93">
        <v>2</v>
      </c>
      <c r="T4" s="93">
        <v>3</v>
      </c>
      <c r="U4" s="93">
        <v>4</v>
      </c>
      <c r="V4" s="93">
        <v>4</v>
      </c>
      <c r="W4" s="93">
        <v>4</v>
      </c>
      <c r="X4" s="93">
        <v>4</v>
      </c>
      <c r="Y4" s="93">
        <v>4</v>
      </c>
      <c r="Z4" s="93">
        <v>4</v>
      </c>
      <c r="AA4" s="93">
        <v>4</v>
      </c>
      <c r="AB4" s="93">
        <v>4</v>
      </c>
      <c r="AC4" s="93">
        <v>4</v>
      </c>
      <c r="AD4" s="93"/>
    </row>
    <row r="5" spans="2:32" ht="14.5" customHeight="1" x14ac:dyDescent="0.35">
      <c r="B5" s="32"/>
      <c r="C5" s="32"/>
      <c r="D5" s="32"/>
      <c r="E5"/>
      <c r="F5"/>
      <c r="J5" s="126">
        <v>2022</v>
      </c>
      <c r="K5" s="126">
        <v>2022</v>
      </c>
      <c r="L5" s="126">
        <v>2022</v>
      </c>
      <c r="M5" s="126">
        <v>2022</v>
      </c>
      <c r="N5" s="126">
        <v>2022</v>
      </c>
      <c r="O5" s="126">
        <v>2022</v>
      </c>
      <c r="P5" s="126">
        <v>2022</v>
      </c>
      <c r="Q5" s="126">
        <v>2022</v>
      </c>
      <c r="R5" s="81">
        <v>2023</v>
      </c>
      <c r="S5" s="126">
        <v>2023</v>
      </c>
      <c r="T5" s="126">
        <v>2023</v>
      </c>
      <c r="U5" s="139">
        <v>2023</v>
      </c>
      <c r="V5" s="139">
        <v>2023</v>
      </c>
      <c r="W5" s="139">
        <v>2023</v>
      </c>
      <c r="X5" s="139">
        <v>2023</v>
      </c>
      <c r="Y5" s="139">
        <v>2023</v>
      </c>
      <c r="Z5" s="139">
        <v>2023</v>
      </c>
      <c r="AA5" s="139">
        <v>2023</v>
      </c>
      <c r="AB5" s="139">
        <v>2023</v>
      </c>
      <c r="AC5" s="139">
        <v>2023</v>
      </c>
      <c r="AD5" s="976" t="s">
        <v>155</v>
      </c>
      <c r="AE5" s="978" t="s">
        <v>64</v>
      </c>
      <c r="AF5" s="979"/>
    </row>
    <row r="6" spans="2:32" ht="14.5" customHeight="1" thickBot="1" x14ac:dyDescent="0.35">
      <c r="B6" s="32"/>
      <c r="C6" s="32"/>
      <c r="D6" s="32"/>
      <c r="E6" s="32"/>
      <c r="F6" s="32"/>
      <c r="G6" s="32"/>
      <c r="H6" s="32"/>
      <c r="I6" s="32"/>
      <c r="J6" s="64" t="s">
        <v>63</v>
      </c>
      <c r="K6" s="64" t="s">
        <v>63</v>
      </c>
      <c r="L6" s="64" t="s">
        <v>63</v>
      </c>
      <c r="M6" s="64" t="s">
        <v>63</v>
      </c>
      <c r="N6" s="64" t="s">
        <v>63</v>
      </c>
      <c r="O6" s="64" t="s">
        <v>63</v>
      </c>
      <c r="P6" s="64" t="s">
        <v>63</v>
      </c>
      <c r="Q6" s="64" t="s">
        <v>63</v>
      </c>
      <c r="R6" s="64" t="s">
        <v>63</v>
      </c>
      <c r="S6" s="64" t="s">
        <v>63</v>
      </c>
      <c r="T6" s="64" t="s">
        <v>63</v>
      </c>
      <c r="U6" s="140" t="s">
        <v>63</v>
      </c>
      <c r="V6" s="140" t="s">
        <v>63</v>
      </c>
      <c r="W6" s="140" t="s">
        <v>63</v>
      </c>
      <c r="X6" s="140" t="s">
        <v>63</v>
      </c>
      <c r="Y6" s="140" t="s">
        <v>63</v>
      </c>
      <c r="Z6" s="140" t="s">
        <v>63</v>
      </c>
      <c r="AA6" s="140" t="s">
        <v>63</v>
      </c>
      <c r="AB6" s="140" t="s">
        <v>63</v>
      </c>
      <c r="AC6" s="140" t="s">
        <v>63</v>
      </c>
      <c r="AD6" s="977"/>
      <c r="AE6" s="980"/>
      <c r="AF6" s="981"/>
    </row>
    <row r="7" spans="2:32" ht="26.25" customHeight="1" x14ac:dyDescent="0.3">
      <c r="B7" s="49" t="s">
        <v>54</v>
      </c>
      <c r="C7" s="49"/>
      <c r="D7" s="49"/>
      <c r="E7" s="30"/>
      <c r="F7" s="16"/>
      <c r="H7" s="32"/>
      <c r="I7" s="32"/>
      <c r="J7" s="65">
        <v>44682</v>
      </c>
      <c r="K7" s="65">
        <v>44713</v>
      </c>
      <c r="L7" s="65">
        <v>44743</v>
      </c>
      <c r="M7" s="65">
        <v>44774</v>
      </c>
      <c r="N7" s="65">
        <v>44805</v>
      </c>
      <c r="O7" s="65">
        <v>44835</v>
      </c>
      <c r="P7" s="65">
        <v>44866</v>
      </c>
      <c r="Q7" s="65">
        <v>44896</v>
      </c>
      <c r="R7" s="65">
        <v>44927</v>
      </c>
      <c r="S7" s="65">
        <v>44958</v>
      </c>
      <c r="T7" s="65">
        <v>44986</v>
      </c>
      <c r="U7" s="65">
        <v>45017</v>
      </c>
      <c r="V7" s="65">
        <v>45047</v>
      </c>
      <c r="W7" s="65">
        <v>45078</v>
      </c>
      <c r="X7" s="65">
        <v>45108</v>
      </c>
      <c r="Y7" s="65">
        <v>45139</v>
      </c>
      <c r="Z7" s="65">
        <v>45170</v>
      </c>
      <c r="AA7" s="65">
        <v>45200</v>
      </c>
      <c r="AB7" s="65">
        <v>45231</v>
      </c>
      <c r="AC7" s="65">
        <v>45261</v>
      </c>
      <c r="AD7" s="142">
        <v>2022</v>
      </c>
      <c r="AE7" s="141">
        <v>2022</v>
      </c>
      <c r="AF7" s="141">
        <v>2023</v>
      </c>
    </row>
    <row r="8" spans="2:32" ht="14.5" x14ac:dyDescent="0.35">
      <c r="B8" s="67" t="s">
        <v>65</v>
      </c>
      <c r="C8" s="88" t="s">
        <v>128</v>
      </c>
      <c r="D8" s="88" t="s">
        <v>126</v>
      </c>
      <c r="E8" s="67" t="s">
        <v>66</v>
      </c>
      <c r="F8" s="67" t="s">
        <v>57</v>
      </c>
      <c r="G8" s="68" t="s">
        <v>58</v>
      </c>
      <c r="H8" s="69" t="s">
        <v>59</v>
      </c>
      <c r="I8" s="69" t="s">
        <v>60</v>
      </c>
      <c r="J8" s="144">
        <v>512118</v>
      </c>
      <c r="K8" s="144">
        <f t="shared" ref="K8:U8" si="0">SUM(K9:K12)</f>
        <v>0</v>
      </c>
      <c r="L8" s="144">
        <f t="shared" si="0"/>
        <v>0</v>
      </c>
      <c r="M8" s="144">
        <f t="shared" si="0"/>
        <v>0</v>
      </c>
      <c r="N8" s="144">
        <f t="shared" si="0"/>
        <v>0</v>
      </c>
      <c r="O8" s="144">
        <f t="shared" si="0"/>
        <v>0</v>
      </c>
      <c r="P8" s="144">
        <f t="shared" si="0"/>
        <v>0</v>
      </c>
      <c r="Q8" s="144">
        <f t="shared" si="0"/>
        <v>0</v>
      </c>
      <c r="R8" s="144">
        <f t="shared" si="0"/>
        <v>0</v>
      </c>
      <c r="S8" s="144">
        <f t="shared" si="0"/>
        <v>0</v>
      </c>
      <c r="T8" s="144">
        <f t="shared" si="0"/>
        <v>0</v>
      </c>
      <c r="U8" s="144">
        <f t="shared" si="0"/>
        <v>0</v>
      </c>
      <c r="V8" s="144">
        <f t="shared" ref="V8:AA8" si="1">SUM(V9:V12)</f>
        <v>0</v>
      </c>
      <c r="W8" s="144">
        <f t="shared" si="1"/>
        <v>0</v>
      </c>
      <c r="X8" s="144">
        <f t="shared" si="1"/>
        <v>0</v>
      </c>
      <c r="Y8" s="144">
        <f t="shared" si="1"/>
        <v>0</v>
      </c>
      <c r="Z8" s="144">
        <f t="shared" si="1"/>
        <v>0</v>
      </c>
      <c r="AA8" s="144">
        <f t="shared" si="1"/>
        <v>0</v>
      </c>
      <c r="AB8" s="144">
        <f>SUM(AB9:AB12)</f>
        <v>0</v>
      </c>
      <c r="AC8" s="144">
        <f>SUM(AC9:AC12)</f>
        <v>0</v>
      </c>
      <c r="AD8" s="145">
        <f>SUM(J8:U8)</f>
        <v>512118</v>
      </c>
      <c r="AE8" s="148" t="e">
        <f>SUM(AE9:AE12)</f>
        <v>#REF!</v>
      </c>
      <c r="AF8" s="148">
        <f>SUM(AF9:AF12)</f>
        <v>0</v>
      </c>
    </row>
    <row r="9" spans="2:32" x14ac:dyDescent="0.3">
      <c r="B9" s="71"/>
      <c r="C9" s="71" t="s">
        <v>52</v>
      </c>
      <c r="D9" s="90"/>
      <c r="E9" s="72"/>
      <c r="F9" s="73" t="e">
        <f>SUM(#REF!)</f>
        <v>#REF!</v>
      </c>
      <c r="G9" s="134" t="e">
        <f>SUM(#REF!,#REF!,#REF!,#REF!,J9,K9,L9,M9,N9,O9,P9,Q9,R9:T9)</f>
        <v>#REF!</v>
      </c>
      <c r="H9" s="134" t="e">
        <f>SUM(#REF!,#REF!,#REF!,#REF!,J9,K9,L9,M9,N9,O9,P9,Q9,R9,S9:U9)</f>
        <v>#REF!</v>
      </c>
      <c r="I9" s="73" t="e">
        <f>E9-H9</f>
        <v>#REF!</v>
      </c>
      <c r="J9" s="74"/>
      <c r="K9" s="74"/>
      <c r="L9" s="74"/>
      <c r="M9" s="74"/>
      <c r="N9" s="74"/>
      <c r="O9" s="74"/>
      <c r="P9" s="74"/>
      <c r="Q9" s="74"/>
      <c r="R9" s="74"/>
      <c r="S9" s="74"/>
      <c r="T9" s="74"/>
      <c r="U9" s="74"/>
      <c r="V9" s="74"/>
      <c r="W9" s="74"/>
      <c r="X9" s="74"/>
      <c r="Y9" s="74"/>
      <c r="Z9" s="74"/>
      <c r="AA9" s="74"/>
      <c r="AB9" s="74"/>
      <c r="AC9" s="74"/>
      <c r="AD9" s="147">
        <f>SUM(J9:U9)</f>
        <v>0</v>
      </c>
      <c r="AE9" s="151" t="e">
        <f>SUM(#REF!)</f>
        <v>#REF!</v>
      </c>
      <c r="AF9" s="149"/>
    </row>
    <row r="10" spans="2:32" x14ac:dyDescent="0.3">
      <c r="B10" s="71"/>
      <c r="C10" s="71" t="s">
        <v>53</v>
      </c>
      <c r="D10" s="90"/>
      <c r="E10" s="72"/>
      <c r="F10" s="73" t="e">
        <f>SUM(#REF!)</f>
        <v>#REF!</v>
      </c>
      <c r="G10" s="134" t="e">
        <f>SUM(#REF!,#REF!,#REF!,#REF!,J10,K10,L10,M10,N10,O10,P10,Q10,R10:T10)</f>
        <v>#REF!</v>
      </c>
      <c r="H10" s="134" t="e">
        <f>SUM(#REF!,#REF!,#REF!,#REF!,J10,K10,L10,M10,N10,O10,P10,Q10,R10,S10:T10)</f>
        <v>#REF!</v>
      </c>
      <c r="I10" s="73" t="e">
        <f>E10-H10</f>
        <v>#REF!</v>
      </c>
      <c r="J10" s="74"/>
      <c r="K10" s="74"/>
      <c r="L10" s="74"/>
      <c r="M10" s="74"/>
      <c r="N10" s="74"/>
      <c r="O10" s="74"/>
      <c r="P10" s="74"/>
      <c r="Q10" s="74"/>
      <c r="R10" s="74"/>
      <c r="S10" s="74"/>
      <c r="T10" s="74"/>
      <c r="U10" s="74"/>
      <c r="V10" s="74"/>
      <c r="W10" s="74"/>
      <c r="X10" s="74"/>
      <c r="Y10" s="74"/>
      <c r="Z10" s="74"/>
      <c r="AA10" s="74"/>
      <c r="AB10" s="74"/>
      <c r="AC10" s="74"/>
      <c r="AD10" s="147">
        <f>SUM(J10:U10)</f>
        <v>0</v>
      </c>
      <c r="AE10" s="151" t="e">
        <f>SUM(#REF!)</f>
        <v>#REF!</v>
      </c>
      <c r="AF10" s="149"/>
    </row>
    <row r="11" spans="2:32" x14ac:dyDescent="0.3">
      <c r="B11" s="71"/>
      <c r="C11" s="71" t="s">
        <v>160</v>
      </c>
      <c r="D11" s="90"/>
      <c r="E11" s="72"/>
      <c r="F11" s="73" t="e">
        <f>SUM(#REF!)</f>
        <v>#REF!</v>
      </c>
      <c r="G11" s="134">
        <f>SUM(J11:U11)</f>
        <v>0</v>
      </c>
      <c r="H11" s="134" t="e">
        <f>SUM(F11:G11)</f>
        <v>#REF!</v>
      </c>
      <c r="I11" s="73" t="e">
        <f>E11-H11</f>
        <v>#REF!</v>
      </c>
      <c r="J11" s="74"/>
      <c r="K11" s="74"/>
      <c r="L11" s="74"/>
      <c r="M11" s="74"/>
      <c r="N11" s="74"/>
      <c r="O11" s="74"/>
      <c r="P11" s="74"/>
      <c r="Q11" s="74"/>
      <c r="R11" s="74"/>
      <c r="S11" s="74"/>
      <c r="T11" s="74"/>
      <c r="U11" s="74"/>
      <c r="V11" s="74"/>
      <c r="W11" s="74"/>
      <c r="X11" s="74"/>
      <c r="Y11" s="74"/>
      <c r="Z11" s="74"/>
      <c r="AA11" s="74"/>
      <c r="AB11" s="74"/>
      <c r="AC11" s="74"/>
      <c r="AD11" s="147">
        <f>SUM(J11:U11)</f>
        <v>0</v>
      </c>
      <c r="AE11" s="151" t="e">
        <f>SUM(#REF!)</f>
        <v>#REF!</v>
      </c>
      <c r="AF11" s="149"/>
    </row>
    <row r="12" spans="2:32" x14ac:dyDescent="0.3">
      <c r="B12" s="71"/>
      <c r="C12" s="71" t="s">
        <v>166</v>
      </c>
      <c r="D12" s="90"/>
      <c r="E12" s="72"/>
      <c r="F12" s="73" t="e">
        <f>SUM(#REF!)</f>
        <v>#REF!</v>
      </c>
      <c r="G12" s="134">
        <f>SUM(J12:U12)</f>
        <v>0</v>
      </c>
      <c r="H12" s="134" t="e">
        <f>SUM(F12:G12)</f>
        <v>#REF!</v>
      </c>
      <c r="I12" s="73" t="e">
        <f>E12-H12</f>
        <v>#REF!</v>
      </c>
      <c r="J12" s="74"/>
      <c r="K12" s="74"/>
      <c r="L12" s="74"/>
      <c r="M12" s="74"/>
      <c r="N12" s="74"/>
      <c r="O12" s="74"/>
      <c r="P12" s="74"/>
      <c r="Q12" s="74"/>
      <c r="R12" s="74"/>
      <c r="S12" s="74"/>
      <c r="T12" s="74"/>
      <c r="U12" s="74"/>
      <c r="V12" s="74"/>
      <c r="W12" s="74"/>
      <c r="X12" s="74"/>
      <c r="Y12" s="74"/>
      <c r="Z12" s="74"/>
      <c r="AA12" s="74"/>
      <c r="AB12" s="74"/>
      <c r="AC12" s="74"/>
      <c r="AD12" s="147">
        <f>SUM(J12:U12)</f>
        <v>0</v>
      </c>
      <c r="AE12" s="151" t="e">
        <f>SUM(#REF!)</f>
        <v>#REF!</v>
      </c>
      <c r="AF12" s="149"/>
    </row>
    <row r="13" spans="2:32" x14ac:dyDescent="0.3">
      <c r="B13" s="33"/>
      <c r="C13" s="33"/>
      <c r="D13" s="33"/>
      <c r="E13" s="135">
        <f>SUM(E9:E12)</f>
        <v>0</v>
      </c>
      <c r="F13" s="135" t="e">
        <f>SUM(F9:F12)</f>
        <v>#REF!</v>
      </c>
      <c r="G13" s="137" t="e">
        <f>SUM(G9:G12)</f>
        <v>#REF!</v>
      </c>
      <c r="H13" s="136" t="e">
        <f>SUM(H9:H12)</f>
        <v>#REF!</v>
      </c>
      <c r="I13" s="41" t="s">
        <v>68</v>
      </c>
      <c r="J13" s="75" t="e">
        <f>#REF!+J8</f>
        <v>#REF!</v>
      </c>
      <c r="K13" s="75" t="e">
        <f t="shared" ref="K13:AC13" si="2">J13+K8</f>
        <v>#REF!</v>
      </c>
      <c r="L13" s="75" t="e">
        <f t="shared" si="2"/>
        <v>#REF!</v>
      </c>
      <c r="M13" s="75" t="e">
        <f t="shared" si="2"/>
        <v>#REF!</v>
      </c>
      <c r="N13" s="75" t="e">
        <f t="shared" si="2"/>
        <v>#REF!</v>
      </c>
      <c r="O13" s="75" t="e">
        <f t="shared" si="2"/>
        <v>#REF!</v>
      </c>
      <c r="P13" s="75" t="e">
        <f t="shared" si="2"/>
        <v>#REF!</v>
      </c>
      <c r="Q13" s="75" t="e">
        <f t="shared" si="2"/>
        <v>#REF!</v>
      </c>
      <c r="R13" s="75" t="e">
        <f t="shared" si="2"/>
        <v>#REF!</v>
      </c>
      <c r="S13" s="75" t="e">
        <f t="shared" si="2"/>
        <v>#REF!</v>
      </c>
      <c r="T13" s="75" t="e">
        <f t="shared" si="2"/>
        <v>#REF!</v>
      </c>
      <c r="U13" s="75" t="e">
        <f t="shared" si="2"/>
        <v>#REF!</v>
      </c>
      <c r="V13" s="75" t="e">
        <f t="shared" si="2"/>
        <v>#REF!</v>
      </c>
      <c r="W13" s="75" t="e">
        <f t="shared" si="2"/>
        <v>#REF!</v>
      </c>
      <c r="X13" s="75" t="e">
        <f t="shared" si="2"/>
        <v>#REF!</v>
      </c>
      <c r="Y13" s="75" t="e">
        <f t="shared" si="2"/>
        <v>#REF!</v>
      </c>
      <c r="Z13" s="75" t="e">
        <f t="shared" si="2"/>
        <v>#REF!</v>
      </c>
      <c r="AA13" s="75" t="e">
        <f t="shared" si="2"/>
        <v>#REF!</v>
      </c>
      <c r="AB13" s="75" t="e">
        <f t="shared" si="2"/>
        <v>#REF!</v>
      </c>
      <c r="AC13" s="75" t="e">
        <f t="shared" si="2"/>
        <v>#REF!</v>
      </c>
      <c r="AD13" s="152"/>
      <c r="AE13" s="149"/>
      <c r="AF13" s="149"/>
    </row>
    <row r="14" spans="2:32" ht="13.5" thickBot="1" x14ac:dyDescent="0.35">
      <c r="B14" s="32"/>
      <c r="C14" s="32"/>
      <c r="D14" s="32"/>
      <c r="E14" s="32"/>
      <c r="F14" s="35"/>
      <c r="G14" s="35" t="s">
        <v>69</v>
      </c>
      <c r="H14" s="35" t="s">
        <v>69</v>
      </c>
      <c r="I14" s="35"/>
      <c r="J14" s="35" t="s">
        <v>69</v>
      </c>
      <c r="K14" s="35" t="s">
        <v>69</v>
      </c>
      <c r="L14" s="35" t="s">
        <v>69</v>
      </c>
      <c r="M14" s="35" t="s">
        <v>69</v>
      </c>
      <c r="N14" s="35" t="s">
        <v>69</v>
      </c>
      <c r="O14" s="35" t="s">
        <v>69</v>
      </c>
      <c r="P14" s="35" t="s">
        <v>69</v>
      </c>
      <c r="Q14" s="35" t="s">
        <v>69</v>
      </c>
      <c r="R14" s="35" t="s">
        <v>69</v>
      </c>
      <c r="S14" s="35" t="s">
        <v>69</v>
      </c>
      <c r="T14" s="35" t="s">
        <v>69</v>
      </c>
      <c r="U14" s="35" t="s">
        <v>69</v>
      </c>
      <c r="V14" s="35" t="s">
        <v>69</v>
      </c>
      <c r="W14" s="35" t="s">
        <v>69</v>
      </c>
      <c r="X14" s="35" t="s">
        <v>69</v>
      </c>
      <c r="Y14" s="35" t="s">
        <v>69</v>
      </c>
      <c r="Z14" s="35" t="s">
        <v>69</v>
      </c>
      <c r="AA14" s="35" t="s">
        <v>69</v>
      </c>
      <c r="AB14" s="35" t="s">
        <v>69</v>
      </c>
      <c r="AC14" s="35" t="s">
        <v>69</v>
      </c>
      <c r="AD14" s="35"/>
      <c r="AE14" s="35" t="s">
        <v>69</v>
      </c>
    </row>
    <row r="15" spans="2:32" ht="14.5" customHeight="1" x14ac:dyDescent="0.35">
      <c r="B15"/>
      <c r="C15"/>
      <c r="D15"/>
      <c r="E15" s="95"/>
      <c r="F15" s="95"/>
      <c r="J15" s="126">
        <v>2022</v>
      </c>
      <c r="K15" s="126">
        <v>2022</v>
      </c>
      <c r="L15" s="126">
        <v>2022</v>
      </c>
      <c r="M15" s="126">
        <v>2022</v>
      </c>
      <c r="N15" s="126">
        <v>2022</v>
      </c>
      <c r="O15" s="126">
        <v>2022</v>
      </c>
      <c r="P15" s="126">
        <v>2022</v>
      </c>
      <c r="Q15" s="126">
        <v>2022</v>
      </c>
      <c r="R15" s="126">
        <v>2023</v>
      </c>
      <c r="S15" s="126">
        <v>2023</v>
      </c>
      <c r="T15" s="126">
        <v>2023</v>
      </c>
      <c r="U15" s="126">
        <v>2023</v>
      </c>
      <c r="V15" s="126">
        <v>2023</v>
      </c>
      <c r="W15" s="126">
        <v>2023</v>
      </c>
      <c r="X15" s="126">
        <v>2023</v>
      </c>
      <c r="Y15" s="126">
        <v>2023</v>
      </c>
      <c r="Z15" s="126">
        <v>2023</v>
      </c>
      <c r="AA15" s="126">
        <v>2023</v>
      </c>
      <c r="AB15" s="126">
        <v>2023</v>
      </c>
      <c r="AC15" s="126">
        <v>2023</v>
      </c>
      <c r="AD15" s="976" t="s">
        <v>155</v>
      </c>
      <c r="AE15" s="978" t="s">
        <v>64</v>
      </c>
      <c r="AF15" s="979"/>
    </row>
    <row r="16" spans="2:32" ht="14.5" customHeight="1" thickBot="1" x14ac:dyDescent="0.35">
      <c r="B16" s="32"/>
      <c r="C16" s="32"/>
      <c r="D16" s="32"/>
      <c r="E16" s="138"/>
      <c r="F16" s="32"/>
      <c r="G16" s="32"/>
      <c r="H16" s="32"/>
      <c r="I16" s="32"/>
      <c r="J16" s="70" t="str">
        <f t="shared" ref="J16:U16" si="3">+J6</f>
        <v>Forecast</v>
      </c>
      <c r="K16" s="70" t="str">
        <f t="shared" si="3"/>
        <v>Forecast</v>
      </c>
      <c r="L16" s="70" t="str">
        <f t="shared" si="3"/>
        <v>Forecast</v>
      </c>
      <c r="M16" s="70" t="str">
        <f t="shared" si="3"/>
        <v>Forecast</v>
      </c>
      <c r="N16" s="70" t="str">
        <f t="shared" si="3"/>
        <v>Forecast</v>
      </c>
      <c r="O16" s="70" t="str">
        <f t="shared" si="3"/>
        <v>Forecast</v>
      </c>
      <c r="P16" s="70" t="str">
        <f t="shared" si="3"/>
        <v>Forecast</v>
      </c>
      <c r="Q16" s="70" t="str">
        <f t="shared" si="3"/>
        <v>Forecast</v>
      </c>
      <c r="R16" s="70" t="str">
        <f t="shared" si="3"/>
        <v>Forecast</v>
      </c>
      <c r="S16" s="70" t="str">
        <f t="shared" si="3"/>
        <v>Forecast</v>
      </c>
      <c r="T16" s="70" t="str">
        <f t="shared" si="3"/>
        <v>Forecast</v>
      </c>
      <c r="U16" s="70" t="str">
        <f t="shared" si="3"/>
        <v>Forecast</v>
      </c>
      <c r="V16" s="70" t="str">
        <f t="shared" ref="V16:AA16" si="4">+V6</f>
        <v>Forecast</v>
      </c>
      <c r="W16" s="70" t="str">
        <f t="shared" si="4"/>
        <v>Forecast</v>
      </c>
      <c r="X16" s="70" t="str">
        <f t="shared" si="4"/>
        <v>Forecast</v>
      </c>
      <c r="Y16" s="70" t="str">
        <f t="shared" si="4"/>
        <v>Forecast</v>
      </c>
      <c r="Z16" s="70" t="str">
        <f t="shared" si="4"/>
        <v>Forecast</v>
      </c>
      <c r="AA16" s="70" t="str">
        <f t="shared" si="4"/>
        <v>Forecast</v>
      </c>
      <c r="AB16" s="70" t="str">
        <f>+AB6</f>
        <v>Forecast</v>
      </c>
      <c r="AC16" s="70" t="str">
        <f>+AC6</f>
        <v>Forecast</v>
      </c>
      <c r="AD16" s="977"/>
      <c r="AE16" s="980"/>
      <c r="AF16" s="981"/>
    </row>
    <row r="17" spans="2:32" ht="26.25" customHeight="1" x14ac:dyDescent="0.3">
      <c r="B17" s="16" t="s">
        <v>70</v>
      </c>
      <c r="C17" s="16"/>
      <c r="D17" s="16"/>
      <c r="E17" s="30"/>
      <c r="F17" s="16"/>
      <c r="H17" s="32"/>
      <c r="I17" s="32"/>
      <c r="J17" s="65">
        <v>44682</v>
      </c>
      <c r="K17" s="65">
        <v>44713</v>
      </c>
      <c r="L17" s="65">
        <v>44743</v>
      </c>
      <c r="M17" s="65">
        <v>44774</v>
      </c>
      <c r="N17" s="65">
        <v>44805</v>
      </c>
      <c r="O17" s="65">
        <v>44835</v>
      </c>
      <c r="P17" s="65">
        <v>44866</v>
      </c>
      <c r="Q17" s="65">
        <v>44896</v>
      </c>
      <c r="R17" s="65">
        <v>44927</v>
      </c>
      <c r="S17" s="65">
        <v>44958</v>
      </c>
      <c r="T17" s="65">
        <v>44986</v>
      </c>
      <c r="U17" s="65">
        <v>45017</v>
      </c>
      <c r="V17" s="65">
        <v>45047</v>
      </c>
      <c r="W17" s="65">
        <v>45078</v>
      </c>
      <c r="X17" s="65">
        <v>45108</v>
      </c>
      <c r="Y17" s="65">
        <v>45139</v>
      </c>
      <c r="Z17" s="65">
        <v>45170</v>
      </c>
      <c r="AA17" s="65">
        <v>45200</v>
      </c>
      <c r="AB17" s="65">
        <v>45231</v>
      </c>
      <c r="AC17" s="65">
        <v>45261</v>
      </c>
      <c r="AD17" s="143">
        <v>2022</v>
      </c>
      <c r="AE17" s="66">
        <v>2022</v>
      </c>
      <c r="AF17" s="66">
        <v>2023</v>
      </c>
    </row>
    <row r="18" spans="2:32" ht="14.5" x14ac:dyDescent="0.35">
      <c r="B18" s="67" t="s">
        <v>65</v>
      </c>
      <c r="C18" s="88" t="s">
        <v>128</v>
      </c>
      <c r="D18" s="88" t="s">
        <v>126</v>
      </c>
      <c r="E18" s="67" t="s">
        <v>66</v>
      </c>
      <c r="F18" s="67" t="s">
        <v>57</v>
      </c>
      <c r="G18" s="68" t="s">
        <v>58</v>
      </c>
      <c r="H18" s="69" t="s">
        <v>59</v>
      </c>
      <c r="I18" s="69" t="s">
        <v>60</v>
      </c>
      <c r="J18" s="144">
        <f t="shared" ref="J18:U18" si="5">SUM(J19:J22)</f>
        <v>0</v>
      </c>
      <c r="K18" s="144">
        <f t="shared" si="5"/>
        <v>0</v>
      </c>
      <c r="L18" s="144">
        <f t="shared" si="5"/>
        <v>0</v>
      </c>
      <c r="M18" s="144">
        <f t="shared" si="5"/>
        <v>0</v>
      </c>
      <c r="N18" s="144">
        <f t="shared" si="5"/>
        <v>0</v>
      </c>
      <c r="O18" s="144">
        <f t="shared" si="5"/>
        <v>0</v>
      </c>
      <c r="P18" s="144">
        <f t="shared" si="5"/>
        <v>0</v>
      </c>
      <c r="Q18" s="144">
        <f t="shared" si="5"/>
        <v>0</v>
      </c>
      <c r="R18" s="144">
        <f t="shared" si="5"/>
        <v>0</v>
      </c>
      <c r="S18" s="144">
        <f t="shared" si="5"/>
        <v>0</v>
      </c>
      <c r="T18" s="144">
        <f t="shared" si="5"/>
        <v>0</v>
      </c>
      <c r="U18" s="144">
        <f t="shared" si="5"/>
        <v>0</v>
      </c>
      <c r="V18" s="144">
        <f t="shared" ref="V18:AA18" si="6">SUM(V19:V22)</f>
        <v>0</v>
      </c>
      <c r="W18" s="144">
        <f t="shared" si="6"/>
        <v>0</v>
      </c>
      <c r="X18" s="144">
        <f t="shared" si="6"/>
        <v>0</v>
      </c>
      <c r="Y18" s="144">
        <f t="shared" si="6"/>
        <v>0</v>
      </c>
      <c r="Z18" s="144">
        <f t="shared" si="6"/>
        <v>0</v>
      </c>
      <c r="AA18" s="144">
        <f t="shared" si="6"/>
        <v>0</v>
      </c>
      <c r="AB18" s="144">
        <f>SUM(AB19:AB22)</f>
        <v>0</v>
      </c>
      <c r="AC18" s="144">
        <f>SUM(AC19:AC22)</f>
        <v>0</v>
      </c>
      <c r="AD18" s="145">
        <f>SUM(AD19:AD21)</f>
        <v>0</v>
      </c>
      <c r="AE18" s="148" t="e">
        <f>SUM(AE19:AE21)</f>
        <v>#REF!</v>
      </c>
      <c r="AF18" s="148">
        <f>SUM(AF19:AF21)</f>
        <v>0</v>
      </c>
    </row>
    <row r="19" spans="2:32" x14ac:dyDescent="0.3">
      <c r="B19" s="71"/>
      <c r="C19" s="71" t="s">
        <v>159</v>
      </c>
      <c r="D19" s="90"/>
      <c r="E19" s="72"/>
      <c r="F19" s="73"/>
      <c r="G19" s="73">
        <f>SUM(J19:U19)</f>
        <v>0</v>
      </c>
      <c r="H19" s="73">
        <f>SUM(F19:G19)</f>
        <v>0</v>
      </c>
      <c r="I19" s="73">
        <f>E19-H19</f>
        <v>0</v>
      </c>
      <c r="J19" s="74"/>
      <c r="K19" s="74"/>
      <c r="L19" s="74"/>
      <c r="M19" s="74"/>
      <c r="N19" s="74"/>
      <c r="O19" s="74"/>
      <c r="P19" s="74"/>
      <c r="Q19" s="74"/>
      <c r="R19" s="74"/>
      <c r="S19" s="74"/>
      <c r="T19" s="74"/>
      <c r="U19" s="74"/>
      <c r="V19" s="74"/>
      <c r="W19" s="74"/>
      <c r="X19" s="74"/>
      <c r="Y19" s="74"/>
      <c r="Z19" s="74"/>
      <c r="AA19" s="74"/>
      <c r="AB19" s="74"/>
      <c r="AC19" s="74"/>
      <c r="AD19" s="147">
        <f>SUM(J19:U19)</f>
        <v>0</v>
      </c>
      <c r="AE19" s="150" t="e">
        <f>SUM(#REF!)</f>
        <v>#REF!</v>
      </c>
      <c r="AF19" s="150"/>
    </row>
    <row r="20" spans="2:32" x14ac:dyDescent="0.3">
      <c r="B20" s="71"/>
      <c r="C20" s="71" t="s">
        <v>53</v>
      </c>
      <c r="D20" s="90"/>
      <c r="E20" s="72"/>
      <c r="F20" s="73"/>
      <c r="G20" s="73">
        <f>SUM(J20:U20)</f>
        <v>0</v>
      </c>
      <c r="H20" s="73">
        <f>SUM(F20:G20)</f>
        <v>0</v>
      </c>
      <c r="I20" s="73">
        <f>E20-H20</f>
        <v>0</v>
      </c>
      <c r="J20" s="74"/>
      <c r="K20" s="74"/>
      <c r="L20" s="74"/>
      <c r="M20" s="74"/>
      <c r="N20" s="74"/>
      <c r="O20" s="74"/>
      <c r="P20" s="74"/>
      <c r="Q20" s="74"/>
      <c r="R20" s="74"/>
      <c r="S20" s="74"/>
      <c r="T20" s="74"/>
      <c r="U20" s="74"/>
      <c r="V20" s="74"/>
      <c r="W20" s="74"/>
      <c r="X20" s="74"/>
      <c r="Y20" s="74"/>
      <c r="Z20" s="74"/>
      <c r="AA20" s="74"/>
      <c r="AB20" s="74"/>
      <c r="AC20" s="74"/>
      <c r="AD20" s="147">
        <f>SUM(J20:U20)</f>
        <v>0</v>
      </c>
      <c r="AE20" s="150" t="e">
        <f>SUM(#REF!)</f>
        <v>#REF!</v>
      </c>
      <c r="AF20" s="150"/>
    </row>
    <row r="21" spans="2:32" x14ac:dyDescent="0.3">
      <c r="B21" s="71"/>
      <c r="C21" s="71" t="s">
        <v>55</v>
      </c>
      <c r="D21" s="90"/>
      <c r="E21" s="72"/>
      <c r="F21" s="73"/>
      <c r="G21" s="73">
        <f>SUM(J21:U21)</f>
        <v>0</v>
      </c>
      <c r="H21" s="73">
        <f>SUM(F21:G21)</f>
        <v>0</v>
      </c>
      <c r="I21" s="73">
        <f>E21-H21</f>
        <v>0</v>
      </c>
      <c r="J21" s="74"/>
      <c r="K21" s="74"/>
      <c r="L21" s="74"/>
      <c r="M21" s="74"/>
      <c r="N21" s="74"/>
      <c r="O21" s="74"/>
      <c r="P21" s="74"/>
      <c r="Q21" s="74"/>
      <c r="R21" s="74"/>
      <c r="S21" s="74"/>
      <c r="T21" s="74"/>
      <c r="U21" s="74"/>
      <c r="V21" s="74"/>
      <c r="W21" s="74"/>
      <c r="X21" s="74"/>
      <c r="Y21" s="74"/>
      <c r="Z21" s="74"/>
      <c r="AA21" s="74"/>
      <c r="AB21" s="74"/>
      <c r="AC21" s="74"/>
      <c r="AD21" s="147">
        <f>SUM(J21:U21)</f>
        <v>0</v>
      </c>
      <c r="AE21" s="150" t="e">
        <f>SUM(#REF!)</f>
        <v>#REF!</v>
      </c>
      <c r="AF21" s="150"/>
    </row>
    <row r="22" spans="2:32" hidden="1" x14ac:dyDescent="0.3">
      <c r="B22" s="71" t="s">
        <v>67</v>
      </c>
      <c r="C22" s="71"/>
      <c r="D22" s="90"/>
      <c r="E22" s="72"/>
      <c r="F22" s="73" t="e">
        <f>SUM(#REF!)</f>
        <v>#REF!</v>
      </c>
      <c r="G22" s="73">
        <f>SUMIF($J$6:$U$6, "Forecast", $J22:$U22)</f>
        <v>0</v>
      </c>
      <c r="H22" s="73" t="e">
        <f>SUM(F22:G22)</f>
        <v>#REF!</v>
      </c>
      <c r="I22" s="73" t="e">
        <f>E22-H22</f>
        <v>#REF!</v>
      </c>
      <c r="J22" s="74"/>
      <c r="K22" s="74"/>
      <c r="L22" s="74"/>
      <c r="M22" s="74"/>
      <c r="N22" s="74"/>
      <c r="O22" s="74"/>
      <c r="P22" s="74"/>
      <c r="Q22" s="74"/>
      <c r="R22" s="74"/>
      <c r="S22" s="74"/>
      <c r="T22" s="74"/>
      <c r="U22" s="74"/>
      <c r="V22" s="74"/>
      <c r="W22" s="74"/>
      <c r="X22" s="74"/>
      <c r="Y22" s="74"/>
      <c r="Z22" s="74"/>
      <c r="AA22" s="74"/>
      <c r="AB22" s="74"/>
      <c r="AC22" s="74"/>
      <c r="AD22" s="147"/>
      <c r="AE22" s="150" t="e">
        <f>SUM(#REF!)</f>
        <v>#REF!</v>
      </c>
      <c r="AF22" s="150" t="e">
        <f>SUM(#REF!)</f>
        <v>#REF!</v>
      </c>
    </row>
    <row r="23" spans="2:32" x14ac:dyDescent="0.3">
      <c r="B23" s="33"/>
      <c r="C23" s="33"/>
      <c r="D23" s="33"/>
      <c r="E23" s="135">
        <f>SUM(E19:E21)</f>
        <v>0</v>
      </c>
      <c r="F23" s="33"/>
      <c r="G23" s="34"/>
      <c r="I23" s="41" t="s">
        <v>68</v>
      </c>
      <c r="J23" s="75" t="e">
        <f>#REF!+J18</f>
        <v>#REF!</v>
      </c>
      <c r="K23" s="75" t="e">
        <f t="shared" ref="K23:T23" si="7">J23+K18</f>
        <v>#REF!</v>
      </c>
      <c r="L23" s="75" t="e">
        <f t="shared" si="7"/>
        <v>#REF!</v>
      </c>
      <c r="M23" s="75" t="e">
        <f t="shared" si="7"/>
        <v>#REF!</v>
      </c>
      <c r="N23" s="75" t="e">
        <f t="shared" si="7"/>
        <v>#REF!</v>
      </c>
      <c r="O23" s="75" t="e">
        <f t="shared" si="7"/>
        <v>#REF!</v>
      </c>
      <c r="P23" s="75" t="e">
        <f t="shared" si="7"/>
        <v>#REF!</v>
      </c>
      <c r="Q23" s="75" t="e">
        <f t="shared" si="7"/>
        <v>#REF!</v>
      </c>
      <c r="R23" s="75" t="e">
        <f t="shared" si="7"/>
        <v>#REF!</v>
      </c>
      <c r="S23" s="75" t="e">
        <f t="shared" si="7"/>
        <v>#REF!</v>
      </c>
      <c r="T23" s="75" t="e">
        <f t="shared" si="7"/>
        <v>#REF!</v>
      </c>
      <c r="U23" s="75" t="e">
        <f t="shared" ref="U23:AC23" si="8">T23+U18</f>
        <v>#REF!</v>
      </c>
      <c r="V23" s="75" t="e">
        <f t="shared" si="8"/>
        <v>#REF!</v>
      </c>
      <c r="W23" s="75" t="e">
        <f t="shared" si="8"/>
        <v>#REF!</v>
      </c>
      <c r="X23" s="75" t="e">
        <f t="shared" si="8"/>
        <v>#REF!</v>
      </c>
      <c r="Y23" s="75" t="e">
        <f t="shared" si="8"/>
        <v>#REF!</v>
      </c>
      <c r="Z23" s="75" t="e">
        <f t="shared" si="8"/>
        <v>#REF!</v>
      </c>
      <c r="AA23" s="75" t="e">
        <f t="shared" si="8"/>
        <v>#REF!</v>
      </c>
      <c r="AB23" s="75" t="e">
        <f t="shared" si="8"/>
        <v>#REF!</v>
      </c>
      <c r="AC23" s="75" t="e">
        <f t="shared" si="8"/>
        <v>#REF!</v>
      </c>
      <c r="AD23" s="146"/>
      <c r="AE23" s="150"/>
      <c r="AF23" s="150"/>
    </row>
    <row r="24" spans="2:32" x14ac:dyDescent="0.3">
      <c r="R24" s="154"/>
    </row>
  </sheetData>
  <mergeCells count="5">
    <mergeCell ref="B4:D4"/>
    <mergeCell ref="AD5:AD6"/>
    <mergeCell ref="AD15:AD16"/>
    <mergeCell ref="AE5:AF6"/>
    <mergeCell ref="AE15:AF16"/>
  </mergeCells>
  <conditionalFormatting sqref="I3">
    <cfRule type="cellIs" dxfId="13" priority="50" operator="lessThan">
      <formula>0</formula>
    </cfRule>
    <cfRule type="cellIs" dxfId="12" priority="51" operator="greaterThan">
      <formula>0</formula>
    </cfRule>
  </conditionalFormatting>
  <conditionalFormatting sqref="I9:I12 I19:I22">
    <cfRule type="expression" dxfId="11" priority="56">
      <formula>$E9=$H9</formula>
    </cfRule>
    <cfRule type="expression" dxfId="10" priority="57">
      <formula>$E9&lt;$H9</formula>
    </cfRule>
    <cfRule type="expression" dxfId="9" priority="58">
      <formula>$E9&gt;$H9</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78FD5-3D70-4BC1-BA0C-837C9B1A17C5}">
  <sheetPr>
    <tabColor theme="9" tint="-0.249977111117893"/>
  </sheetPr>
  <dimension ref="A1:D13"/>
  <sheetViews>
    <sheetView topLeftCell="A5" workbookViewId="0">
      <selection sqref="A1:D13"/>
    </sheetView>
  </sheetViews>
  <sheetFormatPr defaultRowHeight="14.5" x14ac:dyDescent="0.35"/>
  <cols>
    <col min="1" max="1" width="15.1796875" customWidth="1"/>
    <col min="2" max="2" width="13.81640625" bestFit="1" customWidth="1"/>
    <col min="3" max="3" width="15.7265625" bestFit="1" customWidth="1"/>
    <col min="4" max="4" width="15.81640625" bestFit="1" customWidth="1"/>
    <col min="5" max="6" width="11.81640625" customWidth="1"/>
    <col min="7" max="7" width="11" customWidth="1"/>
    <col min="8" max="8" width="10.81640625" customWidth="1"/>
    <col min="9" max="9" width="12.26953125" customWidth="1"/>
    <col min="10" max="10" width="13.1796875" customWidth="1"/>
    <col min="11" max="11" width="10.453125" customWidth="1"/>
    <col min="12" max="12" width="11.1796875" customWidth="1"/>
  </cols>
  <sheetData>
    <row r="1" spans="1:4" ht="32.5" thickBot="1" x14ac:dyDescent="0.4">
      <c r="A1" s="761" t="s">
        <v>521</v>
      </c>
      <c r="B1" s="753" t="s">
        <v>714</v>
      </c>
      <c r="C1" s="753" t="s">
        <v>715</v>
      </c>
      <c r="D1" s="753" t="s">
        <v>783</v>
      </c>
    </row>
    <row r="2" spans="1:4" ht="17" thickTop="1" thickBot="1" x14ac:dyDescent="0.4">
      <c r="A2" s="754" t="s">
        <v>713</v>
      </c>
      <c r="B2" s="756">
        <v>93702.04</v>
      </c>
      <c r="C2" s="756"/>
      <c r="D2" s="756">
        <f>SUM(B2:C2)</f>
        <v>93702.04</v>
      </c>
    </row>
    <row r="3" spans="1:4" ht="16.5" thickBot="1" x14ac:dyDescent="0.4">
      <c r="A3" s="754" t="s">
        <v>215</v>
      </c>
      <c r="B3" s="755"/>
      <c r="C3" s="755"/>
      <c r="D3" s="755">
        <f t="shared" ref="D3:D5" si="0">SUM(B3:C3)</f>
        <v>0</v>
      </c>
    </row>
    <row r="4" spans="1:4" ht="32.5" thickBot="1" x14ac:dyDescent="0.4">
      <c r="A4" s="754" t="s">
        <v>53</v>
      </c>
      <c r="B4" s="756">
        <v>162200</v>
      </c>
      <c r="C4" s="756">
        <v>7168</v>
      </c>
      <c r="D4" s="756">
        <f t="shared" si="0"/>
        <v>169368</v>
      </c>
    </row>
    <row r="5" spans="1:4" ht="16.5" thickBot="1" x14ac:dyDescent="0.4">
      <c r="A5" s="754" t="s">
        <v>280</v>
      </c>
      <c r="B5" s="755">
        <v>19171.54</v>
      </c>
      <c r="C5" s="755"/>
      <c r="D5" s="755">
        <f t="shared" si="0"/>
        <v>19171.54</v>
      </c>
    </row>
    <row r="6" spans="1:4" ht="16.5" thickBot="1" x14ac:dyDescent="0.4">
      <c r="A6" s="754" t="s">
        <v>217</v>
      </c>
      <c r="B6" s="759">
        <f>SUM(B2:B5)</f>
        <v>275073.57999999996</v>
      </c>
      <c r="C6" s="759">
        <f>SUM(C2:C5)</f>
        <v>7168</v>
      </c>
      <c r="D6" s="759">
        <f>SUM(B6:C6)</f>
        <v>282241.57999999996</v>
      </c>
    </row>
    <row r="7" spans="1:4" ht="6.65" customHeight="1" thickBot="1" x14ac:dyDescent="0.4">
      <c r="A7" s="757"/>
      <c r="B7" s="758"/>
      <c r="C7" s="758"/>
      <c r="D7" s="758"/>
    </row>
    <row r="8" spans="1:4" ht="32.5" thickBot="1" x14ac:dyDescent="0.4">
      <c r="A8" s="761" t="s">
        <v>521</v>
      </c>
      <c r="B8" s="753" t="s">
        <v>716</v>
      </c>
      <c r="C8" s="753" t="s">
        <v>717</v>
      </c>
      <c r="D8" s="753" t="s">
        <v>783</v>
      </c>
    </row>
    <row r="9" spans="1:4" ht="17" thickTop="1" thickBot="1" x14ac:dyDescent="0.4">
      <c r="A9" s="754" t="s">
        <v>713</v>
      </c>
      <c r="B9" s="755">
        <v>29357.9</v>
      </c>
      <c r="C9" s="755">
        <v>134069.07</v>
      </c>
      <c r="D9" s="755">
        <f>SUM(B9:C9)</f>
        <v>163426.97</v>
      </c>
    </row>
    <row r="10" spans="1:4" ht="16.5" thickBot="1" x14ac:dyDescent="0.4">
      <c r="A10" s="754" t="s">
        <v>215</v>
      </c>
      <c r="B10" s="756">
        <v>601379.80000000005</v>
      </c>
      <c r="C10" s="756">
        <v>219015.14</v>
      </c>
      <c r="D10" s="756">
        <f>SUM(B10:C10)</f>
        <v>820394.94000000006</v>
      </c>
    </row>
    <row r="11" spans="1:4" ht="32.5" thickBot="1" x14ac:dyDescent="0.4">
      <c r="A11" s="754" t="s">
        <v>53</v>
      </c>
      <c r="B11" s="755">
        <v>103408.84</v>
      </c>
      <c r="C11" s="755">
        <v>1549311.63</v>
      </c>
      <c r="D11" s="755">
        <f>SUM(B11:C11)</f>
        <v>1652720.47</v>
      </c>
    </row>
    <row r="12" spans="1:4" ht="16.5" thickBot="1" x14ac:dyDescent="0.4">
      <c r="A12" s="754" t="s">
        <v>280</v>
      </c>
      <c r="B12" s="756">
        <v>7059.7</v>
      </c>
      <c r="C12" s="756">
        <v>56330.46</v>
      </c>
      <c r="D12" s="756">
        <f>SUM(B12:C12)</f>
        <v>63390.159999999996</v>
      </c>
    </row>
    <row r="13" spans="1:4" ht="16.5" thickBot="1" x14ac:dyDescent="0.4">
      <c r="A13" s="754" t="s">
        <v>217</v>
      </c>
      <c r="B13" s="760">
        <f>SUM(B9:B12)</f>
        <v>741206.24</v>
      </c>
      <c r="C13" s="760">
        <f t="shared" ref="C13:D13" si="1">SUM(C9:C12)</f>
        <v>1958726.2999999998</v>
      </c>
      <c r="D13" s="760">
        <f t="shared" si="1"/>
        <v>2699932.54</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7" tint="0.79998168889431442"/>
  </sheetPr>
  <dimension ref="A1:G30"/>
  <sheetViews>
    <sheetView workbookViewId="0">
      <selection activeCell="I13" sqref="I13"/>
    </sheetView>
  </sheetViews>
  <sheetFormatPr defaultRowHeight="14.5" x14ac:dyDescent="0.35"/>
  <cols>
    <col min="1" max="1" width="21.81640625" bestFit="1" customWidth="1"/>
    <col min="2" max="2" width="24.7265625" bestFit="1" customWidth="1"/>
    <col min="3" max="3" width="25.26953125" bestFit="1" customWidth="1"/>
    <col min="4" max="5" width="24.7265625" bestFit="1" customWidth="1"/>
    <col min="6" max="6" width="2.26953125" customWidth="1"/>
    <col min="7" max="7" width="16.1796875" customWidth="1"/>
  </cols>
  <sheetData>
    <row r="1" spans="1:5" ht="15" thickBot="1" x14ac:dyDescent="0.4">
      <c r="A1" s="274" t="s">
        <v>200</v>
      </c>
      <c r="B1" s="275" t="s">
        <v>201</v>
      </c>
      <c r="C1" s="275" t="s">
        <v>202</v>
      </c>
      <c r="D1" s="275" t="s">
        <v>203</v>
      </c>
      <c r="E1" s="275" t="s">
        <v>204</v>
      </c>
    </row>
    <row r="2" spans="1:5" ht="15" thickBot="1" x14ac:dyDescent="0.4">
      <c r="A2" s="273" t="s">
        <v>205</v>
      </c>
      <c r="B2" s="276">
        <v>26148.7</v>
      </c>
      <c r="C2" s="276">
        <v>44152.93</v>
      </c>
      <c r="D2" s="276">
        <v>8567.65</v>
      </c>
      <c r="E2" s="276">
        <v>11438.94</v>
      </c>
    </row>
    <row r="3" spans="1:5" ht="15" thickBot="1" x14ac:dyDescent="0.4">
      <c r="A3" s="273" t="s">
        <v>189</v>
      </c>
      <c r="B3" s="276">
        <v>6185.71</v>
      </c>
      <c r="C3" s="276">
        <v>10444.780000000001</v>
      </c>
      <c r="D3" s="276">
        <v>2026.76</v>
      </c>
      <c r="E3" s="276">
        <v>2705.99</v>
      </c>
    </row>
    <row r="4" spans="1:5" ht="15" thickBot="1" x14ac:dyDescent="0.4">
      <c r="A4" s="273" t="s">
        <v>190</v>
      </c>
      <c r="B4" s="276">
        <v>12652.6</v>
      </c>
      <c r="C4" s="276">
        <v>21364.32</v>
      </c>
      <c r="D4" s="276">
        <v>4145.6400000000003</v>
      </c>
      <c r="E4" s="276">
        <v>5534.97</v>
      </c>
    </row>
    <row r="5" spans="1:5" ht="15" thickBot="1" x14ac:dyDescent="0.4">
      <c r="A5" s="273" t="s">
        <v>191</v>
      </c>
      <c r="B5" s="276">
        <v>14620.78</v>
      </c>
      <c r="C5" s="276">
        <v>24687.66</v>
      </c>
      <c r="D5" s="276">
        <v>4790.5200000000004</v>
      </c>
      <c r="E5" s="276">
        <v>6395.97</v>
      </c>
    </row>
    <row r="6" spans="1:5" ht="15" thickBot="1" x14ac:dyDescent="0.4">
      <c r="A6" s="273" t="s">
        <v>192</v>
      </c>
      <c r="B6" s="276">
        <v>23618.18</v>
      </c>
      <c r="C6" s="276">
        <v>39880.06</v>
      </c>
      <c r="D6" s="276">
        <v>7738.53</v>
      </c>
      <c r="E6" s="276">
        <v>10331.950000000001</v>
      </c>
    </row>
    <row r="7" spans="1:5" ht="15" thickBot="1" x14ac:dyDescent="0.4">
      <c r="A7" s="273" t="s">
        <v>193</v>
      </c>
      <c r="B7" s="276">
        <v>12652.6</v>
      </c>
      <c r="C7" s="276">
        <v>21364.32</v>
      </c>
      <c r="D7" s="276">
        <v>4145.6400000000003</v>
      </c>
      <c r="E7" s="276">
        <v>5534.97</v>
      </c>
    </row>
    <row r="8" spans="1:5" ht="15" thickBot="1" x14ac:dyDescent="0.4">
      <c r="A8" s="273" t="s">
        <v>194</v>
      </c>
      <c r="B8" s="276">
        <v>67199.360000000001</v>
      </c>
      <c r="C8" s="276">
        <v>113468.28</v>
      </c>
      <c r="D8" s="276">
        <v>22017.95</v>
      </c>
      <c r="E8" s="276">
        <v>29396.86</v>
      </c>
    </row>
    <row r="9" spans="1:5" ht="15" thickBot="1" x14ac:dyDescent="0.4"/>
    <row r="10" spans="1:5" ht="15" thickBot="1" x14ac:dyDescent="0.4">
      <c r="A10" s="274" t="s">
        <v>200</v>
      </c>
      <c r="B10" s="275" t="s">
        <v>201</v>
      </c>
      <c r="C10" s="275" t="s">
        <v>202</v>
      </c>
      <c r="D10" s="275" t="s">
        <v>203</v>
      </c>
      <c r="E10" s="275" t="s">
        <v>204</v>
      </c>
    </row>
    <row r="11" spans="1:5" ht="15" thickBot="1" x14ac:dyDescent="0.4">
      <c r="A11" s="273" t="s">
        <v>205</v>
      </c>
      <c r="B11" s="277">
        <f>B2*3</f>
        <v>78446.100000000006</v>
      </c>
      <c r="C11" s="277">
        <f>C2*6</f>
        <v>264917.58</v>
      </c>
      <c r="D11" s="277">
        <f>D2*6</f>
        <v>51405.899999999994</v>
      </c>
      <c r="E11" s="277">
        <f>E2*6</f>
        <v>68633.64</v>
      </c>
    </row>
    <row r="12" spans="1:5" ht="15" thickBot="1" x14ac:dyDescent="0.4">
      <c r="A12" s="273" t="s">
        <v>189</v>
      </c>
      <c r="B12" s="277">
        <f t="shared" ref="B12:B17" si="0">B3*3</f>
        <v>18557.13</v>
      </c>
      <c r="C12" s="277">
        <f t="shared" ref="C12:E17" si="1">C3*6</f>
        <v>62668.680000000008</v>
      </c>
      <c r="D12" s="277">
        <f t="shared" si="1"/>
        <v>12160.56</v>
      </c>
      <c r="E12" s="277">
        <f t="shared" si="1"/>
        <v>16235.939999999999</v>
      </c>
    </row>
    <row r="13" spans="1:5" ht="15" thickBot="1" x14ac:dyDescent="0.4">
      <c r="A13" s="273" t="s">
        <v>190</v>
      </c>
      <c r="B13" s="277">
        <f t="shared" si="0"/>
        <v>37957.800000000003</v>
      </c>
      <c r="C13" s="277">
        <f t="shared" si="1"/>
        <v>128185.92</v>
      </c>
      <c r="D13" s="277">
        <f t="shared" si="1"/>
        <v>24873.840000000004</v>
      </c>
      <c r="E13" s="277">
        <f t="shared" si="1"/>
        <v>33209.82</v>
      </c>
    </row>
    <row r="14" spans="1:5" ht="15" thickBot="1" x14ac:dyDescent="0.4">
      <c r="A14" s="273" t="s">
        <v>191</v>
      </c>
      <c r="B14" s="277">
        <f t="shared" si="0"/>
        <v>43862.340000000004</v>
      </c>
      <c r="C14" s="277">
        <f t="shared" si="1"/>
        <v>148125.96</v>
      </c>
      <c r="D14" s="277">
        <f t="shared" si="1"/>
        <v>28743.120000000003</v>
      </c>
      <c r="E14" s="277">
        <f t="shared" si="1"/>
        <v>38375.82</v>
      </c>
    </row>
    <row r="15" spans="1:5" ht="15" thickBot="1" x14ac:dyDescent="0.4">
      <c r="A15" s="273" t="s">
        <v>192</v>
      </c>
      <c r="B15" s="277">
        <f t="shared" si="0"/>
        <v>70854.540000000008</v>
      </c>
      <c r="C15" s="277">
        <f t="shared" si="1"/>
        <v>239280.36</v>
      </c>
      <c r="D15" s="277">
        <f t="shared" si="1"/>
        <v>46431.18</v>
      </c>
      <c r="E15" s="277">
        <f t="shared" si="1"/>
        <v>61991.700000000004</v>
      </c>
    </row>
    <row r="16" spans="1:5" ht="15" thickBot="1" x14ac:dyDescent="0.4">
      <c r="A16" s="273" t="s">
        <v>193</v>
      </c>
      <c r="B16" s="277">
        <f t="shared" si="0"/>
        <v>37957.800000000003</v>
      </c>
      <c r="C16" s="277">
        <f t="shared" si="1"/>
        <v>128185.92</v>
      </c>
      <c r="D16" s="277">
        <f t="shared" si="1"/>
        <v>24873.840000000004</v>
      </c>
      <c r="E16" s="277">
        <f t="shared" si="1"/>
        <v>33209.82</v>
      </c>
    </row>
    <row r="17" spans="1:7" ht="15" thickBot="1" x14ac:dyDescent="0.4">
      <c r="A17" s="273" t="s">
        <v>194</v>
      </c>
      <c r="B17" s="277">
        <f t="shared" si="0"/>
        <v>201598.08000000002</v>
      </c>
      <c r="C17" s="277">
        <f t="shared" si="1"/>
        <v>680809.67999999993</v>
      </c>
      <c r="D17" s="277">
        <f t="shared" si="1"/>
        <v>132107.70000000001</v>
      </c>
      <c r="E17" s="277">
        <f t="shared" si="1"/>
        <v>176381.16</v>
      </c>
    </row>
    <row r="18" spans="1:7" x14ac:dyDescent="0.35">
      <c r="A18" s="278"/>
      <c r="B18" s="279"/>
      <c r="C18" s="279"/>
      <c r="D18" s="279"/>
      <c r="E18" s="279"/>
    </row>
    <row r="19" spans="1:7" x14ac:dyDescent="0.35">
      <c r="A19" s="280" t="s">
        <v>206</v>
      </c>
      <c r="B19" s="281">
        <f>SUM(B11:B17)</f>
        <v>489233.79000000004</v>
      </c>
      <c r="C19" s="281">
        <f>SUM(C11:C17)</f>
        <v>1652174.1</v>
      </c>
      <c r="D19" s="281">
        <f>SUM(D11:D17)</f>
        <v>320596.14</v>
      </c>
      <c r="E19" s="281">
        <f>SUM(E11:E17)</f>
        <v>428037.9</v>
      </c>
      <c r="G19" s="281">
        <f>SUM(B19:E19)</f>
        <v>2890041.93</v>
      </c>
    </row>
    <row r="20" spans="1:7" ht="15" thickBot="1" x14ac:dyDescent="0.4"/>
    <row r="21" spans="1:7" ht="15" thickBot="1" x14ac:dyDescent="0.4">
      <c r="A21" s="274" t="s">
        <v>207</v>
      </c>
      <c r="B21" s="282" t="s">
        <v>208</v>
      </c>
      <c r="C21" s="282" t="s">
        <v>209</v>
      </c>
      <c r="D21" s="282" t="s">
        <v>210</v>
      </c>
      <c r="E21" s="282" t="s">
        <v>211</v>
      </c>
    </row>
    <row r="22" spans="1:7" ht="15" thickBot="1" x14ac:dyDescent="0.4">
      <c r="A22" s="273" t="s">
        <v>195</v>
      </c>
      <c r="B22" s="283">
        <v>1687.01</v>
      </c>
      <c r="C22" s="283">
        <v>5697.15</v>
      </c>
      <c r="D22" s="283">
        <v>1105.5</v>
      </c>
      <c r="E22" s="283">
        <v>1475.99</v>
      </c>
    </row>
    <row r="23" spans="1:7" ht="15" thickBot="1" x14ac:dyDescent="0.4">
      <c r="A23" s="273" t="s">
        <v>196</v>
      </c>
      <c r="B23" s="283">
        <v>2530.52</v>
      </c>
      <c r="C23" s="283">
        <v>8545.73</v>
      </c>
      <c r="D23" s="283">
        <v>1658.26</v>
      </c>
      <c r="E23" s="283">
        <v>2213.9899999999998</v>
      </c>
    </row>
    <row r="24" spans="1:7" ht="15" thickBot="1" x14ac:dyDescent="0.4">
      <c r="A24" s="273" t="s">
        <v>197</v>
      </c>
      <c r="B24" s="283">
        <v>843.51</v>
      </c>
      <c r="C24" s="283">
        <v>2848.58</v>
      </c>
      <c r="D24" s="283">
        <v>552.75</v>
      </c>
      <c r="E24" s="283">
        <v>738</v>
      </c>
    </row>
    <row r="25" spans="1:7" ht="15" thickBot="1" x14ac:dyDescent="0.4">
      <c r="A25" s="273" t="s">
        <v>198</v>
      </c>
      <c r="B25" s="283">
        <v>4217.53</v>
      </c>
      <c r="C25" s="283">
        <v>14242.88</v>
      </c>
      <c r="D25" s="283">
        <v>2763.76</v>
      </c>
      <c r="E25" s="283">
        <v>3689.98</v>
      </c>
    </row>
    <row r="26" spans="1:7" ht="15" thickBot="1" x14ac:dyDescent="0.4">
      <c r="A26" s="273" t="s">
        <v>199</v>
      </c>
      <c r="B26" s="283">
        <v>5061.04</v>
      </c>
      <c r="C26" s="283">
        <v>17091.46</v>
      </c>
      <c r="D26" s="283">
        <v>3316.51</v>
      </c>
      <c r="E26" s="283">
        <v>4427.9799999999996</v>
      </c>
    </row>
    <row r="27" spans="1:7" x14ac:dyDescent="0.35">
      <c r="A27" s="284"/>
      <c r="B27" s="285"/>
      <c r="C27" s="285"/>
      <c r="D27" s="285"/>
      <c r="E27" s="285"/>
    </row>
    <row r="28" spans="1:7" x14ac:dyDescent="0.35">
      <c r="A28" s="286" t="s">
        <v>212</v>
      </c>
      <c r="B28" s="287">
        <f>SUM(B22:B26)</f>
        <v>14339.61</v>
      </c>
      <c r="C28" s="287">
        <f>SUM(C22:C26)</f>
        <v>48425.799999999996</v>
      </c>
      <c r="D28" s="287">
        <f>SUM(D22:D26)</f>
        <v>9396.7800000000007</v>
      </c>
      <c r="E28" s="287">
        <f>SUM(E22:E26)</f>
        <v>12545.939999999999</v>
      </c>
      <c r="G28" s="281">
        <f>SUM(B28:E28)</f>
        <v>84708.13</v>
      </c>
    </row>
    <row r="30" spans="1:7" x14ac:dyDescent="0.35">
      <c r="A30" s="288" t="s">
        <v>213</v>
      </c>
      <c r="B30" s="289">
        <f>SUM(B28,B19)</f>
        <v>503573.4</v>
      </c>
      <c r="C30" s="289">
        <f>SUM(C28,C19)</f>
        <v>1700599.9000000001</v>
      </c>
      <c r="D30" s="289">
        <f>SUM(D28,D19)</f>
        <v>329992.92000000004</v>
      </c>
      <c r="E30" s="289">
        <f>SUM(E28,E19)</f>
        <v>440583.84</v>
      </c>
      <c r="G30" s="290">
        <f>SUM(B30:E30)</f>
        <v>2974750.06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theme="5" tint="0.39997558519241921"/>
  </sheetPr>
  <dimension ref="A1:XCM170"/>
  <sheetViews>
    <sheetView tabSelected="1" zoomScaleNormal="100" workbookViewId="0">
      <selection activeCell="AP2" sqref="AP2"/>
    </sheetView>
  </sheetViews>
  <sheetFormatPr defaultRowHeight="14.5" outlineLevelCol="1" x14ac:dyDescent="0.35"/>
  <cols>
    <col min="1" max="1" width="18.26953125" style="112" customWidth="1"/>
    <col min="2" max="2" width="17.7265625" style="112" customWidth="1" outlineLevel="1"/>
    <col min="3" max="3" width="16.1796875" style="112" customWidth="1" outlineLevel="1"/>
    <col min="4" max="5" width="16.453125" style="96" customWidth="1" outlineLevel="1"/>
    <col min="6" max="6" width="1" style="122" customWidth="1"/>
    <col min="7" max="7" width="7.7265625" style="113" hidden="1" customWidth="1" outlineLevel="1"/>
    <col min="8" max="8" width="8.453125" style="113" hidden="1" customWidth="1" outlineLevel="1"/>
    <col min="9" max="9" width="7.7265625" style="113" hidden="1" customWidth="1" outlineLevel="1"/>
    <col min="10" max="10" width="7.453125" style="113" hidden="1" customWidth="1" outlineLevel="1"/>
    <col min="11" max="11" width="7.7265625" style="113" hidden="1" customWidth="1" outlineLevel="1"/>
    <col min="12" max="12" width="7.54296875" style="113" hidden="1" customWidth="1" outlineLevel="1"/>
    <col min="13" max="15" width="8.453125" style="113" hidden="1" customWidth="1" outlineLevel="1"/>
    <col min="16" max="16" width="10.453125" style="113" hidden="1" customWidth="1" outlineLevel="1"/>
    <col min="17" max="17" width="8.453125" style="113" hidden="1" customWidth="1" outlineLevel="1"/>
    <col min="18" max="18" width="8" style="113" hidden="1" customWidth="1" outlineLevel="1"/>
    <col min="19" max="20" width="8.453125" style="113" hidden="1" customWidth="1" outlineLevel="1"/>
    <col min="21" max="21" width="7.7265625" style="113" hidden="1" customWidth="1" outlineLevel="1"/>
    <col min="22" max="22" width="9.54296875" style="113" hidden="1" customWidth="1" outlineLevel="1"/>
    <col min="23" max="23" width="10.81640625" style="113" hidden="1" customWidth="1" outlineLevel="1"/>
    <col min="24" max="24" width="12.453125" style="113" hidden="1" customWidth="1" outlineLevel="1"/>
    <col min="25" max="26" width="9.7265625" style="113" hidden="1" customWidth="1" outlineLevel="1"/>
    <col min="27" max="27" width="11.54296875" style="113" hidden="1" customWidth="1" outlineLevel="1"/>
    <col min="28" max="28" width="9.7265625" style="113" hidden="1" customWidth="1" outlineLevel="1"/>
    <col min="29" max="29" width="11.453125" style="113" hidden="1" customWidth="1" outlineLevel="1"/>
    <col min="30" max="30" width="8.1796875" style="113" hidden="1" customWidth="1" outlineLevel="1"/>
    <col min="31" max="38" width="8.36328125" style="113" hidden="1" customWidth="1" outlineLevel="1"/>
    <col min="39" max="39" width="9.26953125" style="113" customWidth="1" outlineLevel="1"/>
    <col min="40" max="40" width="10" style="113" bestFit="1" customWidth="1" outlineLevel="1"/>
    <col min="41" max="41" width="9.7265625" style="113" customWidth="1" outlineLevel="1"/>
    <col min="42" max="42" width="11" style="113" customWidth="1" outlineLevel="1"/>
    <col min="43" max="43" width="10.08984375" style="113" customWidth="1" outlineLevel="1"/>
    <col min="44" max="56" width="9.7265625" style="113" customWidth="1" outlineLevel="1"/>
  </cols>
  <sheetData>
    <row r="1" spans="1:56 16315:16315" ht="16.5" customHeight="1" thickBot="1" x14ac:dyDescent="0.4">
      <c r="A1" s="795" t="s">
        <v>521</v>
      </c>
      <c r="B1" s="796" t="s">
        <v>218</v>
      </c>
      <c r="C1" s="794" t="s">
        <v>642</v>
      </c>
      <c r="D1" s="793" t="s">
        <v>525</v>
      </c>
      <c r="E1" s="806" t="s">
        <v>869</v>
      </c>
      <c r="F1" s="314"/>
      <c r="H1" s="111"/>
      <c r="J1" s="111"/>
      <c r="K1" s="487"/>
      <c r="L1" s="111"/>
      <c r="N1" s="111"/>
      <c r="P1" s="111"/>
      <c r="R1" s="111"/>
      <c r="T1" s="111"/>
      <c r="V1" s="111"/>
      <c r="X1" s="111"/>
      <c r="Z1" s="111"/>
      <c r="AB1" s="111"/>
      <c r="AD1" s="111"/>
      <c r="AF1" s="111"/>
      <c r="AH1" s="111"/>
      <c r="AI1" s="111"/>
      <c r="AJ1" s="111"/>
      <c r="AK1" s="111"/>
      <c r="AL1" s="111"/>
      <c r="AN1" s="111"/>
      <c r="AP1" s="111"/>
      <c r="AR1" s="111"/>
      <c r="AT1" s="111"/>
      <c r="AV1" s="111"/>
      <c r="AX1" s="111"/>
      <c r="AZ1" s="111"/>
      <c r="BB1" s="111"/>
      <c r="BD1" s="111"/>
    </row>
    <row r="2" spans="1:56 16315:16315" ht="16" customHeight="1" x14ac:dyDescent="0.35">
      <c r="A2" s="797" t="s">
        <v>164</v>
      </c>
      <c r="B2" s="799">
        <f>SUM(C2,D2,E2)</f>
        <v>6600000</v>
      </c>
      <c r="C2" s="799">
        <v>750000</v>
      </c>
      <c r="D2" s="799">
        <v>3250000</v>
      </c>
      <c r="E2" s="799">
        <v>2600000</v>
      </c>
      <c r="F2" s="314"/>
      <c r="H2" s="111"/>
      <c r="J2" s="111"/>
      <c r="L2" s="111"/>
      <c r="N2" s="111"/>
      <c r="O2" s="579"/>
      <c r="P2" s="585"/>
      <c r="R2" s="111"/>
      <c r="T2" s="111"/>
      <c r="U2" s="594"/>
      <c r="V2" s="111"/>
      <c r="X2" s="111"/>
      <c r="Y2" s="601"/>
      <c r="Z2" s="111"/>
      <c r="AB2" s="111"/>
      <c r="AC2" s="594"/>
      <c r="AD2" s="111"/>
      <c r="AF2" s="111"/>
      <c r="AH2" s="111"/>
      <c r="AI2" s="111"/>
      <c r="AJ2" s="111"/>
      <c r="AK2" s="111"/>
      <c r="AL2" s="111"/>
      <c r="AM2" s="938"/>
      <c r="AN2" s="111"/>
      <c r="AP2" s="111"/>
      <c r="AR2" s="111"/>
      <c r="AT2" s="111"/>
      <c r="AV2" s="111"/>
      <c r="AX2" s="111"/>
      <c r="AZ2" s="111"/>
      <c r="BB2" s="111"/>
      <c r="BD2" s="111"/>
    </row>
    <row r="3" spans="1:56 16315:16315" ht="14.5" customHeight="1" x14ac:dyDescent="0.35">
      <c r="A3" s="797" t="s">
        <v>158</v>
      </c>
      <c r="B3" s="800">
        <f>SUM(C3:E3)</f>
        <v>5908821.9000000004</v>
      </c>
      <c r="C3" s="800">
        <v>741206.24</v>
      </c>
      <c r="D3" s="800">
        <v>3130119.66</v>
      </c>
      <c r="E3" s="800">
        <v>2037496</v>
      </c>
      <c r="F3" s="314"/>
      <c r="H3" s="111"/>
      <c r="J3" s="111"/>
      <c r="L3" s="111"/>
      <c r="N3" s="111"/>
      <c r="P3" s="585"/>
      <c r="R3" s="111"/>
      <c r="T3" s="111"/>
      <c r="U3" s="593"/>
      <c r="V3" s="111"/>
      <c r="X3" s="111"/>
      <c r="Y3" s="601"/>
      <c r="AA3" s="601"/>
      <c r="AB3" s="111"/>
      <c r="AC3" s="593"/>
      <c r="AD3" s="111"/>
      <c r="AE3" s="601"/>
      <c r="AF3" s="111"/>
      <c r="AG3" s="601"/>
      <c r="AH3" s="111"/>
      <c r="AI3" s="111"/>
      <c r="AJ3" s="111"/>
      <c r="AK3" s="111"/>
      <c r="AL3" s="111"/>
      <c r="AN3" s="111"/>
      <c r="AO3" s="593"/>
      <c r="AP3" s="111"/>
      <c r="AR3" s="111"/>
      <c r="AT3" s="111"/>
      <c r="AV3" s="111"/>
      <c r="AX3" s="111"/>
      <c r="AZ3" s="111"/>
      <c r="BB3" s="111"/>
      <c r="BD3" s="111"/>
    </row>
    <row r="4" spans="1:56 16315:16315" ht="14.5" customHeight="1" x14ac:dyDescent="0.35">
      <c r="A4" s="797" t="s">
        <v>154</v>
      </c>
      <c r="B4" s="801">
        <f>B2-B3</f>
        <v>691178.09999999963</v>
      </c>
      <c r="C4" s="801">
        <f>C2-C3</f>
        <v>8793.7600000000093</v>
      </c>
      <c r="D4" s="801">
        <f>D2-D3</f>
        <v>119880.33999999985</v>
      </c>
      <c r="E4" s="801">
        <f>E2-E3</f>
        <v>562504</v>
      </c>
      <c r="F4" s="314"/>
      <c r="H4" s="111"/>
      <c r="J4" s="111"/>
      <c r="L4" s="111"/>
      <c r="N4" s="111"/>
      <c r="P4" s="111"/>
      <c r="R4" s="111"/>
      <c r="T4" s="111"/>
      <c r="V4" s="111"/>
      <c r="X4" s="111"/>
      <c r="Z4" s="111"/>
      <c r="AB4" s="593"/>
      <c r="AC4" s="594"/>
      <c r="AD4" s="111"/>
      <c r="AF4" s="111"/>
      <c r="AH4" s="111"/>
      <c r="AI4" s="111"/>
      <c r="AJ4" s="111"/>
      <c r="AK4" s="111"/>
      <c r="AL4" s="111"/>
      <c r="AN4" s="111"/>
      <c r="AP4" s="585"/>
      <c r="AQ4" s="579"/>
      <c r="AR4" s="111"/>
      <c r="AT4" s="111"/>
      <c r="AV4" s="111"/>
      <c r="AX4" s="111"/>
      <c r="AZ4" s="111"/>
      <c r="BB4" s="111"/>
      <c r="BD4" s="111"/>
    </row>
    <row r="5" spans="1:56 16315:16315" ht="14.5" customHeight="1" x14ac:dyDescent="0.35">
      <c r="A5" s="797" t="s">
        <v>58</v>
      </c>
      <c r="B5" s="801">
        <f>SUM(C5,D5:E5)</f>
        <v>1228577.4699999997</v>
      </c>
      <c r="C5" s="801"/>
      <c r="D5" s="801">
        <v>0</v>
      </c>
      <c r="E5" s="801">
        <f>SUM(AO156,AQ156,AS156,AU156,AW156,AY156,BA156,BC156)</f>
        <v>1228577.4699999997</v>
      </c>
      <c r="F5" s="314"/>
      <c r="H5" s="111"/>
      <c r="J5" s="111"/>
      <c r="L5" s="111"/>
      <c r="N5" s="111"/>
      <c r="P5" s="111"/>
      <c r="R5" s="111"/>
      <c r="T5" s="111"/>
      <c r="V5" s="111"/>
      <c r="X5" s="111"/>
      <c r="Z5" s="111"/>
      <c r="AB5" s="111"/>
      <c r="AC5" s="594"/>
      <c r="AD5" s="111"/>
      <c r="AF5" s="111"/>
      <c r="AH5" s="111"/>
      <c r="AI5" s="111"/>
      <c r="AJ5" s="111"/>
      <c r="AK5" s="111"/>
      <c r="AL5" s="111"/>
      <c r="AN5" s="111"/>
      <c r="AP5" s="111"/>
      <c r="AR5" s="111"/>
      <c r="AT5" s="111"/>
      <c r="AV5" s="111"/>
      <c r="AX5" s="111"/>
      <c r="AZ5" s="111"/>
      <c r="BB5" s="111"/>
      <c r="BD5" s="111"/>
    </row>
    <row r="6" spans="1:56 16315:16315" ht="14.5" customHeight="1" x14ac:dyDescent="0.35">
      <c r="A6" s="797" t="s">
        <v>157</v>
      </c>
      <c r="B6" s="802">
        <f>B4-B5</f>
        <v>-537399.37000000011</v>
      </c>
      <c r="C6" s="802">
        <f>C4-C5</f>
        <v>8793.7600000000093</v>
      </c>
      <c r="D6" s="802">
        <f>D4-D5</f>
        <v>119880.33999999985</v>
      </c>
      <c r="E6" s="802">
        <f>E4-E5</f>
        <v>-666073.46999999974</v>
      </c>
      <c r="F6" s="314"/>
      <c r="H6" s="111"/>
      <c r="J6" s="111"/>
      <c r="L6" s="111"/>
      <c r="N6" s="111"/>
      <c r="P6" s="111"/>
      <c r="R6" s="111"/>
      <c r="T6" s="111"/>
      <c r="V6" s="111"/>
      <c r="X6" s="111"/>
      <c r="Z6" s="111"/>
      <c r="AB6" s="111"/>
      <c r="AC6" s="594"/>
      <c r="AD6" s="111"/>
      <c r="AF6" s="111"/>
      <c r="AH6" s="111"/>
      <c r="AI6" s="111"/>
      <c r="AJ6" s="111"/>
      <c r="AK6" s="111"/>
      <c r="AL6" s="111"/>
      <c r="AM6" s="931"/>
      <c r="AN6" s="932"/>
      <c r="AO6" s="931"/>
      <c r="AP6" s="932"/>
      <c r="AR6" s="111"/>
      <c r="AT6" s="111"/>
      <c r="AV6" s="111"/>
      <c r="AX6" s="111"/>
      <c r="AZ6" s="111"/>
      <c r="BB6" s="111"/>
      <c r="BD6" s="111"/>
      <c r="XCM6" s="131">
        <f>SUM(XCM2:XFD5)</f>
        <v>0</v>
      </c>
    </row>
    <row r="7" spans="1:56 16315:16315" ht="15" customHeight="1" thickBot="1" x14ac:dyDescent="0.4">
      <c r="A7" s="798" t="s">
        <v>156</v>
      </c>
      <c r="B7" s="803">
        <f>B6/B2</f>
        <v>-8.1424146969696992E-2</v>
      </c>
      <c r="C7" s="805">
        <f>C6/C2</f>
        <v>1.1725013333333346E-2</v>
      </c>
      <c r="D7" s="803">
        <f>D6/D2</f>
        <v>3.6886258461538417E-2</v>
      </c>
      <c r="E7" s="805">
        <f>E6/E2</f>
        <v>-0.25618210384615375</v>
      </c>
      <c r="F7" s="314"/>
      <c r="H7" s="111"/>
      <c r="J7" s="111"/>
      <c r="L7" s="111"/>
      <c r="N7" s="111"/>
      <c r="P7" s="111"/>
      <c r="R7" s="111"/>
      <c r="T7" s="111"/>
      <c r="V7" s="111"/>
      <c r="X7" s="111"/>
      <c r="Z7" s="111"/>
      <c r="AB7" s="111"/>
      <c r="AC7" s="790"/>
      <c r="AD7" s="111"/>
      <c r="AF7" s="111"/>
      <c r="AH7" s="111"/>
      <c r="AI7" s="111"/>
      <c r="AJ7" s="111"/>
      <c r="AK7" s="111"/>
      <c r="AL7" s="111"/>
      <c r="AN7" s="111"/>
      <c r="AP7" s="111"/>
      <c r="AR7" s="111"/>
      <c r="AT7" s="111"/>
      <c r="AV7" s="111"/>
      <c r="AX7" s="111"/>
      <c r="AZ7" s="111"/>
      <c r="BB7" s="111"/>
      <c r="BD7" s="111"/>
    </row>
    <row r="8" spans="1:56 16315:16315" ht="16" customHeight="1" thickBot="1" x14ac:dyDescent="0.4">
      <c r="A8" s="798" t="s">
        <v>59</v>
      </c>
      <c r="B8" s="804">
        <f>SUM(B3,B5)</f>
        <v>7137399.3700000001</v>
      </c>
      <c r="C8" s="804">
        <f>SUM(C3,C5)</f>
        <v>741206.24</v>
      </c>
      <c r="D8" s="804">
        <f>SUM(D3,D5)</f>
        <v>3130119.66</v>
      </c>
      <c r="E8" s="804">
        <f>SUM(E3,E5)</f>
        <v>3266073.4699999997</v>
      </c>
      <c r="G8" s="1021">
        <v>2024</v>
      </c>
      <c r="H8" s="1021"/>
      <c r="I8" s="1015">
        <v>2025</v>
      </c>
      <c r="J8" s="1016"/>
      <c r="K8" s="1016"/>
      <c r="L8" s="1016"/>
      <c r="M8" s="1016"/>
      <c r="N8" s="1016"/>
      <c r="O8" s="1016"/>
      <c r="P8" s="1016"/>
      <c r="Q8" s="1016"/>
      <c r="R8" s="1016"/>
      <c r="S8" s="1016"/>
      <c r="T8" s="1016"/>
      <c r="U8" s="1016"/>
      <c r="V8" s="1016"/>
      <c r="W8" s="1016"/>
      <c r="X8" s="1016"/>
      <c r="Y8" s="1016"/>
      <c r="Z8" s="1016"/>
      <c r="AA8" s="1016"/>
      <c r="AB8" s="1016"/>
      <c r="AC8" s="1016"/>
      <c r="AD8" s="1016"/>
      <c r="AE8" s="1016"/>
      <c r="AF8" s="1017"/>
      <c r="AG8" s="1060">
        <v>2026</v>
      </c>
      <c r="AH8" s="1060"/>
      <c r="AI8" s="1060"/>
      <c r="AJ8" s="1060"/>
      <c r="AK8" s="1060"/>
      <c r="AL8" s="1060"/>
      <c r="AM8" s="1060"/>
      <c r="AN8" s="1060"/>
      <c r="AO8" s="1060"/>
      <c r="AP8" s="1060"/>
      <c r="AQ8" s="1060"/>
      <c r="AR8" s="1060"/>
      <c r="AS8" s="1060"/>
      <c r="AT8" s="1060"/>
      <c r="AU8" s="1060"/>
      <c r="AV8" s="1060"/>
      <c r="AW8" s="1060"/>
      <c r="AX8" s="1060"/>
      <c r="AY8" s="1060"/>
      <c r="AZ8" s="1060"/>
      <c r="BA8" s="1060"/>
      <c r="BB8" s="1060"/>
      <c r="BC8" s="1060"/>
      <c r="BD8" s="1061"/>
    </row>
    <row r="9" spans="1:56 16315:16315" ht="16" customHeight="1" thickBot="1" x14ac:dyDescent="0.4">
      <c r="A9" s="988" t="s">
        <v>54</v>
      </c>
      <c r="B9" s="989"/>
      <c r="C9" s="989"/>
      <c r="D9" s="989"/>
      <c r="E9" s="482"/>
      <c r="F9" s="129"/>
      <c r="G9" s="1021"/>
      <c r="H9" s="1021"/>
      <c r="I9" s="1018"/>
      <c r="J9" s="1019"/>
      <c r="K9" s="1019"/>
      <c r="L9" s="1019"/>
      <c r="M9" s="1019"/>
      <c r="N9" s="1019"/>
      <c r="O9" s="1019"/>
      <c r="P9" s="1019"/>
      <c r="Q9" s="1019"/>
      <c r="R9" s="1019"/>
      <c r="S9" s="1019"/>
      <c r="T9" s="1019"/>
      <c r="U9" s="1019"/>
      <c r="V9" s="1019"/>
      <c r="W9" s="1019"/>
      <c r="X9" s="1019"/>
      <c r="Y9" s="1019"/>
      <c r="Z9" s="1019"/>
      <c r="AA9" s="1019"/>
      <c r="AB9" s="1019"/>
      <c r="AC9" s="1019"/>
      <c r="AD9" s="1019"/>
      <c r="AE9" s="1019"/>
      <c r="AF9" s="1020"/>
      <c r="AG9" s="1062"/>
      <c r="AH9" s="1062"/>
      <c r="AI9" s="1062"/>
      <c r="AJ9" s="1062"/>
      <c r="AK9" s="1062"/>
      <c r="AL9" s="1062"/>
      <c r="AM9" s="1062"/>
      <c r="AN9" s="1062"/>
      <c r="AO9" s="1062"/>
      <c r="AP9" s="1062"/>
      <c r="AQ9" s="1062"/>
      <c r="AR9" s="1062"/>
      <c r="AS9" s="1062"/>
      <c r="AT9" s="1062"/>
      <c r="AU9" s="1062"/>
      <c r="AV9" s="1062"/>
      <c r="AW9" s="1062"/>
      <c r="AX9" s="1062"/>
      <c r="AY9" s="1062"/>
      <c r="AZ9" s="1062"/>
      <c r="BA9" s="1062"/>
      <c r="BB9" s="1062"/>
      <c r="BC9" s="1062"/>
      <c r="BD9" s="1063"/>
    </row>
    <row r="10" spans="1:56 16315:16315" ht="15.5" x14ac:dyDescent="0.35">
      <c r="A10" s="990"/>
      <c r="B10" s="991"/>
      <c r="C10" s="991"/>
      <c r="D10" s="991"/>
      <c r="E10" s="482"/>
      <c r="F10" s="129"/>
      <c r="G10" s="127"/>
      <c r="H10" s="127"/>
      <c r="I10" s="817"/>
      <c r="J10" s="818"/>
      <c r="K10" s="818"/>
      <c r="L10" s="818"/>
      <c r="M10" s="818"/>
      <c r="N10" s="818"/>
      <c r="O10" s="818"/>
      <c r="P10" s="818"/>
      <c r="Q10" s="818"/>
      <c r="R10" s="818"/>
      <c r="S10" s="818"/>
      <c r="T10" s="818"/>
      <c r="U10" s="818"/>
      <c r="V10" s="818"/>
      <c r="W10" s="818"/>
      <c r="X10" s="818"/>
      <c r="Y10" s="818"/>
      <c r="Z10" s="818"/>
      <c r="AA10" s="818"/>
      <c r="AB10" s="818"/>
      <c r="AC10" s="818"/>
      <c r="AD10" s="818"/>
      <c r="AE10" s="818"/>
      <c r="AF10" s="819"/>
      <c r="AG10" s="127"/>
      <c r="AH10" s="127"/>
      <c r="AI10" s="127"/>
      <c r="AJ10" s="127"/>
      <c r="AK10" s="127"/>
      <c r="AL10" s="127"/>
      <c r="AM10" s="127"/>
      <c r="AN10" s="127"/>
      <c r="AO10" s="127"/>
      <c r="AP10" s="127"/>
      <c r="AQ10" s="127"/>
      <c r="AR10" s="127"/>
      <c r="AS10" s="127"/>
      <c r="AT10" s="127"/>
      <c r="AU10" s="127"/>
      <c r="AV10" s="127"/>
      <c r="AW10" s="127"/>
      <c r="AX10" s="127"/>
      <c r="AY10" s="127"/>
      <c r="AZ10" s="127"/>
      <c r="BA10" s="127"/>
      <c r="BB10" s="127"/>
      <c r="BC10" s="127"/>
      <c r="BD10" s="127"/>
    </row>
    <row r="11" spans="1:56 16315:16315" ht="15" customHeight="1" x14ac:dyDescent="0.35">
      <c r="A11" s="990"/>
      <c r="B11" s="991"/>
      <c r="C11" s="991"/>
      <c r="D11" s="991"/>
      <c r="E11" s="482"/>
      <c r="F11" s="129"/>
      <c r="G11" s="299"/>
      <c r="H11" s="246">
        <v>45627</v>
      </c>
      <c r="I11" s="820"/>
      <c r="J11" s="246">
        <v>45658</v>
      </c>
      <c r="K11" s="97"/>
      <c r="L11" s="128">
        <v>45689</v>
      </c>
      <c r="M11" s="299"/>
      <c r="N11" s="246">
        <v>45717</v>
      </c>
      <c r="O11" s="97"/>
      <c r="P11" s="128">
        <v>45748</v>
      </c>
      <c r="Q11" s="299"/>
      <c r="R11" s="246">
        <v>45778</v>
      </c>
      <c r="S11" s="97"/>
      <c r="T11" s="128">
        <v>45809</v>
      </c>
      <c r="U11" s="299"/>
      <c r="V11" s="246">
        <v>45839</v>
      </c>
      <c r="W11" s="97"/>
      <c r="X11" s="128">
        <v>45870</v>
      </c>
      <c r="Y11" s="299"/>
      <c r="Z11" s="246">
        <v>45901</v>
      </c>
      <c r="AA11" s="97"/>
      <c r="AB11" s="128">
        <v>45931</v>
      </c>
      <c r="AC11" s="97"/>
      <c r="AD11" s="128">
        <v>45962</v>
      </c>
      <c r="AE11" s="97"/>
      <c r="AF11" s="821">
        <v>45992</v>
      </c>
      <c r="AG11" s="299"/>
      <c r="AH11" s="128">
        <v>46023</v>
      </c>
      <c r="AI11" s="97"/>
      <c r="AJ11" s="128">
        <v>46054</v>
      </c>
      <c r="AK11" s="97"/>
      <c r="AL11" s="128">
        <v>46082</v>
      </c>
      <c r="AM11" s="97"/>
      <c r="AN11" s="128">
        <v>46113</v>
      </c>
      <c r="AO11" s="97"/>
      <c r="AP11" s="128">
        <v>46143</v>
      </c>
      <c r="AQ11" s="97"/>
      <c r="AR11" s="128">
        <v>46174</v>
      </c>
      <c r="AS11" s="97"/>
      <c r="AT11" s="128">
        <v>46204</v>
      </c>
      <c r="AU11" s="97"/>
      <c r="AV11" s="128">
        <v>46235</v>
      </c>
      <c r="AW11" s="97"/>
      <c r="AX11" s="128">
        <v>46266</v>
      </c>
      <c r="AY11" s="97"/>
      <c r="AZ11" s="128">
        <v>46296</v>
      </c>
      <c r="BA11" s="97"/>
      <c r="BB11" s="128">
        <v>46327</v>
      </c>
      <c r="BC11" s="97"/>
      <c r="BD11" s="128">
        <v>46357</v>
      </c>
    </row>
    <row r="12" spans="1:56 16315:16315" ht="15.75" customHeight="1" thickBot="1" x14ac:dyDescent="0.4">
      <c r="A12" s="992"/>
      <c r="B12" s="993"/>
      <c r="C12" s="993"/>
      <c r="D12" s="993"/>
      <c r="E12" s="482"/>
      <c r="F12" s="249"/>
      <c r="G12" s="299">
        <v>160</v>
      </c>
      <c r="H12" s="97">
        <v>160</v>
      </c>
      <c r="I12" s="820">
        <v>160</v>
      </c>
      <c r="J12" s="97">
        <v>160</v>
      </c>
      <c r="K12" s="97">
        <v>160</v>
      </c>
      <c r="L12" s="97">
        <v>160</v>
      </c>
      <c r="M12" s="299">
        <v>168</v>
      </c>
      <c r="N12" s="97">
        <v>168</v>
      </c>
      <c r="O12" s="97">
        <v>176</v>
      </c>
      <c r="P12" s="97">
        <v>176</v>
      </c>
      <c r="Q12" s="299">
        <v>176</v>
      </c>
      <c r="R12" s="97">
        <v>176</v>
      </c>
      <c r="S12" s="97">
        <v>168</v>
      </c>
      <c r="T12" s="97">
        <v>168</v>
      </c>
      <c r="U12" s="299">
        <v>184</v>
      </c>
      <c r="V12" s="97">
        <v>184</v>
      </c>
      <c r="W12" s="97">
        <v>168</v>
      </c>
      <c r="X12" s="97">
        <v>168</v>
      </c>
      <c r="Y12" s="299">
        <v>176</v>
      </c>
      <c r="Z12" s="97">
        <v>176</v>
      </c>
      <c r="AA12" s="97">
        <v>184</v>
      </c>
      <c r="AB12" s="97">
        <v>184</v>
      </c>
      <c r="AC12" s="97">
        <v>160</v>
      </c>
      <c r="AD12" s="97">
        <v>160</v>
      </c>
      <c r="AE12" s="97">
        <v>160</v>
      </c>
      <c r="AF12" s="822">
        <v>160</v>
      </c>
      <c r="AG12" s="299">
        <v>160</v>
      </c>
      <c r="AH12" s="97">
        <v>160</v>
      </c>
      <c r="AI12" s="97">
        <f>20*8</f>
        <v>160</v>
      </c>
      <c r="AJ12" s="97">
        <v>160</v>
      </c>
      <c r="AK12" s="97">
        <f>22*8</f>
        <v>176</v>
      </c>
      <c r="AL12" s="97">
        <v>176</v>
      </c>
      <c r="AM12" s="97">
        <v>176</v>
      </c>
      <c r="AN12" s="97">
        <v>176</v>
      </c>
      <c r="AO12" s="97">
        <f>21*8</f>
        <v>168</v>
      </c>
      <c r="AP12" s="97">
        <v>168</v>
      </c>
      <c r="AQ12" s="97">
        <f>22*8</f>
        <v>176</v>
      </c>
      <c r="AR12" s="97">
        <v>176</v>
      </c>
      <c r="AS12" s="97">
        <f>22*8</f>
        <v>176</v>
      </c>
      <c r="AT12" s="97">
        <v>176</v>
      </c>
      <c r="AU12" s="97">
        <f>21*8</f>
        <v>168</v>
      </c>
      <c r="AV12" s="97">
        <v>168</v>
      </c>
      <c r="AW12" s="97">
        <f>22*8</f>
        <v>176</v>
      </c>
      <c r="AX12" s="97">
        <v>176</v>
      </c>
      <c r="AY12" s="97">
        <v>176</v>
      </c>
      <c r="AZ12" s="97">
        <v>176</v>
      </c>
      <c r="BA12" s="97">
        <v>152</v>
      </c>
      <c r="BB12" s="97">
        <v>152</v>
      </c>
      <c r="BC12" s="97">
        <v>160</v>
      </c>
      <c r="BD12" s="97">
        <v>160</v>
      </c>
    </row>
    <row r="13" spans="1:56 16315:16315" ht="23.5" thickBot="1" x14ac:dyDescent="0.4">
      <c r="A13" s="99" t="s">
        <v>129</v>
      </c>
      <c r="B13" s="100" t="s">
        <v>126</v>
      </c>
      <c r="C13" s="101" t="s">
        <v>130</v>
      </c>
      <c r="D13" s="101" t="s">
        <v>368</v>
      </c>
      <c r="E13" s="101" t="s">
        <v>641</v>
      </c>
      <c r="F13" s="249"/>
      <c r="G13" s="299" t="s">
        <v>644</v>
      </c>
      <c r="H13" s="97" t="s">
        <v>146</v>
      </c>
      <c r="I13" s="820" t="s">
        <v>131</v>
      </c>
      <c r="J13" s="97" t="s">
        <v>147</v>
      </c>
      <c r="K13" s="97" t="s">
        <v>132</v>
      </c>
      <c r="L13" s="98" t="s">
        <v>133</v>
      </c>
      <c r="M13" s="299" t="s">
        <v>134</v>
      </c>
      <c r="N13" s="97" t="s">
        <v>358</v>
      </c>
      <c r="O13" s="97" t="s">
        <v>135</v>
      </c>
      <c r="P13" s="98" t="s">
        <v>366</v>
      </c>
      <c r="Q13" s="299" t="s">
        <v>136</v>
      </c>
      <c r="R13" s="97" t="s">
        <v>367</v>
      </c>
      <c r="S13" s="97" t="s">
        <v>360</v>
      </c>
      <c r="T13" s="98" t="s">
        <v>365</v>
      </c>
      <c r="U13" s="299" t="s">
        <v>359</v>
      </c>
      <c r="V13" s="97" t="s">
        <v>364</v>
      </c>
      <c r="W13" s="97" t="s">
        <v>139</v>
      </c>
      <c r="X13" s="98" t="s">
        <v>363</v>
      </c>
      <c r="Y13" s="299" t="s">
        <v>361</v>
      </c>
      <c r="Z13" s="97" t="s">
        <v>362</v>
      </c>
      <c r="AA13" s="97" t="s">
        <v>141</v>
      </c>
      <c r="AB13" s="98" t="s">
        <v>142</v>
      </c>
      <c r="AC13" s="97" t="s">
        <v>143</v>
      </c>
      <c r="AD13" s="98" t="s">
        <v>144</v>
      </c>
      <c r="AE13" s="97" t="s">
        <v>145</v>
      </c>
      <c r="AF13" s="823" t="s">
        <v>146</v>
      </c>
      <c r="AG13" s="299" t="s">
        <v>131</v>
      </c>
      <c r="AH13" s="98" t="s">
        <v>147</v>
      </c>
      <c r="AI13" s="97" t="s">
        <v>132</v>
      </c>
      <c r="AJ13" s="98" t="s">
        <v>133</v>
      </c>
      <c r="AK13" s="97" t="s">
        <v>134</v>
      </c>
      <c r="AL13" s="98" t="s">
        <v>358</v>
      </c>
      <c r="AM13" s="97" t="s">
        <v>135</v>
      </c>
      <c r="AN13" s="98" t="s">
        <v>371</v>
      </c>
      <c r="AO13" s="97" t="s">
        <v>136</v>
      </c>
      <c r="AP13" s="98" t="s">
        <v>367</v>
      </c>
      <c r="AQ13" s="97" t="s">
        <v>137</v>
      </c>
      <c r="AR13" s="98" t="s">
        <v>365</v>
      </c>
      <c r="AS13" s="97" t="s">
        <v>138</v>
      </c>
      <c r="AT13" s="98" t="s">
        <v>364</v>
      </c>
      <c r="AU13" s="97" t="s">
        <v>139</v>
      </c>
      <c r="AV13" s="98" t="s">
        <v>363</v>
      </c>
      <c r="AW13" s="97" t="s">
        <v>140</v>
      </c>
      <c r="AX13" s="98" t="s">
        <v>362</v>
      </c>
      <c r="AY13" s="97" t="s">
        <v>141</v>
      </c>
      <c r="AZ13" s="98" t="s">
        <v>142</v>
      </c>
      <c r="BA13" s="97" t="s">
        <v>143</v>
      </c>
      <c r="BB13" s="98" t="s">
        <v>144</v>
      </c>
      <c r="BC13" s="97" t="s">
        <v>145</v>
      </c>
      <c r="BD13" s="98" t="s">
        <v>146</v>
      </c>
    </row>
    <row r="14" spans="1:56 16315:16315" ht="13.15" customHeight="1" x14ac:dyDescent="0.35">
      <c r="A14" s="994" t="s">
        <v>856</v>
      </c>
      <c r="B14" s="994" t="s">
        <v>528</v>
      </c>
      <c r="C14" s="997" t="s">
        <v>640</v>
      </c>
      <c r="D14" s="1000">
        <v>75.39</v>
      </c>
      <c r="E14" s="1009"/>
      <c r="F14" s="250"/>
      <c r="G14" s="291">
        <f>G15/G$12</f>
        <v>0</v>
      </c>
      <c r="H14" s="1006">
        <f>SUMIFS('9. Actuals SAP Extract'!$V:$V,'9. Actuals SAP Extract'!$P:$P,$B14,'9. Actuals SAP Extract'!$H:$H,$A14,'9. Actuals SAP Extract'!$W:$W,'Detailed Forecast vs Actuals'!H$11)</f>
        <v>0</v>
      </c>
      <c r="I14" s="102">
        <f>I15/I$12</f>
        <v>0</v>
      </c>
      <c r="J14" s="982">
        <f>SUMIFS('9. Actuals SAP Extract'!$V:$V,'9. Actuals SAP Extract'!$P:$P,$B14,'9. Actuals SAP Extract'!$H:$H,$A14,'9. Actuals SAP Extract'!$W:$W,'Detailed Forecast vs Actuals'!J$11)</f>
        <v>0</v>
      </c>
      <c r="K14" s="102">
        <f>K15/K$12</f>
        <v>0</v>
      </c>
      <c r="L14" s="982">
        <f>SUMIFS('9. Actuals SAP Extract'!$V:$V,'9. Actuals SAP Extract'!$P:$P,$B14,'9. Actuals SAP Extract'!$H:$H,$A14,'9. Actuals SAP Extract'!$W:$W,'Detailed Forecast vs Actuals'!L$11)</f>
        <v>0</v>
      </c>
      <c r="M14" s="291">
        <f>M15/M$12</f>
        <v>0</v>
      </c>
      <c r="N14" s="982">
        <f>SUMIFS('9. Actuals SAP Extract'!$V:$V,'9. Actuals SAP Extract'!$P:$P,$B14,'9. Actuals SAP Extract'!$H:$H,$A14,'9. Actuals SAP Extract'!$W:$W,'Detailed Forecast vs Actuals'!N$11)</f>
        <v>0</v>
      </c>
      <c r="O14" s="102">
        <f>O15/O$12</f>
        <v>0.60227272727272729</v>
      </c>
      <c r="P14" s="982">
        <v>15672</v>
      </c>
      <c r="Q14" s="291">
        <f>Q15/Q$12</f>
        <v>0.60227272727272729</v>
      </c>
      <c r="R14" s="982">
        <f>SUMIFS('9. Actuals SAP Extract'!$V:$V,'9. Actuals SAP Extract'!$P:$P,$B14,'9. Actuals SAP Extract'!$H:$H,$A14,'9. Actuals SAP Extract'!$W:$W,'Detailed Forecast vs Actuals'!R$11)</f>
        <v>0</v>
      </c>
      <c r="S14" s="102">
        <f>S15/S$12</f>
        <v>0.59523809523809523</v>
      </c>
      <c r="T14" s="982">
        <f>SUMIFS('9. Actuals SAP Extract'!$V:$V,'9. Actuals SAP Extract'!$P:$P,$B14,'9. Actuals SAP Extract'!$H:$H,$A14,'9. Actuals SAP Extract'!$W:$W,'Detailed Forecast vs Actuals'!T$11)</f>
        <v>0</v>
      </c>
      <c r="U14" s="291">
        <f>U15/U$12</f>
        <v>0.59782608695652173</v>
      </c>
      <c r="V14" s="982">
        <f>SUMIFS('9. Actuals SAP Extract'!$V:$V,'9. Actuals SAP Extract'!$P:$P,$B14,'9. Actuals SAP Extract'!$H:$H,$A14,'9. Actuals SAP Extract'!$W:$W,'Detailed Forecast vs Actuals'!V$11)</f>
        <v>0</v>
      </c>
      <c r="W14" s="102">
        <f>W15/W$12</f>
        <v>0.63095238095238093</v>
      </c>
      <c r="X14" s="982">
        <f>SUMIFS('9. Actuals SAP Extract'!$V:$V,'9. Actuals SAP Extract'!$P:$P,$B14,'9. Actuals SAP Extract'!$H:$H,$A14,'9. Actuals SAP Extract'!$W:$W,'Detailed Forecast vs Actuals'!X$11)</f>
        <v>0</v>
      </c>
      <c r="Y14" s="291">
        <f>Y15/Y$12</f>
        <v>0</v>
      </c>
      <c r="Z14" s="982">
        <f>SUMIFS('9. Actuals SAP Extract'!$V:$V,'9. Actuals SAP Extract'!$P:$P,$B14,'9. Actuals SAP Extract'!$H:$H,$A14,'9. Actuals SAP Extract'!$W:$W,'Detailed Forecast vs Actuals'!Z$11)</f>
        <v>0</v>
      </c>
      <c r="AA14" s="102">
        <f>AA15/AA$12</f>
        <v>0</v>
      </c>
      <c r="AB14" s="982">
        <f>SUMIFS('9. Actuals SAP Extract'!$V:$V,'9. Actuals SAP Extract'!$P:$P,$B14,'9. Actuals SAP Extract'!$H:$H,$A14,'9. Actuals SAP Extract'!$W:$W,'Detailed Forecast vs Actuals'!AB$11)</f>
        <v>0</v>
      </c>
      <c r="AC14" s="102">
        <f>AC15/AC$12</f>
        <v>0</v>
      </c>
      <c r="AD14" s="982">
        <f>SUMIFS('9. Actuals SAP Extract'!$V:$V,'9. Actuals SAP Extract'!$P:$P,$B14,'9. Actuals SAP Extract'!$H:$H,$A14,'9. Actuals SAP Extract'!$W:$W,'Detailed Forecast vs Actuals'!AD$11)</f>
        <v>0</v>
      </c>
      <c r="AE14" s="102">
        <f>AE15/AE$12</f>
        <v>0</v>
      </c>
      <c r="AF14" s="982">
        <f>SUMIFS('9. Actuals SAP Extract'!$V:$V,'9. Actuals SAP Extract'!$P:$P,$B14,'9. Actuals SAP Extract'!$H:$H,$A14,'9. Actuals SAP Extract'!$W:$W,'Detailed Forecast vs Actuals'!AF$11)</f>
        <v>0</v>
      </c>
      <c r="AG14" s="291">
        <f>AG15/AG$12</f>
        <v>0</v>
      </c>
      <c r="AH14" s="982">
        <f>SUMIFS('9. Actuals SAP Extract'!$V:$V,'9. Actuals SAP Extract'!$P:$P,$B14,'9. Actuals SAP Extract'!$H:$H,$A14,'9. Actuals SAP Extract'!$W:$W,'Detailed Forecast vs Actuals'!AH$11)</f>
        <v>0</v>
      </c>
      <c r="AI14" s="102">
        <f>AI15/AI$12</f>
        <v>0</v>
      </c>
      <c r="AJ14" s="982">
        <f>SUMIFS('9. Actuals SAP Extract'!$V:$V,'9. Actuals SAP Extract'!$P:$P,$B14,'9. Actuals SAP Extract'!$H:$H,$A14,'9. Actuals SAP Extract'!$W:$W,'Detailed Forecast vs Actuals'!AJ$11)</f>
        <v>0</v>
      </c>
      <c r="AK14" s="102">
        <f>AK15/AK$12</f>
        <v>0</v>
      </c>
      <c r="AL14" s="982">
        <f>SUMIFS('9. Actuals SAP Extract'!$V:$V,'9. Actuals SAP Extract'!$P:$P,$B14,'9. Actuals SAP Extract'!$H:$H,$A14,'9. Actuals SAP Extract'!$W:$W,'Detailed Forecast vs Actuals'!AL$11)</f>
        <v>0</v>
      </c>
      <c r="AM14" s="102">
        <f>AM15/AM$12</f>
        <v>0</v>
      </c>
      <c r="AN14" s="982">
        <f>SUMIFS('9. Actuals SAP Extract'!$V:$V,'9. Actuals SAP Extract'!$P:$P,$B14,'9. Actuals SAP Extract'!$H:$H,$A14,'9. Actuals SAP Extract'!$W:$W,'Detailed Forecast vs Actuals'!AN$11)</f>
        <v>0</v>
      </c>
      <c r="AO14" s="102">
        <f>AO15/AO$12</f>
        <v>0</v>
      </c>
      <c r="AP14" s="982">
        <f>SUMIFS('9. Actuals SAP Extract'!$V:$V,'9. Actuals SAP Extract'!$P:$P,$B14,'9. Actuals SAP Extract'!$H:$H,$A14,'9. Actuals SAP Extract'!$W:$W,'Detailed Forecast vs Actuals'!AP$11)</f>
        <v>0</v>
      </c>
      <c r="AQ14" s="102">
        <f>AQ15/AQ$12</f>
        <v>0</v>
      </c>
      <c r="AR14" s="982"/>
      <c r="AS14" s="102">
        <f>AS15/AS$12</f>
        <v>0</v>
      </c>
      <c r="AT14" s="982"/>
      <c r="AU14" s="102">
        <f>AU15/AU$12</f>
        <v>0</v>
      </c>
      <c r="AV14" s="982"/>
      <c r="AW14" s="102">
        <f>AW15/AW$12</f>
        <v>0</v>
      </c>
      <c r="AX14" s="982"/>
      <c r="AY14" s="102">
        <f>AY15/AY$12</f>
        <v>0</v>
      </c>
      <c r="AZ14" s="982"/>
      <c r="BA14" s="102">
        <f>BA15/BA$12</f>
        <v>0</v>
      </c>
      <c r="BB14" s="982"/>
      <c r="BC14" s="102">
        <f>BC15/BC$12</f>
        <v>0</v>
      </c>
      <c r="BD14" s="982"/>
    </row>
    <row r="15" spans="1:56 16315:16315" ht="13.15" customHeight="1" x14ac:dyDescent="0.35">
      <c r="A15" s="995"/>
      <c r="B15" s="995"/>
      <c r="C15" s="998"/>
      <c r="D15" s="1001"/>
      <c r="E15" s="1010"/>
      <c r="F15" s="251"/>
      <c r="G15" s="292">
        <v>0</v>
      </c>
      <c r="H15" s="1007"/>
      <c r="I15" s="103">
        <v>0</v>
      </c>
      <c r="J15" s="983"/>
      <c r="K15" s="103">
        <v>0</v>
      </c>
      <c r="L15" s="983"/>
      <c r="M15" s="292">
        <v>0</v>
      </c>
      <c r="N15" s="983"/>
      <c r="O15" s="103">
        <v>106</v>
      </c>
      <c r="P15" s="983"/>
      <c r="Q15" s="103">
        <v>106</v>
      </c>
      <c r="R15" s="983"/>
      <c r="S15" s="103">
        <v>100</v>
      </c>
      <c r="T15" s="983"/>
      <c r="U15" s="103">
        <v>110</v>
      </c>
      <c r="V15" s="983"/>
      <c r="W15" s="103">
        <v>106</v>
      </c>
      <c r="X15" s="983"/>
      <c r="Y15" s="103">
        <v>0</v>
      </c>
      <c r="Z15" s="983"/>
      <c r="AA15" s="103">
        <v>0</v>
      </c>
      <c r="AB15" s="983"/>
      <c r="AC15" s="103">
        <v>0</v>
      </c>
      <c r="AD15" s="983"/>
      <c r="AE15" s="103">
        <v>0</v>
      </c>
      <c r="AF15" s="983"/>
      <c r="AG15" s="292">
        <v>0</v>
      </c>
      <c r="AH15" s="983"/>
      <c r="AI15" s="103">
        <v>0</v>
      </c>
      <c r="AJ15" s="983"/>
      <c r="AK15" s="103">
        <v>0</v>
      </c>
      <c r="AL15" s="983"/>
      <c r="AM15" s="103">
        <v>0</v>
      </c>
      <c r="AN15" s="983"/>
      <c r="AO15" s="103">
        <v>0</v>
      </c>
      <c r="AP15" s="983"/>
      <c r="AQ15" s="103">
        <v>0</v>
      </c>
      <c r="AR15" s="983"/>
      <c r="AS15" s="103">
        <v>0</v>
      </c>
      <c r="AT15" s="983"/>
      <c r="AU15" s="103">
        <v>0</v>
      </c>
      <c r="AV15" s="983"/>
      <c r="AW15" s="103">
        <v>0</v>
      </c>
      <c r="AX15" s="983"/>
      <c r="AY15" s="103">
        <v>0</v>
      </c>
      <c r="AZ15" s="983"/>
      <c r="BA15" s="103">
        <v>0</v>
      </c>
      <c r="BB15" s="983"/>
      <c r="BC15" s="103">
        <v>0</v>
      </c>
      <c r="BD15" s="983"/>
    </row>
    <row r="16" spans="1:56 16315:16315" ht="13.9" customHeight="1" thickBot="1" x14ac:dyDescent="0.4">
      <c r="A16" s="996"/>
      <c r="B16" s="996"/>
      <c r="C16" s="999"/>
      <c r="D16" s="1002"/>
      <c r="E16" s="1011"/>
      <c r="F16" s="252"/>
      <c r="G16" s="293">
        <f>$D14*G15</f>
        <v>0</v>
      </c>
      <c r="H16" s="1008"/>
      <c r="I16" s="104">
        <f>$D14*I15</f>
        <v>0</v>
      </c>
      <c r="J16" s="984"/>
      <c r="K16" s="104">
        <f>$D14*K15</f>
        <v>0</v>
      </c>
      <c r="L16" s="984"/>
      <c r="M16" s="293">
        <f>$D14*M15</f>
        <v>0</v>
      </c>
      <c r="N16" s="984"/>
      <c r="O16" s="104">
        <f>$D14*O15</f>
        <v>7991.34</v>
      </c>
      <c r="P16" s="984"/>
      <c r="Q16" s="293">
        <f>$D14*Q15</f>
        <v>7991.34</v>
      </c>
      <c r="R16" s="984"/>
      <c r="S16" s="104">
        <f>$D14*S15</f>
        <v>7539</v>
      </c>
      <c r="T16" s="984"/>
      <c r="U16" s="293">
        <f>$D14*U15</f>
        <v>8292.9</v>
      </c>
      <c r="V16" s="984"/>
      <c r="W16" s="104">
        <f>$D14*W15</f>
        <v>7991.34</v>
      </c>
      <c r="X16" s="984"/>
      <c r="Y16" s="293">
        <f>$D14*Y15</f>
        <v>0</v>
      </c>
      <c r="Z16" s="984"/>
      <c r="AA16" s="104">
        <f>$D14*AA15</f>
        <v>0</v>
      </c>
      <c r="AB16" s="984"/>
      <c r="AC16" s="104">
        <f>$D14*AC15</f>
        <v>0</v>
      </c>
      <c r="AD16" s="984"/>
      <c r="AE16" s="104">
        <f>$D14*AE15</f>
        <v>0</v>
      </c>
      <c r="AF16" s="984"/>
      <c r="AG16" s="293">
        <f>$D14*AG15</f>
        <v>0</v>
      </c>
      <c r="AH16" s="984"/>
      <c r="AI16" s="104">
        <f>$D14*AI15</f>
        <v>0</v>
      </c>
      <c r="AJ16" s="984"/>
      <c r="AK16" s="104">
        <f>$D14*AK15</f>
        <v>0</v>
      </c>
      <c r="AL16" s="984"/>
      <c r="AM16" s="104">
        <f>$D14*AM15</f>
        <v>0</v>
      </c>
      <c r="AN16" s="984"/>
      <c r="AO16" s="104">
        <f>$D14*AO15</f>
        <v>0</v>
      </c>
      <c r="AP16" s="984"/>
      <c r="AQ16" s="104">
        <f>$D14*AQ15</f>
        <v>0</v>
      </c>
      <c r="AR16" s="984"/>
      <c r="AS16" s="104">
        <f>$D14*AS15</f>
        <v>0</v>
      </c>
      <c r="AT16" s="984"/>
      <c r="AU16" s="104">
        <f>$D14*AU15</f>
        <v>0</v>
      </c>
      <c r="AV16" s="984"/>
      <c r="AW16" s="104">
        <f>$D14*AW15</f>
        <v>0</v>
      </c>
      <c r="AX16" s="984"/>
      <c r="AY16" s="104">
        <f>$D14*AY15</f>
        <v>0</v>
      </c>
      <c r="AZ16" s="984"/>
      <c r="BA16" s="104">
        <f>$D14*BA15</f>
        <v>0</v>
      </c>
      <c r="BB16" s="984"/>
      <c r="BC16" s="104">
        <f>$D14*BC15</f>
        <v>0</v>
      </c>
      <c r="BD16" s="984"/>
    </row>
    <row r="17" spans="1:56" ht="13.15" customHeight="1" x14ac:dyDescent="0.35">
      <c r="A17" s="994" t="s">
        <v>856</v>
      </c>
      <c r="B17" s="994" t="s">
        <v>522</v>
      </c>
      <c r="C17" s="997" t="s">
        <v>640</v>
      </c>
      <c r="D17" s="1000">
        <v>75.39</v>
      </c>
      <c r="E17" s="1009"/>
      <c r="F17" s="250"/>
      <c r="G17" s="291">
        <f>G18/G$12</f>
        <v>0</v>
      </c>
      <c r="H17" s="1006">
        <f>SUMIFS('9. Actuals SAP Extract'!$V:$V,'9. Actuals SAP Extract'!$P:$P,$B17,'9. Actuals SAP Extract'!$H:$H,$A17,'9. Actuals SAP Extract'!$W:$W,'Detailed Forecast vs Actuals'!H$11)</f>
        <v>0</v>
      </c>
      <c r="I17" s="102">
        <f>I18/I$12</f>
        <v>0</v>
      </c>
      <c r="J17" s="982">
        <f>SUMIFS('9. Actuals SAP Extract'!$V:$V,'9. Actuals SAP Extract'!$P:$P,$B17,'9. Actuals SAP Extract'!$H:$H,$A17,'9. Actuals SAP Extract'!$W:$W,'Detailed Forecast vs Actuals'!J$11)</f>
        <v>0</v>
      </c>
      <c r="K17" s="102">
        <f>K18/K$12</f>
        <v>0</v>
      </c>
      <c r="L17" s="982">
        <f>SUMIFS('9. Actuals SAP Extract'!$V:$V,'9. Actuals SAP Extract'!$P:$P,$B17,'9. Actuals SAP Extract'!$H:$H,$A17,'9. Actuals SAP Extract'!$W:$W,'Detailed Forecast vs Actuals'!L$11)</f>
        <v>0</v>
      </c>
      <c r="M17" s="291">
        <f>M18/M$12</f>
        <v>0</v>
      </c>
      <c r="N17" s="982">
        <f>SUMIFS('9. Actuals SAP Extract'!$V:$V,'9. Actuals SAP Extract'!$P:$P,$B17,'9. Actuals SAP Extract'!$H:$H,$A17,'9. Actuals SAP Extract'!$W:$W,'Detailed Forecast vs Actuals'!N$11)</f>
        <v>0</v>
      </c>
      <c r="O17" s="102">
        <f>O18/O$12</f>
        <v>0.60227272727272729</v>
      </c>
      <c r="P17" s="982">
        <v>15672</v>
      </c>
      <c r="Q17" s="291">
        <f>Q18/Q$12</f>
        <v>0.60227272727272729</v>
      </c>
      <c r="R17" s="982">
        <f>SUMIFS('9. Actuals SAP Extract'!$V:$V,'9. Actuals SAP Extract'!$P:$P,$B17,'9. Actuals SAP Extract'!$H:$H,$A17,'9. Actuals SAP Extract'!$W:$W,'Detailed Forecast vs Actuals'!R$11)</f>
        <v>0</v>
      </c>
      <c r="S17" s="102">
        <f>S18/S$12</f>
        <v>0.59523809523809523</v>
      </c>
      <c r="T17" s="982">
        <f>SUMIFS('9. Actuals SAP Extract'!$V:$V,'9. Actuals SAP Extract'!$P:$P,$B17,'9. Actuals SAP Extract'!$H:$H,$A17,'9. Actuals SAP Extract'!$W:$W,'Detailed Forecast vs Actuals'!T$11)</f>
        <v>0</v>
      </c>
      <c r="U17" s="291">
        <f>U18/U$12</f>
        <v>0.59782608695652173</v>
      </c>
      <c r="V17" s="982">
        <f>SUMIFS('9. Actuals SAP Extract'!$V:$V,'9. Actuals SAP Extract'!$P:$P,$B17,'9. Actuals SAP Extract'!$H:$H,$A17,'9. Actuals SAP Extract'!$W:$W,'Detailed Forecast vs Actuals'!V$11)</f>
        <v>0</v>
      </c>
      <c r="W17" s="102">
        <f>W18/W$12</f>
        <v>0.63095238095238093</v>
      </c>
      <c r="X17" s="982">
        <f>SUMIFS('9. Actuals SAP Extract'!$V:$V,'9. Actuals SAP Extract'!$P:$P,$B17,'9. Actuals SAP Extract'!$H:$H,$A17,'9. Actuals SAP Extract'!$W:$W,'Detailed Forecast vs Actuals'!X$11)</f>
        <v>0</v>
      </c>
      <c r="Y17" s="291">
        <f>Y18/Y$12</f>
        <v>0</v>
      </c>
      <c r="Z17" s="982">
        <f>SUMIFS('9. Actuals SAP Extract'!$V:$V,'9. Actuals SAP Extract'!$P:$P,$B17,'9. Actuals SAP Extract'!$H:$H,$A17,'9. Actuals SAP Extract'!$W:$W,'Detailed Forecast vs Actuals'!Z$11)</f>
        <v>0</v>
      </c>
      <c r="AA17" s="102">
        <f>AA18/AA$12</f>
        <v>0</v>
      </c>
      <c r="AB17" s="982">
        <f>SUMIFS('9. Actuals SAP Extract'!$V:$V,'9. Actuals SAP Extract'!$P:$P,$B17,'9. Actuals SAP Extract'!$H:$H,$A17,'9. Actuals SAP Extract'!$W:$W,'Detailed Forecast vs Actuals'!AB$11)</f>
        <v>0</v>
      </c>
      <c r="AC17" s="102">
        <f>AC18/AC$12</f>
        <v>0</v>
      </c>
      <c r="AD17" s="982">
        <f>SUMIFS('9. Actuals SAP Extract'!$V:$V,'9. Actuals SAP Extract'!$P:$P,$B17,'9. Actuals SAP Extract'!$H:$H,$A17,'9. Actuals SAP Extract'!$W:$W,'Detailed Forecast vs Actuals'!AD$11)</f>
        <v>0</v>
      </c>
      <c r="AE17" s="102">
        <f>AE18/AE$12</f>
        <v>0</v>
      </c>
      <c r="AF17" s="982">
        <f>SUMIFS('9. Actuals SAP Extract'!$V:$V,'9. Actuals SAP Extract'!$P:$P,$B17,'9. Actuals SAP Extract'!$H:$H,$A17,'9. Actuals SAP Extract'!$W:$W,'Detailed Forecast vs Actuals'!AF$11)</f>
        <v>603.12</v>
      </c>
      <c r="AG17" s="291">
        <f>AG18/AG$12</f>
        <v>0</v>
      </c>
      <c r="AH17" s="982">
        <f>SUMIFS('9. Actuals SAP Extract'!$V:$V,'9. Actuals SAP Extract'!$P:$P,$B17,'9. Actuals SAP Extract'!$H:$H,$A17,'9. Actuals SAP Extract'!$W:$W,'Detailed Forecast vs Actuals'!AH$11)</f>
        <v>0</v>
      </c>
      <c r="AI17" s="102">
        <f>AI18/AI$12</f>
        <v>0</v>
      </c>
      <c r="AJ17" s="982">
        <f>SUMIFS('9. Actuals SAP Extract'!$V:$V,'9. Actuals SAP Extract'!$P:$P,$B17,'9. Actuals SAP Extract'!$H:$H,$A17,'9. Actuals SAP Extract'!$W:$W,'Detailed Forecast vs Actuals'!AJ$11)</f>
        <v>0</v>
      </c>
      <c r="AK17" s="102">
        <f>AK18/AK$12</f>
        <v>0</v>
      </c>
      <c r="AL17" s="982">
        <f>SUMIFS('9. Actuals SAP Extract'!$V:$V,'9. Actuals SAP Extract'!$P:$P,$B17,'9. Actuals SAP Extract'!$H:$H,$A17,'9. Actuals SAP Extract'!$W:$W,'Detailed Forecast vs Actuals'!AL$11)</f>
        <v>0</v>
      </c>
      <c r="AM17" s="102">
        <f>AM18/AM$12</f>
        <v>0</v>
      </c>
      <c r="AN17" s="982">
        <f>SUMIFS('9. Actuals SAP Extract'!$V:$V,'9. Actuals SAP Extract'!$P:$P,$B17,'9. Actuals SAP Extract'!$H:$H,$A17,'9. Actuals SAP Extract'!$W:$W,'Detailed Forecast vs Actuals'!AN$11)</f>
        <v>0</v>
      </c>
      <c r="AO17" s="102">
        <f>AO18/AO$12</f>
        <v>0</v>
      </c>
      <c r="AP17" s="982">
        <f>SUMIFS('9. Actuals SAP Extract'!$V:$V,'9. Actuals SAP Extract'!$P:$P,$B17,'9. Actuals SAP Extract'!$H:$H,$A17,'9. Actuals SAP Extract'!$W:$W,'Detailed Forecast vs Actuals'!AP$11)</f>
        <v>0</v>
      </c>
      <c r="AQ17" s="102">
        <f>AQ18/AQ$12</f>
        <v>0</v>
      </c>
      <c r="AR17" s="982"/>
      <c r="AS17" s="102">
        <f>AS18/AS$12</f>
        <v>0</v>
      </c>
      <c r="AT17" s="982"/>
      <c r="AU17" s="102">
        <f>AU18/AU$12</f>
        <v>0</v>
      </c>
      <c r="AV17" s="982"/>
      <c r="AW17" s="102">
        <f>AW18/AW$12</f>
        <v>0</v>
      </c>
      <c r="AX17" s="982"/>
      <c r="AY17" s="102">
        <f>AY18/AY$12</f>
        <v>0</v>
      </c>
      <c r="AZ17" s="982"/>
      <c r="BA17" s="102">
        <f>BA18/BA$12</f>
        <v>0</v>
      </c>
      <c r="BB17" s="982"/>
      <c r="BC17" s="102">
        <f>BC18/BC$12</f>
        <v>0</v>
      </c>
      <c r="BD17" s="982"/>
    </row>
    <row r="18" spans="1:56" ht="13.15" customHeight="1" x14ac:dyDescent="0.35">
      <c r="A18" s="995"/>
      <c r="B18" s="995"/>
      <c r="C18" s="998"/>
      <c r="D18" s="1001"/>
      <c r="E18" s="1010"/>
      <c r="F18" s="251"/>
      <c r="G18" s="292">
        <v>0</v>
      </c>
      <c r="H18" s="1007"/>
      <c r="I18" s="103">
        <v>0</v>
      </c>
      <c r="J18" s="983"/>
      <c r="K18" s="103">
        <v>0</v>
      </c>
      <c r="L18" s="983"/>
      <c r="M18" s="292">
        <v>0</v>
      </c>
      <c r="N18" s="983"/>
      <c r="O18" s="103">
        <v>106</v>
      </c>
      <c r="P18" s="983"/>
      <c r="Q18" s="103">
        <v>106</v>
      </c>
      <c r="R18" s="983"/>
      <c r="S18" s="103">
        <v>100</v>
      </c>
      <c r="T18" s="983"/>
      <c r="U18" s="103">
        <v>110</v>
      </c>
      <c r="V18" s="983"/>
      <c r="W18" s="103">
        <v>106</v>
      </c>
      <c r="X18" s="983"/>
      <c r="Y18" s="103">
        <v>0</v>
      </c>
      <c r="Z18" s="983"/>
      <c r="AA18" s="103">
        <v>0</v>
      </c>
      <c r="AB18" s="983"/>
      <c r="AC18" s="103">
        <v>0</v>
      </c>
      <c r="AD18" s="983"/>
      <c r="AE18" s="103">
        <v>0</v>
      </c>
      <c r="AF18" s="983"/>
      <c r="AG18" s="292">
        <v>0</v>
      </c>
      <c r="AH18" s="983"/>
      <c r="AI18" s="103">
        <v>0</v>
      </c>
      <c r="AJ18" s="983"/>
      <c r="AK18" s="103">
        <v>0</v>
      </c>
      <c r="AL18" s="983"/>
      <c r="AM18" s="103">
        <v>0</v>
      </c>
      <c r="AN18" s="983"/>
      <c r="AO18" s="103">
        <v>0</v>
      </c>
      <c r="AP18" s="983"/>
      <c r="AQ18" s="103">
        <v>0</v>
      </c>
      <c r="AR18" s="983"/>
      <c r="AS18" s="103">
        <v>0</v>
      </c>
      <c r="AT18" s="983"/>
      <c r="AU18" s="103">
        <v>0</v>
      </c>
      <c r="AV18" s="983"/>
      <c r="AW18" s="103">
        <v>0</v>
      </c>
      <c r="AX18" s="983"/>
      <c r="AY18" s="103">
        <v>0</v>
      </c>
      <c r="AZ18" s="983"/>
      <c r="BA18" s="103">
        <v>0</v>
      </c>
      <c r="BB18" s="983"/>
      <c r="BC18" s="103">
        <v>0</v>
      </c>
      <c r="BD18" s="983"/>
    </row>
    <row r="19" spans="1:56" ht="13.9" customHeight="1" thickBot="1" x14ac:dyDescent="0.4">
      <c r="A19" s="996"/>
      <c r="B19" s="996"/>
      <c r="C19" s="999"/>
      <c r="D19" s="1002"/>
      <c r="E19" s="1011"/>
      <c r="F19" s="252"/>
      <c r="G19" s="293">
        <f>$D17*G18</f>
        <v>0</v>
      </c>
      <c r="H19" s="1008"/>
      <c r="I19" s="104">
        <f>$D17*I18</f>
        <v>0</v>
      </c>
      <c r="J19" s="984"/>
      <c r="K19" s="104">
        <f>$D17*K18</f>
        <v>0</v>
      </c>
      <c r="L19" s="984"/>
      <c r="M19" s="293">
        <f>$D17*M18</f>
        <v>0</v>
      </c>
      <c r="N19" s="984"/>
      <c r="O19" s="104">
        <f>$D17*O18</f>
        <v>7991.34</v>
      </c>
      <c r="P19" s="984"/>
      <c r="Q19" s="293">
        <f>$D17*Q18</f>
        <v>7991.34</v>
      </c>
      <c r="R19" s="984"/>
      <c r="S19" s="104">
        <f>$D17*S18</f>
        <v>7539</v>
      </c>
      <c r="T19" s="984"/>
      <c r="U19" s="293">
        <f>$D17*U18</f>
        <v>8292.9</v>
      </c>
      <c r="V19" s="984"/>
      <c r="W19" s="104">
        <f>$D17*W18</f>
        <v>7991.34</v>
      </c>
      <c r="X19" s="984"/>
      <c r="Y19" s="293">
        <f>$D17*Y18</f>
        <v>0</v>
      </c>
      <c r="Z19" s="984"/>
      <c r="AA19" s="104">
        <f>$D17*AA18</f>
        <v>0</v>
      </c>
      <c r="AB19" s="984"/>
      <c r="AC19" s="104">
        <f>$D17*AC18</f>
        <v>0</v>
      </c>
      <c r="AD19" s="984"/>
      <c r="AE19" s="104">
        <f>$D17*AE18</f>
        <v>0</v>
      </c>
      <c r="AF19" s="984"/>
      <c r="AG19" s="293">
        <f>$D17*AG18</f>
        <v>0</v>
      </c>
      <c r="AH19" s="984"/>
      <c r="AI19" s="104">
        <f>$D17*AI18</f>
        <v>0</v>
      </c>
      <c r="AJ19" s="984"/>
      <c r="AK19" s="104">
        <f>$D17*AK18</f>
        <v>0</v>
      </c>
      <c r="AL19" s="984"/>
      <c r="AM19" s="104">
        <f>$D17*AM18</f>
        <v>0</v>
      </c>
      <c r="AN19" s="984"/>
      <c r="AO19" s="104">
        <f>$D17*AO18</f>
        <v>0</v>
      </c>
      <c r="AP19" s="984"/>
      <c r="AQ19" s="104">
        <f>$D17*AQ18</f>
        <v>0</v>
      </c>
      <c r="AR19" s="984"/>
      <c r="AS19" s="104">
        <f>$D17*AS18</f>
        <v>0</v>
      </c>
      <c r="AT19" s="984"/>
      <c r="AU19" s="104">
        <f>$D17*AU18</f>
        <v>0</v>
      </c>
      <c r="AV19" s="984"/>
      <c r="AW19" s="104">
        <f>$D17*AW18</f>
        <v>0</v>
      </c>
      <c r="AX19" s="984"/>
      <c r="AY19" s="104">
        <f>$D17*AY18</f>
        <v>0</v>
      </c>
      <c r="AZ19" s="984"/>
      <c r="BA19" s="104">
        <f>$D17*BA18</f>
        <v>0</v>
      </c>
      <c r="BB19" s="984"/>
      <c r="BC19" s="104">
        <f>$D17*BC18</f>
        <v>0</v>
      </c>
      <c r="BD19" s="984"/>
    </row>
    <row r="20" spans="1:56" ht="13.15" customHeight="1" x14ac:dyDescent="0.35">
      <c r="A20" s="994" t="s">
        <v>851</v>
      </c>
      <c r="B20" s="994" t="s">
        <v>522</v>
      </c>
      <c r="C20" s="997" t="s">
        <v>640</v>
      </c>
      <c r="D20" s="1000">
        <v>75.39</v>
      </c>
      <c r="E20" s="1009"/>
      <c r="F20" s="250"/>
      <c r="G20" s="291">
        <f>G21/G$12</f>
        <v>0</v>
      </c>
      <c r="H20" s="1006">
        <f>SUMIFS('9. Actuals SAP Extract'!$V:$V,'9. Actuals SAP Extract'!$P:$P,$B20,'9. Actuals SAP Extract'!$H:$H,$A20,'9. Actuals SAP Extract'!$W:$W,'Detailed Forecast vs Actuals'!H$11)</f>
        <v>0</v>
      </c>
      <c r="I20" s="102">
        <f>I21/I$12</f>
        <v>0</v>
      </c>
      <c r="J20" s="982">
        <f>SUMIFS('9. Actuals SAP Extract'!$V:$V,'9. Actuals SAP Extract'!$P:$P,$B20,'9. Actuals SAP Extract'!$H:$H,$A20,'9. Actuals SAP Extract'!$W:$W,'Detailed Forecast vs Actuals'!J$11)</f>
        <v>0</v>
      </c>
      <c r="K20" s="102">
        <f>K21/K$12</f>
        <v>0</v>
      </c>
      <c r="L20" s="982">
        <f>SUMIFS('9. Actuals SAP Extract'!$V:$V,'9. Actuals SAP Extract'!$P:$P,$B20,'9. Actuals SAP Extract'!$H:$H,$A20,'9. Actuals SAP Extract'!$W:$W,'Detailed Forecast vs Actuals'!L$11)</f>
        <v>0</v>
      </c>
      <c r="M20" s="291">
        <f>M21/M$12</f>
        <v>0</v>
      </c>
      <c r="N20" s="982">
        <f>SUMIFS('9. Actuals SAP Extract'!$V:$V,'9. Actuals SAP Extract'!$P:$P,$B20,'9. Actuals SAP Extract'!$H:$H,$A20,'9. Actuals SAP Extract'!$W:$W,'Detailed Forecast vs Actuals'!N$11)</f>
        <v>0</v>
      </c>
      <c r="O20" s="102">
        <f>O21/O$12</f>
        <v>0.60227272727272729</v>
      </c>
      <c r="P20" s="982">
        <v>15672</v>
      </c>
      <c r="Q20" s="291">
        <f>Q21/Q$12</f>
        <v>0.60227272727272729</v>
      </c>
      <c r="R20" s="982">
        <f>SUMIFS('9. Actuals SAP Extract'!$V:$V,'9. Actuals SAP Extract'!$P:$P,$B20,'9. Actuals SAP Extract'!$H:$H,$A20,'9. Actuals SAP Extract'!$W:$W,'Detailed Forecast vs Actuals'!R$11)</f>
        <v>0</v>
      </c>
      <c r="S20" s="102">
        <f>S21/S$12</f>
        <v>0.59523809523809523</v>
      </c>
      <c r="T20" s="982">
        <f>SUMIFS('9. Actuals SAP Extract'!$V:$V,'9. Actuals SAP Extract'!$P:$P,$B20,'9. Actuals SAP Extract'!$H:$H,$A20,'9. Actuals SAP Extract'!$W:$W,'Detailed Forecast vs Actuals'!T$11)</f>
        <v>0</v>
      </c>
      <c r="U20" s="291">
        <f>U21/U$12</f>
        <v>0.59782608695652173</v>
      </c>
      <c r="V20" s="982">
        <f>SUMIFS('9. Actuals SAP Extract'!$V:$V,'9. Actuals SAP Extract'!$P:$P,$B20,'9. Actuals SAP Extract'!$H:$H,$A20,'9. Actuals SAP Extract'!$W:$W,'Detailed Forecast vs Actuals'!V$11)</f>
        <v>0</v>
      </c>
      <c r="W20" s="102">
        <f>W21/W$12</f>
        <v>0.63095238095238093</v>
      </c>
      <c r="X20" s="982">
        <f>SUMIFS('9. Actuals SAP Extract'!$V:$V,'9. Actuals SAP Extract'!$P:$P,$B20,'9. Actuals SAP Extract'!$H:$H,$A20,'9. Actuals SAP Extract'!$W:$W,'Detailed Forecast vs Actuals'!X$11)</f>
        <v>0</v>
      </c>
      <c r="Y20" s="291">
        <f>Y21/Y$12</f>
        <v>0</v>
      </c>
      <c r="Z20" s="982">
        <f>SUMIFS('9. Actuals SAP Extract'!$V:$V,'9. Actuals SAP Extract'!$P:$P,$B20,'9. Actuals SAP Extract'!$H:$H,$A20,'9. Actuals SAP Extract'!$W:$W,'Detailed Forecast vs Actuals'!Z$11)</f>
        <v>0</v>
      </c>
      <c r="AA20" s="102">
        <f>AA21/AA$12</f>
        <v>0</v>
      </c>
      <c r="AB20" s="982">
        <f>SUMIFS('9. Actuals SAP Extract'!$V:$V,'9. Actuals SAP Extract'!$P:$P,$B20,'9. Actuals SAP Extract'!$H:$H,$A20,'9. Actuals SAP Extract'!$W:$W,'Detailed Forecast vs Actuals'!AB$11)</f>
        <v>0</v>
      </c>
      <c r="AC20" s="102">
        <f>AC21/AC$12</f>
        <v>0</v>
      </c>
      <c r="AD20" s="982">
        <f>SUMIFS('9. Actuals SAP Extract'!$V:$V,'9. Actuals SAP Extract'!$P:$P,$B20,'9. Actuals SAP Extract'!$H:$H,$A20,'9. Actuals SAP Extract'!$W:$W,'Detailed Forecast vs Actuals'!AD$11)</f>
        <v>0</v>
      </c>
      <c r="AE20" s="102">
        <f>AE21/AE$12</f>
        <v>0</v>
      </c>
      <c r="AF20" s="982">
        <f>SUMIFS('9. Actuals SAP Extract'!$V:$V,'9. Actuals SAP Extract'!$P:$P,$B20,'9. Actuals SAP Extract'!$H:$H,$A20,'9. Actuals SAP Extract'!$W:$W,'Detailed Forecast vs Actuals'!AF$11)</f>
        <v>1206.24</v>
      </c>
      <c r="AG20" s="291">
        <f>AG21/AG$12</f>
        <v>0</v>
      </c>
      <c r="AH20" s="982">
        <f>SUMIFS('9. Actuals SAP Extract'!$V:$V,'9. Actuals SAP Extract'!$P:$P,$B20,'9. Actuals SAP Extract'!$H:$H,$A20,'9. Actuals SAP Extract'!$W:$W,'Detailed Forecast vs Actuals'!AH$11)</f>
        <v>0</v>
      </c>
      <c r="AI20" s="102">
        <f>AI21/AI$12</f>
        <v>0</v>
      </c>
      <c r="AJ20" s="982">
        <f>SUMIFS('9. Actuals SAP Extract'!$V:$V,'9. Actuals SAP Extract'!$P:$P,$B20,'9. Actuals SAP Extract'!$H:$H,$A20,'9. Actuals SAP Extract'!$W:$W,'Detailed Forecast vs Actuals'!AJ$11)</f>
        <v>0</v>
      </c>
      <c r="AK20" s="102">
        <f>AK21/AK$12</f>
        <v>0</v>
      </c>
      <c r="AL20" s="982">
        <f>SUMIFS('9. Actuals SAP Extract'!$V:$V,'9. Actuals SAP Extract'!$P:$P,$B20,'9. Actuals SAP Extract'!$H:$H,$A20,'9. Actuals SAP Extract'!$W:$W,'Detailed Forecast vs Actuals'!AL$11)</f>
        <v>0</v>
      </c>
      <c r="AM20" s="102">
        <f>AM21/AM$12</f>
        <v>0</v>
      </c>
      <c r="AN20" s="982">
        <f>SUMIFS('9. Actuals SAP Extract'!$V:$V,'9. Actuals SAP Extract'!$P:$P,$B20,'9. Actuals SAP Extract'!$H:$H,$A20,'9. Actuals SAP Extract'!$W:$W,'Detailed Forecast vs Actuals'!AN$11)</f>
        <v>0</v>
      </c>
      <c r="AO20" s="102">
        <f>AO21/AO$12</f>
        <v>0</v>
      </c>
      <c r="AP20" s="982">
        <f>SUMIFS('9. Actuals SAP Extract'!$V:$V,'9. Actuals SAP Extract'!$P:$P,$B20,'9. Actuals SAP Extract'!$H:$H,$A20,'9. Actuals SAP Extract'!$W:$W,'Detailed Forecast vs Actuals'!AP$11)</f>
        <v>0</v>
      </c>
      <c r="AQ20" s="102">
        <f>AQ21/AQ$12</f>
        <v>0</v>
      </c>
      <c r="AR20" s="982"/>
      <c r="AS20" s="102">
        <f>AS21/AS$12</f>
        <v>0</v>
      </c>
      <c r="AT20" s="982"/>
      <c r="AU20" s="102">
        <f>AU21/AU$12</f>
        <v>0</v>
      </c>
      <c r="AV20" s="982"/>
      <c r="AW20" s="102">
        <f>AW21/AW$12</f>
        <v>0</v>
      </c>
      <c r="AX20" s="982"/>
      <c r="AY20" s="102">
        <f>AY21/AY$12</f>
        <v>0</v>
      </c>
      <c r="AZ20" s="982"/>
      <c r="BA20" s="102">
        <f>BA21/BA$12</f>
        <v>0</v>
      </c>
      <c r="BB20" s="982"/>
      <c r="BC20" s="102">
        <f>BC21/BC$12</f>
        <v>0</v>
      </c>
      <c r="BD20" s="982"/>
    </row>
    <row r="21" spans="1:56" ht="13.15" customHeight="1" x14ac:dyDescent="0.35">
      <c r="A21" s="995"/>
      <c r="B21" s="995"/>
      <c r="C21" s="998"/>
      <c r="D21" s="1001"/>
      <c r="E21" s="1010"/>
      <c r="F21" s="251"/>
      <c r="G21" s="292">
        <v>0</v>
      </c>
      <c r="H21" s="1007"/>
      <c r="I21" s="103">
        <v>0</v>
      </c>
      <c r="J21" s="983"/>
      <c r="K21" s="103">
        <v>0</v>
      </c>
      <c r="L21" s="983"/>
      <c r="M21" s="292">
        <v>0</v>
      </c>
      <c r="N21" s="983"/>
      <c r="O21" s="103">
        <v>106</v>
      </c>
      <c r="P21" s="983"/>
      <c r="Q21" s="103">
        <v>106</v>
      </c>
      <c r="R21" s="983"/>
      <c r="S21" s="103">
        <v>100</v>
      </c>
      <c r="T21" s="983"/>
      <c r="U21" s="103">
        <v>110</v>
      </c>
      <c r="V21" s="983"/>
      <c r="W21" s="103">
        <v>106</v>
      </c>
      <c r="X21" s="983"/>
      <c r="Y21" s="103">
        <v>0</v>
      </c>
      <c r="Z21" s="983"/>
      <c r="AA21" s="103">
        <v>0</v>
      </c>
      <c r="AB21" s="983"/>
      <c r="AC21" s="103">
        <v>0</v>
      </c>
      <c r="AD21" s="983"/>
      <c r="AE21" s="103">
        <v>0</v>
      </c>
      <c r="AF21" s="983"/>
      <c r="AG21" s="292">
        <v>0</v>
      </c>
      <c r="AH21" s="983"/>
      <c r="AI21" s="103">
        <v>0</v>
      </c>
      <c r="AJ21" s="983"/>
      <c r="AK21" s="103">
        <v>0</v>
      </c>
      <c r="AL21" s="983"/>
      <c r="AM21" s="103">
        <v>0</v>
      </c>
      <c r="AN21" s="983"/>
      <c r="AO21" s="103">
        <v>0</v>
      </c>
      <c r="AP21" s="983"/>
      <c r="AQ21" s="103">
        <v>0</v>
      </c>
      <c r="AR21" s="983"/>
      <c r="AS21" s="103">
        <v>0</v>
      </c>
      <c r="AT21" s="983"/>
      <c r="AU21" s="103">
        <v>0</v>
      </c>
      <c r="AV21" s="983"/>
      <c r="AW21" s="103">
        <v>0</v>
      </c>
      <c r="AX21" s="983"/>
      <c r="AY21" s="103">
        <v>0</v>
      </c>
      <c r="AZ21" s="983"/>
      <c r="BA21" s="103">
        <v>0</v>
      </c>
      <c r="BB21" s="983"/>
      <c r="BC21" s="103">
        <v>0</v>
      </c>
      <c r="BD21" s="983"/>
    </row>
    <row r="22" spans="1:56" ht="13.9" customHeight="1" thickBot="1" x14ac:dyDescent="0.4">
      <c r="A22" s="996"/>
      <c r="B22" s="996"/>
      <c r="C22" s="999"/>
      <c r="D22" s="1002"/>
      <c r="E22" s="1011"/>
      <c r="F22" s="252"/>
      <c r="G22" s="293">
        <f>$D20*G21</f>
        <v>0</v>
      </c>
      <c r="H22" s="1008"/>
      <c r="I22" s="104">
        <f>$D20*I21</f>
        <v>0</v>
      </c>
      <c r="J22" s="984"/>
      <c r="K22" s="104">
        <f>$D20*K21</f>
        <v>0</v>
      </c>
      <c r="L22" s="984"/>
      <c r="M22" s="293">
        <f>$D20*M21</f>
        <v>0</v>
      </c>
      <c r="N22" s="984"/>
      <c r="O22" s="104">
        <f>$D20*O21</f>
        <v>7991.34</v>
      </c>
      <c r="P22" s="984"/>
      <c r="Q22" s="293">
        <f>$D20*Q21</f>
        <v>7991.34</v>
      </c>
      <c r="R22" s="984"/>
      <c r="S22" s="104">
        <f>$D20*S21</f>
        <v>7539</v>
      </c>
      <c r="T22" s="984"/>
      <c r="U22" s="293">
        <f>$D20*U21</f>
        <v>8292.9</v>
      </c>
      <c r="V22" s="984"/>
      <c r="W22" s="104">
        <f>$D20*W21</f>
        <v>7991.34</v>
      </c>
      <c r="X22" s="984"/>
      <c r="Y22" s="293">
        <f>$D20*Y21</f>
        <v>0</v>
      </c>
      <c r="Z22" s="984"/>
      <c r="AA22" s="104">
        <f>$D20*AA21</f>
        <v>0</v>
      </c>
      <c r="AB22" s="984"/>
      <c r="AC22" s="104">
        <f>$D20*AC21</f>
        <v>0</v>
      </c>
      <c r="AD22" s="984"/>
      <c r="AE22" s="104">
        <f>$D20*AE21</f>
        <v>0</v>
      </c>
      <c r="AF22" s="984"/>
      <c r="AG22" s="293">
        <f>$D20*AG21</f>
        <v>0</v>
      </c>
      <c r="AH22" s="984"/>
      <c r="AI22" s="104">
        <f>$D20*AI21</f>
        <v>0</v>
      </c>
      <c r="AJ22" s="984"/>
      <c r="AK22" s="104">
        <f>$D20*AK21</f>
        <v>0</v>
      </c>
      <c r="AL22" s="984"/>
      <c r="AM22" s="104">
        <f>$D20*AM21</f>
        <v>0</v>
      </c>
      <c r="AN22" s="984"/>
      <c r="AO22" s="104">
        <f>$D20*AO21</f>
        <v>0</v>
      </c>
      <c r="AP22" s="984"/>
      <c r="AQ22" s="104">
        <f>$D20*AQ21</f>
        <v>0</v>
      </c>
      <c r="AR22" s="984"/>
      <c r="AS22" s="104">
        <f>$D20*AS21</f>
        <v>0</v>
      </c>
      <c r="AT22" s="984"/>
      <c r="AU22" s="104">
        <f>$D20*AU21</f>
        <v>0</v>
      </c>
      <c r="AV22" s="984"/>
      <c r="AW22" s="104">
        <f>$D20*AW21</f>
        <v>0</v>
      </c>
      <c r="AX22" s="984"/>
      <c r="AY22" s="104">
        <f>$D20*AY21</f>
        <v>0</v>
      </c>
      <c r="AZ22" s="984"/>
      <c r="BA22" s="104">
        <f>$D20*BA21</f>
        <v>0</v>
      </c>
      <c r="BB22" s="984"/>
      <c r="BC22" s="104">
        <f>$D20*BC21</f>
        <v>0</v>
      </c>
      <c r="BD22" s="984"/>
    </row>
    <row r="23" spans="1:56" ht="13.15" customHeight="1" x14ac:dyDescent="0.35">
      <c r="A23" s="994" t="s">
        <v>533</v>
      </c>
      <c r="B23" s="994" t="s">
        <v>522</v>
      </c>
      <c r="C23" s="997" t="s">
        <v>640</v>
      </c>
      <c r="D23" s="1000">
        <v>116.84</v>
      </c>
      <c r="E23" s="1009"/>
      <c r="F23" s="250"/>
      <c r="G23" s="291">
        <f>G24/G$12</f>
        <v>0</v>
      </c>
      <c r="H23" s="1006">
        <f>SUMIFS('9. Actuals SAP Extract'!$V:$V,'9. Actuals SAP Extract'!$P:$P,$B23,'9. Actuals SAP Extract'!$H:$H,$A23,'9. Actuals SAP Extract'!$W:$W,'Detailed Forecast vs Actuals'!H$11)</f>
        <v>12093.12</v>
      </c>
      <c r="I23" s="102">
        <f>I24/I$12</f>
        <v>0</v>
      </c>
      <c r="J23" s="982">
        <f>SUMIFS('9. Actuals SAP Extract'!$V:$V,'9. Actuals SAP Extract'!$P:$P,$B23,'9. Actuals SAP Extract'!$H:$H,$A23,'9. Actuals SAP Extract'!$W:$W,'Detailed Forecast vs Actuals'!J$11)</f>
        <v>13269.760000000002</v>
      </c>
      <c r="K23" s="102">
        <f>K24/K$12</f>
        <v>0</v>
      </c>
      <c r="L23" s="982">
        <f>SUMIFS('9. Actuals SAP Extract'!$V:$V,'9. Actuals SAP Extract'!$P:$P,$B23,'9. Actuals SAP Extract'!$H:$H,$A23,'9. Actuals SAP Extract'!$W:$W,'Detailed Forecast vs Actuals'!L$11)</f>
        <v>8144.4000000000005</v>
      </c>
      <c r="M23" s="291">
        <f>M24/M$12</f>
        <v>0</v>
      </c>
      <c r="N23" s="982">
        <f>SUMIFS('9. Actuals SAP Extract'!$V:$V,'9. Actuals SAP Extract'!$P:$P,$B23,'9. Actuals SAP Extract'!$H:$H,$A23,'9. Actuals SAP Extract'!$W:$W,'Detailed Forecast vs Actuals'!N$11)</f>
        <v>14067.599999999997</v>
      </c>
      <c r="O23" s="102">
        <f>O24/O$12</f>
        <v>0.60227272727272729</v>
      </c>
      <c r="P23" s="982">
        <v>15672</v>
      </c>
      <c r="Q23" s="291">
        <f>Q24/Q$12</f>
        <v>0.60227272727272729</v>
      </c>
      <c r="R23" s="982">
        <f>SUMIFS('9. Actuals SAP Extract'!$V:$V,'9. Actuals SAP Extract'!$P:$P,$B23,'9. Actuals SAP Extract'!$H:$H,$A23,'9. Actuals SAP Extract'!$W:$W,'Detailed Forecast vs Actuals'!R$11)</f>
        <v>1974.4000000000008</v>
      </c>
      <c r="S23" s="102">
        <f>S24/S$12</f>
        <v>0.59523809523809523</v>
      </c>
      <c r="T23" s="982">
        <f>SUMIFS('9. Actuals SAP Extract'!$V:$V,'9. Actuals SAP Extract'!$P:$P,$B23,'9. Actuals SAP Extract'!$H:$H,$A23,'9. Actuals SAP Extract'!$W:$W,'Detailed Forecast vs Actuals'!T$11)</f>
        <v>1604.2000000000005</v>
      </c>
      <c r="U23" s="291">
        <f>U24/U$12</f>
        <v>0.59782608695652173</v>
      </c>
      <c r="V23" s="982">
        <f>SUMIFS('9. Actuals SAP Extract'!$V:$V,'9. Actuals SAP Extract'!$P:$P,$B23,'9. Actuals SAP Extract'!$H:$H,$A23,'9. Actuals SAP Extract'!$W:$W,'Detailed Forecast vs Actuals'!V$11)</f>
        <v>0</v>
      </c>
      <c r="W23" s="102">
        <f>W24/W$12</f>
        <v>0.63095238095238093</v>
      </c>
      <c r="X23" s="982">
        <f>SUMIFS('9. Actuals SAP Extract'!$V:$V,'9. Actuals SAP Extract'!$P:$P,$B23,'9. Actuals SAP Extract'!$H:$H,$A23,'9. Actuals SAP Extract'!$W:$W,'Detailed Forecast vs Actuals'!X$11)</f>
        <v>0</v>
      </c>
      <c r="Y23" s="291">
        <f>Y24/Y$12</f>
        <v>0</v>
      </c>
      <c r="Z23" s="982">
        <f>SUMIFS('9. Actuals SAP Extract'!$V:$V,'9. Actuals SAP Extract'!$P:$P,$B23,'9. Actuals SAP Extract'!$H:$H,$A23,'9. Actuals SAP Extract'!$W:$W,'Detailed Forecast vs Actuals'!Z$11)</f>
        <v>0</v>
      </c>
      <c r="AA23" s="102">
        <f>AA24/AA$12</f>
        <v>0</v>
      </c>
      <c r="AB23" s="982">
        <f>SUMIFS('9. Actuals SAP Extract'!$V:$V,'9. Actuals SAP Extract'!$P:$P,$B23,'9. Actuals SAP Extract'!$H:$H,$A23,'9. Actuals SAP Extract'!$W:$W,'Detailed Forecast vs Actuals'!AB$11)</f>
        <v>0</v>
      </c>
      <c r="AC23" s="102">
        <f>AC24/AC$12</f>
        <v>0</v>
      </c>
      <c r="AD23" s="982">
        <f>SUMIFS('9. Actuals SAP Extract'!$V:$V,'9. Actuals SAP Extract'!$P:$P,$B23,'9. Actuals SAP Extract'!$H:$H,$A23,'9. Actuals SAP Extract'!$W:$W,'Detailed Forecast vs Actuals'!AD$11)</f>
        <v>0</v>
      </c>
      <c r="AE23" s="102">
        <f>AE24/AE$12</f>
        <v>0</v>
      </c>
      <c r="AF23" s="982">
        <f>SUMIFS('9. Actuals SAP Extract'!$V:$V,'9. Actuals SAP Extract'!$P:$P,$B23,'9. Actuals SAP Extract'!$H:$H,$A23,'9. Actuals SAP Extract'!$W:$W,'Detailed Forecast vs Actuals'!AF$11)</f>
        <v>0</v>
      </c>
      <c r="AG23" s="291">
        <f>AG24/AG$12</f>
        <v>0</v>
      </c>
      <c r="AH23" s="982">
        <f>SUMIFS('9. Actuals SAP Extract'!$V:$V,'9. Actuals SAP Extract'!$P:$P,$B23,'9. Actuals SAP Extract'!$H:$H,$A23,'9. Actuals SAP Extract'!$W:$W,'Detailed Forecast vs Actuals'!AH$11)</f>
        <v>0</v>
      </c>
      <c r="AI23" s="102">
        <f>AI24/AI$12</f>
        <v>0</v>
      </c>
      <c r="AJ23" s="982">
        <f>SUMIFS('9. Actuals SAP Extract'!$V:$V,'9. Actuals SAP Extract'!$P:$P,$B23,'9. Actuals SAP Extract'!$H:$H,$A23,'9. Actuals SAP Extract'!$W:$W,'Detailed Forecast vs Actuals'!AJ$11)</f>
        <v>0</v>
      </c>
      <c r="AK23" s="102">
        <f>AK24/AK$12</f>
        <v>0</v>
      </c>
      <c r="AL23" s="982">
        <f>SUMIFS('9. Actuals SAP Extract'!$V:$V,'9. Actuals SAP Extract'!$P:$P,$B23,'9. Actuals SAP Extract'!$H:$H,$A23,'9. Actuals SAP Extract'!$W:$W,'Detailed Forecast vs Actuals'!AL$11)</f>
        <v>0</v>
      </c>
      <c r="AM23" s="102">
        <f>AM24/AM$12</f>
        <v>0</v>
      </c>
      <c r="AN23" s="982">
        <f>SUMIFS('9. Actuals SAP Extract'!$V:$V,'9. Actuals SAP Extract'!$P:$P,$B23,'9. Actuals SAP Extract'!$H:$H,$A23,'9. Actuals SAP Extract'!$W:$W,'Detailed Forecast vs Actuals'!AN$11)</f>
        <v>0</v>
      </c>
      <c r="AO23" s="102">
        <f>AO24/AO$12</f>
        <v>0</v>
      </c>
      <c r="AP23" s="982">
        <f>SUMIFS('9. Actuals SAP Extract'!$V:$V,'9. Actuals SAP Extract'!$P:$P,$B23,'9. Actuals SAP Extract'!$H:$H,$A23,'9. Actuals SAP Extract'!$W:$W,'Detailed Forecast vs Actuals'!AP$11)</f>
        <v>0</v>
      </c>
      <c r="AQ23" s="102">
        <f>AQ24/AQ$12</f>
        <v>0</v>
      </c>
      <c r="AR23" s="982"/>
      <c r="AS23" s="102">
        <f>AS24/AS$12</f>
        <v>0</v>
      </c>
      <c r="AT23" s="982"/>
      <c r="AU23" s="102">
        <f>AU24/AU$12</f>
        <v>0</v>
      </c>
      <c r="AV23" s="982"/>
      <c r="AW23" s="102">
        <f>AW24/AW$12</f>
        <v>0</v>
      </c>
      <c r="AX23" s="982"/>
      <c r="AY23" s="102">
        <f>AY24/AY$12</f>
        <v>0</v>
      </c>
      <c r="AZ23" s="982"/>
      <c r="BA23" s="102">
        <f>BA24/BA$12</f>
        <v>0</v>
      </c>
      <c r="BB23" s="982"/>
      <c r="BC23" s="102">
        <f>BC24/BC$12</f>
        <v>0</v>
      </c>
      <c r="BD23" s="982"/>
    </row>
    <row r="24" spans="1:56" ht="13.15" customHeight="1" x14ac:dyDescent="0.35">
      <c r="A24" s="995"/>
      <c r="B24" s="995"/>
      <c r="C24" s="998"/>
      <c r="D24" s="1001"/>
      <c r="E24" s="1010"/>
      <c r="F24" s="251"/>
      <c r="G24" s="292">
        <v>0</v>
      </c>
      <c r="H24" s="1007"/>
      <c r="I24" s="103">
        <v>0</v>
      </c>
      <c r="J24" s="983"/>
      <c r="K24" s="103">
        <v>0</v>
      </c>
      <c r="L24" s="983"/>
      <c r="M24" s="292">
        <v>0</v>
      </c>
      <c r="N24" s="983"/>
      <c r="O24" s="103">
        <v>106</v>
      </c>
      <c r="P24" s="983"/>
      <c r="Q24" s="103">
        <v>106</v>
      </c>
      <c r="R24" s="983"/>
      <c r="S24" s="103">
        <v>100</v>
      </c>
      <c r="T24" s="983"/>
      <c r="U24" s="103">
        <v>110</v>
      </c>
      <c r="V24" s="983"/>
      <c r="W24" s="103">
        <v>106</v>
      </c>
      <c r="X24" s="983"/>
      <c r="Y24" s="103">
        <v>0</v>
      </c>
      <c r="Z24" s="983"/>
      <c r="AA24" s="103">
        <v>0</v>
      </c>
      <c r="AB24" s="983"/>
      <c r="AC24" s="103">
        <v>0</v>
      </c>
      <c r="AD24" s="983"/>
      <c r="AE24" s="103">
        <v>0</v>
      </c>
      <c r="AF24" s="983"/>
      <c r="AG24" s="292">
        <v>0</v>
      </c>
      <c r="AH24" s="983"/>
      <c r="AI24" s="103">
        <v>0</v>
      </c>
      <c r="AJ24" s="983"/>
      <c r="AK24" s="103">
        <v>0</v>
      </c>
      <c r="AL24" s="983"/>
      <c r="AM24" s="103">
        <v>0</v>
      </c>
      <c r="AN24" s="983"/>
      <c r="AO24" s="103">
        <v>0</v>
      </c>
      <c r="AP24" s="983"/>
      <c r="AQ24" s="103">
        <v>0</v>
      </c>
      <c r="AR24" s="983"/>
      <c r="AS24" s="103">
        <v>0</v>
      </c>
      <c r="AT24" s="983"/>
      <c r="AU24" s="103">
        <v>0</v>
      </c>
      <c r="AV24" s="983"/>
      <c r="AW24" s="103">
        <v>0</v>
      </c>
      <c r="AX24" s="983"/>
      <c r="AY24" s="103">
        <v>0</v>
      </c>
      <c r="AZ24" s="983"/>
      <c r="BA24" s="103">
        <v>0</v>
      </c>
      <c r="BB24" s="983"/>
      <c r="BC24" s="103">
        <v>0</v>
      </c>
      <c r="BD24" s="983"/>
    </row>
    <row r="25" spans="1:56" ht="13.9" customHeight="1" thickBot="1" x14ac:dyDescent="0.4">
      <c r="A25" s="996"/>
      <c r="B25" s="996"/>
      <c r="C25" s="999"/>
      <c r="D25" s="1002"/>
      <c r="E25" s="1011"/>
      <c r="F25" s="252"/>
      <c r="G25" s="293">
        <f>$D23*G24</f>
        <v>0</v>
      </c>
      <c r="H25" s="1008"/>
      <c r="I25" s="104">
        <f>$D23*I24</f>
        <v>0</v>
      </c>
      <c r="J25" s="984"/>
      <c r="K25" s="104">
        <f>$D23*K24</f>
        <v>0</v>
      </c>
      <c r="L25" s="984"/>
      <c r="M25" s="293">
        <f>$D23*M24</f>
        <v>0</v>
      </c>
      <c r="N25" s="984"/>
      <c r="O25" s="104">
        <f>$D23*O24</f>
        <v>12385.04</v>
      </c>
      <c r="P25" s="984"/>
      <c r="Q25" s="293">
        <f>$D23*Q24</f>
        <v>12385.04</v>
      </c>
      <c r="R25" s="984"/>
      <c r="S25" s="104">
        <f>$D23*S24</f>
        <v>11684</v>
      </c>
      <c r="T25" s="984"/>
      <c r="U25" s="293">
        <f>$D23*U24</f>
        <v>12852.4</v>
      </c>
      <c r="V25" s="984"/>
      <c r="W25" s="104">
        <f>$D23*W24</f>
        <v>12385.04</v>
      </c>
      <c r="X25" s="984"/>
      <c r="Y25" s="293">
        <f>$D23*Y24</f>
        <v>0</v>
      </c>
      <c r="Z25" s="984"/>
      <c r="AA25" s="104">
        <f>$D23*AA24</f>
        <v>0</v>
      </c>
      <c r="AB25" s="984"/>
      <c r="AC25" s="104">
        <f>$D23*AC24</f>
        <v>0</v>
      </c>
      <c r="AD25" s="984"/>
      <c r="AE25" s="104">
        <f>$D23*AE24</f>
        <v>0</v>
      </c>
      <c r="AF25" s="984"/>
      <c r="AG25" s="293">
        <f>$D23*AG24</f>
        <v>0</v>
      </c>
      <c r="AH25" s="984"/>
      <c r="AI25" s="104">
        <f>$D23*AI24</f>
        <v>0</v>
      </c>
      <c r="AJ25" s="984"/>
      <c r="AK25" s="104">
        <f>$D23*AK24</f>
        <v>0</v>
      </c>
      <c r="AL25" s="984"/>
      <c r="AM25" s="104">
        <f>$D23*AM24</f>
        <v>0</v>
      </c>
      <c r="AN25" s="984"/>
      <c r="AO25" s="104">
        <f>$D23*AO24</f>
        <v>0</v>
      </c>
      <c r="AP25" s="984"/>
      <c r="AQ25" s="104">
        <f>$D23*AQ24</f>
        <v>0</v>
      </c>
      <c r="AR25" s="984"/>
      <c r="AS25" s="104">
        <f>$D23*AS24</f>
        <v>0</v>
      </c>
      <c r="AT25" s="984"/>
      <c r="AU25" s="104">
        <f>$D23*AU24</f>
        <v>0</v>
      </c>
      <c r="AV25" s="984"/>
      <c r="AW25" s="104">
        <f>$D23*AW24</f>
        <v>0</v>
      </c>
      <c r="AX25" s="984"/>
      <c r="AY25" s="104">
        <f>$D23*AY24</f>
        <v>0</v>
      </c>
      <c r="AZ25" s="984"/>
      <c r="BA25" s="104">
        <f>$D23*BA24</f>
        <v>0</v>
      </c>
      <c r="BB25" s="984"/>
      <c r="BC25" s="104">
        <f>$D23*BC24</f>
        <v>0</v>
      </c>
      <c r="BD25" s="984"/>
    </row>
    <row r="26" spans="1:56" ht="13.15" customHeight="1" x14ac:dyDescent="0.35">
      <c r="A26" s="994" t="s">
        <v>618</v>
      </c>
      <c r="B26" s="994" t="s">
        <v>522</v>
      </c>
      <c r="C26" s="997" t="s">
        <v>615</v>
      </c>
      <c r="D26" s="1000">
        <v>65.08</v>
      </c>
      <c r="E26" s="488"/>
      <c r="F26" s="250"/>
      <c r="G26" s="291">
        <f>G27/G$12</f>
        <v>0</v>
      </c>
      <c r="H26" s="1006">
        <f>SUMIFS('9. Actuals SAP Extract'!$V:$V,'9. Actuals SAP Extract'!$H:$H,$A26,'9. Actuals SAP Extract'!$P:$P,$B26,'9. Actuals SAP Extract'!$W:$W,H$11)</f>
        <v>0</v>
      </c>
      <c r="I26" s="102">
        <f>I27/I$12</f>
        <v>0</v>
      </c>
      <c r="J26" s="982">
        <f>SUMIFS('9. Actuals SAP Extract'!$V:$V,'9. Actuals SAP Extract'!$H:$H,$A26,'9. Actuals SAP Extract'!$P:$P,$B26,'9. Actuals SAP Extract'!$W:$W,J$11)</f>
        <v>0</v>
      </c>
      <c r="K26" s="102">
        <f>K27/K$12</f>
        <v>0</v>
      </c>
      <c r="L26" s="982">
        <f>SUMIFS('9. Actuals SAP Extract'!$V:$V,'9. Actuals SAP Extract'!$P:$P,$B26,'9. Actuals SAP Extract'!$H:$H,$A26,'9. Actuals SAP Extract'!$W:$W,'Detailed Forecast vs Actuals'!L$11)</f>
        <v>520.64</v>
      </c>
      <c r="M26" s="291">
        <f>M27/M$12</f>
        <v>0</v>
      </c>
      <c r="N26" s="982">
        <f>SUMIFS('9. Actuals SAP Extract'!$V:$V,'9. Actuals SAP Extract'!$H:$H,$A26,'9. Actuals SAP Extract'!$P:$P,$B26,'9. Actuals SAP Extract'!$W:$W,N$11)</f>
        <v>0</v>
      </c>
      <c r="O26" s="102">
        <f>O27/O$12</f>
        <v>0</v>
      </c>
      <c r="P26" s="982">
        <f>SUMIFS('9. Actuals SAP Extract'!$V:$V,'9. Actuals SAP Extract'!$P:$P,$B26,'9. Actuals SAP Extract'!$H:$H,$A26,'9. Actuals SAP Extract'!$W:$W,'Detailed Forecast vs Actuals'!P$11)</f>
        <v>0</v>
      </c>
      <c r="Q26" s="291">
        <f>Q27/Q$12</f>
        <v>0</v>
      </c>
      <c r="R26" s="982">
        <f>SUMIFS('9. Actuals SAP Extract'!$V:$V,'9. Actuals SAP Extract'!$H:$H,$A26,'9. Actuals SAP Extract'!$P:$P,$B26,'9. Actuals SAP Extract'!$W:$W,R$11)</f>
        <v>0</v>
      </c>
      <c r="S26" s="102">
        <f>S27/S$12</f>
        <v>0</v>
      </c>
      <c r="T26" s="982"/>
      <c r="U26" s="291">
        <f>U27/U$12</f>
        <v>0</v>
      </c>
      <c r="V26" s="982">
        <f>SUMIFS('9. Actuals SAP Extract'!$V:$V,'9. Actuals SAP Extract'!$H:$H,$A26,'9. Actuals SAP Extract'!$P:$P,$B26,'9. Actuals SAP Extract'!$W:$W,V$11)</f>
        <v>0</v>
      </c>
      <c r="W26" s="102">
        <f>W27/W$12</f>
        <v>0</v>
      </c>
      <c r="X26" s="982">
        <f>SUMIFS('9. Actuals SAP Extract'!$V:$V,'9. Actuals SAP Extract'!$P:$P,$B26,'9. Actuals SAP Extract'!$H:$H,$A26,'9. Actuals SAP Extract'!$W:$W,'Detailed Forecast vs Actuals'!X$11)</f>
        <v>0</v>
      </c>
      <c r="Y26" s="291">
        <f>Y27/Y$12</f>
        <v>0</v>
      </c>
      <c r="Z26" s="982">
        <f>SUMIFS('9. Actuals SAP Extract'!$V:$V,'9. Actuals SAP Extract'!$H:$H,$A26,'9. Actuals SAP Extract'!$P:$P,$B26,'9. Actuals SAP Extract'!$W:$W,Z$11)</f>
        <v>0</v>
      </c>
      <c r="AA26" s="102">
        <f>AA27/AA$12</f>
        <v>0</v>
      </c>
      <c r="AB26" s="982">
        <f>SUMIFS('9. Actuals SAP Extract'!$V:$V,'9. Actuals SAP Extract'!$P:$P,$B26,'9. Actuals SAP Extract'!$H:$H,$A26,'9. Actuals SAP Extract'!$W:$W,'Detailed Forecast vs Actuals'!AB$11)</f>
        <v>0</v>
      </c>
      <c r="AC26" s="102">
        <f>AC27/AC$12</f>
        <v>0</v>
      </c>
      <c r="AD26" s="982">
        <f>SUMIFS('9. Actuals SAP Extract'!$V:$V,'9. Actuals SAP Extract'!$P:$P,$B26,'9. Actuals SAP Extract'!$H:$H,$A26,'9. Actuals SAP Extract'!$W:$W,'Detailed Forecast vs Actuals'!AD$11)</f>
        <v>0</v>
      </c>
      <c r="AE26" s="102">
        <f>AE27/AE$12</f>
        <v>0</v>
      </c>
      <c r="AF26" s="982">
        <f>SUMIFS('9. Actuals SAP Extract'!$V:$V,'9. Actuals SAP Extract'!$P:$P,$B26,'9. Actuals SAP Extract'!$H:$H,$A26,'9. Actuals SAP Extract'!$W:$W,'Detailed Forecast vs Actuals'!AF$11)</f>
        <v>0</v>
      </c>
      <c r="AG26" s="291">
        <f>AG27/AG$12</f>
        <v>0</v>
      </c>
      <c r="AH26" s="982">
        <f>SUMIFS('9. Actuals SAP Extract'!$V:$V,'9. Actuals SAP Extract'!$P:$P,$B26,'9. Actuals SAP Extract'!$H:$H,$A26,'9. Actuals SAP Extract'!$W:$W,'Detailed Forecast vs Actuals'!AH$11)</f>
        <v>0</v>
      </c>
      <c r="AI26" s="102">
        <f>AI27/AI$12</f>
        <v>0</v>
      </c>
      <c r="AJ26" s="982">
        <f>SUMIFS('9. Actuals SAP Extract'!$V:$V,'9. Actuals SAP Extract'!$P:$P,$B26,'9. Actuals SAP Extract'!$H:$H,$A26,'9. Actuals SAP Extract'!$W:$W,'Detailed Forecast vs Actuals'!AJ$11)</f>
        <v>0</v>
      </c>
      <c r="AK26" s="102">
        <f>AK27/AK$12</f>
        <v>0</v>
      </c>
      <c r="AL26" s="982">
        <f>SUMIFS('9. Actuals SAP Extract'!$V:$V,'9. Actuals SAP Extract'!$P:$P,$B26,'9. Actuals SAP Extract'!$H:$H,$A26,'9. Actuals SAP Extract'!$W:$W,'Detailed Forecast vs Actuals'!AL$11)</f>
        <v>0</v>
      </c>
      <c r="AM26" s="102">
        <f>AM27/AM$12</f>
        <v>0</v>
      </c>
      <c r="AN26" s="982">
        <f>SUMIFS('9. Actuals SAP Extract'!$V:$V,'9. Actuals SAP Extract'!$P:$P,$B26,'9. Actuals SAP Extract'!$H:$H,$A26,'9. Actuals SAP Extract'!$W:$W,'Detailed Forecast vs Actuals'!AN$11)</f>
        <v>0</v>
      </c>
      <c r="AO26" s="102">
        <f>AO27/AO$12</f>
        <v>0</v>
      </c>
      <c r="AP26" s="982">
        <f>SUMIFS('9. Actuals SAP Extract'!$V:$V,'9. Actuals SAP Extract'!$P:$P,$B26,'9. Actuals SAP Extract'!$H:$H,$A26,'9. Actuals SAP Extract'!$W:$W,'Detailed Forecast vs Actuals'!AP$11)</f>
        <v>0</v>
      </c>
      <c r="AQ26" s="102">
        <f>AQ27/AQ$12</f>
        <v>0</v>
      </c>
      <c r="AR26" s="982"/>
      <c r="AS26" s="102">
        <f>AS27/AS$12</f>
        <v>0</v>
      </c>
      <c r="AT26" s="982"/>
      <c r="AU26" s="102">
        <f>AU27/AU$12</f>
        <v>0</v>
      </c>
      <c r="AV26" s="982"/>
      <c r="AW26" s="102">
        <f>AW27/AW$12</f>
        <v>0</v>
      </c>
      <c r="AX26" s="982"/>
      <c r="AY26" s="102">
        <f>AY27/AY$12</f>
        <v>0</v>
      </c>
      <c r="AZ26" s="982"/>
      <c r="BA26" s="102">
        <f>BA27/BA$12</f>
        <v>0</v>
      </c>
      <c r="BB26" s="982"/>
      <c r="BC26" s="102">
        <f>BC27/BC$12</f>
        <v>0</v>
      </c>
      <c r="BD26" s="982"/>
    </row>
    <row r="27" spans="1:56" ht="13.15" customHeight="1" x14ac:dyDescent="0.35">
      <c r="A27" s="995"/>
      <c r="B27" s="995"/>
      <c r="C27" s="998"/>
      <c r="D27" s="1001"/>
      <c r="E27" s="489"/>
      <c r="F27" s="251"/>
      <c r="G27" s="292">
        <v>0</v>
      </c>
      <c r="H27" s="1007"/>
      <c r="I27" s="103">
        <v>0</v>
      </c>
      <c r="J27" s="983"/>
      <c r="K27" s="103">
        <v>0</v>
      </c>
      <c r="L27" s="983"/>
      <c r="M27" s="292">
        <v>0</v>
      </c>
      <c r="N27" s="983"/>
      <c r="O27" s="103">
        <v>0</v>
      </c>
      <c r="P27" s="983"/>
      <c r="Q27" s="292">
        <v>0</v>
      </c>
      <c r="R27" s="983"/>
      <c r="S27" s="103">
        <v>0</v>
      </c>
      <c r="T27" s="983"/>
      <c r="U27" s="292">
        <v>0</v>
      </c>
      <c r="V27" s="983"/>
      <c r="W27" s="103">
        <v>0</v>
      </c>
      <c r="X27" s="983"/>
      <c r="Y27" s="292">
        <v>0</v>
      </c>
      <c r="Z27" s="983"/>
      <c r="AA27" s="292">
        <v>0</v>
      </c>
      <c r="AB27" s="983"/>
      <c r="AC27" s="292">
        <v>0</v>
      </c>
      <c r="AD27" s="983"/>
      <c r="AE27" s="103">
        <v>0</v>
      </c>
      <c r="AF27" s="983"/>
      <c r="AG27" s="292">
        <v>0</v>
      </c>
      <c r="AH27" s="983"/>
      <c r="AI27" s="103">
        <v>0</v>
      </c>
      <c r="AJ27" s="983"/>
      <c r="AK27" s="103">
        <v>0</v>
      </c>
      <c r="AL27" s="983"/>
      <c r="AM27" s="103">
        <v>0</v>
      </c>
      <c r="AN27" s="983"/>
      <c r="AO27" s="103">
        <v>0</v>
      </c>
      <c r="AP27" s="983"/>
      <c r="AQ27" s="103">
        <v>0</v>
      </c>
      <c r="AR27" s="983"/>
      <c r="AS27" s="103">
        <v>0</v>
      </c>
      <c r="AT27" s="983"/>
      <c r="AU27" s="103">
        <v>0</v>
      </c>
      <c r="AV27" s="983"/>
      <c r="AW27" s="103">
        <v>0</v>
      </c>
      <c r="AX27" s="983"/>
      <c r="AY27" s="103">
        <v>0</v>
      </c>
      <c r="AZ27" s="983"/>
      <c r="BA27" s="103">
        <v>0</v>
      </c>
      <c r="BB27" s="983"/>
      <c r="BC27" s="103">
        <v>0</v>
      </c>
      <c r="BD27" s="983"/>
    </row>
    <row r="28" spans="1:56" ht="13.9" customHeight="1" thickBot="1" x14ac:dyDescent="0.4">
      <c r="A28" s="996"/>
      <c r="B28" s="996"/>
      <c r="C28" s="999"/>
      <c r="D28" s="1002"/>
      <c r="E28" s="489"/>
      <c r="F28" s="252"/>
      <c r="G28" s="293">
        <f>$D26*G27</f>
        <v>0</v>
      </c>
      <c r="H28" s="1008"/>
      <c r="I28" s="104">
        <f>$D26*I27</f>
        <v>0</v>
      </c>
      <c r="J28" s="984"/>
      <c r="K28" s="104">
        <f>$D26*K27</f>
        <v>0</v>
      </c>
      <c r="L28" s="984"/>
      <c r="M28" s="293">
        <f>$D26*M27</f>
        <v>0</v>
      </c>
      <c r="N28" s="984"/>
      <c r="O28" s="104">
        <f>$D26*O27</f>
        <v>0</v>
      </c>
      <c r="P28" s="984"/>
      <c r="Q28" s="293">
        <f>$D26*Q27</f>
        <v>0</v>
      </c>
      <c r="R28" s="984"/>
      <c r="S28" s="104">
        <f>$D26*S27</f>
        <v>0</v>
      </c>
      <c r="T28" s="984"/>
      <c r="U28" s="293">
        <f>$D26*U27</f>
        <v>0</v>
      </c>
      <c r="V28" s="984"/>
      <c r="W28" s="104">
        <f>$D26*W27</f>
        <v>0</v>
      </c>
      <c r="X28" s="984"/>
      <c r="Y28" s="293">
        <f>$D26*Y27</f>
        <v>0</v>
      </c>
      <c r="Z28" s="984"/>
      <c r="AA28" s="104">
        <f>$D26*AA27</f>
        <v>0</v>
      </c>
      <c r="AB28" s="984"/>
      <c r="AC28" s="104">
        <f>$D26*AC27</f>
        <v>0</v>
      </c>
      <c r="AD28" s="984"/>
      <c r="AE28" s="104">
        <f>$D26*AE27</f>
        <v>0</v>
      </c>
      <c r="AF28" s="984"/>
      <c r="AG28" s="293">
        <f>$D26*AG27</f>
        <v>0</v>
      </c>
      <c r="AH28" s="984"/>
      <c r="AI28" s="104">
        <f>$D26*AI27</f>
        <v>0</v>
      </c>
      <c r="AJ28" s="984"/>
      <c r="AK28" s="104">
        <f>$D26*AK27</f>
        <v>0</v>
      </c>
      <c r="AL28" s="984"/>
      <c r="AM28" s="104">
        <f>$D26*AM27</f>
        <v>0</v>
      </c>
      <c r="AN28" s="984"/>
      <c r="AO28" s="104">
        <f>$D26*AO27</f>
        <v>0</v>
      </c>
      <c r="AP28" s="984"/>
      <c r="AQ28" s="104">
        <f>$D26*AQ27</f>
        <v>0</v>
      </c>
      <c r="AR28" s="984"/>
      <c r="AS28" s="104">
        <f>$D26*AS27</f>
        <v>0</v>
      </c>
      <c r="AT28" s="984"/>
      <c r="AU28" s="104">
        <f>$D26*AU27</f>
        <v>0</v>
      </c>
      <c r="AV28" s="984"/>
      <c r="AW28" s="104">
        <f>$D26*AW27</f>
        <v>0</v>
      </c>
      <c r="AX28" s="984"/>
      <c r="AY28" s="104">
        <f>$D26*AY27</f>
        <v>0</v>
      </c>
      <c r="AZ28" s="984"/>
      <c r="BA28" s="104">
        <f>$D26*BA27</f>
        <v>0</v>
      </c>
      <c r="BB28" s="984"/>
      <c r="BC28" s="104">
        <f>$D26*BC27</f>
        <v>0</v>
      </c>
      <c r="BD28" s="984"/>
    </row>
    <row r="29" spans="1:56" ht="13.15" customHeight="1" x14ac:dyDescent="0.35">
      <c r="A29" s="994" t="s">
        <v>630</v>
      </c>
      <c r="B29" s="994" t="s">
        <v>522</v>
      </c>
      <c r="C29" s="997" t="s">
        <v>627</v>
      </c>
      <c r="D29" s="1000">
        <v>83.831999999999994</v>
      </c>
      <c r="E29" s="488"/>
      <c r="F29" s="250"/>
      <c r="G29" s="291">
        <f>G30/G$12</f>
        <v>0</v>
      </c>
      <c r="H29" s="1006">
        <f>SUMIFS('9. Actuals SAP Extract'!$V:$V,'9. Actuals SAP Extract'!$H:$H,$A29,'9. Actuals SAP Extract'!$P:$P,$B29,'9. Actuals SAP Extract'!$W:$W,H$11)</f>
        <v>0</v>
      </c>
      <c r="I29" s="102">
        <f>I30/I$12</f>
        <v>0</v>
      </c>
      <c r="J29" s="982">
        <f>SUMIFS('9. Actuals SAP Extract'!$V:$V,'9. Actuals SAP Extract'!$H:$H,$A29,'9. Actuals SAP Extract'!$P:$P,$B29,'9. Actuals SAP Extract'!$W:$W,J$11)</f>
        <v>0</v>
      </c>
      <c r="K29" s="102">
        <f>K30/K$12</f>
        <v>0</v>
      </c>
      <c r="L29" s="982">
        <f>SUMIFS('9. Actuals SAP Extract'!$V:$V,'9. Actuals SAP Extract'!$P:$P,$B29,'9. Actuals SAP Extract'!$H:$H,$A29,'9. Actuals SAP Extract'!$W:$W,'Detailed Forecast vs Actuals'!L$11)</f>
        <v>209.58</v>
      </c>
      <c r="M29" s="291">
        <f>M30/M$12</f>
        <v>0</v>
      </c>
      <c r="N29" s="982">
        <f>SUMIFS('9. Actuals SAP Extract'!$V:$V,'9. Actuals SAP Extract'!$H:$H,$A29,'9. Actuals SAP Extract'!$P:$P,$B29,'9. Actuals SAP Extract'!$W:$W,N$11)</f>
        <v>0</v>
      </c>
      <c r="O29" s="102">
        <f>O30/O$12</f>
        <v>0</v>
      </c>
      <c r="P29" s="982">
        <f>SUMIFS('9. Actuals SAP Extract'!$V:$V,'9. Actuals SAP Extract'!$P:$P,$B29,'9. Actuals SAP Extract'!$H:$H,$A29,'9. Actuals SAP Extract'!$W:$W,'Detailed Forecast vs Actuals'!P$11)</f>
        <v>0</v>
      </c>
      <c r="Q29" s="291">
        <f>Q30/Q$12</f>
        <v>0</v>
      </c>
      <c r="R29" s="982">
        <f>SUMIFS('9. Actuals SAP Extract'!$V:$V,'9. Actuals SAP Extract'!$H:$H,$A29,'9. Actuals SAP Extract'!$P:$P,$B29,'9. Actuals SAP Extract'!$W:$W,R$11)</f>
        <v>0</v>
      </c>
      <c r="S29" s="102">
        <f>S30/S$12</f>
        <v>0</v>
      </c>
      <c r="T29" s="982"/>
      <c r="U29" s="291">
        <f>U30/U$12</f>
        <v>0</v>
      </c>
      <c r="V29" s="982">
        <f>SUMIFS('9. Actuals SAP Extract'!$V:$V,'9. Actuals SAP Extract'!$H:$H,$A29,'9. Actuals SAP Extract'!$P:$P,$B29,'9. Actuals SAP Extract'!$W:$W,V$11)</f>
        <v>0</v>
      </c>
      <c r="W29" s="102">
        <f>W30/W$12</f>
        <v>0</v>
      </c>
      <c r="X29" s="982">
        <f>SUMIFS('9. Actuals SAP Extract'!$V:$V,'9. Actuals SAP Extract'!$P:$P,$B29,'9. Actuals SAP Extract'!$H:$H,$A29,'9. Actuals SAP Extract'!$W:$W,'Detailed Forecast vs Actuals'!X$11)</f>
        <v>0</v>
      </c>
      <c r="Y29" s="291">
        <f>Y30/Y$12</f>
        <v>0</v>
      </c>
      <c r="Z29" s="982">
        <f>SUMIFS('9. Actuals SAP Extract'!$V:$V,'9. Actuals SAP Extract'!$H:$H,$A29,'9. Actuals SAP Extract'!$P:$P,$B29,'9. Actuals SAP Extract'!$W:$W,Z$11)</f>
        <v>0</v>
      </c>
      <c r="AA29" s="102">
        <f>AA30/AA$12</f>
        <v>0</v>
      </c>
      <c r="AB29" s="982">
        <f>SUMIFS('9. Actuals SAP Extract'!$V:$V,'9. Actuals SAP Extract'!$P:$P,$B29,'9. Actuals SAP Extract'!$H:$H,$A29,'9. Actuals SAP Extract'!$W:$W,'Detailed Forecast vs Actuals'!AB$11)</f>
        <v>0</v>
      </c>
      <c r="AC29" s="102">
        <f>AC30/AC$12</f>
        <v>0</v>
      </c>
      <c r="AD29" s="982">
        <f>SUMIFS('9. Actuals SAP Extract'!$V:$V,'9. Actuals SAP Extract'!$P:$P,$B29,'9. Actuals SAP Extract'!$H:$H,$A29,'9. Actuals SAP Extract'!$W:$W,'Detailed Forecast vs Actuals'!AD$11)</f>
        <v>0</v>
      </c>
      <c r="AE29" s="102">
        <f>AE30/AE$12</f>
        <v>0</v>
      </c>
      <c r="AF29" s="982">
        <f>SUMIFS('9. Actuals SAP Extract'!$V:$V,'9. Actuals SAP Extract'!$P:$P,$B29,'9. Actuals SAP Extract'!$H:$H,$A29,'9. Actuals SAP Extract'!$W:$W,'Detailed Forecast vs Actuals'!AF$11)</f>
        <v>0</v>
      </c>
      <c r="AG29" s="291">
        <f>AG30/AG$12</f>
        <v>0</v>
      </c>
      <c r="AH29" s="982">
        <f>SUMIFS('9. Actuals SAP Extract'!$V:$V,'9. Actuals SAP Extract'!$P:$P,$B29,'9. Actuals SAP Extract'!$H:$H,$A29,'9. Actuals SAP Extract'!$W:$W,'Detailed Forecast vs Actuals'!AH$11)</f>
        <v>0</v>
      </c>
      <c r="AI29" s="102">
        <f>AI30/AI$12</f>
        <v>0</v>
      </c>
      <c r="AJ29" s="982">
        <f>SUMIFS('9. Actuals SAP Extract'!$V:$V,'9. Actuals SAP Extract'!$P:$P,$B29,'9. Actuals SAP Extract'!$H:$H,$A29,'9. Actuals SAP Extract'!$W:$W,'Detailed Forecast vs Actuals'!AJ$11)</f>
        <v>0</v>
      </c>
      <c r="AK29" s="102">
        <f>AK30/AK$12</f>
        <v>0</v>
      </c>
      <c r="AL29" s="982">
        <f>SUMIFS('9. Actuals SAP Extract'!$V:$V,'9. Actuals SAP Extract'!$P:$P,$B29,'9. Actuals SAP Extract'!$H:$H,$A29,'9. Actuals SAP Extract'!$W:$W,'Detailed Forecast vs Actuals'!AL$11)</f>
        <v>0</v>
      </c>
      <c r="AM29" s="102">
        <f>AM30/AM$12</f>
        <v>0</v>
      </c>
      <c r="AN29" s="982">
        <f>SUMIFS('9. Actuals SAP Extract'!$V:$V,'9. Actuals SAP Extract'!$P:$P,$B29,'9. Actuals SAP Extract'!$H:$H,$A29,'9. Actuals SAP Extract'!$W:$W,'Detailed Forecast vs Actuals'!AN$11)</f>
        <v>0</v>
      </c>
      <c r="AO29" s="102">
        <f>AO30/AO$12</f>
        <v>0</v>
      </c>
      <c r="AP29" s="982">
        <f>SUMIFS('9. Actuals SAP Extract'!$V:$V,'9. Actuals SAP Extract'!$P:$P,$B29,'9. Actuals SAP Extract'!$H:$H,$A29,'9. Actuals SAP Extract'!$W:$W,'Detailed Forecast vs Actuals'!AP$11)</f>
        <v>0</v>
      </c>
      <c r="AQ29" s="102">
        <f>AQ30/AQ$12</f>
        <v>0</v>
      </c>
      <c r="AR29" s="982"/>
      <c r="AS29" s="102">
        <f>AS30/AS$12</f>
        <v>0</v>
      </c>
      <c r="AT29" s="982"/>
      <c r="AU29" s="102">
        <f>AU30/AU$12</f>
        <v>0</v>
      </c>
      <c r="AV29" s="982"/>
      <c r="AW29" s="102">
        <f>AW30/AW$12</f>
        <v>0</v>
      </c>
      <c r="AX29" s="982"/>
      <c r="AY29" s="102">
        <f>AY30/AY$12</f>
        <v>0</v>
      </c>
      <c r="AZ29" s="982"/>
      <c r="BA29" s="102">
        <f>BA30/BA$12</f>
        <v>0</v>
      </c>
      <c r="BB29" s="982"/>
      <c r="BC29" s="102">
        <f>BC30/BC$12</f>
        <v>0</v>
      </c>
      <c r="BD29" s="982"/>
    </row>
    <row r="30" spans="1:56" ht="13.15" customHeight="1" x14ac:dyDescent="0.35">
      <c r="A30" s="995"/>
      <c r="B30" s="995"/>
      <c r="C30" s="998"/>
      <c r="D30" s="1001"/>
      <c r="E30" s="489"/>
      <c r="F30" s="251"/>
      <c r="G30" s="292">
        <v>0</v>
      </c>
      <c r="H30" s="1007"/>
      <c r="I30" s="103">
        <v>0</v>
      </c>
      <c r="J30" s="983"/>
      <c r="K30" s="292">
        <v>0</v>
      </c>
      <c r="L30" s="983"/>
      <c r="M30" s="292">
        <v>0</v>
      </c>
      <c r="N30" s="983"/>
      <c r="O30" s="292">
        <v>0</v>
      </c>
      <c r="P30" s="983"/>
      <c r="Q30" s="292">
        <v>0</v>
      </c>
      <c r="R30" s="983"/>
      <c r="S30" s="292">
        <v>0</v>
      </c>
      <c r="T30" s="983"/>
      <c r="U30" s="292">
        <v>0</v>
      </c>
      <c r="V30" s="983"/>
      <c r="W30" s="103">
        <v>0</v>
      </c>
      <c r="X30" s="983"/>
      <c r="Y30" s="292">
        <v>0</v>
      </c>
      <c r="Z30" s="983"/>
      <c r="AA30" s="103">
        <v>0</v>
      </c>
      <c r="AB30" s="983"/>
      <c r="AC30" s="103">
        <v>0</v>
      </c>
      <c r="AD30" s="983"/>
      <c r="AE30" s="103">
        <v>0</v>
      </c>
      <c r="AF30" s="983"/>
      <c r="AG30" s="292">
        <v>0</v>
      </c>
      <c r="AH30" s="983"/>
      <c r="AI30" s="103">
        <v>0</v>
      </c>
      <c r="AJ30" s="983"/>
      <c r="AK30" s="103">
        <v>0</v>
      </c>
      <c r="AL30" s="983"/>
      <c r="AM30" s="103">
        <v>0</v>
      </c>
      <c r="AN30" s="983"/>
      <c r="AO30" s="103">
        <v>0</v>
      </c>
      <c r="AP30" s="983"/>
      <c r="AQ30" s="103">
        <v>0</v>
      </c>
      <c r="AR30" s="983"/>
      <c r="AS30" s="103">
        <v>0</v>
      </c>
      <c r="AT30" s="983"/>
      <c r="AU30" s="103">
        <v>0</v>
      </c>
      <c r="AV30" s="983"/>
      <c r="AW30" s="103">
        <v>0</v>
      </c>
      <c r="AX30" s="983"/>
      <c r="AY30" s="103">
        <v>0</v>
      </c>
      <c r="AZ30" s="983"/>
      <c r="BA30" s="103">
        <v>0</v>
      </c>
      <c r="BB30" s="983"/>
      <c r="BC30" s="103">
        <v>0</v>
      </c>
      <c r="BD30" s="983"/>
    </row>
    <row r="31" spans="1:56" ht="13.9" customHeight="1" thickBot="1" x14ac:dyDescent="0.4">
      <c r="A31" s="996"/>
      <c r="B31" s="996"/>
      <c r="C31" s="999"/>
      <c r="D31" s="1002"/>
      <c r="E31" s="489"/>
      <c r="F31" s="252"/>
      <c r="G31" s="293">
        <f>$D29*G30</f>
        <v>0</v>
      </c>
      <c r="H31" s="1008"/>
      <c r="I31" s="104">
        <f>$D29*I30</f>
        <v>0</v>
      </c>
      <c r="J31" s="984"/>
      <c r="K31" s="104">
        <f>$D29*K30</f>
        <v>0</v>
      </c>
      <c r="L31" s="984"/>
      <c r="M31" s="293">
        <f>$D29*M30</f>
        <v>0</v>
      </c>
      <c r="N31" s="984"/>
      <c r="O31" s="104">
        <f>$D29*O30</f>
        <v>0</v>
      </c>
      <c r="P31" s="984"/>
      <c r="Q31" s="293">
        <f>$D29*Q30</f>
        <v>0</v>
      </c>
      <c r="R31" s="984"/>
      <c r="S31" s="104">
        <f>$D29*S30</f>
        <v>0</v>
      </c>
      <c r="T31" s="984"/>
      <c r="U31" s="293">
        <f>$D29*U30</f>
        <v>0</v>
      </c>
      <c r="V31" s="984"/>
      <c r="W31" s="104">
        <f>$D29*W30</f>
        <v>0</v>
      </c>
      <c r="X31" s="984"/>
      <c r="Y31" s="293">
        <f>$D29*Y30</f>
        <v>0</v>
      </c>
      <c r="Z31" s="984"/>
      <c r="AA31" s="104">
        <f>$D29*AA30</f>
        <v>0</v>
      </c>
      <c r="AB31" s="984"/>
      <c r="AC31" s="104">
        <f>$D29*AC30</f>
        <v>0</v>
      </c>
      <c r="AD31" s="984"/>
      <c r="AE31" s="104">
        <f>$D29*AE30</f>
        <v>0</v>
      </c>
      <c r="AF31" s="984"/>
      <c r="AG31" s="293">
        <f>$D29*AG30</f>
        <v>0</v>
      </c>
      <c r="AH31" s="984"/>
      <c r="AI31" s="104">
        <f>$D29*AI30</f>
        <v>0</v>
      </c>
      <c r="AJ31" s="984"/>
      <c r="AK31" s="104">
        <f>$D29*AK30</f>
        <v>0</v>
      </c>
      <c r="AL31" s="984"/>
      <c r="AM31" s="104">
        <f>$D29*AM30</f>
        <v>0</v>
      </c>
      <c r="AN31" s="984"/>
      <c r="AO31" s="104">
        <f>$D29*AO30</f>
        <v>0</v>
      </c>
      <c r="AP31" s="984"/>
      <c r="AQ31" s="104">
        <f>$D29*AQ30</f>
        <v>0</v>
      </c>
      <c r="AR31" s="984"/>
      <c r="AS31" s="104">
        <f>$D29*AS30</f>
        <v>0</v>
      </c>
      <c r="AT31" s="984"/>
      <c r="AU31" s="104">
        <f>$D29*AU30</f>
        <v>0</v>
      </c>
      <c r="AV31" s="984"/>
      <c r="AW31" s="104">
        <f>$D29*AW30</f>
        <v>0</v>
      </c>
      <c r="AX31" s="984"/>
      <c r="AY31" s="104">
        <f>$D29*AY30</f>
        <v>0</v>
      </c>
      <c r="AZ31" s="984"/>
      <c r="BA31" s="104">
        <f>$D29*BA30</f>
        <v>0</v>
      </c>
      <c r="BB31" s="984"/>
      <c r="BC31" s="104">
        <f>$D29*BC30</f>
        <v>0</v>
      </c>
      <c r="BD31" s="984"/>
    </row>
    <row r="32" spans="1:56" ht="13.15" customHeight="1" x14ac:dyDescent="0.35">
      <c r="A32" s="994" t="s">
        <v>582</v>
      </c>
      <c r="B32" s="994" t="s">
        <v>522</v>
      </c>
      <c r="C32" s="997" t="s">
        <v>569</v>
      </c>
      <c r="D32" s="1000">
        <v>83.26</v>
      </c>
      <c r="E32" s="1012"/>
      <c r="F32" s="250"/>
      <c r="G32" s="291">
        <f>G33/G$12</f>
        <v>0</v>
      </c>
      <c r="H32" s="1006">
        <f>SUMIFS('9. Actuals SAP Extract'!$V:$V,'9. Actuals SAP Extract'!$H:$H,$A32,'9. Actuals SAP Extract'!$P:$P,$B32,'9. Actuals SAP Extract'!$W:$W,H$11)</f>
        <v>0</v>
      </c>
      <c r="I32" s="102">
        <f>I33/I$12</f>
        <v>0</v>
      </c>
      <c r="J32" s="982">
        <f>SUMIFS('9. Actuals SAP Extract'!$V:$V,'9. Actuals SAP Extract'!$H:$H,$A32,'9. Actuals SAP Extract'!$P:$P,$B32,'9. Actuals SAP Extract'!$W:$W,J$11)</f>
        <v>0</v>
      </c>
      <c r="K32" s="102">
        <f>K33/K$12</f>
        <v>0</v>
      </c>
      <c r="L32" s="982">
        <f>SUMIFS('9. Actuals SAP Extract'!$V:$V,'9. Actuals SAP Extract'!$P:$P,$B32,'9. Actuals SAP Extract'!$H:$H,$A32,'9. Actuals SAP Extract'!$W:$W,'Detailed Forecast vs Actuals'!L$11)</f>
        <v>624.45000000000005</v>
      </c>
      <c r="M32" s="291">
        <f>M33/M$12</f>
        <v>0</v>
      </c>
      <c r="N32" s="982">
        <f>SUMIFS('9. Actuals SAP Extract'!$V:$V,'9. Actuals SAP Extract'!$H:$H,$A32,'9. Actuals SAP Extract'!$P:$P,$B32,'9. Actuals SAP Extract'!$W:$W,N$11)</f>
        <v>166.52</v>
      </c>
      <c r="O32" s="102">
        <f>O33/O$12</f>
        <v>0.11363636363636363</v>
      </c>
      <c r="P32" s="982">
        <f>SUMIFS('9. Actuals SAP Extract'!$V:$V,'9. Actuals SAP Extract'!$P:$P,$B32,'9. Actuals SAP Extract'!$H:$H,$A32,'9. Actuals SAP Extract'!$W:$W,'Detailed Forecast vs Actuals'!P$11)</f>
        <v>0</v>
      </c>
      <c r="Q32" s="291">
        <f>Q33/Q$12</f>
        <v>0</v>
      </c>
      <c r="R32" s="982">
        <f>SUMIFS('9. Actuals SAP Extract'!$V:$V,'9. Actuals SAP Extract'!$H:$H,$A32,'9. Actuals SAP Extract'!$P:$P,$B32,'9. Actuals SAP Extract'!$W:$W,R$11)</f>
        <v>416.3</v>
      </c>
      <c r="S32" s="102">
        <f>S33/S$12</f>
        <v>0</v>
      </c>
      <c r="T32" s="982"/>
      <c r="U32" s="291">
        <f>U33/U$12</f>
        <v>0</v>
      </c>
      <c r="V32" s="982">
        <f>SUMIFS('9. Actuals SAP Extract'!$V:$V,'9. Actuals SAP Extract'!$H:$H,$A32,'9. Actuals SAP Extract'!$P:$P,$B32,'9. Actuals SAP Extract'!$W:$W,V$11)</f>
        <v>333.04</v>
      </c>
      <c r="W32" s="102">
        <f>W33/W$12</f>
        <v>0</v>
      </c>
      <c r="X32" s="982">
        <f>SUMIFS('9. Actuals SAP Extract'!$V:$V,'9. Actuals SAP Extract'!$P:$P,$B32,'9. Actuals SAP Extract'!$H:$H,$A32,'9. Actuals SAP Extract'!$W:$W,'Detailed Forecast vs Actuals'!X$11)</f>
        <v>259.36</v>
      </c>
      <c r="Y32" s="291">
        <f>Y33/Y$12</f>
        <v>0</v>
      </c>
      <c r="Z32" s="982">
        <f>SUMIFS('9. Actuals SAP Extract'!$V:$V,'9. Actuals SAP Extract'!$H:$H,$A32,'9. Actuals SAP Extract'!$P:$P,$B32,'9. Actuals SAP Extract'!$W:$W,Z$11)</f>
        <v>0</v>
      </c>
      <c r="AA32" s="102">
        <f>AA33/AA$12</f>
        <v>0</v>
      </c>
      <c r="AB32" s="982">
        <f>SUMIFS('9. Actuals SAP Extract'!$V:$V,'9. Actuals SAP Extract'!$P:$P,$B32,'9. Actuals SAP Extract'!$H:$H,$A32,'9. Actuals SAP Extract'!$W:$W,'Detailed Forecast vs Actuals'!AB$11)</f>
        <v>0</v>
      </c>
      <c r="AC32" s="102">
        <f>AC33/AC$12</f>
        <v>0</v>
      </c>
      <c r="AD32" s="982">
        <f>SUMIFS('9. Actuals SAP Extract'!$V:$V,'9. Actuals SAP Extract'!$P:$P,$B32,'9. Actuals SAP Extract'!$H:$H,$A32,'9. Actuals SAP Extract'!$W:$W,'Detailed Forecast vs Actuals'!AD$11)</f>
        <v>0</v>
      </c>
      <c r="AE32" s="102">
        <f>AE33/AE$12</f>
        <v>0</v>
      </c>
      <c r="AF32" s="982">
        <f>SUMIFS('9. Actuals SAP Extract'!$V:$V,'9. Actuals SAP Extract'!$P:$P,$B32,'9. Actuals SAP Extract'!$H:$H,$A32,'9. Actuals SAP Extract'!$W:$W,'Detailed Forecast vs Actuals'!AF$11)</f>
        <v>0</v>
      </c>
      <c r="AG32" s="291">
        <f>AG33/AG$12</f>
        <v>0</v>
      </c>
      <c r="AH32" s="982">
        <f>SUMIFS('9. Actuals SAP Extract'!$V:$V,'9. Actuals SAP Extract'!$P:$P,$B32,'9. Actuals SAP Extract'!$H:$H,$A32,'9. Actuals SAP Extract'!$W:$W,'Detailed Forecast vs Actuals'!AH$11)</f>
        <v>246.04</v>
      </c>
      <c r="AI32" s="102">
        <f>AI33/AI$12</f>
        <v>0</v>
      </c>
      <c r="AJ32" s="982">
        <f>SUMIFS('9. Actuals SAP Extract'!$V:$V,'9. Actuals SAP Extract'!$P:$P,$B32,'9. Actuals SAP Extract'!$H:$H,$A32,'9. Actuals SAP Extract'!$W:$W,'Detailed Forecast vs Actuals'!AJ$11)</f>
        <v>0</v>
      </c>
      <c r="AK32" s="102">
        <f>AK33/AK$12</f>
        <v>0</v>
      </c>
      <c r="AL32" s="982">
        <f>SUMIFS('9. Actuals SAP Extract'!$V:$V,'9. Actuals SAP Extract'!$P:$P,$B32,'9. Actuals SAP Extract'!$H:$H,$A32,'9. Actuals SAP Extract'!$W:$W,'Detailed Forecast vs Actuals'!AL$11)</f>
        <v>0</v>
      </c>
      <c r="AM32" s="102">
        <f>AM33/AM$12</f>
        <v>0</v>
      </c>
      <c r="AN32" s="982">
        <f>SUMIFS('9. Actuals SAP Extract'!$V:$V,'9. Actuals SAP Extract'!$P:$P,$B32,'9. Actuals SAP Extract'!$H:$H,$A32,'9. Actuals SAP Extract'!$W:$W,'Detailed Forecast vs Actuals'!AN$11)</f>
        <v>0</v>
      </c>
      <c r="AO32" s="102">
        <f>AO33/AO$12</f>
        <v>0</v>
      </c>
      <c r="AP32" s="982">
        <f>SUMIFS('9. Actuals SAP Extract'!$V:$V,'9. Actuals SAP Extract'!$P:$P,$B32,'9. Actuals SAP Extract'!$H:$H,$A32,'9. Actuals SAP Extract'!$W:$W,'Detailed Forecast vs Actuals'!AP$11)</f>
        <v>0</v>
      </c>
      <c r="AQ32" s="102">
        <f>AQ33/AQ$12</f>
        <v>0</v>
      </c>
      <c r="AR32" s="982"/>
      <c r="AS32" s="102">
        <f>AS33/AS$12</f>
        <v>0</v>
      </c>
      <c r="AT32" s="982"/>
      <c r="AU32" s="102">
        <f>AU33/AU$12</f>
        <v>0</v>
      </c>
      <c r="AV32" s="982"/>
      <c r="AW32" s="102">
        <f>AW33/AW$12</f>
        <v>0</v>
      </c>
      <c r="AX32" s="982"/>
      <c r="AY32" s="102">
        <f>AY33/AY$12</f>
        <v>0</v>
      </c>
      <c r="AZ32" s="982"/>
      <c r="BA32" s="102">
        <f>BA33/BA$12</f>
        <v>0</v>
      </c>
      <c r="BB32" s="982"/>
      <c r="BC32" s="102">
        <f>BC33/BC$12</f>
        <v>0</v>
      </c>
      <c r="BD32" s="982"/>
    </row>
    <row r="33" spans="1:56" ht="13.15" customHeight="1" x14ac:dyDescent="0.35">
      <c r="A33" s="995"/>
      <c r="B33" s="995"/>
      <c r="C33" s="998"/>
      <c r="D33" s="1001"/>
      <c r="E33" s="1013"/>
      <c r="F33" s="251" t="s">
        <v>186</v>
      </c>
      <c r="G33" s="292">
        <v>0</v>
      </c>
      <c r="H33" s="1007"/>
      <c r="I33" s="103">
        <v>0</v>
      </c>
      <c r="J33" s="983"/>
      <c r="K33" s="103">
        <v>0</v>
      </c>
      <c r="L33" s="983"/>
      <c r="M33" s="292">
        <v>0</v>
      </c>
      <c r="N33" s="983"/>
      <c r="O33" s="103">
        <v>20</v>
      </c>
      <c r="P33" s="983"/>
      <c r="Q33" s="103">
        <v>0</v>
      </c>
      <c r="R33" s="983"/>
      <c r="S33" s="103">
        <v>0</v>
      </c>
      <c r="T33" s="983"/>
      <c r="U33" s="103">
        <v>0</v>
      </c>
      <c r="V33" s="983"/>
      <c r="W33" s="103">
        <v>0</v>
      </c>
      <c r="X33" s="983"/>
      <c r="Y33" s="103">
        <v>0</v>
      </c>
      <c r="Z33" s="983"/>
      <c r="AA33" s="103">
        <v>0</v>
      </c>
      <c r="AB33" s="983"/>
      <c r="AC33" s="103">
        <v>0</v>
      </c>
      <c r="AD33" s="983"/>
      <c r="AE33" s="103">
        <v>0</v>
      </c>
      <c r="AF33" s="983"/>
      <c r="AG33" s="292">
        <v>0</v>
      </c>
      <c r="AH33" s="983"/>
      <c r="AI33" s="103">
        <v>0</v>
      </c>
      <c r="AJ33" s="983"/>
      <c r="AK33" s="103">
        <v>0</v>
      </c>
      <c r="AL33" s="983"/>
      <c r="AM33" s="103">
        <v>0</v>
      </c>
      <c r="AN33" s="983"/>
      <c r="AO33" s="103">
        <v>0</v>
      </c>
      <c r="AP33" s="983"/>
      <c r="AQ33" s="103">
        <v>0</v>
      </c>
      <c r="AR33" s="983"/>
      <c r="AS33" s="103">
        <v>0</v>
      </c>
      <c r="AT33" s="983"/>
      <c r="AU33" s="103">
        <v>0</v>
      </c>
      <c r="AV33" s="983"/>
      <c r="AW33" s="103">
        <v>0</v>
      </c>
      <c r="AX33" s="983"/>
      <c r="AY33" s="103">
        <v>0</v>
      </c>
      <c r="AZ33" s="983"/>
      <c r="BA33" s="103">
        <v>0</v>
      </c>
      <c r="BB33" s="983"/>
      <c r="BC33" s="103">
        <v>0</v>
      </c>
      <c r="BD33" s="983"/>
    </row>
    <row r="34" spans="1:56" ht="13.9" customHeight="1" thickBot="1" x14ac:dyDescent="0.4">
      <c r="A34" s="996"/>
      <c r="B34" s="996"/>
      <c r="C34" s="999"/>
      <c r="D34" s="1002"/>
      <c r="E34" s="1014"/>
      <c r="F34" s="252"/>
      <c r="G34" s="293">
        <f>$D32*G33</f>
        <v>0</v>
      </c>
      <c r="H34" s="1008"/>
      <c r="I34" s="104">
        <f>$D32*I33</f>
        <v>0</v>
      </c>
      <c r="J34" s="984"/>
      <c r="K34" s="104">
        <f>$D32*K33</f>
        <v>0</v>
      </c>
      <c r="L34" s="984"/>
      <c r="M34" s="293">
        <f>$D32*M33</f>
        <v>0</v>
      </c>
      <c r="N34" s="984"/>
      <c r="O34" s="104">
        <f>$D32*O33</f>
        <v>1665.2</v>
      </c>
      <c r="P34" s="984"/>
      <c r="Q34" s="293">
        <f>$D32*Q33</f>
        <v>0</v>
      </c>
      <c r="R34" s="984"/>
      <c r="S34" s="104">
        <f>$D32*S33</f>
        <v>0</v>
      </c>
      <c r="T34" s="984"/>
      <c r="U34" s="293">
        <f>$D32*U33</f>
        <v>0</v>
      </c>
      <c r="V34" s="984"/>
      <c r="W34" s="104">
        <f>$D32*W33</f>
        <v>0</v>
      </c>
      <c r="X34" s="984"/>
      <c r="Y34" s="293">
        <f>$D32*Y33</f>
        <v>0</v>
      </c>
      <c r="Z34" s="984"/>
      <c r="AA34" s="104">
        <f>$D32*AA33</f>
        <v>0</v>
      </c>
      <c r="AB34" s="984"/>
      <c r="AC34" s="104">
        <f>$D32*AC33</f>
        <v>0</v>
      </c>
      <c r="AD34" s="984"/>
      <c r="AE34" s="104">
        <f>$D32*AE33</f>
        <v>0</v>
      </c>
      <c r="AF34" s="984"/>
      <c r="AG34" s="293">
        <f>$D32*AG33</f>
        <v>0</v>
      </c>
      <c r="AH34" s="984"/>
      <c r="AI34" s="104">
        <f>$D32*AI33</f>
        <v>0</v>
      </c>
      <c r="AJ34" s="984"/>
      <c r="AK34" s="104">
        <f>$D32*AK33</f>
        <v>0</v>
      </c>
      <c r="AL34" s="984"/>
      <c r="AM34" s="104">
        <f>$D32*AM33</f>
        <v>0</v>
      </c>
      <c r="AN34" s="984"/>
      <c r="AO34" s="104">
        <f>$D32*AO33</f>
        <v>0</v>
      </c>
      <c r="AP34" s="984"/>
      <c r="AQ34" s="104">
        <f>$D32*AQ33</f>
        <v>0</v>
      </c>
      <c r="AR34" s="984"/>
      <c r="AS34" s="104">
        <f>$D32*AS33</f>
        <v>0</v>
      </c>
      <c r="AT34" s="984"/>
      <c r="AU34" s="104">
        <f>$D32*AU33</f>
        <v>0</v>
      </c>
      <c r="AV34" s="984"/>
      <c r="AW34" s="104">
        <f>$D32*AW33</f>
        <v>0</v>
      </c>
      <c r="AX34" s="984"/>
      <c r="AY34" s="104">
        <f>$D32*AY33</f>
        <v>0</v>
      </c>
      <c r="AZ34" s="984"/>
      <c r="BA34" s="104">
        <f>$D32*BA33</f>
        <v>0</v>
      </c>
      <c r="BB34" s="984"/>
      <c r="BC34" s="104">
        <f>$D32*BC33</f>
        <v>0</v>
      </c>
      <c r="BD34" s="984"/>
    </row>
    <row r="35" spans="1:56" ht="13.15" customHeight="1" x14ac:dyDescent="0.35">
      <c r="A35" s="994" t="s">
        <v>624</v>
      </c>
      <c r="B35" s="994" t="s">
        <v>522</v>
      </c>
      <c r="C35" s="997" t="s">
        <v>621</v>
      </c>
      <c r="D35" s="1000">
        <v>50.75</v>
      </c>
      <c r="E35" s="488"/>
      <c r="F35" s="250"/>
      <c r="G35" s="291">
        <f>G36/G$12</f>
        <v>0</v>
      </c>
      <c r="H35" s="1006">
        <f>SUMIFS('9. Actuals SAP Extract'!$V:$V,'9. Actuals SAP Extract'!$H:$H,$A35,'9. Actuals SAP Extract'!$P:$P,$B35,'9. Actuals SAP Extract'!$W:$W,H$11)</f>
        <v>0</v>
      </c>
      <c r="I35" s="102">
        <f>I36/I$12</f>
        <v>0</v>
      </c>
      <c r="J35" s="982">
        <f>SUMIFS('9. Actuals SAP Extract'!$V:$V,'9. Actuals SAP Extract'!$H:$H,$A35,'9. Actuals SAP Extract'!$P:$P,$B35,'9. Actuals SAP Extract'!$W:$W,J$11)</f>
        <v>0</v>
      </c>
      <c r="K35" s="102">
        <f>K36/K$12</f>
        <v>0</v>
      </c>
      <c r="L35" s="982">
        <f>SUMIFS('9. Actuals SAP Extract'!$V:$V,'9. Actuals SAP Extract'!$P:$P,$B35,'9. Actuals SAP Extract'!$H:$H,$A35,'9. Actuals SAP Extract'!$W:$W,'Detailed Forecast vs Actuals'!L$11)</f>
        <v>406</v>
      </c>
      <c r="M35" s="291">
        <f>M36/M$12</f>
        <v>0</v>
      </c>
      <c r="N35" s="982">
        <f>SUMIFS('9. Actuals SAP Extract'!$V:$V,'9. Actuals SAP Extract'!$H:$H,$A35,'9. Actuals SAP Extract'!$P:$P,$B35,'9. Actuals SAP Extract'!$W:$W,N$11)</f>
        <v>0</v>
      </c>
      <c r="O35" s="102">
        <f>O36/O$12</f>
        <v>0</v>
      </c>
      <c r="P35" s="982">
        <f>SUMIFS('9. Actuals SAP Extract'!$V:$V,'9. Actuals SAP Extract'!$P:$P,$B35,'9. Actuals SAP Extract'!$H:$H,$A35,'9. Actuals SAP Extract'!$W:$W,'Detailed Forecast vs Actuals'!P$11)</f>
        <v>0</v>
      </c>
      <c r="Q35" s="291">
        <f>Q36/Q$12</f>
        <v>0</v>
      </c>
      <c r="R35" s="982">
        <f>SUMIFS('9. Actuals SAP Extract'!$V:$V,'9. Actuals SAP Extract'!$H:$H,$A35,'9. Actuals SAP Extract'!$P:$P,$B35,'9. Actuals SAP Extract'!$W:$W,R$11)</f>
        <v>0</v>
      </c>
      <c r="S35" s="102">
        <f>S36/S$12</f>
        <v>0</v>
      </c>
      <c r="T35" s="982"/>
      <c r="U35" s="291">
        <f>U36/U$12</f>
        <v>0</v>
      </c>
      <c r="V35" s="982">
        <f>SUMIFS('9. Actuals SAP Extract'!$V:$V,'9. Actuals SAP Extract'!$H:$H,$A35,'9. Actuals SAP Extract'!$P:$P,$B35,'9. Actuals SAP Extract'!$W:$W,V$11)</f>
        <v>0</v>
      </c>
      <c r="W35" s="102">
        <f>W36/W$12</f>
        <v>0</v>
      </c>
      <c r="X35" s="982">
        <f>SUMIFS('9. Actuals SAP Extract'!$V:$V,'9. Actuals SAP Extract'!$P:$P,$B35,'9. Actuals SAP Extract'!$H:$H,$A35,'9. Actuals SAP Extract'!$W:$W,'Detailed Forecast vs Actuals'!X$11)</f>
        <v>0</v>
      </c>
      <c r="Y35" s="291">
        <f>Y36/Y$12</f>
        <v>0</v>
      </c>
      <c r="Z35" s="982">
        <f>SUMIFS('9. Actuals SAP Extract'!$V:$V,'9. Actuals SAP Extract'!$H:$H,$A35,'9. Actuals SAP Extract'!$P:$P,$B35,'9. Actuals SAP Extract'!$W:$W,Z$11)</f>
        <v>0</v>
      </c>
      <c r="AA35" s="102">
        <f>AA36/AA$12</f>
        <v>0</v>
      </c>
      <c r="AB35" s="982">
        <f>SUMIFS('9. Actuals SAP Extract'!$V:$V,'9. Actuals SAP Extract'!$P:$P,$B35,'9. Actuals SAP Extract'!$H:$H,$A35,'9. Actuals SAP Extract'!$W:$W,'Detailed Forecast vs Actuals'!AB$11)</f>
        <v>0</v>
      </c>
      <c r="AC35" s="102">
        <f>AC36/AC$12</f>
        <v>0</v>
      </c>
      <c r="AD35" s="982">
        <f>SUMIFS('9. Actuals SAP Extract'!$V:$V,'9. Actuals SAP Extract'!$P:$P,$B35,'9. Actuals SAP Extract'!$H:$H,$A35,'9. Actuals SAP Extract'!$W:$W,'Detailed Forecast vs Actuals'!AD$11)</f>
        <v>0</v>
      </c>
      <c r="AE35" s="102">
        <f>AE36/AE$12</f>
        <v>0</v>
      </c>
      <c r="AF35" s="982">
        <f>SUMIFS('9. Actuals SAP Extract'!$V:$V,'9. Actuals SAP Extract'!$P:$P,$B35,'9. Actuals SAP Extract'!$H:$H,$A35,'9. Actuals SAP Extract'!$W:$W,'Detailed Forecast vs Actuals'!AF$11)</f>
        <v>0</v>
      </c>
      <c r="AG35" s="291">
        <f>AG36/AG$12</f>
        <v>0</v>
      </c>
      <c r="AH35" s="982">
        <f>SUMIFS('9. Actuals SAP Extract'!$V:$V,'9. Actuals SAP Extract'!$P:$P,$B35,'9. Actuals SAP Extract'!$H:$H,$A35,'9. Actuals SAP Extract'!$W:$W,'Detailed Forecast vs Actuals'!AH$11)</f>
        <v>0</v>
      </c>
      <c r="AI35" s="102">
        <f>AI36/AI$12</f>
        <v>0</v>
      </c>
      <c r="AJ35" s="982">
        <f>SUMIFS('9. Actuals SAP Extract'!$V:$V,'9. Actuals SAP Extract'!$P:$P,$B35,'9. Actuals SAP Extract'!$H:$H,$A35,'9. Actuals SAP Extract'!$W:$W,'Detailed Forecast vs Actuals'!AJ$11)</f>
        <v>0</v>
      </c>
      <c r="AK35" s="102">
        <f>AK36/AK$12</f>
        <v>0</v>
      </c>
      <c r="AL35" s="982">
        <f>SUMIFS('9. Actuals SAP Extract'!$V:$V,'9. Actuals SAP Extract'!$P:$P,$B35,'9. Actuals SAP Extract'!$H:$H,$A35,'9. Actuals SAP Extract'!$W:$W,'Detailed Forecast vs Actuals'!AL$11)</f>
        <v>0</v>
      </c>
      <c r="AM35" s="102">
        <f>AM36/AM$12</f>
        <v>0</v>
      </c>
      <c r="AN35" s="982">
        <f>SUMIFS('9. Actuals SAP Extract'!$V:$V,'9. Actuals SAP Extract'!$P:$P,$B35,'9. Actuals SAP Extract'!$H:$H,$A35,'9. Actuals SAP Extract'!$W:$W,'Detailed Forecast vs Actuals'!AN$11)</f>
        <v>0</v>
      </c>
      <c r="AO35" s="102">
        <f>AO36/AO$12</f>
        <v>0</v>
      </c>
      <c r="AP35" s="982">
        <f>SUMIFS('9. Actuals SAP Extract'!$V:$V,'9. Actuals SAP Extract'!$P:$P,$B35,'9. Actuals SAP Extract'!$H:$H,$A35,'9. Actuals SAP Extract'!$W:$W,'Detailed Forecast vs Actuals'!AP$11)</f>
        <v>0</v>
      </c>
      <c r="AQ35" s="102">
        <f>AQ36/AQ$12</f>
        <v>0</v>
      </c>
      <c r="AR35" s="982"/>
      <c r="AS35" s="102">
        <f>AS36/AS$12</f>
        <v>0</v>
      </c>
      <c r="AT35" s="982"/>
      <c r="AU35" s="102">
        <f>AU36/AU$12</f>
        <v>0</v>
      </c>
      <c r="AV35" s="982"/>
      <c r="AW35" s="102">
        <f>AW36/AW$12</f>
        <v>0</v>
      </c>
      <c r="AX35" s="982"/>
      <c r="AY35" s="102">
        <f>AY36/AY$12</f>
        <v>0</v>
      </c>
      <c r="AZ35" s="982"/>
      <c r="BA35" s="102">
        <f>BA36/BA$12</f>
        <v>0</v>
      </c>
      <c r="BB35" s="982"/>
      <c r="BC35" s="102">
        <f>BC36/BC$12</f>
        <v>0</v>
      </c>
      <c r="BD35" s="982"/>
    </row>
    <row r="36" spans="1:56" ht="13.15" customHeight="1" x14ac:dyDescent="0.35">
      <c r="A36" s="995"/>
      <c r="B36" s="995"/>
      <c r="C36" s="998"/>
      <c r="D36" s="1001"/>
      <c r="E36" s="489"/>
      <c r="F36" s="251"/>
      <c r="G36" s="292">
        <v>0</v>
      </c>
      <c r="H36" s="1007"/>
      <c r="I36" s="103">
        <v>0</v>
      </c>
      <c r="J36" s="983"/>
      <c r="K36" s="103">
        <v>0</v>
      </c>
      <c r="L36" s="983"/>
      <c r="M36" s="292">
        <v>0</v>
      </c>
      <c r="N36" s="983"/>
      <c r="O36" s="103">
        <v>0</v>
      </c>
      <c r="P36" s="983"/>
      <c r="Q36" s="292">
        <v>0</v>
      </c>
      <c r="R36" s="983"/>
      <c r="S36" s="103">
        <v>0</v>
      </c>
      <c r="T36" s="983"/>
      <c r="U36" s="292">
        <v>0</v>
      </c>
      <c r="V36" s="983"/>
      <c r="W36" s="103">
        <v>0</v>
      </c>
      <c r="X36" s="983"/>
      <c r="Y36" s="292">
        <v>0</v>
      </c>
      <c r="Z36" s="983"/>
      <c r="AA36" s="103">
        <v>0</v>
      </c>
      <c r="AB36" s="983"/>
      <c r="AC36" s="103">
        <v>0</v>
      </c>
      <c r="AD36" s="983"/>
      <c r="AE36" s="103">
        <v>0</v>
      </c>
      <c r="AF36" s="983"/>
      <c r="AG36" s="292">
        <v>0</v>
      </c>
      <c r="AH36" s="983"/>
      <c r="AI36" s="103">
        <v>0</v>
      </c>
      <c r="AJ36" s="983"/>
      <c r="AK36" s="103">
        <v>0</v>
      </c>
      <c r="AL36" s="983"/>
      <c r="AM36" s="103">
        <v>0</v>
      </c>
      <c r="AN36" s="983"/>
      <c r="AO36" s="103">
        <v>0</v>
      </c>
      <c r="AP36" s="983"/>
      <c r="AQ36" s="103">
        <v>0</v>
      </c>
      <c r="AR36" s="983"/>
      <c r="AS36" s="103">
        <v>0</v>
      </c>
      <c r="AT36" s="983"/>
      <c r="AU36" s="103">
        <v>0</v>
      </c>
      <c r="AV36" s="983"/>
      <c r="AW36" s="103">
        <v>0</v>
      </c>
      <c r="AX36" s="983"/>
      <c r="AY36" s="103">
        <v>0</v>
      </c>
      <c r="AZ36" s="983"/>
      <c r="BA36" s="103">
        <v>0</v>
      </c>
      <c r="BB36" s="983"/>
      <c r="BC36" s="103">
        <v>0</v>
      </c>
      <c r="BD36" s="983"/>
    </row>
    <row r="37" spans="1:56" ht="13.9" customHeight="1" thickBot="1" x14ac:dyDescent="0.4">
      <c r="A37" s="996"/>
      <c r="B37" s="996"/>
      <c r="C37" s="999"/>
      <c r="D37" s="1002"/>
      <c r="E37" s="489"/>
      <c r="F37" s="252"/>
      <c r="G37" s="293">
        <f>$D35*G36</f>
        <v>0</v>
      </c>
      <c r="H37" s="1008"/>
      <c r="I37" s="104">
        <f>$D35*I36</f>
        <v>0</v>
      </c>
      <c r="J37" s="984"/>
      <c r="K37" s="104">
        <f>$D35*K36</f>
        <v>0</v>
      </c>
      <c r="L37" s="984"/>
      <c r="M37" s="293">
        <f>$D35*M36</f>
        <v>0</v>
      </c>
      <c r="N37" s="984"/>
      <c r="O37" s="104">
        <f>$D35*O36</f>
        <v>0</v>
      </c>
      <c r="P37" s="984"/>
      <c r="Q37" s="293">
        <f>$D35*Q36</f>
        <v>0</v>
      </c>
      <c r="R37" s="984"/>
      <c r="S37" s="104">
        <f>$D35*S36</f>
        <v>0</v>
      </c>
      <c r="T37" s="984"/>
      <c r="U37" s="293">
        <f>$D35*U36</f>
        <v>0</v>
      </c>
      <c r="V37" s="984"/>
      <c r="W37" s="104">
        <f>$D35*W36</f>
        <v>0</v>
      </c>
      <c r="X37" s="984"/>
      <c r="Y37" s="293">
        <f>$D35*Y36</f>
        <v>0</v>
      </c>
      <c r="Z37" s="984"/>
      <c r="AA37" s="104">
        <f>$D35*AA36</f>
        <v>0</v>
      </c>
      <c r="AB37" s="984"/>
      <c r="AC37" s="104">
        <f>$D35*AC36</f>
        <v>0</v>
      </c>
      <c r="AD37" s="984"/>
      <c r="AE37" s="104">
        <f>$D35*AE36</f>
        <v>0</v>
      </c>
      <c r="AF37" s="984"/>
      <c r="AG37" s="293">
        <f>$D35*AG36</f>
        <v>0</v>
      </c>
      <c r="AH37" s="984"/>
      <c r="AI37" s="104">
        <f>$D35*AI36</f>
        <v>0</v>
      </c>
      <c r="AJ37" s="984"/>
      <c r="AK37" s="104">
        <f>$D35*AK36</f>
        <v>0</v>
      </c>
      <c r="AL37" s="984"/>
      <c r="AM37" s="104">
        <f>$D35*AM36</f>
        <v>0</v>
      </c>
      <c r="AN37" s="984"/>
      <c r="AO37" s="104">
        <f>$D35*AO36</f>
        <v>0</v>
      </c>
      <c r="AP37" s="984"/>
      <c r="AQ37" s="104">
        <f>$D35*AQ36</f>
        <v>0</v>
      </c>
      <c r="AR37" s="984"/>
      <c r="AS37" s="104">
        <f>$D35*AS36</f>
        <v>0</v>
      </c>
      <c r="AT37" s="984"/>
      <c r="AU37" s="104">
        <f>$D35*AU36</f>
        <v>0</v>
      </c>
      <c r="AV37" s="984"/>
      <c r="AW37" s="104">
        <f>$D35*AW36</f>
        <v>0</v>
      </c>
      <c r="AX37" s="984"/>
      <c r="AY37" s="104">
        <f>$D35*AY36</f>
        <v>0</v>
      </c>
      <c r="AZ37" s="984"/>
      <c r="BA37" s="104">
        <f>$D35*BA36</f>
        <v>0</v>
      </c>
      <c r="BB37" s="984"/>
      <c r="BC37" s="104">
        <f>$D35*BC36</f>
        <v>0</v>
      </c>
      <c r="BD37" s="984"/>
    </row>
    <row r="38" spans="1:56" ht="13.15" customHeight="1" x14ac:dyDescent="0.35">
      <c r="A38" s="994" t="s">
        <v>647</v>
      </c>
      <c r="B38" s="994" t="s">
        <v>522</v>
      </c>
      <c r="C38" s="997" t="s">
        <v>648</v>
      </c>
      <c r="D38" s="1000"/>
      <c r="E38" s="1003"/>
      <c r="F38" s="250"/>
      <c r="G38" s="291">
        <f>G39/G$12</f>
        <v>0</v>
      </c>
      <c r="H38" s="1006">
        <f>SUMIFS('9. Actuals SAP Extract'!$V:$V,'9. Actuals SAP Extract'!$H:$H,$A38,'9. Actuals SAP Extract'!$P:$P,$B38,'9. Actuals SAP Extract'!$W:$W,H$11)</f>
        <v>0</v>
      </c>
      <c r="I38" s="102">
        <f>I39/I$12</f>
        <v>0</v>
      </c>
      <c r="J38" s="982">
        <f>SUMIFS('9. Actuals SAP Extract'!$V:$V,'9. Actuals SAP Extract'!$H:$H,$A38,'9. Actuals SAP Extract'!$P:$P,$B38,'9. Actuals SAP Extract'!$W:$W,J$11)</f>
        <v>0</v>
      </c>
      <c r="K38" s="102">
        <f>K39/K$12</f>
        <v>0</v>
      </c>
      <c r="L38" s="982">
        <f>SUMIFS('9. Actuals SAP Extract'!$V:$V,'9. Actuals SAP Extract'!$P:$P,$B38,'9. Actuals SAP Extract'!$H:$H,$A38,'9. Actuals SAP Extract'!$W:$W,'Detailed Forecast vs Actuals'!L$11)</f>
        <v>0</v>
      </c>
      <c r="M38" s="291">
        <f>M39/M$12</f>
        <v>0</v>
      </c>
      <c r="N38" s="982">
        <f>SUMIFS('9. Actuals SAP Extract'!$V:$V,'9. Actuals SAP Extract'!$H:$H,$A38,'9. Actuals SAP Extract'!$P:$P,$B38,'9. Actuals SAP Extract'!$W:$W,N$11)</f>
        <v>0</v>
      </c>
      <c r="O38" s="102">
        <f>O39/O$12</f>
        <v>5.113636363636364E-2</v>
      </c>
      <c r="P38" s="982">
        <f>SUMIFS('9. Actuals SAP Extract'!$V:$V,'9. Actuals SAP Extract'!$P:$P,$B38,'9. Actuals SAP Extract'!$H:$H,$A38,'9. Actuals SAP Extract'!$W:$W,'Detailed Forecast vs Actuals'!P$11)</f>
        <v>0</v>
      </c>
      <c r="Q38" s="291">
        <f>Q39/Q$12</f>
        <v>0</v>
      </c>
      <c r="R38" s="982">
        <f>SUMIFS('9. Actuals SAP Extract'!$V:$V,'9. Actuals SAP Extract'!$H:$H,$A38,'9. Actuals SAP Extract'!$P:$P,$B38,'9. Actuals SAP Extract'!$W:$W,R$11)</f>
        <v>0</v>
      </c>
      <c r="S38" s="102">
        <f>S39/S$12</f>
        <v>0</v>
      </c>
      <c r="T38" s="982"/>
      <c r="U38" s="291">
        <f>U39/U$12</f>
        <v>0</v>
      </c>
      <c r="V38" s="982">
        <f>SUMIFS('9. Actuals SAP Extract'!$V:$V,'9. Actuals SAP Extract'!$H:$H,$A38,'9. Actuals SAP Extract'!$P:$P,$B38,'9. Actuals SAP Extract'!$W:$W,V$11)</f>
        <v>0</v>
      </c>
      <c r="W38" s="102">
        <f>W39/W$12</f>
        <v>0</v>
      </c>
      <c r="X38" s="982">
        <f>SUMIFS('9. Actuals SAP Extract'!$V:$V,'9. Actuals SAP Extract'!$P:$P,$B38,'9. Actuals SAP Extract'!$H:$H,$A38,'9. Actuals SAP Extract'!$W:$W,'Detailed Forecast vs Actuals'!X$11)</f>
        <v>0</v>
      </c>
      <c r="Y38" s="291">
        <f>Y39/Y$12</f>
        <v>0</v>
      </c>
      <c r="Z38" s="982">
        <f>SUMIFS('9. Actuals SAP Extract'!$V:$V,'9. Actuals SAP Extract'!$H:$H,$A38,'9. Actuals SAP Extract'!$P:$P,$B38,'9. Actuals SAP Extract'!$W:$W,Z$11)</f>
        <v>0</v>
      </c>
      <c r="AA38" s="102">
        <f>AA39/AA$12</f>
        <v>0</v>
      </c>
      <c r="AB38" s="982">
        <f>SUMIFS('9. Actuals SAP Extract'!$V:$V,'9. Actuals SAP Extract'!$P:$P,$B38,'9. Actuals SAP Extract'!$H:$H,$A38,'9. Actuals SAP Extract'!$W:$W,'Detailed Forecast vs Actuals'!AB$11)</f>
        <v>0</v>
      </c>
      <c r="AC38" s="102">
        <f>AC39/AC$12</f>
        <v>0</v>
      </c>
      <c r="AD38" s="982">
        <f>SUMIFS('9. Actuals SAP Extract'!$V:$V,'9. Actuals SAP Extract'!$P:$P,$B38,'9. Actuals SAP Extract'!$H:$H,$A38,'9. Actuals SAP Extract'!$W:$W,'Detailed Forecast vs Actuals'!AD$11)</f>
        <v>0</v>
      </c>
      <c r="AE38" s="102">
        <f>AE39/AE$12</f>
        <v>0</v>
      </c>
      <c r="AF38" s="982">
        <f>SUMIFS('9. Actuals SAP Extract'!$V:$V,'9. Actuals SAP Extract'!$P:$P,$B38,'9. Actuals SAP Extract'!$H:$H,$A38,'9. Actuals SAP Extract'!$W:$W,'Detailed Forecast vs Actuals'!AF$11)</f>
        <v>0</v>
      </c>
      <c r="AG38" s="291">
        <f>AG39/AG$12</f>
        <v>0</v>
      </c>
      <c r="AH38" s="982">
        <f>SUMIFS('9. Actuals SAP Extract'!$V:$V,'9. Actuals SAP Extract'!$P:$P,$B38,'9. Actuals SAP Extract'!$H:$H,$A38,'9. Actuals SAP Extract'!$W:$W,'Detailed Forecast vs Actuals'!AH$11)</f>
        <v>0</v>
      </c>
      <c r="AI38" s="102">
        <f>AI39/AI$12</f>
        <v>0</v>
      </c>
      <c r="AJ38" s="982">
        <f>SUMIFS('9. Actuals SAP Extract'!$V:$V,'9. Actuals SAP Extract'!$P:$P,$B38,'9. Actuals SAP Extract'!$H:$H,$A38,'9. Actuals SAP Extract'!$W:$W,'Detailed Forecast vs Actuals'!AJ$11)</f>
        <v>0</v>
      </c>
      <c r="AK38" s="102">
        <f>AK39/AK$12</f>
        <v>0</v>
      </c>
      <c r="AL38" s="982">
        <f>SUMIFS('9. Actuals SAP Extract'!$V:$V,'9. Actuals SAP Extract'!$P:$P,$B38,'9. Actuals SAP Extract'!$H:$H,$A38,'9. Actuals SAP Extract'!$W:$W,'Detailed Forecast vs Actuals'!AL$11)</f>
        <v>0</v>
      </c>
      <c r="AM38" s="102">
        <f>AM39/AM$12</f>
        <v>0</v>
      </c>
      <c r="AN38" s="982">
        <f>SUMIFS('9. Actuals SAP Extract'!$V:$V,'9. Actuals SAP Extract'!$P:$P,$B38,'9. Actuals SAP Extract'!$H:$H,$A38,'9. Actuals SAP Extract'!$W:$W,'Detailed Forecast vs Actuals'!AN$11)</f>
        <v>0</v>
      </c>
      <c r="AO38" s="102">
        <f>AO39/AO$12</f>
        <v>0</v>
      </c>
      <c r="AP38" s="982">
        <f>SUMIFS('9. Actuals SAP Extract'!$V:$V,'9. Actuals SAP Extract'!$P:$P,$B38,'9. Actuals SAP Extract'!$H:$H,$A38,'9. Actuals SAP Extract'!$W:$W,'Detailed Forecast vs Actuals'!AP$11)</f>
        <v>0</v>
      </c>
      <c r="AQ38" s="102">
        <f>AQ39/AQ$12</f>
        <v>0</v>
      </c>
      <c r="AR38" s="982"/>
      <c r="AS38" s="102">
        <f>AS39/AS$12</f>
        <v>0</v>
      </c>
      <c r="AT38" s="982"/>
      <c r="AU38" s="102">
        <f>AU39/AU$12</f>
        <v>0</v>
      </c>
      <c r="AV38" s="982"/>
      <c r="AW38" s="102">
        <f>AW39/AW$12</f>
        <v>0</v>
      </c>
      <c r="AX38" s="982"/>
      <c r="AY38" s="102">
        <f>AY39/AY$12</f>
        <v>0</v>
      </c>
      <c r="AZ38" s="982"/>
      <c r="BA38" s="102">
        <f>BA39/BA$12</f>
        <v>0</v>
      </c>
      <c r="BB38" s="982"/>
      <c r="BC38" s="102">
        <f>BC39/BC$12</f>
        <v>0</v>
      </c>
      <c r="BD38" s="982"/>
    </row>
    <row r="39" spans="1:56" ht="13.15" customHeight="1" x14ac:dyDescent="0.35">
      <c r="A39" s="995"/>
      <c r="B39" s="995"/>
      <c r="C39" s="998"/>
      <c r="D39" s="1001"/>
      <c r="E39" s="1004"/>
      <c r="F39" s="251"/>
      <c r="G39" s="292">
        <v>0</v>
      </c>
      <c r="H39" s="1007"/>
      <c r="I39" s="103">
        <v>0</v>
      </c>
      <c r="J39" s="983"/>
      <c r="K39" s="292">
        <v>0</v>
      </c>
      <c r="L39" s="983"/>
      <c r="M39" s="292">
        <v>0</v>
      </c>
      <c r="N39" s="983"/>
      <c r="O39" s="292">
        <v>9</v>
      </c>
      <c r="P39" s="983"/>
      <c r="Q39" s="292">
        <v>0</v>
      </c>
      <c r="R39" s="983"/>
      <c r="S39" s="292">
        <v>0</v>
      </c>
      <c r="T39" s="983"/>
      <c r="U39" s="292">
        <v>0</v>
      </c>
      <c r="V39" s="983"/>
      <c r="W39" s="292">
        <v>0</v>
      </c>
      <c r="X39" s="983"/>
      <c r="Y39" s="292">
        <v>0</v>
      </c>
      <c r="Z39" s="983"/>
      <c r="AA39" s="292">
        <v>0</v>
      </c>
      <c r="AB39" s="983"/>
      <c r="AC39" s="292">
        <v>0</v>
      </c>
      <c r="AD39" s="983"/>
      <c r="AE39" s="292">
        <v>0</v>
      </c>
      <c r="AF39" s="983"/>
      <c r="AG39" s="292">
        <v>0</v>
      </c>
      <c r="AH39" s="983"/>
      <c r="AI39" s="292">
        <v>0</v>
      </c>
      <c r="AJ39" s="983"/>
      <c r="AK39" s="292">
        <v>0</v>
      </c>
      <c r="AL39" s="983"/>
      <c r="AM39" s="292">
        <v>0</v>
      </c>
      <c r="AN39" s="983"/>
      <c r="AO39" s="292">
        <v>0</v>
      </c>
      <c r="AP39" s="983"/>
      <c r="AQ39" s="292">
        <v>0</v>
      </c>
      <c r="AR39" s="983"/>
      <c r="AS39" s="292">
        <v>0</v>
      </c>
      <c r="AT39" s="983"/>
      <c r="AU39" s="292">
        <v>0</v>
      </c>
      <c r="AV39" s="983"/>
      <c r="AW39" s="292">
        <v>0</v>
      </c>
      <c r="AX39" s="983"/>
      <c r="AY39" s="292">
        <v>0</v>
      </c>
      <c r="AZ39" s="983"/>
      <c r="BA39" s="292">
        <v>0</v>
      </c>
      <c r="BB39" s="983"/>
      <c r="BC39" s="292">
        <v>0</v>
      </c>
      <c r="BD39" s="983"/>
    </row>
    <row r="40" spans="1:56" ht="13.9" customHeight="1" thickBot="1" x14ac:dyDescent="0.4">
      <c r="A40" s="996"/>
      <c r="B40" s="996"/>
      <c r="C40" s="999"/>
      <c r="D40" s="1002"/>
      <c r="E40" s="1005"/>
      <c r="F40" s="252"/>
      <c r="G40" s="293">
        <f>$D38*G39</f>
        <v>0</v>
      </c>
      <c r="H40" s="1008"/>
      <c r="I40" s="104">
        <f>$D38*I39</f>
        <v>0</v>
      </c>
      <c r="J40" s="984"/>
      <c r="K40" s="104">
        <f>$D38*K39</f>
        <v>0</v>
      </c>
      <c r="L40" s="984"/>
      <c r="M40" s="293">
        <f>$D38*M39</f>
        <v>0</v>
      </c>
      <c r="N40" s="984"/>
      <c r="O40" s="104">
        <f>$D38*O39</f>
        <v>0</v>
      </c>
      <c r="P40" s="984"/>
      <c r="Q40" s="293">
        <f>$D38*Q39</f>
        <v>0</v>
      </c>
      <c r="R40" s="984"/>
      <c r="S40" s="104">
        <f>$D38*S39</f>
        <v>0</v>
      </c>
      <c r="T40" s="984"/>
      <c r="U40" s="293">
        <f>$D38*U39</f>
        <v>0</v>
      </c>
      <c r="V40" s="984"/>
      <c r="W40" s="104">
        <f>$D38*W39</f>
        <v>0</v>
      </c>
      <c r="X40" s="984"/>
      <c r="Y40" s="293">
        <f>$D38*Y39</f>
        <v>0</v>
      </c>
      <c r="Z40" s="984"/>
      <c r="AA40" s="104">
        <f>$D38*AA39</f>
        <v>0</v>
      </c>
      <c r="AB40" s="984"/>
      <c r="AC40" s="104">
        <f>$D38*AC39</f>
        <v>0</v>
      </c>
      <c r="AD40" s="984"/>
      <c r="AE40" s="104">
        <f>$D38*AE39</f>
        <v>0</v>
      </c>
      <c r="AF40" s="984"/>
      <c r="AG40" s="293">
        <f>$D38*AG39</f>
        <v>0</v>
      </c>
      <c r="AH40" s="984"/>
      <c r="AI40" s="104">
        <f>$D38*AI39</f>
        <v>0</v>
      </c>
      <c r="AJ40" s="984"/>
      <c r="AK40" s="104">
        <f>$D38*AK39</f>
        <v>0</v>
      </c>
      <c r="AL40" s="984"/>
      <c r="AM40" s="104">
        <f>$D38*AM39</f>
        <v>0</v>
      </c>
      <c r="AN40" s="984"/>
      <c r="AO40" s="104">
        <f>$D38*AO39</f>
        <v>0</v>
      </c>
      <c r="AP40" s="984"/>
      <c r="AQ40" s="104">
        <f>$D38*AQ39</f>
        <v>0</v>
      </c>
      <c r="AR40" s="984"/>
      <c r="AS40" s="104">
        <f>$D38*AS39</f>
        <v>0</v>
      </c>
      <c r="AT40" s="984"/>
      <c r="AU40" s="104">
        <f>$D38*AU39</f>
        <v>0</v>
      </c>
      <c r="AV40" s="984"/>
      <c r="AW40" s="104">
        <f>$D38*AW39</f>
        <v>0</v>
      </c>
      <c r="AX40" s="984"/>
      <c r="AY40" s="104">
        <f>$D38*AY39</f>
        <v>0</v>
      </c>
      <c r="AZ40" s="984"/>
      <c r="BA40" s="104">
        <f>$D38*BA39</f>
        <v>0</v>
      </c>
      <c r="BB40" s="984"/>
      <c r="BC40" s="104">
        <f>$D38*BC39</f>
        <v>0</v>
      </c>
      <c r="BD40" s="984"/>
    </row>
    <row r="41" spans="1:56" ht="13.15" customHeight="1" x14ac:dyDescent="0.35">
      <c r="A41" s="994" t="s">
        <v>565</v>
      </c>
      <c r="B41" s="994" t="s">
        <v>522</v>
      </c>
      <c r="C41" s="997" t="s">
        <v>649</v>
      </c>
      <c r="D41" s="1000">
        <v>92.65</v>
      </c>
      <c r="E41" s="1003"/>
      <c r="F41" s="250"/>
      <c r="G41" s="291">
        <f>G42/G$12</f>
        <v>0</v>
      </c>
      <c r="H41" s="1006">
        <f>SUMIFS('9. Actuals SAP Extract'!$V:$V,'9. Actuals SAP Extract'!$H:$H,$A41,'9. Actuals SAP Extract'!$P:$P,$B41,'9. Actuals SAP Extract'!$W:$W,H$11)</f>
        <v>0</v>
      </c>
      <c r="I41" s="102">
        <f>I42/I$12</f>
        <v>0</v>
      </c>
      <c r="J41" s="982">
        <f>SUMIFS('9. Actuals SAP Extract'!$V:$V,'9. Actuals SAP Extract'!$H:$H,$A41,'9. Actuals SAP Extract'!$P:$P,$B41,'9. Actuals SAP Extract'!$W:$W,J$11)</f>
        <v>0</v>
      </c>
      <c r="K41" s="102">
        <f>K42/K$12</f>
        <v>0</v>
      </c>
      <c r="L41" s="982">
        <f>SUMIFS('9. Actuals SAP Extract'!$V:$V,'9. Actuals SAP Extract'!$P:$P,$B41,'9. Actuals SAP Extract'!$H:$H,$A41,'9. Actuals SAP Extract'!$W:$W,'Detailed Forecast vs Actuals'!L$11)</f>
        <v>0</v>
      </c>
      <c r="M41" s="291">
        <f>M42/M$12</f>
        <v>0</v>
      </c>
      <c r="N41" s="982">
        <f>SUMIFS('9. Actuals SAP Extract'!$V:$V,'9. Actuals SAP Extract'!$H:$H,$A41,'9. Actuals SAP Extract'!$P:$P,$B41,'9. Actuals SAP Extract'!$W:$W,N$11)</f>
        <v>297.52</v>
      </c>
      <c r="O41" s="102">
        <f>O42/O$12</f>
        <v>0.11363636363636363</v>
      </c>
      <c r="P41" s="982">
        <f>SUMIFS('9. Actuals SAP Extract'!$V:$V,'9. Actuals SAP Extract'!$P:$P,$B41,'9. Actuals SAP Extract'!$H:$H,$A41,'9. Actuals SAP Extract'!$W:$W,'Detailed Forecast vs Actuals'!P$11)</f>
        <v>0</v>
      </c>
      <c r="Q41" s="291">
        <f>Q42/Q$12</f>
        <v>0.25</v>
      </c>
      <c r="R41" s="982">
        <f>SUMIFS('9. Actuals SAP Extract'!$V:$V,'9. Actuals SAP Extract'!$H:$H,$A41,'9. Actuals SAP Extract'!$P:$P,$B41,'9. Actuals SAP Extract'!$W:$W,R$11)</f>
        <v>0</v>
      </c>
      <c r="S41" s="102">
        <f>S42/S$12</f>
        <v>0.26190476190476192</v>
      </c>
      <c r="T41" s="982"/>
      <c r="U41" s="291">
        <f>U42/U$12</f>
        <v>0</v>
      </c>
      <c r="V41" s="982">
        <f>SUMIFS('9. Actuals SAP Extract'!$V:$V,'9. Actuals SAP Extract'!$H:$H,$A41,'9. Actuals SAP Extract'!$P:$P,$B41,'9. Actuals SAP Extract'!$W:$W,V$11)</f>
        <v>1482.4</v>
      </c>
      <c r="W41" s="102">
        <f>W42/W$12</f>
        <v>0</v>
      </c>
      <c r="X41" s="982">
        <f>SUMIFS('9. Actuals SAP Extract'!$V:$V,'9. Actuals SAP Extract'!$P:$P,$B41,'9. Actuals SAP Extract'!$H:$H,$A41,'9. Actuals SAP Extract'!$W:$W,'Detailed Forecast vs Actuals'!X$11)</f>
        <v>370.6</v>
      </c>
      <c r="Y41" s="291">
        <f>Y42/Y$12</f>
        <v>0.90909090909090906</v>
      </c>
      <c r="Z41" s="982">
        <f>SUMIFS('9. Actuals SAP Extract'!$V:$V,'9. Actuals SAP Extract'!$H:$H,$A41,'9. Actuals SAP Extract'!$P:$P,$B41,'9. Actuals SAP Extract'!$W:$W,Z$11)</f>
        <v>8801.7499999999982</v>
      </c>
      <c r="AA41" s="102">
        <f>AA42/AA$12</f>
        <v>0.86956521739130432</v>
      </c>
      <c r="AB41" s="982">
        <f>SUMIFS('9. Actuals SAP Extract'!$V:$V,'9. Actuals SAP Extract'!$P:$P,$B41,'9. Actuals SAP Extract'!$H:$H,$A41,'9. Actuals SAP Extract'!$W:$W,'Detailed Forecast vs Actuals'!AB$11)</f>
        <v>3335.4</v>
      </c>
      <c r="AC41" s="102">
        <f>AC42/AC$12</f>
        <v>0</v>
      </c>
      <c r="AD41" s="982">
        <f>SUMIFS('9. Actuals SAP Extract'!$V:$V,'9. Actuals SAP Extract'!$P:$P,$B41,'9. Actuals SAP Extract'!$H:$H,$A41,'9. Actuals SAP Extract'!$W:$W,'Detailed Forecast vs Actuals'!AD$11)</f>
        <v>7319.3499999999995</v>
      </c>
      <c r="AE41" s="102">
        <f>AE42/AE$12</f>
        <v>0</v>
      </c>
      <c r="AF41" s="982">
        <f>SUMIFS('9. Actuals SAP Extract'!$V:$V,'9. Actuals SAP Extract'!$P:$P,$B41,'9. Actuals SAP Extract'!$H:$H,$A41,'9. Actuals SAP Extract'!$W:$W,'Detailed Forecast vs Actuals'!AF$11)</f>
        <v>9820.9000000000015</v>
      </c>
      <c r="AG41" s="291">
        <f>AG42/AG$12</f>
        <v>0.22500000000000001</v>
      </c>
      <c r="AH41" s="982">
        <f>SUMIFS('9. Actuals SAP Extract'!$V:$V,'9. Actuals SAP Extract'!$P:$P,$B41,'9. Actuals SAP Extract'!$H:$H,$A41,'9. Actuals SAP Extract'!$W:$W,'Detailed Forecast vs Actuals'!AH$11)</f>
        <v>5943.2</v>
      </c>
      <c r="AI41" s="102">
        <f>AI42/AI$12</f>
        <v>0.22500000000000001</v>
      </c>
      <c r="AJ41" s="982">
        <f>SUMIFS('9. Actuals SAP Extract'!$V:$V,'9. Actuals SAP Extract'!$P:$P,$B41,'9. Actuals SAP Extract'!$H:$H,$A41,'9. Actuals SAP Extract'!$W:$W,'Detailed Forecast vs Actuals'!AJ$11)</f>
        <v>2359.8000000000002</v>
      </c>
      <c r="AK41" s="102">
        <f>AK42/AK$12</f>
        <v>0.30681818181818182</v>
      </c>
      <c r="AL41" s="982">
        <f>SUMIFS('9. Actuals SAP Extract'!$V:$V,'9. Actuals SAP Extract'!$P:$P,$B41,'9. Actuals SAP Extract'!$H:$H,$A41,'9. Actuals SAP Extract'!$W:$W,'Detailed Forecast vs Actuals'!AL$11)</f>
        <v>2185.0000000000005</v>
      </c>
      <c r="AM41" s="102">
        <f>AM42/AM$12</f>
        <v>0.30681818181818182</v>
      </c>
      <c r="AN41" s="982">
        <f>SUMIFS('9. Actuals SAP Extract'!$V:$V,'9. Actuals SAP Extract'!$P:$P,$B41,'9. Actuals SAP Extract'!$H:$H,$A41,'9. Actuals SAP Extract'!$W:$W,'Detailed Forecast vs Actuals'!AN$11)</f>
        <v>3758.2000000000003</v>
      </c>
      <c r="AO41" s="102">
        <f>AO42/AO$12</f>
        <v>0.32142857142857145</v>
      </c>
      <c r="AP41" s="982">
        <f>SUMIFS('9. Actuals SAP Extract'!$V:$V,'9. Actuals SAP Extract'!$P:$P,$B41,'9. Actuals SAP Extract'!$H:$H,$A41,'9. Actuals SAP Extract'!$W:$W,'Detailed Forecast vs Actuals'!AP$11)</f>
        <v>262.20000000000005</v>
      </c>
      <c r="AQ41" s="102">
        <f>AQ42/AQ$12</f>
        <v>0.30681818181818182</v>
      </c>
      <c r="AR41" s="982"/>
      <c r="AS41" s="102">
        <f>AS42/AS$12</f>
        <v>0.30681818181818182</v>
      </c>
      <c r="AT41" s="982"/>
      <c r="AU41" s="102">
        <f>AU42/AU$12</f>
        <v>0.32142857142857145</v>
      </c>
      <c r="AV41" s="982"/>
      <c r="AW41" s="102">
        <f>AW42/AW$12</f>
        <v>0.30681818181818182</v>
      </c>
      <c r="AX41" s="982"/>
      <c r="AY41" s="102">
        <f>AY42/AY$12</f>
        <v>0.30681818181818182</v>
      </c>
      <c r="AZ41" s="982"/>
      <c r="BA41" s="102">
        <f>BA42/BA$12</f>
        <v>0.35526315789473684</v>
      </c>
      <c r="BB41" s="982"/>
      <c r="BC41" s="102">
        <f>BC42/BC$12</f>
        <v>0.33750000000000002</v>
      </c>
      <c r="BD41" s="982"/>
    </row>
    <row r="42" spans="1:56" ht="13.15" customHeight="1" x14ac:dyDescent="0.35">
      <c r="A42" s="995"/>
      <c r="B42" s="995"/>
      <c r="C42" s="998"/>
      <c r="D42" s="1001"/>
      <c r="E42" s="1004"/>
      <c r="F42" s="251"/>
      <c r="G42" s="292">
        <v>0</v>
      </c>
      <c r="H42" s="1007"/>
      <c r="I42" s="103">
        <v>0</v>
      </c>
      <c r="J42" s="983"/>
      <c r="K42" s="103">
        <v>0</v>
      </c>
      <c r="L42" s="983"/>
      <c r="M42" s="292">
        <v>0</v>
      </c>
      <c r="N42" s="983"/>
      <c r="O42" s="292">
        <v>20</v>
      </c>
      <c r="P42" s="983"/>
      <c r="Q42" s="292">
        <v>44</v>
      </c>
      <c r="R42" s="983"/>
      <c r="S42" s="292">
        <v>44</v>
      </c>
      <c r="T42" s="983"/>
      <c r="U42" s="292">
        <v>0</v>
      </c>
      <c r="V42" s="983"/>
      <c r="W42" s="292">
        <v>0</v>
      </c>
      <c r="X42" s="983"/>
      <c r="Y42" s="292">
        <v>160</v>
      </c>
      <c r="Z42" s="983"/>
      <c r="AA42" s="292">
        <v>160</v>
      </c>
      <c r="AB42" s="983"/>
      <c r="AC42" s="292">
        <v>0</v>
      </c>
      <c r="AD42" s="983"/>
      <c r="AE42" s="292">
        <v>0</v>
      </c>
      <c r="AF42" s="983"/>
      <c r="AG42" s="292">
        <v>36</v>
      </c>
      <c r="AH42" s="983"/>
      <c r="AI42" s="292">
        <v>36</v>
      </c>
      <c r="AJ42" s="983"/>
      <c r="AK42" s="292">
        <v>54</v>
      </c>
      <c r="AL42" s="983"/>
      <c r="AM42" s="292">
        <v>54</v>
      </c>
      <c r="AN42" s="983"/>
      <c r="AO42" s="292">
        <v>54</v>
      </c>
      <c r="AP42" s="983"/>
      <c r="AQ42" s="292">
        <v>54</v>
      </c>
      <c r="AR42" s="983"/>
      <c r="AS42" s="292">
        <v>54</v>
      </c>
      <c r="AT42" s="983"/>
      <c r="AU42" s="292">
        <v>54</v>
      </c>
      <c r="AV42" s="983"/>
      <c r="AW42" s="292">
        <v>54</v>
      </c>
      <c r="AX42" s="983"/>
      <c r="AY42" s="292">
        <v>54</v>
      </c>
      <c r="AZ42" s="983"/>
      <c r="BA42" s="292">
        <v>54</v>
      </c>
      <c r="BB42" s="983"/>
      <c r="BC42" s="292">
        <v>54</v>
      </c>
      <c r="BD42" s="983"/>
    </row>
    <row r="43" spans="1:56" ht="13.9" customHeight="1" thickBot="1" x14ac:dyDescent="0.4">
      <c r="A43" s="996"/>
      <c r="B43" s="996"/>
      <c r="C43" s="999"/>
      <c r="D43" s="1002"/>
      <c r="E43" s="1005"/>
      <c r="F43" s="252"/>
      <c r="G43" s="293">
        <f>$D41*G42</f>
        <v>0</v>
      </c>
      <c r="H43" s="1008"/>
      <c r="I43" s="104">
        <f>$D41*I42</f>
        <v>0</v>
      </c>
      <c r="J43" s="984"/>
      <c r="K43" s="104">
        <f>$D41*K42</f>
        <v>0</v>
      </c>
      <c r="L43" s="984"/>
      <c r="M43" s="293">
        <f>$D41*M42</f>
        <v>0</v>
      </c>
      <c r="N43" s="984"/>
      <c r="O43" s="104">
        <f>$D41*O42</f>
        <v>1853</v>
      </c>
      <c r="P43" s="984"/>
      <c r="Q43" s="293">
        <f>$D41*Q42</f>
        <v>4076.6000000000004</v>
      </c>
      <c r="R43" s="984"/>
      <c r="S43" s="104">
        <f>$D41*S42</f>
        <v>4076.6000000000004</v>
      </c>
      <c r="T43" s="984"/>
      <c r="U43" s="293">
        <f>$D41*U42</f>
        <v>0</v>
      </c>
      <c r="V43" s="984"/>
      <c r="W43" s="104">
        <f>$D41*W42</f>
        <v>0</v>
      </c>
      <c r="X43" s="984"/>
      <c r="Y43" s="293">
        <f>$D41*Y42</f>
        <v>14824</v>
      </c>
      <c r="Z43" s="984"/>
      <c r="AA43" s="104">
        <f>$D41*AA42</f>
        <v>14824</v>
      </c>
      <c r="AB43" s="984"/>
      <c r="AC43" s="104">
        <f>$D41*AC42</f>
        <v>0</v>
      </c>
      <c r="AD43" s="984"/>
      <c r="AE43" s="104">
        <f>$D41*AE42</f>
        <v>0</v>
      </c>
      <c r="AF43" s="984"/>
      <c r="AG43" s="293">
        <f>$D41*AG42</f>
        <v>3335.4</v>
      </c>
      <c r="AH43" s="984"/>
      <c r="AI43" s="104">
        <f>$D41*AI42</f>
        <v>3335.4</v>
      </c>
      <c r="AJ43" s="984"/>
      <c r="AK43" s="104">
        <f>$D41*AK42</f>
        <v>5003.1000000000004</v>
      </c>
      <c r="AL43" s="984"/>
      <c r="AM43" s="104">
        <f>$D41*AM42</f>
        <v>5003.1000000000004</v>
      </c>
      <c r="AN43" s="984"/>
      <c r="AO43" s="104">
        <f>$D41*AO42</f>
        <v>5003.1000000000004</v>
      </c>
      <c r="AP43" s="984"/>
      <c r="AQ43" s="104">
        <f>$D41*AQ42</f>
        <v>5003.1000000000004</v>
      </c>
      <c r="AR43" s="984"/>
      <c r="AS43" s="104">
        <f>$D41*AS42</f>
        <v>5003.1000000000004</v>
      </c>
      <c r="AT43" s="984"/>
      <c r="AU43" s="104">
        <f>$D41*AU42</f>
        <v>5003.1000000000004</v>
      </c>
      <c r="AV43" s="984"/>
      <c r="AW43" s="104">
        <f>$D41*AW42</f>
        <v>5003.1000000000004</v>
      </c>
      <c r="AX43" s="984"/>
      <c r="AY43" s="104">
        <f>$D41*AY42</f>
        <v>5003.1000000000004</v>
      </c>
      <c r="AZ43" s="984"/>
      <c r="BA43" s="104">
        <f>$D41*BA42</f>
        <v>5003.1000000000004</v>
      </c>
      <c r="BB43" s="984"/>
      <c r="BC43" s="104">
        <f>$D41*BC42</f>
        <v>5003.1000000000004</v>
      </c>
      <c r="BD43" s="984"/>
    </row>
    <row r="44" spans="1:56" ht="13.15" customHeight="1" x14ac:dyDescent="0.35">
      <c r="A44" s="994" t="s">
        <v>567</v>
      </c>
      <c r="B44" s="994" t="s">
        <v>522</v>
      </c>
      <c r="C44" s="997" t="s">
        <v>649</v>
      </c>
      <c r="D44" s="1000">
        <v>92.65</v>
      </c>
      <c r="E44" s="1003"/>
      <c r="F44" s="250"/>
      <c r="G44" s="291">
        <f>G45/G$12</f>
        <v>0</v>
      </c>
      <c r="H44" s="1006">
        <f>SUMIFS('9. Actuals SAP Extract'!$V:$V,'9. Actuals SAP Extract'!$H:$H,$A44,'9. Actuals SAP Extract'!$P:$P,$B44,'9. Actuals SAP Extract'!$W:$W,H$11)</f>
        <v>0</v>
      </c>
      <c r="I44" s="102">
        <f>I45/I$12</f>
        <v>0</v>
      </c>
      <c r="J44" s="982">
        <f>SUMIFS('9. Actuals SAP Extract'!$V:$V,'9. Actuals SAP Extract'!$H:$H,$A44,'9. Actuals SAP Extract'!$P:$P,$B44,'9. Actuals SAP Extract'!$W:$W,J$11)</f>
        <v>0</v>
      </c>
      <c r="K44" s="102">
        <f>K45/K$12</f>
        <v>0</v>
      </c>
      <c r="L44" s="982">
        <f>SUMIFS('9. Actuals SAP Extract'!$V:$V,'9. Actuals SAP Extract'!$P:$P,$B44,'9. Actuals SAP Extract'!$H:$H,$A44,'9. Actuals SAP Extract'!$W:$W,'Detailed Forecast vs Actuals'!L$11)</f>
        <v>0</v>
      </c>
      <c r="M44" s="291">
        <f>M45/M$12</f>
        <v>0</v>
      </c>
      <c r="N44" s="982">
        <f>SUMIFS('9. Actuals SAP Extract'!$V:$V,'9. Actuals SAP Extract'!$H:$H,$A44,'9. Actuals SAP Extract'!$P:$P,$B44,'9. Actuals SAP Extract'!$W:$W,N$11)</f>
        <v>223.14</v>
      </c>
      <c r="O44" s="102">
        <f>O45/O$12</f>
        <v>0.11363636363636363</v>
      </c>
      <c r="P44" s="982">
        <v>297.5</v>
      </c>
      <c r="Q44" s="291">
        <f>Q45/Q$12</f>
        <v>0.11363636363636363</v>
      </c>
      <c r="R44" s="982">
        <f>SUMIFS('9. Actuals SAP Extract'!$V:$V,'9. Actuals SAP Extract'!$H:$H,$A44,'9. Actuals SAP Extract'!$P:$P,$B44,'9. Actuals SAP Extract'!$W:$W,R$11)</f>
        <v>297.52</v>
      </c>
      <c r="S44" s="102">
        <f>S45/S$12</f>
        <v>0</v>
      </c>
      <c r="T44" s="982"/>
      <c r="U44" s="291">
        <f>U45/U$12</f>
        <v>0</v>
      </c>
      <c r="V44" s="982">
        <f>SUMIFS('9. Actuals SAP Extract'!$V:$V,'9. Actuals SAP Extract'!$H:$H,$A44,'9. Actuals SAP Extract'!$P:$P,$B44,'9. Actuals SAP Extract'!$W:$W,V$11)</f>
        <v>648.54999999999995</v>
      </c>
      <c r="W44" s="102">
        <f>W45/W$12</f>
        <v>0</v>
      </c>
      <c r="X44" s="982">
        <f>SUMIFS('9. Actuals SAP Extract'!$V:$V,'9. Actuals SAP Extract'!$P:$P,$B44,'9. Actuals SAP Extract'!$H:$H,$A44,'9. Actuals SAP Extract'!$W:$W,'Detailed Forecast vs Actuals'!X$11)</f>
        <v>185.3</v>
      </c>
      <c r="Y44" s="291">
        <f>Y45/Y$12</f>
        <v>2.2727272727272728E-2</v>
      </c>
      <c r="Z44" s="982">
        <f>SUMIFS('9. Actuals SAP Extract'!$V:$V,'9. Actuals SAP Extract'!$H:$H,$A44,'9. Actuals SAP Extract'!$P:$P,$B44,'9. Actuals SAP Extract'!$W:$W,Z$11)</f>
        <v>1297.0999999999999</v>
      </c>
      <c r="AA44" s="102">
        <f>AA45/AA$12</f>
        <v>2.1739130434782608E-2</v>
      </c>
      <c r="AB44" s="982">
        <f>SUMIFS('9. Actuals SAP Extract'!$V:$V,'9. Actuals SAP Extract'!$P:$P,$B44,'9. Actuals SAP Extract'!$H:$H,$A44,'9. Actuals SAP Extract'!$W:$W,'Detailed Forecast vs Actuals'!AB$11)</f>
        <v>7319.35</v>
      </c>
      <c r="AC44" s="102">
        <f>AC45/AC$12</f>
        <v>0</v>
      </c>
      <c r="AD44" s="982">
        <f>SUMIFS('9. Actuals SAP Extract'!$V:$V,'9. Actuals SAP Extract'!$P:$P,$B44,'9. Actuals SAP Extract'!$H:$H,$A44,'9. Actuals SAP Extract'!$W:$W,'Detailed Forecast vs Actuals'!AD$11)</f>
        <v>833.85000000000014</v>
      </c>
      <c r="AE44" s="102">
        <f>AE45/AE$12</f>
        <v>0</v>
      </c>
      <c r="AF44" s="982">
        <f>SUMIFS('9. Actuals SAP Extract'!$V:$V,'9. Actuals SAP Extract'!$P:$P,$B44,'9. Actuals SAP Extract'!$H:$H,$A44,'9. Actuals SAP Extract'!$W:$W,'Detailed Forecast vs Actuals'!AF$11)</f>
        <v>370.6</v>
      </c>
      <c r="AG44" s="291">
        <f>AG45/AG$12</f>
        <v>0</v>
      </c>
      <c r="AH44" s="982">
        <f>SUMIFS('9. Actuals SAP Extract'!$V:$V,'9. Actuals SAP Extract'!$P:$P,$B44,'9. Actuals SAP Extract'!$H:$H,$A44,'9. Actuals SAP Extract'!$W:$W,'Detailed Forecast vs Actuals'!AH$11)</f>
        <v>3146.4</v>
      </c>
      <c r="AI44" s="102">
        <f>AI45/AI$12</f>
        <v>0.14374999999999999</v>
      </c>
      <c r="AJ44" s="982">
        <f>SUMIFS('9. Actuals SAP Extract'!$V:$V,'9. Actuals SAP Extract'!$P:$P,$B44,'9. Actuals SAP Extract'!$H:$H,$A44,'9. Actuals SAP Extract'!$W:$W,'Detailed Forecast vs Actuals'!AJ$11)</f>
        <v>699.2</v>
      </c>
      <c r="AK44" s="102">
        <f>AK45/AK$12</f>
        <v>0.30681818181818182</v>
      </c>
      <c r="AL44" s="982">
        <f>SUMIFS('9. Actuals SAP Extract'!$V:$V,'9. Actuals SAP Extract'!$P:$P,$B44,'9. Actuals SAP Extract'!$H:$H,$A44,'9. Actuals SAP Extract'!$W:$W,'Detailed Forecast vs Actuals'!AL$11)</f>
        <v>262.20000000000005</v>
      </c>
      <c r="AM44" s="102">
        <f>AM45/AM$12</f>
        <v>0.30681818181818182</v>
      </c>
      <c r="AN44" s="982">
        <f>SUMIFS('9. Actuals SAP Extract'!$V:$V,'9. Actuals SAP Extract'!$P:$P,$B44,'9. Actuals SAP Extract'!$H:$H,$A44,'9. Actuals SAP Extract'!$W:$W,'Detailed Forecast vs Actuals'!AN$11)</f>
        <v>5593.6</v>
      </c>
      <c r="AO44" s="102">
        <f>AO45/AO$12</f>
        <v>0.35714285714285715</v>
      </c>
      <c r="AP44" s="982">
        <f>SUMIFS('9. Actuals SAP Extract'!$V:$V,'9. Actuals SAP Extract'!$P:$P,$B44,'9. Actuals SAP Extract'!$H:$H,$A44,'9. Actuals SAP Extract'!$W:$W,'Detailed Forecast vs Actuals'!AP$11)</f>
        <v>349.6</v>
      </c>
      <c r="AQ44" s="102">
        <f>AQ45/AQ$12</f>
        <v>0.30681818181818182</v>
      </c>
      <c r="AR44" s="982"/>
      <c r="AS44" s="102">
        <f>AS45/AS$12</f>
        <v>0.30681818181818182</v>
      </c>
      <c r="AT44" s="982"/>
      <c r="AU44" s="102">
        <f>AU45/AU$12</f>
        <v>0.32142857142857145</v>
      </c>
      <c r="AV44" s="982"/>
      <c r="AW44" s="102">
        <f>AW45/AW$12</f>
        <v>0.30681818181818182</v>
      </c>
      <c r="AX44" s="982"/>
      <c r="AY44" s="102">
        <f>AY45/AY$12</f>
        <v>0.30681818181818182</v>
      </c>
      <c r="AZ44" s="982"/>
      <c r="BA44" s="102">
        <f>BA45/BA$12</f>
        <v>0.35526315789473684</v>
      </c>
      <c r="BB44" s="982"/>
      <c r="BC44" s="102">
        <f>BC45/BC$12</f>
        <v>0.33750000000000002</v>
      </c>
      <c r="BD44" s="982"/>
    </row>
    <row r="45" spans="1:56" ht="13.15" customHeight="1" x14ac:dyDescent="0.35">
      <c r="A45" s="995"/>
      <c r="B45" s="995"/>
      <c r="C45" s="998"/>
      <c r="D45" s="1001"/>
      <c r="E45" s="1004"/>
      <c r="F45" s="251"/>
      <c r="G45" s="292">
        <v>0</v>
      </c>
      <c r="H45" s="1007"/>
      <c r="I45" s="103">
        <v>0</v>
      </c>
      <c r="J45" s="983"/>
      <c r="K45" s="103">
        <v>0</v>
      </c>
      <c r="L45" s="983"/>
      <c r="M45" s="292">
        <v>0</v>
      </c>
      <c r="N45" s="983"/>
      <c r="O45" s="103">
        <v>20</v>
      </c>
      <c r="P45" s="983"/>
      <c r="Q45" s="292">
        <v>20</v>
      </c>
      <c r="R45" s="983"/>
      <c r="S45" s="103">
        <v>0</v>
      </c>
      <c r="T45" s="983"/>
      <c r="U45" s="292">
        <v>0</v>
      </c>
      <c r="V45" s="983"/>
      <c r="W45" s="103">
        <v>0</v>
      </c>
      <c r="X45" s="983"/>
      <c r="Y45" s="292">
        <v>4</v>
      </c>
      <c r="Z45" s="983"/>
      <c r="AA45" s="103">
        <v>4</v>
      </c>
      <c r="AB45" s="983"/>
      <c r="AC45" s="103">
        <v>0</v>
      </c>
      <c r="AD45" s="983"/>
      <c r="AE45" s="103">
        <v>0</v>
      </c>
      <c r="AF45" s="983"/>
      <c r="AG45" s="292">
        <v>0</v>
      </c>
      <c r="AH45" s="983"/>
      <c r="AI45" s="103">
        <v>23</v>
      </c>
      <c r="AJ45" s="983"/>
      <c r="AK45" s="103">
        <v>54</v>
      </c>
      <c r="AL45" s="983"/>
      <c r="AM45" s="103">
        <v>54</v>
      </c>
      <c r="AN45" s="983"/>
      <c r="AO45" s="103">
        <v>60</v>
      </c>
      <c r="AP45" s="983"/>
      <c r="AQ45" s="103">
        <v>54</v>
      </c>
      <c r="AR45" s="983"/>
      <c r="AS45" s="103">
        <v>54</v>
      </c>
      <c r="AT45" s="983"/>
      <c r="AU45" s="103">
        <v>54</v>
      </c>
      <c r="AV45" s="983"/>
      <c r="AW45" s="103">
        <v>54</v>
      </c>
      <c r="AX45" s="983"/>
      <c r="AY45" s="103">
        <v>54</v>
      </c>
      <c r="AZ45" s="983"/>
      <c r="BA45" s="103">
        <v>54</v>
      </c>
      <c r="BB45" s="983"/>
      <c r="BC45" s="103">
        <v>54</v>
      </c>
      <c r="BD45" s="983"/>
    </row>
    <row r="46" spans="1:56" ht="13.9" customHeight="1" thickBot="1" x14ac:dyDescent="0.4">
      <c r="A46" s="996"/>
      <c r="B46" s="996"/>
      <c r="C46" s="999"/>
      <c r="D46" s="1002"/>
      <c r="E46" s="1005"/>
      <c r="F46" s="252"/>
      <c r="G46" s="293">
        <f>$D44*G45</f>
        <v>0</v>
      </c>
      <c r="H46" s="1008"/>
      <c r="I46" s="104">
        <f>$D44*I45</f>
        <v>0</v>
      </c>
      <c r="J46" s="984"/>
      <c r="K46" s="104">
        <f>$D44*K45</f>
        <v>0</v>
      </c>
      <c r="L46" s="984"/>
      <c r="M46" s="293">
        <f>$D44*M45</f>
        <v>0</v>
      </c>
      <c r="N46" s="984"/>
      <c r="O46" s="104">
        <f>$D44*O45</f>
        <v>1853</v>
      </c>
      <c r="P46" s="984"/>
      <c r="Q46" s="293">
        <f>$D44*Q45</f>
        <v>1853</v>
      </c>
      <c r="R46" s="984"/>
      <c r="S46" s="104">
        <f>$D44*S45</f>
        <v>0</v>
      </c>
      <c r="T46" s="984"/>
      <c r="U46" s="293">
        <f>$D44*U45</f>
        <v>0</v>
      </c>
      <c r="V46" s="984"/>
      <c r="W46" s="104">
        <f>$D44*W45</f>
        <v>0</v>
      </c>
      <c r="X46" s="984"/>
      <c r="Y46" s="293">
        <f>$D44*Y45</f>
        <v>370.6</v>
      </c>
      <c r="Z46" s="984"/>
      <c r="AA46" s="104">
        <f>$D44*AA45</f>
        <v>370.6</v>
      </c>
      <c r="AB46" s="984"/>
      <c r="AC46" s="104">
        <f>$D44*AC45</f>
        <v>0</v>
      </c>
      <c r="AD46" s="984"/>
      <c r="AE46" s="104">
        <f>$D44*AE45</f>
        <v>0</v>
      </c>
      <c r="AF46" s="984"/>
      <c r="AG46" s="293">
        <f>$D44*AG45</f>
        <v>0</v>
      </c>
      <c r="AH46" s="984"/>
      <c r="AI46" s="104">
        <f>$D44*AI45</f>
        <v>2130.9500000000003</v>
      </c>
      <c r="AJ46" s="984"/>
      <c r="AK46" s="104">
        <f>$D44*AK45</f>
        <v>5003.1000000000004</v>
      </c>
      <c r="AL46" s="984"/>
      <c r="AM46" s="104">
        <f>$D44*AM45</f>
        <v>5003.1000000000004</v>
      </c>
      <c r="AN46" s="984"/>
      <c r="AO46" s="104">
        <f>$D44*AO45</f>
        <v>5559</v>
      </c>
      <c r="AP46" s="984"/>
      <c r="AQ46" s="104">
        <f>$D44*AQ45</f>
        <v>5003.1000000000004</v>
      </c>
      <c r="AR46" s="984"/>
      <c r="AS46" s="104">
        <f>$D44*AS45</f>
        <v>5003.1000000000004</v>
      </c>
      <c r="AT46" s="984"/>
      <c r="AU46" s="104">
        <f>$D44*AU45</f>
        <v>5003.1000000000004</v>
      </c>
      <c r="AV46" s="984"/>
      <c r="AW46" s="104">
        <f>$D44*AW45</f>
        <v>5003.1000000000004</v>
      </c>
      <c r="AX46" s="984"/>
      <c r="AY46" s="104">
        <f>$D44*AY45</f>
        <v>5003.1000000000004</v>
      </c>
      <c r="AZ46" s="984"/>
      <c r="BA46" s="104">
        <f>$D44*BA45</f>
        <v>5003.1000000000004</v>
      </c>
      <c r="BB46" s="984"/>
      <c r="BC46" s="104">
        <f>$D44*BC45</f>
        <v>5003.1000000000004</v>
      </c>
      <c r="BD46" s="984"/>
    </row>
    <row r="47" spans="1:56" s="845" customFormat="1" ht="13.15" customHeight="1" x14ac:dyDescent="0.35">
      <c r="A47" s="994" t="s">
        <v>1121</v>
      </c>
      <c r="B47" s="994" t="s">
        <v>522</v>
      </c>
      <c r="C47" s="997"/>
      <c r="D47" s="1000">
        <v>134.13999999999999</v>
      </c>
      <c r="E47" s="1003"/>
      <c r="F47" s="250"/>
      <c r="G47" s="291">
        <f>G48/G$12</f>
        <v>0</v>
      </c>
      <c r="H47" s="1006">
        <f>SUMIFS('9. Actuals SAP Extract'!$V:$V,'9. Actuals SAP Extract'!$H:$H,$A47,'9. Actuals SAP Extract'!$P:$P,$B47,'9. Actuals SAP Extract'!$W:$W,H$11)</f>
        <v>0</v>
      </c>
      <c r="I47" s="102">
        <f>I48/I$12</f>
        <v>0</v>
      </c>
      <c r="J47" s="982">
        <f>SUMIFS('9. Actuals SAP Extract'!$V:$V,'9. Actuals SAP Extract'!$H:$H,$A47,'9. Actuals SAP Extract'!$P:$P,$B47,'9. Actuals SAP Extract'!$W:$W,J$11)</f>
        <v>0</v>
      </c>
      <c r="K47" s="102">
        <f>K48/K$12</f>
        <v>0</v>
      </c>
      <c r="L47" s="982">
        <f>SUMIFS('9. Actuals SAP Extract'!$V:$V,'9. Actuals SAP Extract'!$P:$P,$B47,'9. Actuals SAP Extract'!$H:$H,$A47,'9. Actuals SAP Extract'!$W:$W,'Detailed Forecast vs Actuals'!L$11)</f>
        <v>0</v>
      </c>
      <c r="M47" s="291">
        <f>M48/M$12</f>
        <v>0</v>
      </c>
      <c r="N47" s="982">
        <f>SUMIFS('9. Actuals SAP Extract'!$V:$V,'9. Actuals SAP Extract'!$H:$H,$A47,'9. Actuals SAP Extract'!$P:$P,$B47,'9. Actuals SAP Extract'!$W:$W,N$11)</f>
        <v>0</v>
      </c>
      <c r="O47" s="102">
        <f>O48/O$12</f>
        <v>0.11363636363636363</v>
      </c>
      <c r="P47" s="982">
        <v>297.5</v>
      </c>
      <c r="Q47" s="291">
        <f>Q48/Q$12</f>
        <v>0.11363636363636363</v>
      </c>
      <c r="R47" s="982">
        <f>SUMIFS('9. Actuals SAP Extract'!$V:$V,'9. Actuals SAP Extract'!$H:$H,$A47,'9. Actuals SAP Extract'!$P:$P,$B47,'9. Actuals SAP Extract'!$W:$W,R$11)</f>
        <v>0</v>
      </c>
      <c r="S47" s="102">
        <f>S48/S$12</f>
        <v>0</v>
      </c>
      <c r="T47" s="982"/>
      <c r="U47" s="291">
        <f>U48/U$12</f>
        <v>0</v>
      </c>
      <c r="V47" s="982">
        <f>SUMIFS('9. Actuals SAP Extract'!$V:$V,'9. Actuals SAP Extract'!$H:$H,$A47,'9. Actuals SAP Extract'!$P:$P,$B47,'9. Actuals SAP Extract'!$W:$W,V$11)</f>
        <v>0</v>
      </c>
      <c r="W47" s="102">
        <f>W48/W$12</f>
        <v>0</v>
      </c>
      <c r="X47" s="982">
        <f>SUMIFS('9. Actuals SAP Extract'!$V:$V,'9. Actuals SAP Extract'!$P:$P,$B47,'9. Actuals SAP Extract'!$H:$H,$A47,'9. Actuals SAP Extract'!$W:$W,'Detailed Forecast vs Actuals'!X$11)</f>
        <v>0</v>
      </c>
      <c r="Y47" s="291">
        <f>Y48/Y$12</f>
        <v>2.2727272727272728E-2</v>
      </c>
      <c r="Z47" s="982">
        <f>SUMIFS('9. Actuals SAP Extract'!$V:$V,'9. Actuals SAP Extract'!$H:$H,$A47,'9. Actuals SAP Extract'!$P:$P,$B47,'9. Actuals SAP Extract'!$W:$W,Z$11)</f>
        <v>0</v>
      </c>
      <c r="AA47" s="102">
        <f>AA48/AA$12</f>
        <v>2.1739130434782608E-2</v>
      </c>
      <c r="AB47" s="982">
        <f>SUMIFS('9. Actuals SAP Extract'!$V:$V,'9. Actuals SAP Extract'!$P:$P,$B47,'9. Actuals SAP Extract'!$H:$H,$A47,'9. Actuals SAP Extract'!$W:$W,'Detailed Forecast vs Actuals'!AB$11)</f>
        <v>0</v>
      </c>
      <c r="AC47" s="102">
        <f>AC48/AC$12</f>
        <v>0</v>
      </c>
      <c r="AD47" s="982">
        <f>SUMIFS('9. Actuals SAP Extract'!$V:$V,'9. Actuals SAP Extract'!$P:$P,$B47,'9. Actuals SAP Extract'!$H:$H,$A47,'9. Actuals SAP Extract'!$W:$W,'Detailed Forecast vs Actuals'!AD$11)</f>
        <v>0</v>
      </c>
      <c r="AE47" s="102">
        <f>AE48/AE$12</f>
        <v>0</v>
      </c>
      <c r="AF47" s="982">
        <f>SUMIFS('9. Actuals SAP Extract'!$V:$V,'9. Actuals SAP Extract'!$P:$P,$B47,'9. Actuals SAP Extract'!$H:$H,$A47,'9. Actuals SAP Extract'!$W:$W,'Detailed Forecast vs Actuals'!AF$11)</f>
        <v>0</v>
      </c>
      <c r="AG47" s="291">
        <f>AG48/AG$12</f>
        <v>0</v>
      </c>
      <c r="AH47" s="982">
        <f>SUMIFS('9. Actuals SAP Extract'!$V:$V,'9. Actuals SAP Extract'!$P:$P,$B47,'9. Actuals SAP Extract'!$H:$H,$A47,'9. Actuals SAP Extract'!$W:$W,'Detailed Forecast vs Actuals'!AH$11)</f>
        <v>0</v>
      </c>
      <c r="AI47" s="102">
        <f>AI48/AI$12</f>
        <v>0.14374999999999999</v>
      </c>
      <c r="AJ47" s="982">
        <f>SUMIFS('9. Actuals SAP Extract'!$V:$V,'9. Actuals SAP Extract'!$P:$P,$B47,'9. Actuals SAP Extract'!$H:$H,$A47,'9. Actuals SAP Extract'!$W:$W,'Detailed Forecast vs Actuals'!AJ$11)</f>
        <v>0</v>
      </c>
      <c r="AK47" s="102">
        <f>AK48/AK$12</f>
        <v>0.30681818181818182</v>
      </c>
      <c r="AL47" s="982">
        <f>SUMIFS('9. Actuals SAP Extract'!$V:$V,'9. Actuals SAP Extract'!$P:$P,$B47,'9. Actuals SAP Extract'!$H:$H,$A47,'9. Actuals SAP Extract'!$W:$W,'Detailed Forecast vs Actuals'!AL$11)</f>
        <v>0</v>
      </c>
      <c r="AM47" s="102">
        <f>AM48/AM$12</f>
        <v>0</v>
      </c>
      <c r="AN47" s="982">
        <f>SUMIFS('9. Actuals SAP Extract'!$V:$V,'9. Actuals SAP Extract'!$P:$P,$B47,'9. Actuals SAP Extract'!$H:$H,$A47,'9. Actuals SAP Extract'!$W:$W,'Detailed Forecast vs Actuals'!AN$11)</f>
        <v>0</v>
      </c>
      <c r="AO47" s="102">
        <f>AO48/AO$12</f>
        <v>0</v>
      </c>
      <c r="AP47" s="982">
        <f>SUMIFS('9. Actuals SAP Extract'!$V:$V,'9. Actuals SAP Extract'!$P:$P,$B47,'9. Actuals SAP Extract'!$H:$H,$A47,'9. Actuals SAP Extract'!$W:$W,'Detailed Forecast vs Actuals'!AP$11)</f>
        <v>5365.5999999999995</v>
      </c>
      <c r="AQ47" s="102">
        <f>AQ48/AQ$12</f>
        <v>0</v>
      </c>
      <c r="AR47" s="982"/>
      <c r="AS47" s="102">
        <f>AS48/AS$12</f>
        <v>0</v>
      </c>
      <c r="AT47" s="982"/>
      <c r="AU47" s="102">
        <f>AU48/AU$12</f>
        <v>0.32142857142857145</v>
      </c>
      <c r="AV47" s="982"/>
      <c r="AW47" s="102">
        <f>AW48/AW$12</f>
        <v>0.30681818181818182</v>
      </c>
      <c r="AX47" s="982"/>
      <c r="AY47" s="102">
        <f>AY48/AY$12</f>
        <v>0.30681818181818182</v>
      </c>
      <c r="AZ47" s="982"/>
      <c r="BA47" s="102">
        <f>BA48/BA$12</f>
        <v>0.35526315789473684</v>
      </c>
      <c r="BB47" s="982"/>
      <c r="BC47" s="102">
        <f>BC48/BC$12</f>
        <v>0.33750000000000002</v>
      </c>
      <c r="BD47" s="982"/>
    </row>
    <row r="48" spans="1:56" s="845" customFormat="1" ht="13.15" customHeight="1" x14ac:dyDescent="0.35">
      <c r="A48" s="995"/>
      <c r="B48" s="995"/>
      <c r="C48" s="998"/>
      <c r="D48" s="1001"/>
      <c r="E48" s="1004"/>
      <c r="F48" s="251"/>
      <c r="G48" s="292">
        <v>0</v>
      </c>
      <c r="H48" s="1007"/>
      <c r="I48" s="103">
        <v>0</v>
      </c>
      <c r="J48" s="983"/>
      <c r="K48" s="103">
        <v>0</v>
      </c>
      <c r="L48" s="983"/>
      <c r="M48" s="292">
        <v>0</v>
      </c>
      <c r="N48" s="983"/>
      <c r="O48" s="103">
        <v>20</v>
      </c>
      <c r="P48" s="983"/>
      <c r="Q48" s="292">
        <v>20</v>
      </c>
      <c r="R48" s="983"/>
      <c r="S48" s="103">
        <v>0</v>
      </c>
      <c r="T48" s="983"/>
      <c r="U48" s="292">
        <v>0</v>
      </c>
      <c r="V48" s="983"/>
      <c r="W48" s="103">
        <v>0</v>
      </c>
      <c r="X48" s="983"/>
      <c r="Y48" s="292">
        <v>4</v>
      </c>
      <c r="Z48" s="983"/>
      <c r="AA48" s="103">
        <v>4</v>
      </c>
      <c r="AB48" s="983"/>
      <c r="AC48" s="103">
        <v>0</v>
      </c>
      <c r="AD48" s="983"/>
      <c r="AE48" s="103">
        <v>0</v>
      </c>
      <c r="AF48" s="983"/>
      <c r="AG48" s="292">
        <v>0</v>
      </c>
      <c r="AH48" s="983"/>
      <c r="AI48" s="103">
        <v>23</v>
      </c>
      <c r="AJ48" s="983"/>
      <c r="AK48" s="103">
        <v>54</v>
      </c>
      <c r="AL48" s="983"/>
      <c r="AM48" s="103">
        <v>0</v>
      </c>
      <c r="AN48" s="983"/>
      <c r="AO48" s="103">
        <v>0</v>
      </c>
      <c r="AP48" s="983"/>
      <c r="AQ48" s="103">
        <v>0</v>
      </c>
      <c r="AR48" s="983"/>
      <c r="AS48" s="103">
        <v>0</v>
      </c>
      <c r="AT48" s="983"/>
      <c r="AU48" s="103">
        <v>54</v>
      </c>
      <c r="AV48" s="983"/>
      <c r="AW48" s="103">
        <v>54</v>
      </c>
      <c r="AX48" s="983"/>
      <c r="AY48" s="103">
        <v>54</v>
      </c>
      <c r="AZ48" s="983"/>
      <c r="BA48" s="103">
        <v>54</v>
      </c>
      <c r="BB48" s="983"/>
      <c r="BC48" s="103">
        <v>54</v>
      </c>
      <c r="BD48" s="983"/>
    </row>
    <row r="49" spans="1:56" s="845" customFormat="1" ht="13.9" customHeight="1" thickBot="1" x14ac:dyDescent="0.4">
      <c r="A49" s="996"/>
      <c r="B49" s="996"/>
      <c r="C49" s="999"/>
      <c r="D49" s="1002"/>
      <c r="E49" s="1005"/>
      <c r="F49" s="252"/>
      <c r="G49" s="293">
        <f>$D47*G48</f>
        <v>0</v>
      </c>
      <c r="H49" s="1008"/>
      <c r="I49" s="104">
        <f>$D47*I48</f>
        <v>0</v>
      </c>
      <c r="J49" s="984"/>
      <c r="K49" s="104">
        <f>$D47*K48</f>
        <v>0</v>
      </c>
      <c r="L49" s="984"/>
      <c r="M49" s="293">
        <f>$D47*M48</f>
        <v>0</v>
      </c>
      <c r="N49" s="984"/>
      <c r="O49" s="104">
        <f>$D47*O48</f>
        <v>2682.7999999999997</v>
      </c>
      <c r="P49" s="984"/>
      <c r="Q49" s="293">
        <f>$D47*Q48</f>
        <v>2682.7999999999997</v>
      </c>
      <c r="R49" s="984"/>
      <c r="S49" s="104">
        <f>$D47*S48</f>
        <v>0</v>
      </c>
      <c r="T49" s="984"/>
      <c r="U49" s="293">
        <f>$D47*U48</f>
        <v>0</v>
      </c>
      <c r="V49" s="984"/>
      <c r="W49" s="104">
        <f>$D47*W48</f>
        <v>0</v>
      </c>
      <c r="X49" s="984"/>
      <c r="Y49" s="293">
        <f>$D47*Y48</f>
        <v>536.55999999999995</v>
      </c>
      <c r="Z49" s="984"/>
      <c r="AA49" s="104">
        <f>$D47*AA48</f>
        <v>536.55999999999995</v>
      </c>
      <c r="AB49" s="984"/>
      <c r="AC49" s="104">
        <f>$D47*AC48</f>
        <v>0</v>
      </c>
      <c r="AD49" s="984"/>
      <c r="AE49" s="104">
        <f>$D47*AE48</f>
        <v>0</v>
      </c>
      <c r="AF49" s="984"/>
      <c r="AG49" s="293">
        <f>$D47*AG48</f>
        <v>0</v>
      </c>
      <c r="AH49" s="984"/>
      <c r="AI49" s="104">
        <f>$D47*AI48</f>
        <v>3085.22</v>
      </c>
      <c r="AJ49" s="984"/>
      <c r="AK49" s="104">
        <f>$D47*AK48</f>
        <v>7243.5599999999995</v>
      </c>
      <c r="AL49" s="984"/>
      <c r="AM49" s="104">
        <f>$D47*AM48</f>
        <v>0</v>
      </c>
      <c r="AN49" s="984"/>
      <c r="AO49" s="104">
        <f>$D47*AO48</f>
        <v>0</v>
      </c>
      <c r="AP49" s="984"/>
      <c r="AQ49" s="104">
        <f>$D47*AQ48</f>
        <v>0</v>
      </c>
      <c r="AR49" s="984"/>
      <c r="AS49" s="104">
        <f>$D47*AS48</f>
        <v>0</v>
      </c>
      <c r="AT49" s="984"/>
      <c r="AU49" s="104">
        <f>$D47*AU48</f>
        <v>7243.5599999999995</v>
      </c>
      <c r="AV49" s="984"/>
      <c r="AW49" s="104">
        <f>$D47*AW48</f>
        <v>7243.5599999999995</v>
      </c>
      <c r="AX49" s="984"/>
      <c r="AY49" s="104">
        <f>$D47*AY48</f>
        <v>7243.5599999999995</v>
      </c>
      <c r="AZ49" s="984"/>
      <c r="BA49" s="104">
        <f>$D47*BA48</f>
        <v>7243.5599999999995</v>
      </c>
      <c r="BB49" s="984"/>
      <c r="BC49" s="104">
        <f>$D47*BC48</f>
        <v>7243.5599999999995</v>
      </c>
      <c r="BD49" s="984"/>
    </row>
    <row r="50" spans="1:56" s="845" customFormat="1" ht="13.15" customHeight="1" x14ac:dyDescent="0.35">
      <c r="A50" s="994" t="s">
        <v>1116</v>
      </c>
      <c r="B50" s="994" t="s">
        <v>522</v>
      </c>
      <c r="C50" s="997"/>
      <c r="D50" s="1000">
        <v>66.61</v>
      </c>
      <c r="E50" s="1003"/>
      <c r="F50" s="250"/>
      <c r="G50" s="291">
        <f>G51/G$12</f>
        <v>0</v>
      </c>
      <c r="H50" s="1006">
        <f>SUMIFS('9. Actuals SAP Extract'!$V:$V,'9. Actuals SAP Extract'!$H:$H,$A50,'9. Actuals SAP Extract'!$P:$P,$B50,'9. Actuals SAP Extract'!$W:$W,H$11)</f>
        <v>0</v>
      </c>
      <c r="I50" s="102">
        <f>I51/I$12</f>
        <v>0</v>
      </c>
      <c r="J50" s="982">
        <f>SUMIFS('9. Actuals SAP Extract'!$V:$V,'9. Actuals SAP Extract'!$H:$H,$A50,'9. Actuals SAP Extract'!$P:$P,$B50,'9. Actuals SAP Extract'!$W:$W,J$11)</f>
        <v>0</v>
      </c>
      <c r="K50" s="102">
        <f>K51/K$12</f>
        <v>0</v>
      </c>
      <c r="L50" s="982">
        <f>SUMIFS('9. Actuals SAP Extract'!$V:$V,'9. Actuals SAP Extract'!$P:$P,$B50,'9. Actuals SAP Extract'!$H:$H,$A50,'9. Actuals SAP Extract'!$W:$W,'Detailed Forecast vs Actuals'!L$11)</f>
        <v>0</v>
      </c>
      <c r="M50" s="291">
        <f>M51/M$12</f>
        <v>0</v>
      </c>
      <c r="N50" s="982">
        <f>SUMIFS('9. Actuals SAP Extract'!$V:$V,'9. Actuals SAP Extract'!$H:$H,$A50,'9. Actuals SAP Extract'!$P:$P,$B50,'9. Actuals SAP Extract'!$W:$W,N$11)</f>
        <v>0</v>
      </c>
      <c r="O50" s="102">
        <f>O51/O$12</f>
        <v>0.11363636363636363</v>
      </c>
      <c r="P50" s="982">
        <v>297.5</v>
      </c>
      <c r="Q50" s="291">
        <f>Q51/Q$12</f>
        <v>0.11363636363636363</v>
      </c>
      <c r="R50" s="982">
        <f>SUMIFS('9. Actuals SAP Extract'!$V:$V,'9. Actuals SAP Extract'!$H:$H,$A50,'9. Actuals SAP Extract'!$P:$P,$B50,'9. Actuals SAP Extract'!$W:$W,R$11)</f>
        <v>0</v>
      </c>
      <c r="S50" s="102">
        <f>S51/S$12</f>
        <v>0</v>
      </c>
      <c r="T50" s="982"/>
      <c r="U50" s="291">
        <f>U51/U$12</f>
        <v>0</v>
      </c>
      <c r="V50" s="982">
        <f>SUMIFS('9. Actuals SAP Extract'!$V:$V,'9. Actuals SAP Extract'!$H:$H,$A50,'9. Actuals SAP Extract'!$P:$P,$B50,'9. Actuals SAP Extract'!$W:$W,V$11)</f>
        <v>0</v>
      </c>
      <c r="W50" s="102">
        <f>W51/W$12</f>
        <v>0</v>
      </c>
      <c r="X50" s="982">
        <f>SUMIFS('9. Actuals SAP Extract'!$V:$V,'9. Actuals SAP Extract'!$P:$P,$B50,'9. Actuals SAP Extract'!$H:$H,$A50,'9. Actuals SAP Extract'!$W:$W,'Detailed Forecast vs Actuals'!X$11)</f>
        <v>0</v>
      </c>
      <c r="Y50" s="291">
        <f>Y51/Y$12</f>
        <v>2.2727272727272728E-2</v>
      </c>
      <c r="Z50" s="982">
        <f>SUMIFS('9. Actuals SAP Extract'!$V:$V,'9. Actuals SAP Extract'!$H:$H,$A50,'9. Actuals SAP Extract'!$P:$P,$B50,'9. Actuals SAP Extract'!$W:$W,Z$11)</f>
        <v>0</v>
      </c>
      <c r="AA50" s="102">
        <f>AA51/AA$12</f>
        <v>2.1739130434782608E-2</v>
      </c>
      <c r="AB50" s="982">
        <f>SUMIFS('9. Actuals SAP Extract'!$V:$V,'9. Actuals SAP Extract'!$P:$P,$B50,'9. Actuals SAP Extract'!$H:$H,$A50,'9. Actuals SAP Extract'!$W:$W,'Detailed Forecast vs Actuals'!AB$11)</f>
        <v>0</v>
      </c>
      <c r="AC50" s="102">
        <f>AC51/AC$12</f>
        <v>0</v>
      </c>
      <c r="AD50" s="982">
        <f>SUMIFS('9. Actuals SAP Extract'!$V:$V,'9. Actuals SAP Extract'!$P:$P,$B50,'9. Actuals SAP Extract'!$H:$H,$A50,'9. Actuals SAP Extract'!$W:$W,'Detailed Forecast vs Actuals'!AD$11)</f>
        <v>0</v>
      </c>
      <c r="AE50" s="102">
        <f>AE51/AE$12</f>
        <v>0</v>
      </c>
      <c r="AF50" s="982">
        <f>SUMIFS('9. Actuals SAP Extract'!$V:$V,'9. Actuals SAP Extract'!$P:$P,$B50,'9. Actuals SAP Extract'!$H:$H,$A50,'9. Actuals SAP Extract'!$W:$W,'Detailed Forecast vs Actuals'!AF$11)</f>
        <v>0</v>
      </c>
      <c r="AG50" s="291">
        <f>AG51/AG$12</f>
        <v>0</v>
      </c>
      <c r="AH50" s="982">
        <f>SUMIFS('9. Actuals SAP Extract'!$V:$V,'9. Actuals SAP Extract'!$P:$P,$B50,'9. Actuals SAP Extract'!$H:$H,$A50,'9. Actuals SAP Extract'!$W:$W,'Detailed Forecast vs Actuals'!AH$11)</f>
        <v>0</v>
      </c>
      <c r="AI50" s="102">
        <f>AI51/AI$12</f>
        <v>0.14374999999999999</v>
      </c>
      <c r="AJ50" s="982">
        <f>SUMIFS('9. Actuals SAP Extract'!$V:$V,'9. Actuals SAP Extract'!$P:$P,$B50,'9. Actuals SAP Extract'!$H:$H,$A50,'9. Actuals SAP Extract'!$W:$W,'Detailed Forecast vs Actuals'!AJ$11)</f>
        <v>0</v>
      </c>
      <c r="AK50" s="102">
        <f>AK51/AK$12</f>
        <v>0.30681818181818182</v>
      </c>
      <c r="AL50" s="982">
        <f>SUMIFS('9. Actuals SAP Extract'!$V:$V,'9. Actuals SAP Extract'!$P:$P,$B50,'9. Actuals SAP Extract'!$H:$H,$A50,'9. Actuals SAP Extract'!$W:$W,'Detailed Forecast vs Actuals'!AL$11)</f>
        <v>0</v>
      </c>
      <c r="AM50" s="102">
        <f>AM51/AM$12</f>
        <v>0</v>
      </c>
      <c r="AN50" s="982">
        <f>SUMIFS('9. Actuals SAP Extract'!$V:$V,'9. Actuals SAP Extract'!$P:$P,$B50,'9. Actuals SAP Extract'!$H:$H,$A50,'9. Actuals SAP Extract'!$W:$W,'Detailed Forecast vs Actuals'!AN$11)</f>
        <v>0</v>
      </c>
      <c r="AO50" s="102">
        <f>AO51/AO$12</f>
        <v>0</v>
      </c>
      <c r="AP50" s="982">
        <f>SUMIFS('9. Actuals SAP Extract'!$V:$V,'9. Actuals SAP Extract'!$P:$P,$B50,'9. Actuals SAP Extract'!$H:$H,$A50,'9. Actuals SAP Extract'!$W:$W,'Detailed Forecast vs Actuals'!AP$11)</f>
        <v>3192</v>
      </c>
      <c r="AQ50" s="102">
        <f>AQ51/AQ$12</f>
        <v>0</v>
      </c>
      <c r="AR50" s="982"/>
      <c r="AS50" s="102">
        <f>AS51/AS$12</f>
        <v>0</v>
      </c>
      <c r="AT50" s="982"/>
      <c r="AU50" s="102">
        <f>AU51/AU$12</f>
        <v>0</v>
      </c>
      <c r="AV50" s="982"/>
      <c r="AW50" s="102">
        <f>AW51/AW$12</f>
        <v>0</v>
      </c>
      <c r="AX50" s="982"/>
      <c r="AY50" s="102">
        <f>AY51/AY$12</f>
        <v>0</v>
      </c>
      <c r="AZ50" s="982"/>
      <c r="BA50" s="102">
        <f>BA51/BA$12</f>
        <v>0</v>
      </c>
      <c r="BB50" s="982"/>
      <c r="BC50" s="102">
        <f>BC51/BC$12</f>
        <v>0</v>
      </c>
      <c r="BD50" s="982"/>
    </row>
    <row r="51" spans="1:56" s="845" customFormat="1" ht="13.15" customHeight="1" x14ac:dyDescent="0.35">
      <c r="A51" s="995"/>
      <c r="B51" s="995"/>
      <c r="C51" s="998"/>
      <c r="D51" s="1001"/>
      <c r="E51" s="1004"/>
      <c r="F51" s="251"/>
      <c r="G51" s="292">
        <v>0</v>
      </c>
      <c r="H51" s="1007"/>
      <c r="I51" s="103">
        <v>0</v>
      </c>
      <c r="J51" s="983"/>
      <c r="K51" s="103">
        <v>0</v>
      </c>
      <c r="L51" s="983"/>
      <c r="M51" s="292">
        <v>0</v>
      </c>
      <c r="N51" s="983"/>
      <c r="O51" s="103">
        <v>20</v>
      </c>
      <c r="P51" s="983"/>
      <c r="Q51" s="292">
        <v>20</v>
      </c>
      <c r="R51" s="983"/>
      <c r="S51" s="103">
        <v>0</v>
      </c>
      <c r="T51" s="983"/>
      <c r="U51" s="292">
        <v>0</v>
      </c>
      <c r="V51" s="983"/>
      <c r="W51" s="103">
        <v>0</v>
      </c>
      <c r="X51" s="983"/>
      <c r="Y51" s="292">
        <v>4</v>
      </c>
      <c r="Z51" s="983"/>
      <c r="AA51" s="103">
        <v>4</v>
      </c>
      <c r="AB51" s="983"/>
      <c r="AC51" s="103">
        <v>0</v>
      </c>
      <c r="AD51" s="983"/>
      <c r="AE51" s="103">
        <v>0</v>
      </c>
      <c r="AF51" s="983"/>
      <c r="AG51" s="292">
        <v>0</v>
      </c>
      <c r="AH51" s="983"/>
      <c r="AI51" s="103">
        <v>23</v>
      </c>
      <c r="AJ51" s="983"/>
      <c r="AK51" s="103">
        <v>54</v>
      </c>
      <c r="AL51" s="983"/>
      <c r="AM51" s="103">
        <v>0</v>
      </c>
      <c r="AN51" s="983"/>
      <c r="AO51" s="103">
        <v>0</v>
      </c>
      <c r="AP51" s="983"/>
      <c r="AQ51" s="103">
        <v>0</v>
      </c>
      <c r="AR51" s="983"/>
      <c r="AS51" s="103">
        <v>0</v>
      </c>
      <c r="AT51" s="983"/>
      <c r="AU51" s="103">
        <v>0</v>
      </c>
      <c r="AV51" s="983"/>
      <c r="AW51" s="103">
        <v>0</v>
      </c>
      <c r="AX51" s="983"/>
      <c r="AY51" s="103">
        <v>0</v>
      </c>
      <c r="AZ51" s="983"/>
      <c r="BA51" s="103">
        <v>0</v>
      </c>
      <c r="BB51" s="983"/>
      <c r="BC51" s="103">
        <v>0</v>
      </c>
      <c r="BD51" s="983"/>
    </row>
    <row r="52" spans="1:56" s="845" customFormat="1" ht="13.9" customHeight="1" thickBot="1" x14ac:dyDescent="0.4">
      <c r="A52" s="996"/>
      <c r="B52" s="996"/>
      <c r="C52" s="999"/>
      <c r="D52" s="1002"/>
      <c r="E52" s="1005"/>
      <c r="F52" s="252"/>
      <c r="G52" s="293">
        <f>$D50*G51</f>
        <v>0</v>
      </c>
      <c r="H52" s="1008"/>
      <c r="I52" s="104">
        <f>$D50*I51</f>
        <v>0</v>
      </c>
      <c r="J52" s="984"/>
      <c r="K52" s="104">
        <f>$D50*K51</f>
        <v>0</v>
      </c>
      <c r="L52" s="984"/>
      <c r="M52" s="293">
        <f>$D50*M51</f>
        <v>0</v>
      </c>
      <c r="N52" s="984"/>
      <c r="O52" s="104">
        <f>$D50*O51</f>
        <v>1332.2</v>
      </c>
      <c r="P52" s="984"/>
      <c r="Q52" s="293">
        <f>$D50*Q51</f>
        <v>1332.2</v>
      </c>
      <c r="R52" s="984"/>
      <c r="S52" s="104">
        <f>$D50*S51</f>
        <v>0</v>
      </c>
      <c r="T52" s="984"/>
      <c r="U52" s="293">
        <f>$D50*U51</f>
        <v>0</v>
      </c>
      <c r="V52" s="984"/>
      <c r="W52" s="104">
        <f>$D50*W51</f>
        <v>0</v>
      </c>
      <c r="X52" s="984"/>
      <c r="Y52" s="293">
        <f>$D50*Y51</f>
        <v>266.44</v>
      </c>
      <c r="Z52" s="984"/>
      <c r="AA52" s="104">
        <f>$D50*AA51</f>
        <v>266.44</v>
      </c>
      <c r="AB52" s="984"/>
      <c r="AC52" s="104">
        <f>$D50*AC51</f>
        <v>0</v>
      </c>
      <c r="AD52" s="984"/>
      <c r="AE52" s="104">
        <f>$D50*AE51</f>
        <v>0</v>
      </c>
      <c r="AF52" s="984"/>
      <c r="AG52" s="293">
        <f>$D50*AG51</f>
        <v>0</v>
      </c>
      <c r="AH52" s="984"/>
      <c r="AI52" s="104">
        <f>$D50*AI51</f>
        <v>1532.03</v>
      </c>
      <c r="AJ52" s="984"/>
      <c r="AK52" s="104">
        <f>$D50*AK51</f>
        <v>3596.94</v>
      </c>
      <c r="AL52" s="984"/>
      <c r="AM52" s="104">
        <f>$D50*AM51</f>
        <v>0</v>
      </c>
      <c r="AN52" s="984"/>
      <c r="AO52" s="104">
        <f>$D50*AO51</f>
        <v>0</v>
      </c>
      <c r="AP52" s="984"/>
      <c r="AQ52" s="104">
        <f>$D50*AQ51</f>
        <v>0</v>
      </c>
      <c r="AR52" s="984"/>
      <c r="AS52" s="104">
        <f>$D50*AS51</f>
        <v>0</v>
      </c>
      <c r="AT52" s="984"/>
      <c r="AU52" s="104">
        <f>$D50*AU51</f>
        <v>0</v>
      </c>
      <c r="AV52" s="984"/>
      <c r="AW52" s="104">
        <f>$D50*AW51</f>
        <v>0</v>
      </c>
      <c r="AX52" s="984"/>
      <c r="AY52" s="104">
        <f>$D50*AY51</f>
        <v>0</v>
      </c>
      <c r="AZ52" s="984"/>
      <c r="BA52" s="104">
        <f>$D50*BA51</f>
        <v>0</v>
      </c>
      <c r="BB52" s="984"/>
      <c r="BC52" s="104">
        <f>$D50*BC51</f>
        <v>0</v>
      </c>
      <c r="BD52" s="984"/>
    </row>
    <row r="53" spans="1:56" s="845" customFormat="1" ht="13.15" customHeight="1" x14ac:dyDescent="0.35">
      <c r="A53" s="994" t="s">
        <v>1124</v>
      </c>
      <c r="B53" s="994" t="s">
        <v>522</v>
      </c>
      <c r="C53" s="997"/>
      <c r="D53" s="1000">
        <v>66.61</v>
      </c>
      <c r="E53" s="1003"/>
      <c r="F53" s="250"/>
      <c r="G53" s="291">
        <f>G54/G$12</f>
        <v>0</v>
      </c>
      <c r="H53" s="1006">
        <f>SUMIFS('9. Actuals SAP Extract'!$V:$V,'9. Actuals SAP Extract'!$H:$H,$A53,'9. Actuals SAP Extract'!$P:$P,$B53,'9. Actuals SAP Extract'!$W:$W,H$11)</f>
        <v>0</v>
      </c>
      <c r="I53" s="102">
        <f>I54/I$12</f>
        <v>0</v>
      </c>
      <c r="J53" s="982">
        <f>SUMIFS('9. Actuals SAP Extract'!$V:$V,'9. Actuals SAP Extract'!$H:$H,$A53,'9. Actuals SAP Extract'!$P:$P,$B53,'9. Actuals SAP Extract'!$W:$W,J$11)</f>
        <v>0</v>
      </c>
      <c r="K53" s="102">
        <f>K54/K$12</f>
        <v>0</v>
      </c>
      <c r="L53" s="982">
        <f>SUMIFS('9. Actuals SAP Extract'!$V:$V,'9. Actuals SAP Extract'!$P:$P,$B53,'9. Actuals SAP Extract'!$H:$H,$A53,'9. Actuals SAP Extract'!$W:$W,'Detailed Forecast vs Actuals'!L$11)</f>
        <v>0</v>
      </c>
      <c r="M53" s="291">
        <f>M54/M$12</f>
        <v>0</v>
      </c>
      <c r="N53" s="982">
        <f>SUMIFS('9. Actuals SAP Extract'!$V:$V,'9. Actuals SAP Extract'!$H:$H,$A53,'9. Actuals SAP Extract'!$P:$P,$B53,'9. Actuals SAP Extract'!$W:$W,N$11)</f>
        <v>0</v>
      </c>
      <c r="O53" s="102">
        <f>O54/O$12</f>
        <v>0.11363636363636363</v>
      </c>
      <c r="P53" s="982">
        <v>297.5</v>
      </c>
      <c r="Q53" s="291">
        <f>Q54/Q$12</f>
        <v>0.11363636363636363</v>
      </c>
      <c r="R53" s="982">
        <f>SUMIFS('9. Actuals SAP Extract'!$V:$V,'9. Actuals SAP Extract'!$H:$H,$A53,'9. Actuals SAP Extract'!$P:$P,$B53,'9. Actuals SAP Extract'!$W:$W,R$11)</f>
        <v>0</v>
      </c>
      <c r="S53" s="102">
        <f>S54/S$12</f>
        <v>0</v>
      </c>
      <c r="T53" s="982"/>
      <c r="U53" s="291">
        <f>U54/U$12</f>
        <v>0</v>
      </c>
      <c r="V53" s="982">
        <f>SUMIFS('9. Actuals SAP Extract'!$V:$V,'9. Actuals SAP Extract'!$H:$H,$A53,'9. Actuals SAP Extract'!$P:$P,$B53,'9. Actuals SAP Extract'!$W:$W,V$11)</f>
        <v>0</v>
      </c>
      <c r="W53" s="102">
        <f>W54/W$12</f>
        <v>0</v>
      </c>
      <c r="X53" s="982">
        <f>SUMIFS('9. Actuals SAP Extract'!$V:$V,'9. Actuals SAP Extract'!$P:$P,$B53,'9. Actuals SAP Extract'!$H:$H,$A53,'9. Actuals SAP Extract'!$W:$W,'Detailed Forecast vs Actuals'!X$11)</f>
        <v>0</v>
      </c>
      <c r="Y53" s="291">
        <f>Y54/Y$12</f>
        <v>2.2727272727272728E-2</v>
      </c>
      <c r="Z53" s="982">
        <f>SUMIFS('9. Actuals SAP Extract'!$V:$V,'9. Actuals SAP Extract'!$H:$H,$A53,'9. Actuals SAP Extract'!$P:$P,$B53,'9. Actuals SAP Extract'!$W:$W,Z$11)</f>
        <v>0</v>
      </c>
      <c r="AA53" s="102">
        <f>AA54/AA$12</f>
        <v>2.1739130434782608E-2</v>
      </c>
      <c r="AB53" s="982">
        <f>SUMIFS('9. Actuals SAP Extract'!$V:$V,'9. Actuals SAP Extract'!$P:$P,$B53,'9. Actuals SAP Extract'!$H:$H,$A53,'9. Actuals SAP Extract'!$W:$W,'Detailed Forecast vs Actuals'!AB$11)</f>
        <v>0</v>
      </c>
      <c r="AC53" s="102">
        <f>AC54/AC$12</f>
        <v>0</v>
      </c>
      <c r="AD53" s="982">
        <f>SUMIFS('9. Actuals SAP Extract'!$V:$V,'9. Actuals SAP Extract'!$P:$P,$B53,'9. Actuals SAP Extract'!$H:$H,$A53,'9. Actuals SAP Extract'!$W:$W,'Detailed Forecast vs Actuals'!AD$11)</f>
        <v>0</v>
      </c>
      <c r="AE53" s="102">
        <f>AE54/AE$12</f>
        <v>0</v>
      </c>
      <c r="AF53" s="982">
        <f>SUMIFS('9. Actuals SAP Extract'!$V:$V,'9. Actuals SAP Extract'!$P:$P,$B53,'9. Actuals SAP Extract'!$H:$H,$A53,'9. Actuals SAP Extract'!$W:$W,'Detailed Forecast vs Actuals'!AF$11)</f>
        <v>0</v>
      </c>
      <c r="AG53" s="291">
        <f>AG54/AG$12</f>
        <v>0</v>
      </c>
      <c r="AH53" s="982">
        <f>SUMIFS('9. Actuals SAP Extract'!$V:$V,'9. Actuals SAP Extract'!$P:$P,$B53,'9. Actuals SAP Extract'!$H:$H,$A53,'9. Actuals SAP Extract'!$W:$W,'Detailed Forecast vs Actuals'!AH$11)</f>
        <v>0</v>
      </c>
      <c r="AI53" s="102">
        <f>AI54/AI$12</f>
        <v>0.14374999999999999</v>
      </c>
      <c r="AJ53" s="982">
        <f>SUMIFS('9. Actuals SAP Extract'!$V:$V,'9. Actuals SAP Extract'!$P:$P,$B53,'9. Actuals SAP Extract'!$H:$H,$A53,'9. Actuals SAP Extract'!$W:$W,'Detailed Forecast vs Actuals'!AJ$11)</f>
        <v>0</v>
      </c>
      <c r="AK53" s="102">
        <f>AK54/AK$12</f>
        <v>0.30681818181818182</v>
      </c>
      <c r="AL53" s="982">
        <f>SUMIFS('9. Actuals SAP Extract'!$V:$V,'9. Actuals SAP Extract'!$P:$P,$B53,'9. Actuals SAP Extract'!$H:$H,$A53,'9. Actuals SAP Extract'!$W:$W,'Detailed Forecast vs Actuals'!AL$11)</f>
        <v>0</v>
      </c>
      <c r="AM53" s="102">
        <f>AM54/AM$12</f>
        <v>0</v>
      </c>
      <c r="AN53" s="982">
        <f>SUMIFS('9. Actuals SAP Extract'!$V:$V,'9. Actuals SAP Extract'!$P:$P,$B53,'9. Actuals SAP Extract'!$H:$H,$A53,'9. Actuals SAP Extract'!$W:$W,'Detailed Forecast vs Actuals'!AN$11)</f>
        <v>0</v>
      </c>
      <c r="AO53" s="102">
        <f>AO54/AO$12</f>
        <v>0</v>
      </c>
      <c r="AP53" s="982">
        <f>SUMIFS('9. Actuals SAP Extract'!$V:$V,'9. Actuals SAP Extract'!$P:$P,$B53,'9. Actuals SAP Extract'!$H:$H,$A53,'9. Actuals SAP Extract'!$W:$W,'Detailed Forecast vs Actuals'!AP$11)</f>
        <v>333.05</v>
      </c>
      <c r="AQ53" s="102">
        <f>AQ54/AQ$12</f>
        <v>0</v>
      </c>
      <c r="AR53" s="982"/>
      <c r="AS53" s="102">
        <f>AS54/AS$12</f>
        <v>0</v>
      </c>
      <c r="AT53" s="982"/>
      <c r="AU53" s="102">
        <f>AU54/AU$12</f>
        <v>0</v>
      </c>
      <c r="AV53" s="982"/>
      <c r="AW53" s="102">
        <f>AW54/AW$12</f>
        <v>0</v>
      </c>
      <c r="AX53" s="982"/>
      <c r="AY53" s="102">
        <f>AY54/AY$12</f>
        <v>0</v>
      </c>
      <c r="AZ53" s="982"/>
      <c r="BA53" s="102">
        <f>BA54/BA$12</f>
        <v>0</v>
      </c>
      <c r="BB53" s="982"/>
      <c r="BC53" s="102">
        <f>BC54/BC$12</f>
        <v>0</v>
      </c>
      <c r="BD53" s="982"/>
    </row>
    <row r="54" spans="1:56" s="845" customFormat="1" ht="13.15" customHeight="1" x14ac:dyDescent="0.35">
      <c r="A54" s="995"/>
      <c r="B54" s="995"/>
      <c r="C54" s="998"/>
      <c r="D54" s="1001"/>
      <c r="E54" s="1004"/>
      <c r="F54" s="251"/>
      <c r="G54" s="292">
        <v>0</v>
      </c>
      <c r="H54" s="1007"/>
      <c r="I54" s="103">
        <v>0</v>
      </c>
      <c r="J54" s="983"/>
      <c r="K54" s="103">
        <v>0</v>
      </c>
      <c r="L54" s="983"/>
      <c r="M54" s="292">
        <v>0</v>
      </c>
      <c r="N54" s="983"/>
      <c r="O54" s="103">
        <v>20</v>
      </c>
      <c r="P54" s="983"/>
      <c r="Q54" s="292">
        <v>20</v>
      </c>
      <c r="R54" s="983"/>
      <c r="S54" s="103">
        <v>0</v>
      </c>
      <c r="T54" s="983"/>
      <c r="U54" s="292">
        <v>0</v>
      </c>
      <c r="V54" s="983"/>
      <c r="W54" s="103">
        <v>0</v>
      </c>
      <c r="X54" s="983"/>
      <c r="Y54" s="292">
        <v>4</v>
      </c>
      <c r="Z54" s="983"/>
      <c r="AA54" s="103">
        <v>4</v>
      </c>
      <c r="AB54" s="983"/>
      <c r="AC54" s="103">
        <v>0</v>
      </c>
      <c r="AD54" s="983"/>
      <c r="AE54" s="103">
        <v>0</v>
      </c>
      <c r="AF54" s="983"/>
      <c r="AG54" s="292">
        <v>0</v>
      </c>
      <c r="AH54" s="983"/>
      <c r="AI54" s="103">
        <v>23</v>
      </c>
      <c r="AJ54" s="983"/>
      <c r="AK54" s="103">
        <v>54</v>
      </c>
      <c r="AL54" s="983"/>
      <c r="AM54" s="103">
        <v>0</v>
      </c>
      <c r="AN54" s="983"/>
      <c r="AO54" s="103">
        <v>0</v>
      </c>
      <c r="AP54" s="983"/>
      <c r="AQ54" s="103">
        <v>0</v>
      </c>
      <c r="AR54" s="983"/>
      <c r="AS54" s="103">
        <v>0</v>
      </c>
      <c r="AT54" s="983"/>
      <c r="AU54" s="103">
        <v>0</v>
      </c>
      <c r="AV54" s="983"/>
      <c r="AW54" s="103">
        <v>0</v>
      </c>
      <c r="AX54" s="983"/>
      <c r="AY54" s="103">
        <v>0</v>
      </c>
      <c r="AZ54" s="983"/>
      <c r="BA54" s="103">
        <v>0</v>
      </c>
      <c r="BB54" s="983"/>
      <c r="BC54" s="103">
        <v>0</v>
      </c>
      <c r="BD54" s="983"/>
    </row>
    <row r="55" spans="1:56" s="845" customFormat="1" ht="13.9" customHeight="1" thickBot="1" x14ac:dyDescent="0.4">
      <c r="A55" s="996"/>
      <c r="B55" s="996"/>
      <c r="C55" s="999"/>
      <c r="D55" s="1002"/>
      <c r="E55" s="1005"/>
      <c r="F55" s="252"/>
      <c r="G55" s="293">
        <f>$D53*G54</f>
        <v>0</v>
      </c>
      <c r="H55" s="1008"/>
      <c r="I55" s="104">
        <f>$D53*I54</f>
        <v>0</v>
      </c>
      <c r="J55" s="984"/>
      <c r="K55" s="104">
        <f>$D53*K54</f>
        <v>0</v>
      </c>
      <c r="L55" s="984"/>
      <c r="M55" s="293">
        <f>$D53*M54</f>
        <v>0</v>
      </c>
      <c r="N55" s="984"/>
      <c r="O55" s="104">
        <f>$D53*O54</f>
        <v>1332.2</v>
      </c>
      <c r="P55" s="984"/>
      <c r="Q55" s="293">
        <f>$D53*Q54</f>
        <v>1332.2</v>
      </c>
      <c r="R55" s="984"/>
      <c r="S55" s="104">
        <f>$D53*S54</f>
        <v>0</v>
      </c>
      <c r="T55" s="984"/>
      <c r="U55" s="293">
        <f>$D53*U54</f>
        <v>0</v>
      </c>
      <c r="V55" s="984"/>
      <c r="W55" s="104">
        <f>$D53*W54</f>
        <v>0</v>
      </c>
      <c r="X55" s="984"/>
      <c r="Y55" s="293">
        <f>$D53*Y54</f>
        <v>266.44</v>
      </c>
      <c r="Z55" s="984"/>
      <c r="AA55" s="104">
        <f>$D53*AA54</f>
        <v>266.44</v>
      </c>
      <c r="AB55" s="984"/>
      <c r="AC55" s="104">
        <f>$D53*AC54</f>
        <v>0</v>
      </c>
      <c r="AD55" s="984"/>
      <c r="AE55" s="104">
        <f>$D53*AE54</f>
        <v>0</v>
      </c>
      <c r="AF55" s="984"/>
      <c r="AG55" s="293">
        <f>$D53*AG54</f>
        <v>0</v>
      </c>
      <c r="AH55" s="984"/>
      <c r="AI55" s="104">
        <f>$D53*AI54</f>
        <v>1532.03</v>
      </c>
      <c r="AJ55" s="984"/>
      <c r="AK55" s="104">
        <f>$D53*AK54</f>
        <v>3596.94</v>
      </c>
      <c r="AL55" s="984"/>
      <c r="AM55" s="104">
        <f>$D53*AM54</f>
        <v>0</v>
      </c>
      <c r="AN55" s="984"/>
      <c r="AO55" s="104">
        <f>$D53*AO54</f>
        <v>0</v>
      </c>
      <c r="AP55" s="984"/>
      <c r="AQ55" s="104">
        <f>$D53*AQ54</f>
        <v>0</v>
      </c>
      <c r="AR55" s="984"/>
      <c r="AS55" s="104">
        <f>$D53*AS54</f>
        <v>0</v>
      </c>
      <c r="AT55" s="984"/>
      <c r="AU55" s="104">
        <f>$D53*AU54</f>
        <v>0</v>
      </c>
      <c r="AV55" s="984"/>
      <c r="AW55" s="104">
        <f>$D53*AW54</f>
        <v>0</v>
      </c>
      <c r="AX55" s="984"/>
      <c r="AY55" s="104">
        <f>$D53*AY54</f>
        <v>0</v>
      </c>
      <c r="AZ55" s="984"/>
      <c r="BA55" s="104">
        <f>$D53*BA54</f>
        <v>0</v>
      </c>
      <c r="BB55" s="984"/>
      <c r="BC55" s="104">
        <f>$D53*BC54</f>
        <v>0</v>
      </c>
      <c r="BD55" s="984"/>
    </row>
    <row r="56" spans="1:56" s="845" customFormat="1" ht="13.15" customHeight="1" x14ac:dyDescent="0.35">
      <c r="A56" s="994" t="s">
        <v>1001</v>
      </c>
      <c r="B56" s="994" t="s">
        <v>522</v>
      </c>
      <c r="C56" s="997"/>
      <c r="D56" s="1000">
        <v>113.57</v>
      </c>
      <c r="E56" s="1003"/>
      <c r="F56" s="250"/>
      <c r="G56" s="291">
        <f>G57/G$12</f>
        <v>0</v>
      </c>
      <c r="H56" s="1006">
        <f>SUMIFS('9. Actuals SAP Extract'!$V:$V,'9. Actuals SAP Extract'!$H:$H,$A56,'9. Actuals SAP Extract'!$P:$P,$B56,'9. Actuals SAP Extract'!$W:$W,H$11)</f>
        <v>0</v>
      </c>
      <c r="I56" s="102">
        <f>I57/I$12</f>
        <v>0</v>
      </c>
      <c r="J56" s="982">
        <f>SUMIFS('9. Actuals SAP Extract'!$V:$V,'9. Actuals SAP Extract'!$H:$H,$A56,'9. Actuals SAP Extract'!$P:$P,$B56,'9. Actuals SAP Extract'!$W:$W,J$11)</f>
        <v>0</v>
      </c>
      <c r="K56" s="102">
        <f>K57/K$12</f>
        <v>0</v>
      </c>
      <c r="L56" s="982">
        <f>SUMIFS('9. Actuals SAP Extract'!$V:$V,'9. Actuals SAP Extract'!$P:$P,$B56,'9. Actuals SAP Extract'!$H:$H,$A56,'9. Actuals SAP Extract'!$W:$W,'Detailed Forecast vs Actuals'!L$11)</f>
        <v>0</v>
      </c>
      <c r="M56" s="291">
        <f>M57/M$12</f>
        <v>0</v>
      </c>
      <c r="N56" s="982">
        <f>SUMIFS('9. Actuals SAP Extract'!$V:$V,'9. Actuals SAP Extract'!$H:$H,$A56,'9. Actuals SAP Extract'!$P:$P,$B56,'9. Actuals SAP Extract'!$W:$W,N$11)</f>
        <v>0</v>
      </c>
      <c r="O56" s="102">
        <f>O57/O$12</f>
        <v>0.11363636363636363</v>
      </c>
      <c r="P56" s="982">
        <v>297.5</v>
      </c>
      <c r="Q56" s="291">
        <f>Q57/Q$12</f>
        <v>0.11363636363636363</v>
      </c>
      <c r="R56" s="982">
        <f>SUMIFS('9. Actuals SAP Extract'!$V:$V,'9. Actuals SAP Extract'!$H:$H,$A56,'9. Actuals SAP Extract'!$P:$P,$B56,'9. Actuals SAP Extract'!$W:$W,R$11)</f>
        <v>0</v>
      </c>
      <c r="S56" s="102">
        <f>S57/S$12</f>
        <v>0</v>
      </c>
      <c r="T56" s="982"/>
      <c r="U56" s="291">
        <f>U57/U$12</f>
        <v>0</v>
      </c>
      <c r="V56" s="982">
        <f>SUMIFS('9. Actuals SAP Extract'!$V:$V,'9. Actuals SAP Extract'!$H:$H,$A56,'9. Actuals SAP Extract'!$P:$P,$B56,'9. Actuals SAP Extract'!$W:$W,V$11)</f>
        <v>0</v>
      </c>
      <c r="W56" s="102">
        <f>W57/W$12</f>
        <v>0</v>
      </c>
      <c r="X56" s="982">
        <f>SUMIFS('9. Actuals SAP Extract'!$V:$V,'9. Actuals SAP Extract'!$P:$P,$B56,'9. Actuals SAP Extract'!$H:$H,$A56,'9. Actuals SAP Extract'!$W:$W,'Detailed Forecast vs Actuals'!X$11)</f>
        <v>0</v>
      </c>
      <c r="Y56" s="291">
        <f>Y57/Y$12</f>
        <v>2.2727272727272728E-2</v>
      </c>
      <c r="Z56" s="982">
        <f>SUMIFS('9. Actuals SAP Extract'!$V:$V,'9. Actuals SAP Extract'!$H:$H,$A56,'9. Actuals SAP Extract'!$P:$P,$B56,'9. Actuals SAP Extract'!$W:$W,Z$11)</f>
        <v>0</v>
      </c>
      <c r="AA56" s="102">
        <f>AA57/AA$12</f>
        <v>2.1739130434782608E-2</v>
      </c>
      <c r="AB56" s="982">
        <f>SUMIFS('9. Actuals SAP Extract'!$V:$V,'9. Actuals SAP Extract'!$P:$P,$B56,'9. Actuals SAP Extract'!$H:$H,$A56,'9. Actuals SAP Extract'!$W:$W,'Detailed Forecast vs Actuals'!AB$11)</f>
        <v>0</v>
      </c>
      <c r="AC56" s="102">
        <f>AC57/AC$12</f>
        <v>0</v>
      </c>
      <c r="AD56" s="982">
        <f>SUMIFS('9. Actuals SAP Extract'!$V:$V,'9. Actuals SAP Extract'!$P:$P,$B56,'9. Actuals SAP Extract'!$H:$H,$A56,'9. Actuals SAP Extract'!$W:$W,'Detailed Forecast vs Actuals'!AD$11)</f>
        <v>0</v>
      </c>
      <c r="AE56" s="102">
        <f>AE57/AE$12</f>
        <v>0</v>
      </c>
      <c r="AF56" s="982">
        <f>SUMIFS('9. Actuals SAP Extract'!$V:$V,'9. Actuals SAP Extract'!$P:$P,$B56,'9. Actuals SAP Extract'!$H:$H,$A56,'9. Actuals SAP Extract'!$W:$W,'Detailed Forecast vs Actuals'!AF$11)</f>
        <v>0</v>
      </c>
      <c r="AG56" s="291">
        <f>AG57/AG$12</f>
        <v>0</v>
      </c>
      <c r="AH56" s="982">
        <f>SUMIFS('9. Actuals SAP Extract'!$V:$V,'9. Actuals SAP Extract'!$P:$P,$B56,'9. Actuals SAP Extract'!$H:$H,$A56,'9. Actuals SAP Extract'!$W:$W,'Detailed Forecast vs Actuals'!AH$11)</f>
        <v>0</v>
      </c>
      <c r="AI56" s="102">
        <f>AI57/AI$12</f>
        <v>0.14374999999999999</v>
      </c>
      <c r="AJ56" s="982">
        <f>SUMIFS('9. Actuals SAP Extract'!$V:$V,'9. Actuals SAP Extract'!$P:$P,$B56,'9. Actuals SAP Extract'!$H:$H,$A56,'9. Actuals SAP Extract'!$W:$W,'Detailed Forecast vs Actuals'!AJ$11)</f>
        <v>1135.6999999999998</v>
      </c>
      <c r="AK56" s="102">
        <f>AK57/AK$12</f>
        <v>0.30681818181818182</v>
      </c>
      <c r="AL56" s="982">
        <f>SUMIFS('9. Actuals SAP Extract'!$V:$V,'9. Actuals SAP Extract'!$P:$P,$B56,'9. Actuals SAP Extract'!$H:$H,$A56,'9. Actuals SAP Extract'!$W:$W,'Detailed Forecast vs Actuals'!AL$11)</f>
        <v>3520.6699999999992</v>
      </c>
      <c r="AM56" s="102">
        <f>AM57/AM$12</f>
        <v>0.30681818181818182</v>
      </c>
      <c r="AN56" s="982">
        <f>SUMIFS('9. Actuals SAP Extract'!$V:$V,'9. Actuals SAP Extract'!$P:$P,$B56,'9. Actuals SAP Extract'!$H:$H,$A56,'9. Actuals SAP Extract'!$W:$W,'Detailed Forecast vs Actuals'!AN$11)</f>
        <v>1022.1299999999999</v>
      </c>
      <c r="AO56" s="102">
        <f>AO57/AO$12</f>
        <v>5.3571428571428568E-2</v>
      </c>
      <c r="AP56" s="982">
        <f>SUMIFS('9. Actuals SAP Extract'!$V:$V,'9. Actuals SAP Extract'!$P:$P,$B56,'9. Actuals SAP Extract'!$H:$H,$A56,'9. Actuals SAP Extract'!$W:$W,'Detailed Forecast vs Actuals'!AP$11)</f>
        <v>567.84999999999991</v>
      </c>
      <c r="AQ56" s="102">
        <f>AQ57/AQ$12</f>
        <v>0.30681818181818182</v>
      </c>
      <c r="AR56" s="982"/>
      <c r="AS56" s="102">
        <f>AS57/AS$12</f>
        <v>0.30681818181818182</v>
      </c>
      <c r="AT56" s="982"/>
      <c r="AU56" s="102">
        <f>AU57/AU$12</f>
        <v>0.32142857142857145</v>
      </c>
      <c r="AV56" s="982"/>
      <c r="AW56" s="102">
        <f>AW57/AW$12</f>
        <v>0.30681818181818182</v>
      </c>
      <c r="AX56" s="982"/>
      <c r="AY56" s="102">
        <f>AY57/AY$12</f>
        <v>0.30681818181818182</v>
      </c>
      <c r="AZ56" s="982"/>
      <c r="BA56" s="102">
        <f>BA57/BA$12</f>
        <v>0.35526315789473684</v>
      </c>
      <c r="BB56" s="982"/>
      <c r="BC56" s="102">
        <f>BC57/BC$12</f>
        <v>0.33750000000000002</v>
      </c>
      <c r="BD56" s="982"/>
    </row>
    <row r="57" spans="1:56" s="845" customFormat="1" ht="13.15" customHeight="1" x14ac:dyDescent="0.35">
      <c r="A57" s="995"/>
      <c r="B57" s="995"/>
      <c r="C57" s="998"/>
      <c r="D57" s="1001"/>
      <c r="E57" s="1004"/>
      <c r="F57" s="251"/>
      <c r="G57" s="292">
        <v>0</v>
      </c>
      <c r="H57" s="1007"/>
      <c r="I57" s="103">
        <v>0</v>
      </c>
      <c r="J57" s="983"/>
      <c r="K57" s="103">
        <v>0</v>
      </c>
      <c r="L57" s="983"/>
      <c r="M57" s="292">
        <v>0</v>
      </c>
      <c r="N57" s="983"/>
      <c r="O57" s="103">
        <v>20</v>
      </c>
      <c r="P57" s="983"/>
      <c r="Q57" s="292">
        <v>20</v>
      </c>
      <c r="R57" s="983"/>
      <c r="S57" s="103">
        <v>0</v>
      </c>
      <c r="T57" s="983"/>
      <c r="U57" s="292">
        <v>0</v>
      </c>
      <c r="V57" s="983"/>
      <c r="W57" s="103">
        <v>0</v>
      </c>
      <c r="X57" s="983"/>
      <c r="Y57" s="292">
        <v>4</v>
      </c>
      <c r="Z57" s="983"/>
      <c r="AA57" s="103">
        <v>4</v>
      </c>
      <c r="AB57" s="983"/>
      <c r="AC57" s="103">
        <v>0</v>
      </c>
      <c r="AD57" s="983"/>
      <c r="AE57" s="103">
        <v>0</v>
      </c>
      <c r="AF57" s="983"/>
      <c r="AG57" s="292">
        <v>0</v>
      </c>
      <c r="AH57" s="983"/>
      <c r="AI57" s="103">
        <v>23</v>
      </c>
      <c r="AJ57" s="983"/>
      <c r="AK57" s="103">
        <v>54</v>
      </c>
      <c r="AL57" s="983"/>
      <c r="AM57" s="103">
        <v>54</v>
      </c>
      <c r="AN57" s="983"/>
      <c r="AO57" s="103">
        <v>9</v>
      </c>
      <c r="AP57" s="983"/>
      <c r="AQ57" s="103">
        <v>54</v>
      </c>
      <c r="AR57" s="983"/>
      <c r="AS57" s="103">
        <v>54</v>
      </c>
      <c r="AT57" s="983"/>
      <c r="AU57" s="103">
        <v>54</v>
      </c>
      <c r="AV57" s="983"/>
      <c r="AW57" s="103">
        <v>54</v>
      </c>
      <c r="AX57" s="983"/>
      <c r="AY57" s="103">
        <v>54</v>
      </c>
      <c r="AZ57" s="983"/>
      <c r="BA57" s="103">
        <v>54</v>
      </c>
      <c r="BB57" s="983"/>
      <c r="BC57" s="103">
        <v>54</v>
      </c>
      <c r="BD57" s="983"/>
    </row>
    <row r="58" spans="1:56" s="845" customFormat="1" ht="13.9" customHeight="1" thickBot="1" x14ac:dyDescent="0.4">
      <c r="A58" s="996"/>
      <c r="B58" s="996"/>
      <c r="C58" s="999"/>
      <c r="D58" s="1002"/>
      <c r="E58" s="1005"/>
      <c r="F58" s="252"/>
      <c r="G58" s="293">
        <f>$D56*G57</f>
        <v>0</v>
      </c>
      <c r="H58" s="1008"/>
      <c r="I58" s="104">
        <f>$D56*I57</f>
        <v>0</v>
      </c>
      <c r="J58" s="984"/>
      <c r="K58" s="104">
        <f>$D56*K57</f>
        <v>0</v>
      </c>
      <c r="L58" s="984"/>
      <c r="M58" s="293">
        <f>$D56*M57</f>
        <v>0</v>
      </c>
      <c r="N58" s="984"/>
      <c r="O58" s="104">
        <f>$D56*O57</f>
        <v>2271.3999999999996</v>
      </c>
      <c r="P58" s="984"/>
      <c r="Q58" s="293">
        <f>$D56*Q57</f>
        <v>2271.3999999999996</v>
      </c>
      <c r="R58" s="984"/>
      <c r="S58" s="104">
        <f>$D56*S57</f>
        <v>0</v>
      </c>
      <c r="T58" s="984"/>
      <c r="U58" s="293">
        <f>$D56*U57</f>
        <v>0</v>
      </c>
      <c r="V58" s="984"/>
      <c r="W58" s="104">
        <f>$D56*W57</f>
        <v>0</v>
      </c>
      <c r="X58" s="984"/>
      <c r="Y58" s="293">
        <f>$D56*Y57</f>
        <v>454.28</v>
      </c>
      <c r="Z58" s="984"/>
      <c r="AA58" s="104">
        <f>$D56*AA57</f>
        <v>454.28</v>
      </c>
      <c r="AB58" s="984"/>
      <c r="AC58" s="104">
        <f>$D56*AC57</f>
        <v>0</v>
      </c>
      <c r="AD58" s="984"/>
      <c r="AE58" s="104">
        <f>$D56*AE57</f>
        <v>0</v>
      </c>
      <c r="AF58" s="984"/>
      <c r="AG58" s="293">
        <f>$D56*AG57</f>
        <v>0</v>
      </c>
      <c r="AH58" s="984"/>
      <c r="AI58" s="104">
        <f>$D56*AI57</f>
        <v>2612.1099999999997</v>
      </c>
      <c r="AJ58" s="984"/>
      <c r="AK58" s="104">
        <f>$D56*AK57</f>
        <v>6132.78</v>
      </c>
      <c r="AL58" s="984"/>
      <c r="AM58" s="104">
        <f>$D56*AM57</f>
        <v>6132.78</v>
      </c>
      <c r="AN58" s="984"/>
      <c r="AO58" s="104">
        <f>$D56*AO57</f>
        <v>1022.1299999999999</v>
      </c>
      <c r="AP58" s="984"/>
      <c r="AQ58" s="104">
        <f>$D56*AQ57</f>
        <v>6132.78</v>
      </c>
      <c r="AR58" s="984"/>
      <c r="AS58" s="104">
        <f>$D56*AS57</f>
        <v>6132.78</v>
      </c>
      <c r="AT58" s="984"/>
      <c r="AU58" s="104">
        <f>$D56*AU57</f>
        <v>6132.78</v>
      </c>
      <c r="AV58" s="984"/>
      <c r="AW58" s="104">
        <f>$D56*AW57</f>
        <v>6132.78</v>
      </c>
      <c r="AX58" s="984"/>
      <c r="AY58" s="104">
        <f>$D56*AY57</f>
        <v>6132.78</v>
      </c>
      <c r="AZ58" s="984"/>
      <c r="BA58" s="104">
        <f>$D56*BA57</f>
        <v>6132.78</v>
      </c>
      <c r="BB58" s="984"/>
      <c r="BC58" s="104">
        <f>$D56*BC57</f>
        <v>6132.78</v>
      </c>
      <c r="BD58" s="984"/>
    </row>
    <row r="59" spans="1:56" ht="13.15" customHeight="1" x14ac:dyDescent="0.35">
      <c r="A59" s="994" t="s">
        <v>572</v>
      </c>
      <c r="B59" s="994" t="s">
        <v>528</v>
      </c>
      <c r="C59" s="997"/>
      <c r="D59" s="1000"/>
      <c r="E59" s="488"/>
      <c r="F59" s="250"/>
      <c r="G59" s="291">
        <f>G60/G$12</f>
        <v>0</v>
      </c>
      <c r="H59" s="1006">
        <f>SUMIFS('9. Actuals SAP Extract'!$V:$V,'9. Actuals SAP Extract'!$H:$H,$A59,'9. Actuals SAP Extract'!$P:$P,$B59,'9. Actuals SAP Extract'!$W:$W,H$11)</f>
        <v>0</v>
      </c>
      <c r="I59" s="102">
        <f>I60/I$12</f>
        <v>0</v>
      </c>
      <c r="J59" s="982">
        <f>SUMIFS('9. Actuals SAP Extract'!$V:$V,'9. Actuals SAP Extract'!$H:$H,$A59,'9. Actuals SAP Extract'!$P:$P,$B59,'9. Actuals SAP Extract'!$W:$W,J$11)</f>
        <v>0</v>
      </c>
      <c r="K59" s="102">
        <f>K60/K$12</f>
        <v>0</v>
      </c>
      <c r="L59" s="982">
        <f>SUMIFS('9. Actuals SAP Extract'!$V:$V,'9. Actuals SAP Extract'!$P:$P,$B59,'9. Actuals SAP Extract'!$H:$H,$A59,'9. Actuals SAP Extract'!$W:$W,'Detailed Forecast vs Actuals'!L$11)</f>
        <v>0</v>
      </c>
      <c r="M59" s="291">
        <f>M60/M$12</f>
        <v>0</v>
      </c>
      <c r="N59" s="982">
        <f>SUMIFS('9. Actuals SAP Extract'!$V:$V,'9. Actuals SAP Extract'!$H:$H,$A59,'9. Actuals SAP Extract'!$P:$P,$B59,'9. Actuals SAP Extract'!$W:$W,N$11)</f>
        <v>0</v>
      </c>
      <c r="O59" s="102">
        <f>O60/O$12</f>
        <v>0</v>
      </c>
      <c r="P59" s="982">
        <f>SUMIFS('9. Actuals SAP Extract'!$V:$V,'9. Actuals SAP Extract'!$P:$P,$B59,'9. Actuals SAP Extract'!$H:$H,$A59,'9. Actuals SAP Extract'!$W:$W,'Detailed Forecast vs Actuals'!P$11)</f>
        <v>0</v>
      </c>
      <c r="Q59" s="291">
        <f>Q60/Q$12</f>
        <v>0</v>
      </c>
      <c r="R59" s="982">
        <f>SUMIFS('9. Actuals SAP Extract'!$V:$V,'9. Actuals SAP Extract'!$H:$H,$A59,'9. Actuals SAP Extract'!$P:$P,$B59,'9. Actuals SAP Extract'!$W:$W,R$11)</f>
        <v>0</v>
      </c>
      <c r="S59" s="102">
        <f>S60/S$12</f>
        <v>0</v>
      </c>
      <c r="T59" s="982"/>
      <c r="U59" s="291">
        <f>U60/U$12</f>
        <v>0</v>
      </c>
      <c r="V59" s="982">
        <f>SUMIFS('9. Actuals SAP Extract'!$V:$V,'9. Actuals SAP Extract'!$H:$H,$A59,'9. Actuals SAP Extract'!$P:$P,$B59,'9. Actuals SAP Extract'!$W:$W,V$11)</f>
        <v>0</v>
      </c>
      <c r="W59" s="102">
        <f>W60/W$12</f>
        <v>0</v>
      </c>
      <c r="X59" s="982">
        <f>SUMIFS('9. Actuals SAP Extract'!$V:$V,'9. Actuals SAP Extract'!$P:$P,$B59,'9. Actuals SAP Extract'!$H:$H,$A59,'9. Actuals SAP Extract'!$W:$W,'Detailed Forecast vs Actuals'!X$11)</f>
        <v>0</v>
      </c>
      <c r="Y59" s="291">
        <f>Y60/Y$12</f>
        <v>0</v>
      </c>
      <c r="Z59" s="982">
        <f>SUMIFS('9. Actuals SAP Extract'!$V:$V,'9. Actuals SAP Extract'!$H:$H,$A59,'9. Actuals SAP Extract'!$P:$P,$B59,'9. Actuals SAP Extract'!$W:$W,Z$11)</f>
        <v>0</v>
      </c>
      <c r="AA59" s="102">
        <f>AA60/AA$12</f>
        <v>0</v>
      </c>
      <c r="AB59" s="982">
        <f>SUMIFS('9. Actuals SAP Extract'!$V:$V,'9. Actuals SAP Extract'!$P:$P,$B59,'9. Actuals SAP Extract'!$H:$H,$A59,'9. Actuals SAP Extract'!$W:$W,'Detailed Forecast vs Actuals'!AB$11)</f>
        <v>0</v>
      </c>
      <c r="AC59" s="102">
        <f>AC60/AC$12</f>
        <v>0</v>
      </c>
      <c r="AD59" s="982">
        <f>SUMIFS('9. Actuals SAP Extract'!$V:$V,'9. Actuals SAP Extract'!$P:$P,$B59,'9. Actuals SAP Extract'!$H:$H,$A59,'9. Actuals SAP Extract'!$W:$W,'Detailed Forecast vs Actuals'!AD$11)</f>
        <v>0</v>
      </c>
      <c r="AE59" s="102">
        <f>AE60/AE$12</f>
        <v>0</v>
      </c>
      <c r="AF59" s="982">
        <f>SUMIFS('9. Actuals SAP Extract'!$V:$V,'9. Actuals SAP Extract'!$P:$P,$B59,'9. Actuals SAP Extract'!$H:$H,$A59,'9. Actuals SAP Extract'!$W:$W,'Detailed Forecast vs Actuals'!AF$11)</f>
        <v>0</v>
      </c>
      <c r="AG59" s="291">
        <f>AG60/AG$12</f>
        <v>0</v>
      </c>
      <c r="AH59" s="982">
        <f>SUMIFS('9. Actuals SAP Extract'!$V:$V,'9. Actuals SAP Extract'!$P:$P,$B59,'9. Actuals SAP Extract'!$H:$H,$A59,'9. Actuals SAP Extract'!$W:$W,'Detailed Forecast vs Actuals'!AH$11)</f>
        <v>0</v>
      </c>
      <c r="AI59" s="102">
        <f>AI60/AI$12</f>
        <v>0</v>
      </c>
      <c r="AJ59" s="982">
        <f>SUMIFS('9. Actuals SAP Extract'!$V:$V,'9. Actuals SAP Extract'!$P:$P,$B59,'9. Actuals SAP Extract'!$H:$H,$A59,'9. Actuals SAP Extract'!$W:$W,'Detailed Forecast vs Actuals'!AJ$11)</f>
        <v>0</v>
      </c>
      <c r="AK59" s="102">
        <f>AK60/AK$12</f>
        <v>0</v>
      </c>
      <c r="AL59" s="982">
        <f>SUMIFS('9. Actuals SAP Extract'!$V:$V,'9. Actuals SAP Extract'!$P:$P,$B59,'9. Actuals SAP Extract'!$H:$H,$A59,'9. Actuals SAP Extract'!$W:$W,'Detailed Forecast vs Actuals'!AL$11)</f>
        <v>0</v>
      </c>
      <c r="AM59" s="102">
        <f>AM60/AM$12</f>
        <v>0</v>
      </c>
      <c r="AN59" s="982">
        <f>SUMIFS('9. Actuals SAP Extract'!$V:$V,'9. Actuals SAP Extract'!$P:$P,$B59,'9. Actuals SAP Extract'!$H:$H,$A59,'9. Actuals SAP Extract'!$W:$W,'Detailed Forecast vs Actuals'!AN$11)</f>
        <v>0</v>
      </c>
      <c r="AO59" s="102">
        <f>AO60/AO$12</f>
        <v>0</v>
      </c>
      <c r="AP59" s="982">
        <f>SUMIFS('9. Actuals SAP Extract'!$V:$V,'9. Actuals SAP Extract'!$P:$P,$B59,'9. Actuals SAP Extract'!$H:$H,$A59,'9. Actuals SAP Extract'!$W:$W,'Detailed Forecast vs Actuals'!AP$11)</f>
        <v>0</v>
      </c>
      <c r="AQ59" s="102">
        <f>AQ60/AQ$12</f>
        <v>0</v>
      </c>
      <c r="AR59" s="982"/>
      <c r="AS59" s="102">
        <f>AS60/AS$12</f>
        <v>0</v>
      </c>
      <c r="AT59" s="982"/>
      <c r="AU59" s="102">
        <f>AU60/AU$12</f>
        <v>0</v>
      </c>
      <c r="AV59" s="982"/>
      <c r="AW59" s="102">
        <f>AW60/AW$12</f>
        <v>0</v>
      </c>
      <c r="AX59" s="982"/>
      <c r="AY59" s="102">
        <f>AY60/AY$12</f>
        <v>0</v>
      </c>
      <c r="AZ59" s="982"/>
      <c r="BA59" s="102">
        <f>BA60/BA$12</f>
        <v>0</v>
      </c>
      <c r="BB59" s="982"/>
      <c r="BC59" s="102">
        <f>BC60/BC$12</f>
        <v>0</v>
      </c>
      <c r="BD59" s="982"/>
    </row>
    <row r="60" spans="1:56" ht="13.15" customHeight="1" x14ac:dyDescent="0.35">
      <c r="A60" s="995"/>
      <c r="B60" s="995"/>
      <c r="C60" s="998"/>
      <c r="D60" s="1001"/>
      <c r="E60" s="489"/>
      <c r="F60" s="251"/>
      <c r="G60" s="292">
        <v>0</v>
      </c>
      <c r="H60" s="1007"/>
      <c r="I60" s="103">
        <v>0</v>
      </c>
      <c r="J60" s="983"/>
      <c r="K60" s="103">
        <v>0</v>
      </c>
      <c r="L60" s="983"/>
      <c r="M60" s="292">
        <v>0</v>
      </c>
      <c r="N60" s="983"/>
      <c r="O60" s="103">
        <v>0</v>
      </c>
      <c r="P60" s="983"/>
      <c r="Q60" s="292">
        <v>0</v>
      </c>
      <c r="R60" s="983"/>
      <c r="S60" s="103">
        <v>0</v>
      </c>
      <c r="T60" s="983"/>
      <c r="U60" s="292">
        <v>0</v>
      </c>
      <c r="V60" s="983"/>
      <c r="W60" s="103">
        <v>0</v>
      </c>
      <c r="X60" s="983"/>
      <c r="Y60" s="292">
        <v>0</v>
      </c>
      <c r="Z60" s="983"/>
      <c r="AA60" s="103">
        <v>0</v>
      </c>
      <c r="AB60" s="983"/>
      <c r="AC60" s="103">
        <v>0</v>
      </c>
      <c r="AD60" s="983"/>
      <c r="AE60" s="103">
        <v>0</v>
      </c>
      <c r="AF60" s="983"/>
      <c r="AG60" s="292">
        <v>0</v>
      </c>
      <c r="AH60" s="983"/>
      <c r="AI60" s="103">
        <v>0</v>
      </c>
      <c r="AJ60" s="983"/>
      <c r="AK60" s="103">
        <v>0</v>
      </c>
      <c r="AL60" s="983"/>
      <c r="AM60" s="103">
        <v>0</v>
      </c>
      <c r="AN60" s="983"/>
      <c r="AO60" s="103">
        <v>0</v>
      </c>
      <c r="AP60" s="983"/>
      <c r="AQ60" s="103">
        <v>0</v>
      </c>
      <c r="AR60" s="983"/>
      <c r="AS60" s="103">
        <v>0</v>
      </c>
      <c r="AT60" s="983"/>
      <c r="AU60" s="103">
        <v>0</v>
      </c>
      <c r="AV60" s="983"/>
      <c r="AW60" s="103">
        <v>0</v>
      </c>
      <c r="AX60" s="983"/>
      <c r="AY60" s="103">
        <v>0</v>
      </c>
      <c r="AZ60" s="983"/>
      <c r="BA60" s="103">
        <v>0</v>
      </c>
      <c r="BB60" s="983"/>
      <c r="BC60" s="103">
        <v>0</v>
      </c>
      <c r="BD60" s="983"/>
    </row>
    <row r="61" spans="1:56" ht="13.9" customHeight="1" thickBot="1" x14ac:dyDescent="0.4">
      <c r="A61" s="996"/>
      <c r="B61" s="996"/>
      <c r="C61" s="999"/>
      <c r="D61" s="1002"/>
      <c r="E61" s="489"/>
      <c r="F61" s="252"/>
      <c r="G61" s="293">
        <f>$D59*G60</f>
        <v>0</v>
      </c>
      <c r="H61" s="1008"/>
      <c r="I61" s="104">
        <f>$D59*I60</f>
        <v>0</v>
      </c>
      <c r="J61" s="984"/>
      <c r="K61" s="104">
        <f>$D59*K60</f>
        <v>0</v>
      </c>
      <c r="L61" s="984"/>
      <c r="M61" s="293">
        <f>$D59*M60</f>
        <v>0</v>
      </c>
      <c r="N61" s="984"/>
      <c r="O61" s="104">
        <f>$D59*O60</f>
        <v>0</v>
      </c>
      <c r="P61" s="984"/>
      <c r="Q61" s="293">
        <f>$D59*Q60</f>
        <v>0</v>
      </c>
      <c r="R61" s="984"/>
      <c r="S61" s="104">
        <f>$D59*S60</f>
        <v>0</v>
      </c>
      <c r="T61" s="984"/>
      <c r="U61" s="293">
        <f>$D59*U60</f>
        <v>0</v>
      </c>
      <c r="V61" s="984"/>
      <c r="W61" s="104">
        <f>$D59*W60</f>
        <v>0</v>
      </c>
      <c r="X61" s="984"/>
      <c r="Y61" s="293">
        <f>$D59*Y60</f>
        <v>0</v>
      </c>
      <c r="Z61" s="984"/>
      <c r="AA61" s="104">
        <f>$D59*AA60</f>
        <v>0</v>
      </c>
      <c r="AB61" s="984"/>
      <c r="AC61" s="104">
        <f>$D59*AC60</f>
        <v>0</v>
      </c>
      <c r="AD61" s="984"/>
      <c r="AE61" s="104">
        <f>$D59*AE60</f>
        <v>0</v>
      </c>
      <c r="AF61" s="984"/>
      <c r="AG61" s="293">
        <f>$D59*AG60</f>
        <v>0</v>
      </c>
      <c r="AH61" s="984"/>
      <c r="AI61" s="104">
        <f>$D59*AI60</f>
        <v>0</v>
      </c>
      <c r="AJ61" s="984"/>
      <c r="AK61" s="104">
        <f>$D59*AK60</f>
        <v>0</v>
      </c>
      <c r="AL61" s="984"/>
      <c r="AM61" s="104">
        <f>$D59*AM60</f>
        <v>0</v>
      </c>
      <c r="AN61" s="984"/>
      <c r="AO61" s="104">
        <f>$D59*AO60</f>
        <v>0</v>
      </c>
      <c r="AP61" s="984"/>
      <c r="AQ61" s="104">
        <f>$D59*AQ60</f>
        <v>0</v>
      </c>
      <c r="AR61" s="984"/>
      <c r="AS61" s="104">
        <f>$D59*AS60</f>
        <v>0</v>
      </c>
      <c r="AT61" s="984"/>
      <c r="AU61" s="104">
        <f>$D59*AU60</f>
        <v>0</v>
      </c>
      <c r="AV61" s="984"/>
      <c r="AW61" s="104">
        <f>$D59*AW60</f>
        <v>0</v>
      </c>
      <c r="AX61" s="984"/>
      <c r="AY61" s="104">
        <f>$D59*AY60</f>
        <v>0</v>
      </c>
      <c r="AZ61" s="984"/>
      <c r="BA61" s="104">
        <f>$D59*BA60</f>
        <v>0</v>
      </c>
      <c r="BB61" s="984"/>
      <c r="BC61" s="104">
        <f>$D59*BC60</f>
        <v>0</v>
      </c>
      <c r="BD61" s="984"/>
    </row>
    <row r="62" spans="1:56" ht="13.15" customHeight="1" x14ac:dyDescent="0.35">
      <c r="A62" s="994" t="s">
        <v>863</v>
      </c>
      <c r="B62" s="994" t="s">
        <v>522</v>
      </c>
      <c r="C62" s="997"/>
      <c r="D62" s="1000">
        <v>82.86</v>
      </c>
      <c r="E62" s="488"/>
      <c r="F62" s="250"/>
      <c r="G62" s="291">
        <f>G63/G$12</f>
        <v>0</v>
      </c>
      <c r="H62" s="1006">
        <f>SUMIFS('9. Actuals SAP Extract'!$V:$V,'9. Actuals SAP Extract'!$H:$H,$A62,'9. Actuals SAP Extract'!$P:$P,$B62,'9. Actuals SAP Extract'!$W:$W,H$11)</f>
        <v>0</v>
      </c>
      <c r="I62" s="102">
        <f>I63/I$12</f>
        <v>0</v>
      </c>
      <c r="J62" s="982">
        <f>SUMIFS('9. Actuals SAP Extract'!$V:$V,'9. Actuals SAP Extract'!$H:$H,$A62,'9. Actuals SAP Extract'!$P:$P,$B62,'9. Actuals SAP Extract'!$W:$W,J$11)</f>
        <v>0</v>
      </c>
      <c r="K62" s="102">
        <f>K63/K$12</f>
        <v>0</v>
      </c>
      <c r="L62" s="982">
        <f>SUMIFS('9. Actuals SAP Extract'!$V:$V,'9. Actuals SAP Extract'!$P:$P,$B62,'9. Actuals SAP Extract'!$H:$H,$A62,'9. Actuals SAP Extract'!$W:$W,'Detailed Forecast vs Actuals'!L$11)</f>
        <v>0</v>
      </c>
      <c r="M62" s="291">
        <f>M63/M$12</f>
        <v>0</v>
      </c>
      <c r="N62" s="982">
        <f>SUMIFS('9. Actuals SAP Extract'!$V:$V,'9. Actuals SAP Extract'!$H:$H,$A62,'9. Actuals SAP Extract'!$P:$P,$B62,'9. Actuals SAP Extract'!$W:$W,N$11)</f>
        <v>0</v>
      </c>
      <c r="O62" s="102">
        <f>O63/O$12</f>
        <v>0</v>
      </c>
      <c r="P62" s="982">
        <f>SUMIFS('9. Actuals SAP Extract'!$V:$V,'9. Actuals SAP Extract'!$P:$P,$B62,'9. Actuals SAP Extract'!$H:$H,$A62,'9. Actuals SAP Extract'!$W:$W,'Detailed Forecast vs Actuals'!P$11)</f>
        <v>0</v>
      </c>
      <c r="Q62" s="291">
        <f>Q63/Q$12</f>
        <v>0</v>
      </c>
      <c r="R62" s="982">
        <f>SUMIFS('9. Actuals SAP Extract'!$V:$V,'9. Actuals SAP Extract'!$H:$H,$A62,'9. Actuals SAP Extract'!$P:$P,$B62,'9. Actuals SAP Extract'!$W:$W,R$11)</f>
        <v>0</v>
      </c>
      <c r="S62" s="102">
        <f>S63/S$12</f>
        <v>0</v>
      </c>
      <c r="T62" s="982"/>
      <c r="U62" s="291">
        <f>U63/U$12</f>
        <v>0</v>
      </c>
      <c r="V62" s="982">
        <f>SUMIFS('9. Actuals SAP Extract'!$V:$V,'9. Actuals SAP Extract'!$H:$H,$A62,'9. Actuals SAP Extract'!$P:$P,$B62,'9. Actuals SAP Extract'!$W:$W,V$11)</f>
        <v>0</v>
      </c>
      <c r="W62" s="102">
        <f>W63/W$12</f>
        <v>0</v>
      </c>
      <c r="X62" s="982">
        <f>SUMIFS('9. Actuals SAP Extract'!$V:$V,'9. Actuals SAP Extract'!$P:$P,$B62,'9. Actuals SAP Extract'!$H:$H,$A62,'9. Actuals SAP Extract'!$W:$W,'Detailed Forecast vs Actuals'!X$11)</f>
        <v>0</v>
      </c>
      <c r="Y62" s="291">
        <f>Y63/Y$12</f>
        <v>0</v>
      </c>
      <c r="Z62" s="982">
        <f>SUMIFS('9. Actuals SAP Extract'!$V:$V,'9. Actuals SAP Extract'!$H:$H,$A62,'9. Actuals SAP Extract'!$P:$P,$B62,'9. Actuals SAP Extract'!$W:$W,Z$11)</f>
        <v>0</v>
      </c>
      <c r="AA62" s="102">
        <f>AA63/AA$12</f>
        <v>0</v>
      </c>
      <c r="AB62" s="982">
        <f>SUMIFS('9. Actuals SAP Extract'!$V:$V,'9. Actuals SAP Extract'!$P:$P,$B62,'9. Actuals SAP Extract'!$H:$H,$A62,'9. Actuals SAP Extract'!$W:$W,'Detailed Forecast vs Actuals'!AB$11)</f>
        <v>0</v>
      </c>
      <c r="AC62" s="102">
        <f>AC63/AC$12</f>
        <v>0</v>
      </c>
      <c r="AD62" s="982">
        <f>SUMIFS('9. Actuals SAP Extract'!$V:$V,'9. Actuals SAP Extract'!$P:$P,$B62,'9. Actuals SAP Extract'!$H:$H,$A62,'9. Actuals SAP Extract'!$W:$W,'Detailed Forecast vs Actuals'!AD$11)</f>
        <v>0</v>
      </c>
      <c r="AE62" s="102">
        <f>AE63/AE$12</f>
        <v>0</v>
      </c>
      <c r="AF62" s="982">
        <f>SUMIFS('9. Actuals SAP Extract'!$V:$V,'9. Actuals SAP Extract'!$P:$P,$B62,'9. Actuals SAP Extract'!$H:$H,$A62,'9. Actuals SAP Extract'!$W:$W,'Detailed Forecast vs Actuals'!AF$11)</f>
        <v>1325.76</v>
      </c>
      <c r="AG62" s="291">
        <f>AG63/AG$12</f>
        <v>0</v>
      </c>
      <c r="AH62" s="982">
        <f>SUMIFS('9. Actuals SAP Extract'!$V:$V,'9. Actuals SAP Extract'!$P:$P,$B62,'9. Actuals SAP Extract'!$H:$H,$A62,'9. Actuals SAP Extract'!$W:$W,'Detailed Forecast vs Actuals'!AH$11)</f>
        <v>0</v>
      </c>
      <c r="AI62" s="102">
        <f>AI63/AI$12</f>
        <v>0</v>
      </c>
      <c r="AJ62" s="982">
        <f>SUMIFS('9. Actuals SAP Extract'!$V:$V,'9. Actuals SAP Extract'!$P:$P,$B62,'9. Actuals SAP Extract'!$H:$H,$A62,'9. Actuals SAP Extract'!$W:$W,'Detailed Forecast vs Actuals'!AJ$11)</f>
        <v>0</v>
      </c>
      <c r="AK62" s="102">
        <f>AK63/AK$12</f>
        <v>0</v>
      </c>
      <c r="AL62" s="982">
        <f>SUMIFS('9. Actuals SAP Extract'!$V:$V,'9. Actuals SAP Extract'!$P:$P,$B62,'9. Actuals SAP Extract'!$H:$H,$A62,'9. Actuals SAP Extract'!$W:$W,'Detailed Forecast vs Actuals'!AL$11)</f>
        <v>0</v>
      </c>
      <c r="AM62" s="102">
        <f>AM63/AM$12</f>
        <v>0</v>
      </c>
      <c r="AN62" s="982">
        <f>SUMIFS('9. Actuals SAP Extract'!$V:$V,'9. Actuals SAP Extract'!$P:$P,$B62,'9. Actuals SAP Extract'!$H:$H,$A62,'9. Actuals SAP Extract'!$W:$W,'Detailed Forecast vs Actuals'!AN$11)</f>
        <v>0</v>
      </c>
      <c r="AO62" s="102">
        <f>AO63/AO$12</f>
        <v>0</v>
      </c>
      <c r="AP62" s="982">
        <f>SUMIFS('9. Actuals SAP Extract'!$V:$V,'9. Actuals SAP Extract'!$P:$P,$B62,'9. Actuals SAP Extract'!$H:$H,$A62,'9. Actuals SAP Extract'!$W:$W,'Detailed Forecast vs Actuals'!AP$11)</f>
        <v>0</v>
      </c>
      <c r="AQ62" s="102">
        <f>AQ63/AQ$12</f>
        <v>0</v>
      </c>
      <c r="AR62" s="982"/>
      <c r="AS62" s="102">
        <f>AS63/AS$12</f>
        <v>0</v>
      </c>
      <c r="AT62" s="982"/>
      <c r="AU62" s="102">
        <f>AU63/AU$12</f>
        <v>0</v>
      </c>
      <c r="AV62" s="982"/>
      <c r="AW62" s="102">
        <f>AW63/AW$12</f>
        <v>0</v>
      </c>
      <c r="AX62" s="982"/>
      <c r="AY62" s="102">
        <f>AY63/AY$12</f>
        <v>0</v>
      </c>
      <c r="AZ62" s="982"/>
      <c r="BA62" s="102">
        <f>BA63/BA$12</f>
        <v>0</v>
      </c>
      <c r="BB62" s="982"/>
      <c r="BC62" s="102">
        <f>BC63/BC$12</f>
        <v>0</v>
      </c>
      <c r="BD62" s="982"/>
    </row>
    <row r="63" spans="1:56" ht="13.15" customHeight="1" x14ac:dyDescent="0.35">
      <c r="A63" s="995"/>
      <c r="B63" s="995"/>
      <c r="C63" s="998"/>
      <c r="D63" s="1028"/>
      <c r="E63" s="489"/>
      <c r="F63" s="251"/>
      <c r="G63" s="292">
        <v>0</v>
      </c>
      <c r="H63" s="1007"/>
      <c r="I63" s="103">
        <v>0</v>
      </c>
      <c r="J63" s="983"/>
      <c r="K63" s="103">
        <v>0</v>
      </c>
      <c r="L63" s="983"/>
      <c r="M63" s="292">
        <v>0</v>
      </c>
      <c r="N63" s="983"/>
      <c r="O63" s="103">
        <v>0</v>
      </c>
      <c r="P63" s="983"/>
      <c r="Q63" s="292">
        <v>0</v>
      </c>
      <c r="R63" s="983"/>
      <c r="S63" s="103">
        <v>0</v>
      </c>
      <c r="T63" s="983"/>
      <c r="U63" s="292">
        <v>0</v>
      </c>
      <c r="V63" s="983"/>
      <c r="W63" s="103">
        <v>0</v>
      </c>
      <c r="X63" s="983"/>
      <c r="Y63" s="292">
        <v>0</v>
      </c>
      <c r="Z63" s="983"/>
      <c r="AA63" s="103">
        <v>0</v>
      </c>
      <c r="AB63" s="983"/>
      <c r="AC63" s="103">
        <v>0</v>
      </c>
      <c r="AD63" s="983"/>
      <c r="AE63" s="103">
        <v>0</v>
      </c>
      <c r="AF63" s="983"/>
      <c r="AG63" s="292">
        <v>0</v>
      </c>
      <c r="AH63" s="983"/>
      <c r="AI63" s="103">
        <v>0</v>
      </c>
      <c r="AJ63" s="983"/>
      <c r="AK63" s="103">
        <v>0</v>
      </c>
      <c r="AL63" s="983"/>
      <c r="AM63" s="103">
        <v>0</v>
      </c>
      <c r="AN63" s="983"/>
      <c r="AO63" s="103">
        <v>0</v>
      </c>
      <c r="AP63" s="983"/>
      <c r="AQ63" s="103">
        <v>0</v>
      </c>
      <c r="AR63" s="983"/>
      <c r="AS63" s="103">
        <v>0</v>
      </c>
      <c r="AT63" s="983"/>
      <c r="AU63" s="103">
        <v>0</v>
      </c>
      <c r="AV63" s="983"/>
      <c r="AW63" s="103">
        <v>0</v>
      </c>
      <c r="AX63" s="983"/>
      <c r="AY63" s="103">
        <v>0</v>
      </c>
      <c r="AZ63" s="983"/>
      <c r="BA63" s="103">
        <v>0</v>
      </c>
      <c r="BB63" s="983"/>
      <c r="BC63" s="103">
        <v>0</v>
      </c>
      <c r="BD63" s="983"/>
    </row>
    <row r="64" spans="1:56" ht="13.9" customHeight="1" thickBot="1" x14ac:dyDescent="0.4">
      <c r="A64" s="996"/>
      <c r="B64" s="996"/>
      <c r="C64" s="999"/>
      <c r="D64" s="1029"/>
      <c r="E64" s="490"/>
      <c r="F64" s="252"/>
      <c r="G64" s="293">
        <f>$D62*G63</f>
        <v>0</v>
      </c>
      <c r="H64" s="1008"/>
      <c r="I64" s="104">
        <f>$D62*I63</f>
        <v>0</v>
      </c>
      <c r="J64" s="984"/>
      <c r="K64" s="104">
        <f>$D62*K63</f>
        <v>0</v>
      </c>
      <c r="L64" s="984"/>
      <c r="M64" s="293">
        <f>$D62*M63</f>
        <v>0</v>
      </c>
      <c r="N64" s="984"/>
      <c r="O64" s="104">
        <f>$D62*O63</f>
        <v>0</v>
      </c>
      <c r="P64" s="984"/>
      <c r="Q64" s="293">
        <f>$D62*Q63</f>
        <v>0</v>
      </c>
      <c r="R64" s="984"/>
      <c r="S64" s="104">
        <f>$D62*S63</f>
        <v>0</v>
      </c>
      <c r="T64" s="984"/>
      <c r="U64" s="293">
        <f>$D62*U63</f>
        <v>0</v>
      </c>
      <c r="V64" s="984"/>
      <c r="W64" s="104">
        <f>$D62*W63</f>
        <v>0</v>
      </c>
      <c r="X64" s="984"/>
      <c r="Y64" s="293">
        <f>$D62*Y63</f>
        <v>0</v>
      </c>
      <c r="Z64" s="984"/>
      <c r="AA64" s="104">
        <f>$D62*AA63</f>
        <v>0</v>
      </c>
      <c r="AB64" s="984"/>
      <c r="AC64" s="104">
        <f>$D62*AC63</f>
        <v>0</v>
      </c>
      <c r="AD64" s="984"/>
      <c r="AE64" s="104">
        <f>$D62*AE63</f>
        <v>0</v>
      </c>
      <c r="AF64" s="984"/>
      <c r="AG64" s="293">
        <f>$D62*AG63</f>
        <v>0</v>
      </c>
      <c r="AH64" s="984"/>
      <c r="AI64" s="104">
        <f>$D62*AI63</f>
        <v>0</v>
      </c>
      <c r="AJ64" s="984"/>
      <c r="AK64" s="104">
        <f>$D62*AK63</f>
        <v>0</v>
      </c>
      <c r="AL64" s="984"/>
      <c r="AM64" s="104">
        <f>$D62*AM63</f>
        <v>0</v>
      </c>
      <c r="AN64" s="984"/>
      <c r="AO64" s="104">
        <f>$D62*AO63</f>
        <v>0</v>
      </c>
      <c r="AP64" s="984"/>
      <c r="AQ64" s="104">
        <f>$D62*AQ63</f>
        <v>0</v>
      </c>
      <c r="AR64" s="984"/>
      <c r="AS64" s="104">
        <f>$D62*AS63</f>
        <v>0</v>
      </c>
      <c r="AT64" s="984"/>
      <c r="AU64" s="104">
        <f>$D62*AU63</f>
        <v>0</v>
      </c>
      <c r="AV64" s="984"/>
      <c r="AW64" s="104">
        <f>$D62*AW63</f>
        <v>0</v>
      </c>
      <c r="AX64" s="984"/>
      <c r="AY64" s="104">
        <f>$D62*AY63</f>
        <v>0</v>
      </c>
      <c r="AZ64" s="984"/>
      <c r="BA64" s="104">
        <f>$D62*BA63</f>
        <v>0</v>
      </c>
      <c r="BB64" s="984"/>
      <c r="BC64" s="104">
        <f>$D62*BC63</f>
        <v>0</v>
      </c>
      <c r="BD64" s="984"/>
    </row>
    <row r="65" spans="1:56" s="845" customFormat="1" ht="13.15" customHeight="1" x14ac:dyDescent="0.35">
      <c r="A65" s="994" t="s">
        <v>1057</v>
      </c>
      <c r="B65" s="994" t="s">
        <v>522</v>
      </c>
      <c r="C65" s="997"/>
      <c r="D65" s="1000">
        <v>115.34</v>
      </c>
      <c r="E65" s="1009" t="s">
        <v>1068</v>
      </c>
      <c r="F65" s="250"/>
      <c r="G65" s="291">
        <f>G66/G$12</f>
        <v>0</v>
      </c>
      <c r="H65" s="1006">
        <f>SUMIFS('9. Actuals SAP Extract'!$V:$V,'9. Actuals SAP Extract'!$H:$H,$A65,'9. Actuals SAP Extract'!$P:$P,$B65,'9. Actuals SAP Extract'!$W:$W,H$11)</f>
        <v>0</v>
      </c>
      <c r="I65" s="102">
        <f>I66/I$12</f>
        <v>0</v>
      </c>
      <c r="J65" s="982">
        <f>SUMIFS('9. Actuals SAP Extract'!$V:$V,'9. Actuals SAP Extract'!$H:$H,$A65,'9. Actuals SAP Extract'!$P:$P,$B65,'9. Actuals SAP Extract'!$W:$W,J$11)</f>
        <v>0</v>
      </c>
      <c r="K65" s="102">
        <f>K66/K$12</f>
        <v>0</v>
      </c>
      <c r="L65" s="982">
        <f>SUMIFS('9. Actuals SAP Extract'!$V:$V,'9. Actuals SAP Extract'!$P:$P,$B65,'9. Actuals SAP Extract'!$H:$H,$A65,'9. Actuals SAP Extract'!$W:$W,'Detailed Forecast vs Actuals'!L$11)</f>
        <v>0</v>
      </c>
      <c r="M65" s="291">
        <f>M66/M$12</f>
        <v>0</v>
      </c>
      <c r="N65" s="982">
        <f>SUMIFS('9. Actuals SAP Extract'!$V:$V,'9. Actuals SAP Extract'!$H:$H,$A65,'9. Actuals SAP Extract'!$P:$P,$B65,'9. Actuals SAP Extract'!$W:$W,N$11)</f>
        <v>0</v>
      </c>
      <c r="O65" s="102">
        <f>O66/O$12</f>
        <v>0</v>
      </c>
      <c r="P65" s="982">
        <f>SUMIFS('9. Actuals SAP Extract'!$V:$V,'9. Actuals SAP Extract'!$P:$P,$B65,'9. Actuals SAP Extract'!$H:$H,$A65,'9. Actuals SAP Extract'!$W:$W,'Detailed Forecast vs Actuals'!P$11)</f>
        <v>0</v>
      </c>
      <c r="Q65" s="291">
        <f>Q66/Q$12</f>
        <v>0</v>
      </c>
      <c r="R65" s="982">
        <f>SUMIFS('9. Actuals SAP Extract'!$V:$V,'9. Actuals SAP Extract'!$H:$H,$A65,'9. Actuals SAP Extract'!$P:$P,$B65,'9. Actuals SAP Extract'!$W:$W,R$11)</f>
        <v>0</v>
      </c>
      <c r="S65" s="102">
        <f>S66/S$12</f>
        <v>0</v>
      </c>
      <c r="T65" s="982"/>
      <c r="U65" s="291">
        <f>U66/U$12</f>
        <v>0</v>
      </c>
      <c r="V65" s="982">
        <f>SUMIFS('9. Actuals SAP Extract'!$V:$V,'9. Actuals SAP Extract'!$H:$H,$A65,'9. Actuals SAP Extract'!$P:$P,$B65,'9. Actuals SAP Extract'!$W:$W,V$11)</f>
        <v>0</v>
      </c>
      <c r="W65" s="102">
        <f>W66/W$12</f>
        <v>0</v>
      </c>
      <c r="X65" s="982">
        <f>SUMIFS('9. Actuals SAP Extract'!$V:$V,'9. Actuals SAP Extract'!$P:$P,$B65,'9. Actuals SAP Extract'!$H:$H,$A65,'9. Actuals SAP Extract'!$W:$W,'Detailed Forecast vs Actuals'!X$11)</f>
        <v>0</v>
      </c>
      <c r="Y65" s="291">
        <f>Y66/Y$12</f>
        <v>0</v>
      </c>
      <c r="Z65" s="982">
        <f>SUMIFS('9. Actuals SAP Extract'!$V:$V,'9. Actuals SAP Extract'!$H:$H,$A65,'9. Actuals SAP Extract'!$P:$P,$B65,'9. Actuals SAP Extract'!$W:$W,Z$11)</f>
        <v>0</v>
      </c>
      <c r="AA65" s="102">
        <f>AA66/AA$12</f>
        <v>0</v>
      </c>
      <c r="AB65" s="982">
        <f>SUMIFS('9. Actuals SAP Extract'!$V:$V,'9. Actuals SAP Extract'!$P:$P,$B65,'9. Actuals SAP Extract'!$H:$H,$A65,'9. Actuals SAP Extract'!$W:$W,'Detailed Forecast vs Actuals'!AB$11)</f>
        <v>0</v>
      </c>
      <c r="AC65" s="102">
        <f>AC66/AC$12</f>
        <v>0</v>
      </c>
      <c r="AD65" s="982">
        <f>SUMIFS('9. Actuals SAP Extract'!$V:$V,'9. Actuals SAP Extract'!$P:$P,$B65,'9. Actuals SAP Extract'!$H:$H,$A65,'9. Actuals SAP Extract'!$W:$W,'Detailed Forecast vs Actuals'!AD$11)</f>
        <v>0</v>
      </c>
      <c r="AE65" s="102">
        <f>AE66/AE$12</f>
        <v>0</v>
      </c>
      <c r="AF65" s="982">
        <f>SUMIFS('9. Actuals SAP Extract'!$V:$V,'9. Actuals SAP Extract'!$P:$P,$B65,'9. Actuals SAP Extract'!$H:$H,$A65,'9. Actuals SAP Extract'!$W:$W,'Detailed Forecast vs Actuals'!AF$11)</f>
        <v>0</v>
      </c>
      <c r="AG65" s="291">
        <f>AG66/AG$12</f>
        <v>0</v>
      </c>
      <c r="AH65" s="982">
        <f>SUMIFS('9. Actuals SAP Extract'!$V:$V,'9. Actuals SAP Extract'!$P:$P,$B65,'9. Actuals SAP Extract'!$H:$H,$A65,'9. Actuals SAP Extract'!$W:$W,'Detailed Forecast vs Actuals'!AH$11)</f>
        <v>0</v>
      </c>
      <c r="AI65" s="102">
        <f>AI66/AI$12</f>
        <v>0</v>
      </c>
      <c r="AJ65" s="982">
        <f>SUMIFS('9. Actuals SAP Extract'!$V:$V,'9. Actuals SAP Extract'!$P:$P,$B65,'9. Actuals SAP Extract'!$H:$H,$A65,'9. Actuals SAP Extract'!$W:$W,'Detailed Forecast vs Actuals'!AJ$11)</f>
        <v>0</v>
      </c>
      <c r="AK65" s="102">
        <f>AK66/AK$12</f>
        <v>0</v>
      </c>
      <c r="AL65" s="982">
        <f>SUMIFS('9. Actuals SAP Extract'!$V:$V,'9. Actuals SAP Extract'!$P:$P,$B65,'9. Actuals SAP Extract'!$H:$H,$A65,'9. Actuals SAP Extract'!$W:$W,'Detailed Forecast vs Actuals'!AL$11)</f>
        <v>0</v>
      </c>
      <c r="AM65" s="102">
        <f>AM66/AM$12</f>
        <v>0</v>
      </c>
      <c r="AN65" s="985">
        <f>SUMIFS('9. Actuals SAP Extract'!$V:$V,'9. Actuals SAP Extract'!$P:$P,$B65,'9. Actuals SAP Extract'!$H:$H,$A65,'9. Actuals SAP Extract'!$W:$W,'Detailed Forecast vs Actuals'!AN$11)</f>
        <v>1845.44</v>
      </c>
      <c r="AO65" s="102">
        <f>AO66/AO$12</f>
        <v>1.4285714285714286</v>
      </c>
      <c r="AP65" s="982">
        <f>SUMIFS('9. Actuals SAP Extract'!$V:$V,'9. Actuals SAP Extract'!$P:$P,$B65,'9. Actuals SAP Extract'!$H:$H,$A65,'9. Actuals SAP Extract'!$W:$W,'Detailed Forecast vs Actuals'!AP$11)</f>
        <v>4613.6000000000004</v>
      </c>
      <c r="AQ65" s="102">
        <f>AQ66/AQ$12</f>
        <v>1</v>
      </c>
      <c r="AR65" s="982"/>
      <c r="AS65" s="102">
        <f>AS66/AS$12</f>
        <v>1</v>
      </c>
      <c r="AT65" s="982"/>
      <c r="AU65" s="102">
        <f>AU66/AU$12</f>
        <v>0</v>
      </c>
      <c r="AV65" s="982"/>
      <c r="AW65" s="102">
        <f>AW66/AW$12</f>
        <v>0</v>
      </c>
      <c r="AX65" s="982"/>
      <c r="AY65" s="102">
        <f>AY66/AY$12</f>
        <v>0</v>
      </c>
      <c r="AZ65" s="982"/>
      <c r="BA65" s="102">
        <f>BA66/BA$12</f>
        <v>0</v>
      </c>
      <c r="BB65" s="982"/>
      <c r="BC65" s="102">
        <f>BC66/BC$12</f>
        <v>0</v>
      </c>
      <c r="BD65" s="982"/>
    </row>
    <row r="66" spans="1:56" s="845" customFormat="1" ht="13.15" customHeight="1" x14ac:dyDescent="0.35">
      <c r="A66" s="995"/>
      <c r="B66" s="995"/>
      <c r="C66" s="998"/>
      <c r="D66" s="1028"/>
      <c r="E66" s="1010"/>
      <c r="F66" s="251"/>
      <c r="G66" s="292">
        <v>0</v>
      </c>
      <c r="H66" s="1007"/>
      <c r="I66" s="103">
        <v>0</v>
      </c>
      <c r="J66" s="983"/>
      <c r="K66" s="103">
        <v>0</v>
      </c>
      <c r="L66" s="983"/>
      <c r="M66" s="292">
        <v>0</v>
      </c>
      <c r="N66" s="983"/>
      <c r="O66" s="103">
        <v>0</v>
      </c>
      <c r="P66" s="983"/>
      <c r="Q66" s="292">
        <v>0</v>
      </c>
      <c r="R66" s="983"/>
      <c r="S66" s="103">
        <v>0</v>
      </c>
      <c r="T66" s="983"/>
      <c r="U66" s="292">
        <v>0</v>
      </c>
      <c r="V66" s="983"/>
      <c r="W66" s="103">
        <v>0</v>
      </c>
      <c r="X66" s="983"/>
      <c r="Y66" s="292">
        <v>0</v>
      </c>
      <c r="Z66" s="983"/>
      <c r="AA66" s="103">
        <v>0</v>
      </c>
      <c r="AB66" s="983"/>
      <c r="AC66" s="103">
        <v>0</v>
      </c>
      <c r="AD66" s="983"/>
      <c r="AE66" s="103">
        <v>0</v>
      </c>
      <c r="AF66" s="983"/>
      <c r="AG66" s="292">
        <v>0</v>
      </c>
      <c r="AH66" s="983"/>
      <c r="AI66" s="103">
        <v>0</v>
      </c>
      <c r="AJ66" s="983"/>
      <c r="AK66" s="103">
        <v>0</v>
      </c>
      <c r="AL66" s="983"/>
      <c r="AM66" s="103">
        <v>0</v>
      </c>
      <c r="AN66" s="986"/>
      <c r="AO66" s="103">
        <v>240</v>
      </c>
      <c r="AP66" s="983"/>
      <c r="AQ66" s="103">
        <v>176</v>
      </c>
      <c r="AR66" s="983"/>
      <c r="AS66" s="103">
        <v>176</v>
      </c>
      <c r="AT66" s="983"/>
      <c r="AU66" s="103">
        <v>0</v>
      </c>
      <c r="AV66" s="983"/>
      <c r="AW66" s="103">
        <v>0</v>
      </c>
      <c r="AX66" s="983"/>
      <c r="AY66" s="103">
        <v>0</v>
      </c>
      <c r="AZ66" s="983"/>
      <c r="BA66" s="103">
        <v>0</v>
      </c>
      <c r="BB66" s="983"/>
      <c r="BC66" s="103">
        <v>0</v>
      </c>
      <c r="BD66" s="983"/>
    </row>
    <row r="67" spans="1:56" s="845" customFormat="1" ht="13.9" customHeight="1" thickBot="1" x14ac:dyDescent="0.4">
      <c r="A67" s="996"/>
      <c r="B67" s="996"/>
      <c r="C67" s="999"/>
      <c r="D67" s="1029"/>
      <c r="E67" s="1011"/>
      <c r="F67" s="252"/>
      <c r="G67" s="293">
        <f>$D65*G66</f>
        <v>0</v>
      </c>
      <c r="H67" s="1008"/>
      <c r="I67" s="104">
        <f>$D65*I66</f>
        <v>0</v>
      </c>
      <c r="J67" s="984"/>
      <c r="K67" s="104">
        <f>$D65*K66</f>
        <v>0</v>
      </c>
      <c r="L67" s="984"/>
      <c r="M67" s="293">
        <f>$D65*M66</f>
        <v>0</v>
      </c>
      <c r="N67" s="984"/>
      <c r="O67" s="104">
        <f>$D65*O66</f>
        <v>0</v>
      </c>
      <c r="P67" s="984"/>
      <c r="Q67" s="293">
        <f>$D65*Q66</f>
        <v>0</v>
      </c>
      <c r="R67" s="984"/>
      <c r="S67" s="104">
        <f>$D65*S66</f>
        <v>0</v>
      </c>
      <c r="T67" s="984"/>
      <c r="U67" s="293">
        <f>$D65*U66</f>
        <v>0</v>
      </c>
      <c r="V67" s="984"/>
      <c r="W67" s="104">
        <f>$D65*W66</f>
        <v>0</v>
      </c>
      <c r="X67" s="984"/>
      <c r="Y67" s="293">
        <f>$D65*Y66</f>
        <v>0</v>
      </c>
      <c r="Z67" s="984"/>
      <c r="AA67" s="104">
        <f>$D65*AA66</f>
        <v>0</v>
      </c>
      <c r="AB67" s="984"/>
      <c r="AC67" s="104">
        <f>$D65*AC66</f>
        <v>0</v>
      </c>
      <c r="AD67" s="984"/>
      <c r="AE67" s="104">
        <f>$D65*AE66</f>
        <v>0</v>
      </c>
      <c r="AF67" s="984"/>
      <c r="AG67" s="293">
        <f>$D65*AG66</f>
        <v>0</v>
      </c>
      <c r="AH67" s="984"/>
      <c r="AI67" s="104">
        <f>$D65*AI66</f>
        <v>0</v>
      </c>
      <c r="AJ67" s="984"/>
      <c r="AK67" s="104">
        <f>$D65*AK66</f>
        <v>0</v>
      </c>
      <c r="AL67" s="984"/>
      <c r="AM67" s="104">
        <f>$D65*AM66</f>
        <v>0</v>
      </c>
      <c r="AN67" s="987"/>
      <c r="AO67" s="104">
        <f>$D65*AO66</f>
        <v>27681.600000000002</v>
      </c>
      <c r="AP67" s="984"/>
      <c r="AQ67" s="104">
        <f>$D65*AQ66</f>
        <v>20299.84</v>
      </c>
      <c r="AR67" s="984"/>
      <c r="AS67" s="104">
        <f>$D65*AS66</f>
        <v>20299.84</v>
      </c>
      <c r="AT67" s="984"/>
      <c r="AU67" s="104">
        <f>$D65*AU66</f>
        <v>0</v>
      </c>
      <c r="AV67" s="984"/>
      <c r="AW67" s="104">
        <f>$D65*AW66</f>
        <v>0</v>
      </c>
      <c r="AX67" s="984"/>
      <c r="AY67" s="104">
        <f>$D65*AY66</f>
        <v>0</v>
      </c>
      <c r="AZ67" s="984"/>
      <c r="BA67" s="104">
        <f>$D65*BA66</f>
        <v>0</v>
      </c>
      <c r="BB67" s="984"/>
      <c r="BC67" s="104">
        <f>$D65*BC66</f>
        <v>0</v>
      </c>
      <c r="BD67" s="984"/>
    </row>
    <row r="68" spans="1:56" s="845" customFormat="1" ht="13.15" customHeight="1" x14ac:dyDescent="0.35">
      <c r="A68" s="994" t="s">
        <v>1052</v>
      </c>
      <c r="B68" s="994" t="s">
        <v>522</v>
      </c>
      <c r="C68" s="997"/>
      <c r="D68" s="1000">
        <v>66.5</v>
      </c>
      <c r="E68" s="1009" t="s">
        <v>1068</v>
      </c>
      <c r="F68" s="250"/>
      <c r="G68" s="291">
        <f>G69/G$12</f>
        <v>0</v>
      </c>
      <c r="H68" s="1006">
        <f>SUMIFS('9. Actuals SAP Extract'!$V:$V,'9. Actuals SAP Extract'!$H:$H,$A68,'9. Actuals SAP Extract'!$P:$P,$B68,'9. Actuals SAP Extract'!$W:$W,H$11)</f>
        <v>0</v>
      </c>
      <c r="I68" s="102">
        <f>I69/I$12</f>
        <v>0</v>
      </c>
      <c r="J68" s="982">
        <f>SUMIFS('9. Actuals SAP Extract'!$V:$V,'9. Actuals SAP Extract'!$H:$H,$A68,'9. Actuals SAP Extract'!$P:$P,$B68,'9. Actuals SAP Extract'!$W:$W,J$11)</f>
        <v>0</v>
      </c>
      <c r="K68" s="102">
        <f>K69/K$12</f>
        <v>0</v>
      </c>
      <c r="L68" s="982">
        <f>SUMIFS('9. Actuals SAP Extract'!$V:$V,'9. Actuals SAP Extract'!$P:$P,$B68,'9. Actuals SAP Extract'!$H:$H,$A68,'9. Actuals SAP Extract'!$W:$W,'Detailed Forecast vs Actuals'!L$11)</f>
        <v>0</v>
      </c>
      <c r="M68" s="291">
        <f>M69/M$12</f>
        <v>0</v>
      </c>
      <c r="N68" s="982">
        <f>SUMIFS('9. Actuals SAP Extract'!$V:$V,'9. Actuals SAP Extract'!$H:$H,$A68,'9. Actuals SAP Extract'!$P:$P,$B68,'9. Actuals SAP Extract'!$W:$W,N$11)</f>
        <v>0</v>
      </c>
      <c r="O68" s="102">
        <f>O69/O$12</f>
        <v>0</v>
      </c>
      <c r="P68" s="982">
        <f>SUMIFS('9. Actuals SAP Extract'!$V:$V,'9. Actuals SAP Extract'!$P:$P,$B68,'9. Actuals SAP Extract'!$H:$H,$A68,'9. Actuals SAP Extract'!$W:$W,'Detailed Forecast vs Actuals'!P$11)</f>
        <v>0</v>
      </c>
      <c r="Q68" s="291">
        <f>Q69/Q$12</f>
        <v>0</v>
      </c>
      <c r="R68" s="982">
        <f>SUMIFS('9. Actuals SAP Extract'!$V:$V,'9. Actuals SAP Extract'!$H:$H,$A68,'9. Actuals SAP Extract'!$P:$P,$B68,'9. Actuals SAP Extract'!$W:$W,R$11)</f>
        <v>0</v>
      </c>
      <c r="S68" s="102">
        <f>S69/S$12</f>
        <v>0</v>
      </c>
      <c r="T68" s="982"/>
      <c r="U68" s="291">
        <f>U69/U$12</f>
        <v>0</v>
      </c>
      <c r="V68" s="982">
        <f>SUMIFS('9. Actuals SAP Extract'!$V:$V,'9. Actuals SAP Extract'!$H:$H,$A68,'9. Actuals SAP Extract'!$P:$P,$B68,'9. Actuals SAP Extract'!$W:$W,V$11)</f>
        <v>0</v>
      </c>
      <c r="W68" s="102">
        <f>W69/W$12</f>
        <v>0</v>
      </c>
      <c r="X68" s="982">
        <f>SUMIFS('9. Actuals SAP Extract'!$V:$V,'9. Actuals SAP Extract'!$P:$P,$B68,'9. Actuals SAP Extract'!$H:$H,$A68,'9. Actuals SAP Extract'!$W:$W,'Detailed Forecast vs Actuals'!X$11)</f>
        <v>0</v>
      </c>
      <c r="Y68" s="291">
        <f>Y69/Y$12</f>
        <v>0</v>
      </c>
      <c r="Z68" s="982">
        <f>SUMIFS('9. Actuals SAP Extract'!$V:$V,'9. Actuals SAP Extract'!$H:$H,$A68,'9. Actuals SAP Extract'!$P:$P,$B68,'9. Actuals SAP Extract'!$W:$W,Z$11)</f>
        <v>0</v>
      </c>
      <c r="AA68" s="102">
        <f>AA69/AA$12</f>
        <v>0</v>
      </c>
      <c r="AB68" s="982">
        <f>SUMIFS('9. Actuals SAP Extract'!$V:$V,'9. Actuals SAP Extract'!$P:$P,$B68,'9. Actuals SAP Extract'!$H:$H,$A68,'9. Actuals SAP Extract'!$W:$W,'Detailed Forecast vs Actuals'!AB$11)</f>
        <v>0</v>
      </c>
      <c r="AC68" s="102">
        <f>AC69/AC$12</f>
        <v>0</v>
      </c>
      <c r="AD68" s="982">
        <f>SUMIFS('9. Actuals SAP Extract'!$V:$V,'9. Actuals SAP Extract'!$P:$P,$B68,'9. Actuals SAP Extract'!$H:$H,$A68,'9. Actuals SAP Extract'!$W:$W,'Detailed Forecast vs Actuals'!AD$11)</f>
        <v>0</v>
      </c>
      <c r="AE68" s="102">
        <f>AE69/AE$12</f>
        <v>0</v>
      </c>
      <c r="AF68" s="982">
        <f>SUMIFS('9. Actuals SAP Extract'!$V:$V,'9. Actuals SAP Extract'!$P:$P,$B68,'9. Actuals SAP Extract'!$H:$H,$A68,'9. Actuals SAP Extract'!$W:$W,'Detailed Forecast vs Actuals'!AF$11)</f>
        <v>0</v>
      </c>
      <c r="AG68" s="291">
        <f>AG69/AG$12</f>
        <v>0</v>
      </c>
      <c r="AH68" s="982">
        <f>SUMIFS('9. Actuals SAP Extract'!$V:$V,'9. Actuals SAP Extract'!$P:$P,$B68,'9. Actuals SAP Extract'!$H:$H,$A68,'9. Actuals SAP Extract'!$W:$W,'Detailed Forecast vs Actuals'!AH$11)</f>
        <v>0</v>
      </c>
      <c r="AI68" s="102">
        <f>AI69/AI$12</f>
        <v>0</v>
      </c>
      <c r="AJ68" s="982">
        <f>SUMIFS('9. Actuals SAP Extract'!$V:$V,'9. Actuals SAP Extract'!$P:$P,$B68,'9. Actuals SAP Extract'!$H:$H,$A68,'9. Actuals SAP Extract'!$W:$W,'Detailed Forecast vs Actuals'!AJ$11)</f>
        <v>0</v>
      </c>
      <c r="AK68" s="102">
        <f>AK69/AK$12</f>
        <v>0</v>
      </c>
      <c r="AL68" s="982">
        <f>SUMIFS('9. Actuals SAP Extract'!$V:$V,'9. Actuals SAP Extract'!$P:$P,$B68,'9. Actuals SAP Extract'!$H:$H,$A68,'9. Actuals SAP Extract'!$W:$W,'Detailed Forecast vs Actuals'!AL$11)</f>
        <v>0</v>
      </c>
      <c r="AM68" s="102">
        <f>AM69/AM$12</f>
        <v>0</v>
      </c>
      <c r="AN68" s="985">
        <f>SUMIFS('9. Actuals SAP Extract'!$V:$V,'9. Actuals SAP Extract'!$P:$P,$B68,'9. Actuals SAP Extract'!$H:$H,$A68,'9. Actuals SAP Extract'!$W:$W,'Detailed Forecast vs Actuals'!AN$11)</f>
        <v>3192</v>
      </c>
      <c r="AO68" s="102">
        <f>AO69/AO$12</f>
        <v>0.2857142857142857</v>
      </c>
      <c r="AP68" s="982">
        <f>SUMIFS('9. Actuals SAP Extract'!$V:$V,'9. Actuals SAP Extract'!$P:$P,$B68,'9. Actuals SAP Extract'!$H:$H,$A68,'9. Actuals SAP Extract'!$W:$W,'Detailed Forecast vs Actuals'!AP$11)</f>
        <v>0</v>
      </c>
      <c r="AQ68" s="102">
        <f>AQ69/AQ$12</f>
        <v>0.27272727272727271</v>
      </c>
      <c r="AR68" s="982"/>
      <c r="AS68" s="102">
        <f>AS69/AS$12</f>
        <v>0.27272727272727271</v>
      </c>
      <c r="AT68" s="982"/>
      <c r="AU68" s="102">
        <f>AU69/AU$12</f>
        <v>0</v>
      </c>
      <c r="AV68" s="982"/>
      <c r="AW68" s="102">
        <f>AW69/AW$12</f>
        <v>0</v>
      </c>
      <c r="AX68" s="982"/>
      <c r="AY68" s="102">
        <f>AY69/AY$12</f>
        <v>0</v>
      </c>
      <c r="AZ68" s="982"/>
      <c r="BA68" s="102">
        <f>BA69/BA$12</f>
        <v>0</v>
      </c>
      <c r="BB68" s="982"/>
      <c r="BC68" s="102">
        <f>BC69/BC$12</f>
        <v>0</v>
      </c>
      <c r="BD68" s="982"/>
    </row>
    <row r="69" spans="1:56" s="845" customFormat="1" ht="13.15" customHeight="1" x14ac:dyDescent="0.35">
      <c r="A69" s="995"/>
      <c r="B69" s="995"/>
      <c r="C69" s="998"/>
      <c r="D69" s="1028"/>
      <c r="E69" s="1010"/>
      <c r="F69" s="251"/>
      <c r="G69" s="292">
        <v>0</v>
      </c>
      <c r="H69" s="1007"/>
      <c r="I69" s="103">
        <v>0</v>
      </c>
      <c r="J69" s="983"/>
      <c r="K69" s="103">
        <v>0</v>
      </c>
      <c r="L69" s="983"/>
      <c r="M69" s="292">
        <v>0</v>
      </c>
      <c r="N69" s="983"/>
      <c r="O69" s="103">
        <v>0</v>
      </c>
      <c r="P69" s="983"/>
      <c r="Q69" s="292">
        <v>0</v>
      </c>
      <c r="R69" s="983"/>
      <c r="S69" s="103">
        <v>0</v>
      </c>
      <c r="T69" s="983"/>
      <c r="U69" s="292">
        <v>0</v>
      </c>
      <c r="V69" s="983"/>
      <c r="W69" s="103">
        <v>0</v>
      </c>
      <c r="X69" s="983"/>
      <c r="Y69" s="292">
        <v>0</v>
      </c>
      <c r="Z69" s="983"/>
      <c r="AA69" s="103">
        <v>0</v>
      </c>
      <c r="AB69" s="983"/>
      <c r="AC69" s="103">
        <v>0</v>
      </c>
      <c r="AD69" s="983"/>
      <c r="AE69" s="103">
        <v>0</v>
      </c>
      <c r="AF69" s="983"/>
      <c r="AG69" s="292">
        <v>0</v>
      </c>
      <c r="AH69" s="983"/>
      <c r="AI69" s="103">
        <v>0</v>
      </c>
      <c r="AJ69" s="983"/>
      <c r="AK69" s="103">
        <v>0</v>
      </c>
      <c r="AL69" s="983"/>
      <c r="AM69" s="103">
        <v>0</v>
      </c>
      <c r="AN69" s="986"/>
      <c r="AO69" s="103">
        <v>48</v>
      </c>
      <c r="AP69" s="983"/>
      <c r="AQ69" s="103">
        <v>48</v>
      </c>
      <c r="AR69" s="983"/>
      <c r="AS69" s="103">
        <v>48</v>
      </c>
      <c r="AT69" s="983"/>
      <c r="AU69" s="103">
        <v>0</v>
      </c>
      <c r="AV69" s="983"/>
      <c r="AW69" s="103">
        <v>0</v>
      </c>
      <c r="AX69" s="983"/>
      <c r="AY69" s="103">
        <v>0</v>
      </c>
      <c r="AZ69" s="983"/>
      <c r="BA69" s="103">
        <v>0</v>
      </c>
      <c r="BB69" s="983"/>
      <c r="BC69" s="103">
        <v>0</v>
      </c>
      <c r="BD69" s="983"/>
    </row>
    <row r="70" spans="1:56" s="845" customFormat="1" ht="13.9" customHeight="1" thickBot="1" x14ac:dyDescent="0.4">
      <c r="A70" s="996"/>
      <c r="B70" s="996"/>
      <c r="C70" s="999"/>
      <c r="D70" s="1029"/>
      <c r="E70" s="1011"/>
      <c r="F70" s="252"/>
      <c r="G70" s="293">
        <f>$D68*G69</f>
        <v>0</v>
      </c>
      <c r="H70" s="1008"/>
      <c r="I70" s="104">
        <f>$D68*I69</f>
        <v>0</v>
      </c>
      <c r="J70" s="984"/>
      <c r="K70" s="104">
        <f>$D68*K69</f>
        <v>0</v>
      </c>
      <c r="L70" s="984"/>
      <c r="M70" s="293">
        <f>$D68*M69</f>
        <v>0</v>
      </c>
      <c r="N70" s="984"/>
      <c r="O70" s="104">
        <f>$D68*O69</f>
        <v>0</v>
      </c>
      <c r="P70" s="984"/>
      <c r="Q70" s="293">
        <f>$D68*Q69</f>
        <v>0</v>
      </c>
      <c r="R70" s="984"/>
      <c r="S70" s="104">
        <f>$D68*S69</f>
        <v>0</v>
      </c>
      <c r="T70" s="984"/>
      <c r="U70" s="293">
        <f>$D68*U69</f>
        <v>0</v>
      </c>
      <c r="V70" s="984"/>
      <c r="W70" s="104">
        <f>$D68*W69</f>
        <v>0</v>
      </c>
      <c r="X70" s="984"/>
      <c r="Y70" s="293">
        <f>$D68*Y69</f>
        <v>0</v>
      </c>
      <c r="Z70" s="984"/>
      <c r="AA70" s="104">
        <f>$D68*AA69</f>
        <v>0</v>
      </c>
      <c r="AB70" s="984"/>
      <c r="AC70" s="104">
        <f>$D68*AC69</f>
        <v>0</v>
      </c>
      <c r="AD70" s="984"/>
      <c r="AE70" s="104">
        <f>$D68*AE69</f>
        <v>0</v>
      </c>
      <c r="AF70" s="984"/>
      <c r="AG70" s="293">
        <f>$D68*AG69</f>
        <v>0</v>
      </c>
      <c r="AH70" s="984"/>
      <c r="AI70" s="104">
        <f>$D68*AI69</f>
        <v>0</v>
      </c>
      <c r="AJ70" s="984"/>
      <c r="AK70" s="104">
        <f>$D68*AK69</f>
        <v>0</v>
      </c>
      <c r="AL70" s="984"/>
      <c r="AM70" s="104">
        <f>$D68*AM69</f>
        <v>0</v>
      </c>
      <c r="AN70" s="987"/>
      <c r="AO70" s="104">
        <f>$D68*AO69</f>
        <v>3192</v>
      </c>
      <c r="AP70" s="984"/>
      <c r="AQ70" s="104">
        <f>$D68*AQ69</f>
        <v>3192</v>
      </c>
      <c r="AR70" s="984"/>
      <c r="AS70" s="104">
        <f>$D68*AS69</f>
        <v>3192</v>
      </c>
      <c r="AT70" s="984"/>
      <c r="AU70" s="104">
        <f>$D68*AU69</f>
        <v>0</v>
      </c>
      <c r="AV70" s="984"/>
      <c r="AW70" s="104">
        <f>$D68*AW69</f>
        <v>0</v>
      </c>
      <c r="AX70" s="984"/>
      <c r="AY70" s="104">
        <f>$D68*AY69</f>
        <v>0</v>
      </c>
      <c r="AZ70" s="984"/>
      <c r="BA70" s="104">
        <f>$D68*BA69</f>
        <v>0</v>
      </c>
      <c r="BB70" s="984"/>
      <c r="BC70" s="104">
        <f>$D68*BC69</f>
        <v>0</v>
      </c>
      <c r="BD70" s="984"/>
    </row>
    <row r="71" spans="1:56" ht="13.15" customHeight="1" x14ac:dyDescent="0.35">
      <c r="A71" s="994" t="s">
        <v>854</v>
      </c>
      <c r="B71" s="994" t="s">
        <v>522</v>
      </c>
      <c r="C71" s="997"/>
      <c r="D71" s="1000">
        <v>75.39</v>
      </c>
      <c r="E71" s="488"/>
      <c r="F71" s="250"/>
      <c r="G71" s="291">
        <f>G72/G$12</f>
        <v>0</v>
      </c>
      <c r="H71" s="1006">
        <f>SUMIFS('9. Actuals SAP Extract'!$V:$V,'9. Actuals SAP Extract'!$H:$H,$A71,'9. Actuals SAP Extract'!$P:$P,$B71,'9. Actuals SAP Extract'!$W:$W,H$11)</f>
        <v>0</v>
      </c>
      <c r="I71" s="102">
        <f>I72/I$12</f>
        <v>0</v>
      </c>
      <c r="J71" s="982">
        <f>SUMIFS('9. Actuals SAP Extract'!$V:$V,'9. Actuals SAP Extract'!$H:$H,$A71,'9. Actuals SAP Extract'!$P:$P,$B71,'9. Actuals SAP Extract'!$W:$W,J$11)</f>
        <v>0</v>
      </c>
      <c r="K71" s="102">
        <f>K72/K$12</f>
        <v>0</v>
      </c>
      <c r="L71" s="982">
        <f>SUMIFS('9. Actuals SAP Extract'!$V:$V,'9. Actuals SAP Extract'!$P:$P,$B71,'9. Actuals SAP Extract'!$H:$H,$A71,'9. Actuals SAP Extract'!$W:$W,'Detailed Forecast vs Actuals'!L$11)</f>
        <v>0</v>
      </c>
      <c r="M71" s="291">
        <f>M72/M$12</f>
        <v>0</v>
      </c>
      <c r="N71" s="982">
        <f>SUMIFS('9. Actuals SAP Extract'!$V:$V,'9. Actuals SAP Extract'!$H:$H,$A71,'9. Actuals SAP Extract'!$P:$P,$B71,'9. Actuals SAP Extract'!$W:$W,N$11)</f>
        <v>0</v>
      </c>
      <c r="O71" s="102">
        <f>O72/O$12</f>
        <v>0</v>
      </c>
      <c r="P71" s="982">
        <f>SUMIFS('9. Actuals SAP Extract'!$V:$V,'9. Actuals SAP Extract'!$P:$P,$B71,'9. Actuals SAP Extract'!$H:$H,$A71,'9. Actuals SAP Extract'!$W:$W,'Detailed Forecast vs Actuals'!P$11)</f>
        <v>0</v>
      </c>
      <c r="Q71" s="291">
        <f>Q72/Q$12</f>
        <v>0</v>
      </c>
      <c r="R71" s="982">
        <f>SUMIFS('9. Actuals SAP Extract'!$V:$V,'9. Actuals SAP Extract'!$H:$H,$A71,'9. Actuals SAP Extract'!$P:$P,$B71,'9. Actuals SAP Extract'!$W:$W,R$11)</f>
        <v>0</v>
      </c>
      <c r="S71" s="102">
        <f>S72/S$12</f>
        <v>0</v>
      </c>
      <c r="T71" s="982"/>
      <c r="U71" s="291">
        <f>U72/U$12</f>
        <v>0</v>
      </c>
      <c r="V71" s="982">
        <f>SUMIFS('9. Actuals SAP Extract'!$V:$V,'9. Actuals SAP Extract'!$H:$H,$A71,'9. Actuals SAP Extract'!$P:$P,$B71,'9. Actuals SAP Extract'!$W:$W,V$11)</f>
        <v>0</v>
      </c>
      <c r="W71" s="102">
        <f>W72/W$12</f>
        <v>0</v>
      </c>
      <c r="X71" s="982">
        <f>SUMIFS('9. Actuals SAP Extract'!$V:$V,'9. Actuals SAP Extract'!$P:$P,$B71,'9. Actuals SAP Extract'!$H:$H,$A71,'9. Actuals SAP Extract'!$W:$W,'Detailed Forecast vs Actuals'!X$11)</f>
        <v>0</v>
      </c>
      <c r="Y71" s="291">
        <f>Y72/Y$12</f>
        <v>0</v>
      </c>
      <c r="Z71" s="982">
        <f>SUMIFS('9. Actuals SAP Extract'!$V:$V,'9. Actuals SAP Extract'!$H:$H,$A71,'9. Actuals SAP Extract'!$P:$P,$B71,'9. Actuals SAP Extract'!$W:$W,Z$11)</f>
        <v>0</v>
      </c>
      <c r="AA71" s="102">
        <f>AA72/AA$12</f>
        <v>0</v>
      </c>
      <c r="AB71" s="982">
        <f>SUMIFS('9. Actuals SAP Extract'!$V:$V,'9. Actuals SAP Extract'!$P:$P,$B71,'9. Actuals SAP Extract'!$H:$H,$A71,'9. Actuals SAP Extract'!$W:$W,'Detailed Forecast vs Actuals'!AB$11)</f>
        <v>0</v>
      </c>
      <c r="AC71" s="102">
        <f>AC72/AC$12</f>
        <v>0</v>
      </c>
      <c r="AD71" s="982">
        <f>SUMIFS('9. Actuals SAP Extract'!$V:$V,'9. Actuals SAP Extract'!$P:$P,$B71,'9. Actuals SAP Extract'!$H:$H,$A71,'9. Actuals SAP Extract'!$W:$W,'Detailed Forecast vs Actuals'!AD$11)</f>
        <v>0</v>
      </c>
      <c r="AE71" s="102">
        <f>AE72/AE$12</f>
        <v>0</v>
      </c>
      <c r="AF71" s="982">
        <f>SUMIFS('9. Actuals SAP Extract'!$V:$V,'9. Actuals SAP Extract'!$P:$P,$B71,'9. Actuals SAP Extract'!$H:$H,$A71,'9. Actuals SAP Extract'!$W:$W,'Detailed Forecast vs Actuals'!AF$11)</f>
        <v>3618.72</v>
      </c>
      <c r="AG71" s="291">
        <f>AG72/AG$12</f>
        <v>0</v>
      </c>
      <c r="AH71" s="982">
        <f>SUMIFS('9. Actuals SAP Extract'!$V:$V,'9. Actuals SAP Extract'!$P:$P,$B71,'9. Actuals SAP Extract'!$H:$H,$A71,'9. Actuals SAP Extract'!$W:$W,'Detailed Forecast vs Actuals'!AH$11)</f>
        <v>0</v>
      </c>
      <c r="AI71" s="102">
        <f>AI72/AI$12</f>
        <v>0</v>
      </c>
      <c r="AJ71" s="982">
        <f>SUMIFS('9. Actuals SAP Extract'!$V:$V,'9. Actuals SAP Extract'!$P:$P,$B71,'9. Actuals SAP Extract'!$H:$H,$A71,'9. Actuals SAP Extract'!$W:$W,'Detailed Forecast vs Actuals'!AJ$11)</f>
        <v>0</v>
      </c>
      <c r="AK71" s="102">
        <f>AK72/AK$12</f>
        <v>0</v>
      </c>
      <c r="AL71" s="982">
        <f>SUMIFS('9. Actuals SAP Extract'!$V:$V,'9. Actuals SAP Extract'!$P:$P,$B71,'9. Actuals SAP Extract'!$H:$H,$A71,'9. Actuals SAP Extract'!$W:$W,'Detailed Forecast vs Actuals'!AL$11)</f>
        <v>0</v>
      </c>
      <c r="AM71" s="102">
        <f>AM72/AM$12</f>
        <v>0</v>
      </c>
      <c r="AN71" s="982">
        <f>SUMIFS('9. Actuals SAP Extract'!$V:$V,'9. Actuals SAP Extract'!$P:$P,$B71,'9. Actuals SAP Extract'!$H:$H,$A71,'9. Actuals SAP Extract'!$W:$W,'Detailed Forecast vs Actuals'!AN$11)</f>
        <v>0</v>
      </c>
      <c r="AO71" s="102">
        <f>AO72/AO$12</f>
        <v>0</v>
      </c>
      <c r="AP71" s="982">
        <f>SUMIFS('9. Actuals SAP Extract'!$V:$V,'9. Actuals SAP Extract'!$P:$P,$B71,'9. Actuals SAP Extract'!$H:$H,$A71,'9. Actuals SAP Extract'!$W:$W,'Detailed Forecast vs Actuals'!AP$11)</f>
        <v>0</v>
      </c>
      <c r="AQ71" s="102">
        <f>AQ72/AQ$12</f>
        <v>0</v>
      </c>
      <c r="AR71" s="982"/>
      <c r="AS71" s="102">
        <f>AS72/AS$12</f>
        <v>0</v>
      </c>
      <c r="AT71" s="982"/>
      <c r="AU71" s="102">
        <f>AU72/AU$12</f>
        <v>0</v>
      </c>
      <c r="AV71" s="982"/>
      <c r="AW71" s="102">
        <f>AW72/AW$12</f>
        <v>0</v>
      </c>
      <c r="AX71" s="982"/>
      <c r="AY71" s="102">
        <f>AY72/AY$12</f>
        <v>0</v>
      </c>
      <c r="AZ71" s="982"/>
      <c r="BA71" s="102">
        <f>BA72/BA$12</f>
        <v>0</v>
      </c>
      <c r="BB71" s="982"/>
      <c r="BC71" s="102">
        <f>BC72/BC$12</f>
        <v>0</v>
      </c>
      <c r="BD71" s="982"/>
    </row>
    <row r="72" spans="1:56" ht="13.15" customHeight="1" x14ac:dyDescent="0.35">
      <c r="A72" s="995"/>
      <c r="B72" s="995"/>
      <c r="C72" s="998"/>
      <c r="D72" s="1028"/>
      <c r="E72" s="489"/>
      <c r="F72" s="251"/>
      <c r="G72" s="292">
        <v>0</v>
      </c>
      <c r="H72" s="1007"/>
      <c r="I72" s="103">
        <v>0</v>
      </c>
      <c r="J72" s="983"/>
      <c r="K72" s="103">
        <v>0</v>
      </c>
      <c r="L72" s="983"/>
      <c r="M72" s="292">
        <v>0</v>
      </c>
      <c r="N72" s="983"/>
      <c r="O72" s="103">
        <v>0</v>
      </c>
      <c r="P72" s="983"/>
      <c r="Q72" s="292">
        <v>0</v>
      </c>
      <c r="R72" s="983"/>
      <c r="S72" s="103">
        <v>0</v>
      </c>
      <c r="T72" s="983"/>
      <c r="U72" s="292">
        <v>0</v>
      </c>
      <c r="V72" s="983"/>
      <c r="W72" s="103">
        <v>0</v>
      </c>
      <c r="X72" s="983"/>
      <c r="Y72" s="292">
        <v>0</v>
      </c>
      <c r="Z72" s="983"/>
      <c r="AA72" s="103">
        <v>0</v>
      </c>
      <c r="AB72" s="983"/>
      <c r="AC72" s="103">
        <v>0</v>
      </c>
      <c r="AD72" s="983"/>
      <c r="AE72" s="103">
        <v>0</v>
      </c>
      <c r="AF72" s="983"/>
      <c r="AG72" s="292">
        <v>0</v>
      </c>
      <c r="AH72" s="983"/>
      <c r="AI72" s="103">
        <v>0</v>
      </c>
      <c r="AJ72" s="983"/>
      <c r="AK72" s="103">
        <v>0</v>
      </c>
      <c r="AL72" s="983"/>
      <c r="AM72" s="103">
        <v>0</v>
      </c>
      <c r="AN72" s="983"/>
      <c r="AO72" s="103">
        <v>0</v>
      </c>
      <c r="AP72" s="983"/>
      <c r="AQ72" s="103">
        <v>0</v>
      </c>
      <c r="AR72" s="983"/>
      <c r="AS72" s="103">
        <v>0</v>
      </c>
      <c r="AT72" s="983"/>
      <c r="AU72" s="103">
        <v>0</v>
      </c>
      <c r="AV72" s="983"/>
      <c r="AW72" s="103">
        <v>0</v>
      </c>
      <c r="AX72" s="983"/>
      <c r="AY72" s="103">
        <v>0</v>
      </c>
      <c r="AZ72" s="983"/>
      <c r="BA72" s="103">
        <v>0</v>
      </c>
      <c r="BB72" s="983"/>
      <c r="BC72" s="103">
        <v>0</v>
      </c>
      <c r="BD72" s="983"/>
    </row>
    <row r="73" spans="1:56" ht="13.9" customHeight="1" thickBot="1" x14ac:dyDescent="0.4">
      <c r="A73" s="996"/>
      <c r="B73" s="996"/>
      <c r="C73" s="999"/>
      <c r="D73" s="1029"/>
      <c r="E73" s="490"/>
      <c r="F73" s="252"/>
      <c r="G73" s="293">
        <f>$D71*G72</f>
        <v>0</v>
      </c>
      <c r="H73" s="1008"/>
      <c r="I73" s="104">
        <f>$D71*I72</f>
        <v>0</v>
      </c>
      <c r="J73" s="984"/>
      <c r="K73" s="104">
        <f>$D71*K72</f>
        <v>0</v>
      </c>
      <c r="L73" s="984"/>
      <c r="M73" s="293">
        <f>$D71*M72</f>
        <v>0</v>
      </c>
      <c r="N73" s="984"/>
      <c r="O73" s="104">
        <f>$D71*O72</f>
        <v>0</v>
      </c>
      <c r="P73" s="984"/>
      <c r="Q73" s="293">
        <f>$D71*Q72</f>
        <v>0</v>
      </c>
      <c r="R73" s="984"/>
      <c r="S73" s="104">
        <f>$D71*S72</f>
        <v>0</v>
      </c>
      <c r="T73" s="984"/>
      <c r="U73" s="293">
        <f>$D71*U72</f>
        <v>0</v>
      </c>
      <c r="V73" s="984"/>
      <c r="W73" s="104">
        <f>$D71*W72</f>
        <v>0</v>
      </c>
      <c r="X73" s="984"/>
      <c r="Y73" s="293">
        <f>$D71*Y72</f>
        <v>0</v>
      </c>
      <c r="Z73" s="984"/>
      <c r="AA73" s="104">
        <f>$D71*AA72</f>
        <v>0</v>
      </c>
      <c r="AB73" s="984"/>
      <c r="AC73" s="104">
        <f>$D71*AC72</f>
        <v>0</v>
      </c>
      <c r="AD73" s="984"/>
      <c r="AE73" s="104">
        <f>$D71*AE72</f>
        <v>0</v>
      </c>
      <c r="AF73" s="984"/>
      <c r="AG73" s="293">
        <f>$D71*AG72</f>
        <v>0</v>
      </c>
      <c r="AH73" s="984"/>
      <c r="AI73" s="104">
        <f>$D71*AI72</f>
        <v>0</v>
      </c>
      <c r="AJ73" s="984"/>
      <c r="AK73" s="104">
        <f>$D71*AK72</f>
        <v>0</v>
      </c>
      <c r="AL73" s="984"/>
      <c r="AM73" s="104">
        <f>$D71*AM72</f>
        <v>0</v>
      </c>
      <c r="AN73" s="984"/>
      <c r="AO73" s="104">
        <f>$D71*AO72</f>
        <v>0</v>
      </c>
      <c r="AP73" s="984"/>
      <c r="AQ73" s="104">
        <f>$D71*AQ72</f>
        <v>0</v>
      </c>
      <c r="AR73" s="984"/>
      <c r="AS73" s="104">
        <f>$D71*AS72</f>
        <v>0</v>
      </c>
      <c r="AT73" s="984"/>
      <c r="AU73" s="104">
        <f>$D71*AU72</f>
        <v>0</v>
      </c>
      <c r="AV73" s="984"/>
      <c r="AW73" s="104">
        <f>$D71*AW72</f>
        <v>0</v>
      </c>
      <c r="AX73" s="984"/>
      <c r="AY73" s="104">
        <f>$D71*AY72</f>
        <v>0</v>
      </c>
      <c r="AZ73" s="984"/>
      <c r="BA73" s="104">
        <f>$D71*BA72</f>
        <v>0</v>
      </c>
      <c r="BB73" s="984"/>
      <c r="BC73" s="104">
        <f>$D71*BC72</f>
        <v>0</v>
      </c>
      <c r="BD73" s="984"/>
    </row>
    <row r="74" spans="1:56" ht="13.15" customHeight="1" x14ac:dyDescent="0.35">
      <c r="A74" s="994" t="s">
        <v>807</v>
      </c>
      <c r="B74" s="994" t="s">
        <v>522</v>
      </c>
      <c r="C74" s="997"/>
      <c r="D74" s="1000"/>
      <c r="E74" s="488"/>
      <c r="F74" s="250"/>
      <c r="G74" s="291">
        <f>G75/G$12</f>
        <v>0</v>
      </c>
      <c r="H74" s="1006">
        <f>SUMIFS('9. Actuals SAP Extract'!$V:$V,'9. Actuals SAP Extract'!$H:$H,$A74,'9. Actuals SAP Extract'!$P:$P,$B74,'9. Actuals SAP Extract'!$W:$W,H$11)</f>
        <v>0</v>
      </c>
      <c r="I74" s="102">
        <f>I75/I$12</f>
        <v>0</v>
      </c>
      <c r="J74" s="982">
        <f>SUMIFS('9. Actuals SAP Extract'!$V:$V,'9. Actuals SAP Extract'!$H:$H,$A74,'9. Actuals SAP Extract'!$P:$P,$B74,'9. Actuals SAP Extract'!$W:$W,J$11)</f>
        <v>0</v>
      </c>
      <c r="K74" s="102">
        <f>K75/K$12</f>
        <v>0</v>
      </c>
      <c r="L74" s="982">
        <f>SUMIFS('9. Actuals SAP Extract'!$V:$V,'9. Actuals SAP Extract'!$P:$P,$B74,'9. Actuals SAP Extract'!$H:$H,$A74,'9. Actuals SAP Extract'!$W:$W,'Detailed Forecast vs Actuals'!L$11)</f>
        <v>0</v>
      </c>
      <c r="M74" s="291">
        <f>M75/M$12</f>
        <v>0</v>
      </c>
      <c r="N74" s="982">
        <f>SUMIFS('9. Actuals SAP Extract'!$V:$V,'9. Actuals SAP Extract'!$H:$H,$A74,'9. Actuals SAP Extract'!$P:$P,$B74,'9. Actuals SAP Extract'!$W:$W,N$11)</f>
        <v>0</v>
      </c>
      <c r="O74" s="102">
        <f>O75/O$12</f>
        <v>0</v>
      </c>
      <c r="P74" s="982">
        <f>SUMIFS('9. Actuals SAP Extract'!$V:$V,'9. Actuals SAP Extract'!$P:$P,$B74,'9. Actuals SAP Extract'!$H:$H,$A74,'9. Actuals SAP Extract'!$W:$W,'Detailed Forecast vs Actuals'!P$11)</f>
        <v>0</v>
      </c>
      <c r="Q74" s="291">
        <f>Q75/Q$12</f>
        <v>0</v>
      </c>
      <c r="R74" s="982">
        <f>SUMIFS('9. Actuals SAP Extract'!$V:$V,'9. Actuals SAP Extract'!$H:$H,$A74,'9. Actuals SAP Extract'!$P:$P,$B74,'9. Actuals SAP Extract'!$W:$W,R$11)</f>
        <v>0</v>
      </c>
      <c r="S74" s="102">
        <f>S75/S$12</f>
        <v>0</v>
      </c>
      <c r="T74" s="982"/>
      <c r="U74" s="291">
        <f>U75/U$12</f>
        <v>0</v>
      </c>
      <c r="V74" s="982">
        <f>SUMIFS('9. Actuals SAP Extract'!$V:$V,'9. Actuals SAP Extract'!$H:$H,$A74,'9. Actuals SAP Extract'!$P:$P,$B74,'9. Actuals SAP Extract'!$W:$W,V$11)</f>
        <v>0</v>
      </c>
      <c r="W74" s="102">
        <f>W75/W$12</f>
        <v>0</v>
      </c>
      <c r="X74" s="982">
        <f>SUMIFS('9. Actuals SAP Extract'!$V:$V,'9. Actuals SAP Extract'!$P:$P,$B74,'9. Actuals SAP Extract'!$H:$H,$A74,'9. Actuals SAP Extract'!$W:$W,'Detailed Forecast vs Actuals'!X$11)</f>
        <v>0</v>
      </c>
      <c r="Y74" s="291">
        <f>Y75/Y$12</f>
        <v>0</v>
      </c>
      <c r="Z74" s="982">
        <f>SUMIFS('9. Actuals SAP Extract'!$V:$V,'9. Actuals SAP Extract'!$H:$H,$A74,'9. Actuals SAP Extract'!$P:$P,$B74,'9. Actuals SAP Extract'!$W:$W,Z$11)</f>
        <v>0</v>
      </c>
      <c r="AA74" s="102">
        <f>AA75/AA$12</f>
        <v>0</v>
      </c>
      <c r="AB74" s="982">
        <f>SUMIFS('9. Actuals SAP Extract'!$V:$V,'9. Actuals SAP Extract'!$P:$P,$B74,'9. Actuals SAP Extract'!$H:$H,$A74,'9. Actuals SAP Extract'!$W:$W,'Detailed Forecast vs Actuals'!AB$11)</f>
        <v>0</v>
      </c>
      <c r="AC74" s="102">
        <f>AC75/AC$12</f>
        <v>0</v>
      </c>
      <c r="AD74" s="982">
        <f>SUMIFS('9. Actuals SAP Extract'!$V:$V,'9. Actuals SAP Extract'!$P:$P,$B74,'9. Actuals SAP Extract'!$H:$H,$A74,'9. Actuals SAP Extract'!$W:$W,'Detailed Forecast vs Actuals'!AD$11)</f>
        <v>0</v>
      </c>
      <c r="AE74" s="102">
        <f>AE75/AE$12</f>
        <v>0</v>
      </c>
      <c r="AF74" s="982">
        <f>SUMIFS('9. Actuals SAP Extract'!$V:$V,'9. Actuals SAP Extract'!$P:$P,$B74,'9. Actuals SAP Extract'!$H:$H,$A74,'9. Actuals SAP Extract'!$W:$W,'Detailed Forecast vs Actuals'!AF$11)</f>
        <v>0</v>
      </c>
      <c r="AG74" s="291">
        <f>AG75/AG$12</f>
        <v>0</v>
      </c>
      <c r="AH74" s="982">
        <f>SUMIFS('9. Actuals SAP Extract'!$V:$V,'9. Actuals SAP Extract'!$P:$P,$B74,'9. Actuals SAP Extract'!$H:$H,$A74,'9. Actuals SAP Extract'!$W:$W,'Detailed Forecast vs Actuals'!AH$11)</f>
        <v>0</v>
      </c>
      <c r="AI74" s="102">
        <f>AI75/AI$12</f>
        <v>0</v>
      </c>
      <c r="AJ74" s="982">
        <f>SUMIFS('9. Actuals SAP Extract'!$V:$V,'9. Actuals SAP Extract'!$P:$P,$B74,'9. Actuals SAP Extract'!$H:$H,$A74,'9. Actuals SAP Extract'!$W:$W,'Detailed Forecast vs Actuals'!AJ$11)</f>
        <v>0</v>
      </c>
      <c r="AK74" s="102">
        <f>AK75/AK$12</f>
        <v>0</v>
      </c>
      <c r="AL74" s="982">
        <f>SUMIFS('9. Actuals SAP Extract'!$V:$V,'9. Actuals SAP Extract'!$P:$P,$B74,'9. Actuals SAP Extract'!$H:$H,$A74,'9. Actuals SAP Extract'!$W:$W,'Detailed Forecast vs Actuals'!AL$11)</f>
        <v>0</v>
      </c>
      <c r="AM74" s="102">
        <f>AM75/AM$12</f>
        <v>0</v>
      </c>
      <c r="AN74" s="982">
        <f>SUMIFS('9. Actuals SAP Extract'!$V:$V,'9. Actuals SAP Extract'!$P:$P,$B74,'9. Actuals SAP Extract'!$H:$H,$A74,'9. Actuals SAP Extract'!$W:$W,'Detailed Forecast vs Actuals'!AN$11)</f>
        <v>0</v>
      </c>
      <c r="AO74" s="102">
        <f>AO75/AO$12</f>
        <v>0</v>
      </c>
      <c r="AP74" s="982">
        <f>SUMIFS('9. Actuals SAP Extract'!$V:$V,'9. Actuals SAP Extract'!$P:$P,$B74,'9. Actuals SAP Extract'!$H:$H,$A74,'9. Actuals SAP Extract'!$W:$W,'Detailed Forecast vs Actuals'!AP$11)</f>
        <v>0</v>
      </c>
      <c r="AQ74" s="102">
        <f>AQ75/AQ$12</f>
        <v>0</v>
      </c>
      <c r="AR74" s="982"/>
      <c r="AS74" s="102">
        <f>AS75/AS$12</f>
        <v>0</v>
      </c>
      <c r="AT74" s="982"/>
      <c r="AU74" s="102">
        <f>AU75/AU$12</f>
        <v>0</v>
      </c>
      <c r="AV74" s="982"/>
      <c r="AW74" s="102">
        <f>AW75/AW$12</f>
        <v>0</v>
      </c>
      <c r="AX74" s="982"/>
      <c r="AY74" s="102">
        <f>AY75/AY$12</f>
        <v>0</v>
      </c>
      <c r="AZ74" s="982"/>
      <c r="BA74" s="102">
        <f>BA75/BA$12</f>
        <v>0</v>
      </c>
      <c r="BB74" s="982"/>
      <c r="BC74" s="102">
        <f>BC75/BC$12</f>
        <v>0</v>
      </c>
      <c r="BD74" s="982"/>
    </row>
    <row r="75" spans="1:56" ht="13.15" customHeight="1" x14ac:dyDescent="0.35">
      <c r="A75" s="995"/>
      <c r="B75" s="995"/>
      <c r="C75" s="998"/>
      <c r="D75" s="1028"/>
      <c r="E75" s="489"/>
      <c r="F75" s="251"/>
      <c r="G75" s="292">
        <v>0</v>
      </c>
      <c r="H75" s="1007"/>
      <c r="I75" s="103">
        <v>0</v>
      </c>
      <c r="J75" s="983"/>
      <c r="K75" s="103">
        <v>0</v>
      </c>
      <c r="L75" s="983"/>
      <c r="M75" s="292">
        <v>0</v>
      </c>
      <c r="N75" s="983"/>
      <c r="O75" s="103">
        <v>0</v>
      </c>
      <c r="P75" s="983"/>
      <c r="Q75" s="292">
        <v>0</v>
      </c>
      <c r="R75" s="983"/>
      <c r="S75" s="103">
        <v>0</v>
      </c>
      <c r="T75" s="983"/>
      <c r="U75" s="292">
        <v>0</v>
      </c>
      <c r="V75" s="983"/>
      <c r="W75" s="103">
        <v>0</v>
      </c>
      <c r="X75" s="983"/>
      <c r="Y75" s="292">
        <v>0</v>
      </c>
      <c r="Z75" s="983"/>
      <c r="AA75" s="103">
        <v>0</v>
      </c>
      <c r="AB75" s="983"/>
      <c r="AC75" s="103">
        <v>0</v>
      </c>
      <c r="AD75" s="983"/>
      <c r="AE75" s="103">
        <v>0</v>
      </c>
      <c r="AF75" s="983"/>
      <c r="AG75" s="292">
        <v>0</v>
      </c>
      <c r="AH75" s="983"/>
      <c r="AI75" s="103">
        <v>0</v>
      </c>
      <c r="AJ75" s="983"/>
      <c r="AK75" s="103">
        <v>0</v>
      </c>
      <c r="AL75" s="983"/>
      <c r="AM75" s="103">
        <v>0</v>
      </c>
      <c r="AN75" s="983"/>
      <c r="AO75" s="103">
        <v>0</v>
      </c>
      <c r="AP75" s="983"/>
      <c r="AQ75" s="103">
        <v>0</v>
      </c>
      <c r="AR75" s="983"/>
      <c r="AS75" s="103">
        <v>0</v>
      </c>
      <c r="AT75" s="983"/>
      <c r="AU75" s="103">
        <v>0</v>
      </c>
      <c r="AV75" s="983"/>
      <c r="AW75" s="103">
        <v>0</v>
      </c>
      <c r="AX75" s="983"/>
      <c r="AY75" s="103">
        <v>0</v>
      </c>
      <c r="AZ75" s="983"/>
      <c r="BA75" s="103">
        <v>0</v>
      </c>
      <c r="BB75" s="983"/>
      <c r="BC75" s="103">
        <v>0</v>
      </c>
      <c r="BD75" s="983"/>
    </row>
    <row r="76" spans="1:56" ht="13.9" customHeight="1" thickBot="1" x14ac:dyDescent="0.4">
      <c r="A76" s="996"/>
      <c r="B76" s="996"/>
      <c r="C76" s="999"/>
      <c r="D76" s="1029"/>
      <c r="E76" s="490"/>
      <c r="F76" s="252"/>
      <c r="G76" s="293">
        <f>$D74*G75</f>
        <v>0</v>
      </c>
      <c r="H76" s="1008"/>
      <c r="I76" s="104">
        <f>$D74*I75</f>
        <v>0</v>
      </c>
      <c r="J76" s="984"/>
      <c r="K76" s="104">
        <f>$D74*K75</f>
        <v>0</v>
      </c>
      <c r="L76" s="984"/>
      <c r="M76" s="293">
        <f>$D74*M75</f>
        <v>0</v>
      </c>
      <c r="N76" s="984"/>
      <c r="O76" s="104">
        <f>$D74*O75</f>
        <v>0</v>
      </c>
      <c r="P76" s="984"/>
      <c r="Q76" s="293">
        <f>$D74*Q75</f>
        <v>0</v>
      </c>
      <c r="R76" s="984"/>
      <c r="S76" s="104">
        <f>$D74*S75</f>
        <v>0</v>
      </c>
      <c r="T76" s="984"/>
      <c r="U76" s="293">
        <f>$D74*U75</f>
        <v>0</v>
      </c>
      <c r="V76" s="984"/>
      <c r="W76" s="104">
        <f>$D74*W75</f>
        <v>0</v>
      </c>
      <c r="X76" s="984"/>
      <c r="Y76" s="293">
        <f>$D74*Y75</f>
        <v>0</v>
      </c>
      <c r="Z76" s="984"/>
      <c r="AA76" s="104">
        <f>$D74*AA75</f>
        <v>0</v>
      </c>
      <c r="AB76" s="984"/>
      <c r="AC76" s="104">
        <f>$D74*AC75</f>
        <v>0</v>
      </c>
      <c r="AD76" s="984"/>
      <c r="AE76" s="104">
        <f>$D74*AE75</f>
        <v>0</v>
      </c>
      <c r="AF76" s="984"/>
      <c r="AG76" s="293">
        <f>$D74*AG75</f>
        <v>0</v>
      </c>
      <c r="AH76" s="984"/>
      <c r="AI76" s="104">
        <f>$D74*AI75</f>
        <v>0</v>
      </c>
      <c r="AJ76" s="984"/>
      <c r="AK76" s="104">
        <f>$D74*AK75</f>
        <v>0</v>
      </c>
      <c r="AL76" s="984"/>
      <c r="AM76" s="104">
        <f>$D74*AM75</f>
        <v>0</v>
      </c>
      <c r="AN76" s="984"/>
      <c r="AO76" s="104">
        <f>$D74*AO75</f>
        <v>0</v>
      </c>
      <c r="AP76" s="984"/>
      <c r="AQ76" s="104">
        <f>$D74*AQ75</f>
        <v>0</v>
      </c>
      <c r="AR76" s="984"/>
      <c r="AS76" s="104">
        <f>$D74*AS75</f>
        <v>0</v>
      </c>
      <c r="AT76" s="984"/>
      <c r="AU76" s="104">
        <f>$D74*AU75</f>
        <v>0</v>
      </c>
      <c r="AV76" s="984"/>
      <c r="AW76" s="104">
        <f>$D74*AW75</f>
        <v>0</v>
      </c>
      <c r="AX76" s="984"/>
      <c r="AY76" s="104">
        <f>$D74*AY75</f>
        <v>0</v>
      </c>
      <c r="AZ76" s="984"/>
      <c r="BA76" s="104">
        <f>$D74*BA75</f>
        <v>0</v>
      </c>
      <c r="BB76" s="984"/>
      <c r="BC76" s="104">
        <f>$D74*BC75</f>
        <v>0</v>
      </c>
      <c r="BD76" s="984"/>
    </row>
    <row r="77" spans="1:56" ht="13.15" customHeight="1" x14ac:dyDescent="0.35">
      <c r="A77" s="994" t="s">
        <v>837</v>
      </c>
      <c r="B77" s="994" t="s">
        <v>522</v>
      </c>
      <c r="C77" s="997"/>
      <c r="D77" s="1000">
        <v>93.5</v>
      </c>
      <c r="E77" s="488"/>
      <c r="F77" s="250"/>
      <c r="G77" s="291">
        <f>G78/G$12</f>
        <v>0</v>
      </c>
      <c r="H77" s="1006">
        <v>29357.9</v>
      </c>
      <c r="I77" s="102">
        <f>I78/I$12</f>
        <v>0</v>
      </c>
      <c r="J77" s="982">
        <f>SUMIFS('9. Actuals SAP Extract'!$V:$V,'9. Actuals SAP Extract'!$H:$H,$A77,'9. Actuals SAP Extract'!$P:$P,$B77,'9. Actuals SAP Extract'!$W:$W,J$11)</f>
        <v>0</v>
      </c>
      <c r="K77" s="102">
        <f>K78/K$12</f>
        <v>0</v>
      </c>
      <c r="L77" s="982">
        <f>SUMIFS('9. Actuals SAP Extract'!$V:$V,'9. Actuals SAP Extract'!$P:$P,$B77,'9. Actuals SAP Extract'!$H:$H,$A77,'9. Actuals SAP Extract'!$W:$W,'Detailed Forecast vs Actuals'!L$11)</f>
        <v>0</v>
      </c>
      <c r="M77" s="291">
        <f>M78/M$12</f>
        <v>0</v>
      </c>
      <c r="N77" s="982">
        <f>SUMIFS('9. Actuals SAP Extract'!$V:$V,'9. Actuals SAP Extract'!$H:$H,$A77,'9. Actuals SAP Extract'!$P:$P,$B77,'9. Actuals SAP Extract'!$W:$W,N$11)</f>
        <v>0</v>
      </c>
      <c r="O77" s="102">
        <f>O78/O$12</f>
        <v>0</v>
      </c>
      <c r="P77" s="982">
        <f>SUMIFS('9. Actuals SAP Extract'!$V:$V,'9. Actuals SAP Extract'!$P:$P,$B77,'9. Actuals SAP Extract'!$H:$H,$A77,'9. Actuals SAP Extract'!$W:$W,'Detailed Forecast vs Actuals'!P$11)</f>
        <v>0</v>
      </c>
      <c r="Q77" s="291">
        <f>Q78/Q$12</f>
        <v>0</v>
      </c>
      <c r="R77" s="982">
        <f>SUMIFS('9. Actuals SAP Extract'!$V:$V,'9. Actuals SAP Extract'!$H:$H,$A77,'9. Actuals SAP Extract'!$P:$P,$B77,'9. Actuals SAP Extract'!$W:$W,R$11)</f>
        <v>0</v>
      </c>
      <c r="S77" s="102">
        <f>S78/S$12</f>
        <v>0</v>
      </c>
      <c r="T77" s="982"/>
      <c r="U77" s="291">
        <f>U78/U$12</f>
        <v>0</v>
      </c>
      <c r="V77" s="982">
        <f>SUMIFS('9. Actuals SAP Extract'!$V:$V,'9. Actuals SAP Extract'!$H:$H,$A77,'9. Actuals SAP Extract'!$P:$P,$B77,'9. Actuals SAP Extract'!$W:$W,V$11)</f>
        <v>0</v>
      </c>
      <c r="W77" s="102">
        <f>W78/W$12</f>
        <v>0</v>
      </c>
      <c r="X77" s="982">
        <f>SUMIFS('9. Actuals SAP Extract'!$V:$V,'9. Actuals SAP Extract'!$P:$P,$B77,'9. Actuals SAP Extract'!$H:$H,$A77,'9. Actuals SAP Extract'!$W:$W,'Detailed Forecast vs Actuals'!X$11)</f>
        <v>0</v>
      </c>
      <c r="Y77" s="291">
        <f>Y78/Y$12</f>
        <v>0</v>
      </c>
      <c r="Z77" s="982">
        <f>SUMIFS('9. Actuals SAP Extract'!$V:$V,'9. Actuals SAP Extract'!$H:$H,$A77,'9. Actuals SAP Extract'!$P:$P,$B77,'9. Actuals SAP Extract'!$W:$W,Z$11)</f>
        <v>0</v>
      </c>
      <c r="AA77" s="102">
        <f>AA78/AA$12</f>
        <v>0</v>
      </c>
      <c r="AB77" s="982">
        <f>SUMIFS('9. Actuals SAP Extract'!$V:$V,'9. Actuals SAP Extract'!$P:$P,$B77,'9. Actuals SAP Extract'!$H:$H,$A77,'9. Actuals SAP Extract'!$W:$W,'Detailed Forecast vs Actuals'!AB$11)</f>
        <v>0</v>
      </c>
      <c r="AC77" s="102">
        <f>AC78/AC$12</f>
        <v>0</v>
      </c>
      <c r="AD77" s="982">
        <f>SUMIFS('9. Actuals SAP Extract'!$V:$V,'9. Actuals SAP Extract'!$P:$P,$B77,'9. Actuals SAP Extract'!$H:$H,$A77,'9. Actuals SAP Extract'!$W:$W,'Detailed Forecast vs Actuals'!AD$11)</f>
        <v>0</v>
      </c>
      <c r="AE77" s="102">
        <f>AE78/AE$12</f>
        <v>0</v>
      </c>
      <c r="AF77" s="982">
        <f>SUMIFS('9. Actuals SAP Extract'!$V:$V,'9. Actuals SAP Extract'!$P:$P,$B77,'9. Actuals SAP Extract'!$H:$H,$A77,'9. Actuals SAP Extract'!$W:$W,'Detailed Forecast vs Actuals'!AF$11)</f>
        <v>2244</v>
      </c>
      <c r="AG77" s="291">
        <f>AG78/AG$12</f>
        <v>0</v>
      </c>
      <c r="AH77" s="982">
        <f>SUMIFS('9. Actuals SAP Extract'!$V:$V,'9. Actuals SAP Extract'!$P:$P,$B77,'9. Actuals SAP Extract'!$H:$H,$A77,'9. Actuals SAP Extract'!$W:$W,'Detailed Forecast vs Actuals'!AH$11)</f>
        <v>0</v>
      </c>
      <c r="AI77" s="102">
        <f>AI78/AI$12</f>
        <v>0</v>
      </c>
      <c r="AJ77" s="982">
        <f>SUMIFS('9. Actuals SAP Extract'!$V:$V,'9. Actuals SAP Extract'!$P:$P,$B77,'9. Actuals SAP Extract'!$H:$H,$A77,'9. Actuals SAP Extract'!$W:$W,'Detailed Forecast vs Actuals'!AJ$11)</f>
        <v>0</v>
      </c>
      <c r="AK77" s="102">
        <f>AK78/AK$12</f>
        <v>0</v>
      </c>
      <c r="AL77" s="982">
        <f>SUMIFS('9. Actuals SAP Extract'!$V:$V,'9. Actuals SAP Extract'!$P:$P,$B77,'9. Actuals SAP Extract'!$H:$H,$A77,'9. Actuals SAP Extract'!$W:$W,'Detailed Forecast vs Actuals'!AL$11)</f>
        <v>0</v>
      </c>
      <c r="AM77" s="102">
        <f>AM78/AM$12</f>
        <v>0</v>
      </c>
      <c r="AN77" s="982">
        <f>SUMIFS('9. Actuals SAP Extract'!$V:$V,'9. Actuals SAP Extract'!$P:$P,$B77,'9. Actuals SAP Extract'!$H:$H,$A77,'9. Actuals SAP Extract'!$W:$W,'Detailed Forecast vs Actuals'!AN$11)</f>
        <v>0</v>
      </c>
      <c r="AO77" s="102">
        <f>AO78/AO$12</f>
        <v>0</v>
      </c>
      <c r="AP77" s="982">
        <f>SUMIFS('9. Actuals SAP Extract'!$V:$V,'9. Actuals SAP Extract'!$P:$P,$B77,'9. Actuals SAP Extract'!$H:$H,$A77,'9. Actuals SAP Extract'!$W:$W,'Detailed Forecast vs Actuals'!AP$11)</f>
        <v>0</v>
      </c>
      <c r="AQ77" s="102">
        <f>AQ78/AQ$12</f>
        <v>0</v>
      </c>
      <c r="AR77" s="982"/>
      <c r="AS77" s="102">
        <f>AS78/AS$12</f>
        <v>0</v>
      </c>
      <c r="AT77" s="982"/>
      <c r="AU77" s="102">
        <f>AU78/AU$12</f>
        <v>0</v>
      </c>
      <c r="AV77" s="982"/>
      <c r="AW77" s="102">
        <f>AW78/AW$12</f>
        <v>0</v>
      </c>
      <c r="AX77" s="982"/>
      <c r="AY77" s="102">
        <f>AY78/AY$12</f>
        <v>0</v>
      </c>
      <c r="AZ77" s="982"/>
      <c r="BA77" s="102">
        <f>BA78/BA$12</f>
        <v>0</v>
      </c>
      <c r="BB77" s="982"/>
      <c r="BC77" s="102">
        <f>BC78/BC$12</f>
        <v>0</v>
      </c>
      <c r="BD77" s="982"/>
    </row>
    <row r="78" spans="1:56" ht="13.15" customHeight="1" x14ac:dyDescent="0.35">
      <c r="A78" s="995"/>
      <c r="B78" s="995"/>
      <c r="C78" s="998"/>
      <c r="D78" s="1028"/>
      <c r="E78" s="489"/>
      <c r="F78" s="251"/>
      <c r="G78" s="292">
        <v>0</v>
      </c>
      <c r="H78" s="1007"/>
      <c r="I78" s="103">
        <v>0</v>
      </c>
      <c r="J78" s="983"/>
      <c r="K78" s="103">
        <v>0</v>
      </c>
      <c r="L78" s="983"/>
      <c r="M78" s="292">
        <v>0</v>
      </c>
      <c r="N78" s="983"/>
      <c r="O78" s="103">
        <v>0</v>
      </c>
      <c r="P78" s="983"/>
      <c r="Q78" s="292">
        <v>0</v>
      </c>
      <c r="R78" s="983"/>
      <c r="S78" s="103">
        <v>0</v>
      </c>
      <c r="T78" s="983"/>
      <c r="U78" s="292">
        <v>0</v>
      </c>
      <c r="V78" s="983"/>
      <c r="W78" s="103">
        <v>0</v>
      </c>
      <c r="X78" s="983"/>
      <c r="Y78" s="292">
        <v>0</v>
      </c>
      <c r="Z78" s="983"/>
      <c r="AA78" s="103">
        <v>0</v>
      </c>
      <c r="AB78" s="983"/>
      <c r="AC78" s="103">
        <v>0</v>
      </c>
      <c r="AD78" s="983"/>
      <c r="AE78" s="103">
        <v>0</v>
      </c>
      <c r="AF78" s="983"/>
      <c r="AG78" s="292">
        <v>0</v>
      </c>
      <c r="AH78" s="983"/>
      <c r="AI78" s="103">
        <v>0</v>
      </c>
      <c r="AJ78" s="983"/>
      <c r="AK78" s="103">
        <v>0</v>
      </c>
      <c r="AL78" s="983"/>
      <c r="AM78" s="103">
        <v>0</v>
      </c>
      <c r="AN78" s="983"/>
      <c r="AO78" s="103">
        <v>0</v>
      </c>
      <c r="AP78" s="983"/>
      <c r="AQ78" s="103">
        <v>0</v>
      </c>
      <c r="AR78" s="983"/>
      <c r="AS78" s="103">
        <v>0</v>
      </c>
      <c r="AT78" s="983"/>
      <c r="AU78" s="103">
        <v>0</v>
      </c>
      <c r="AV78" s="983"/>
      <c r="AW78" s="103">
        <v>0</v>
      </c>
      <c r="AX78" s="983"/>
      <c r="AY78" s="103">
        <v>0</v>
      </c>
      <c r="AZ78" s="983"/>
      <c r="BA78" s="103">
        <v>0</v>
      </c>
      <c r="BB78" s="983"/>
      <c r="BC78" s="103">
        <v>0</v>
      </c>
      <c r="BD78" s="983"/>
    </row>
    <row r="79" spans="1:56" ht="13.9" customHeight="1" thickBot="1" x14ac:dyDescent="0.4">
      <c r="A79" s="996"/>
      <c r="B79" s="996"/>
      <c r="C79" s="999"/>
      <c r="D79" s="1002"/>
      <c r="E79" s="489"/>
      <c r="F79" s="252"/>
      <c r="G79" s="293">
        <f>$D77*G78</f>
        <v>0</v>
      </c>
      <c r="H79" s="1008"/>
      <c r="I79" s="104">
        <f>$D77*I78</f>
        <v>0</v>
      </c>
      <c r="J79" s="984"/>
      <c r="K79" s="104">
        <f>$D77*K78</f>
        <v>0</v>
      </c>
      <c r="L79" s="984"/>
      <c r="M79" s="293">
        <f>$D77*M78</f>
        <v>0</v>
      </c>
      <c r="N79" s="984"/>
      <c r="O79" s="104">
        <f>$D77*O78</f>
        <v>0</v>
      </c>
      <c r="P79" s="984"/>
      <c r="Q79" s="293">
        <f>$D77*Q78</f>
        <v>0</v>
      </c>
      <c r="R79" s="984"/>
      <c r="S79" s="104">
        <f>$D77*S78</f>
        <v>0</v>
      </c>
      <c r="T79" s="984"/>
      <c r="U79" s="293">
        <f>$D77*U78</f>
        <v>0</v>
      </c>
      <c r="V79" s="984"/>
      <c r="W79" s="104">
        <f>$D77*W78</f>
        <v>0</v>
      </c>
      <c r="X79" s="984"/>
      <c r="Y79" s="293">
        <f>$D77*Y78</f>
        <v>0</v>
      </c>
      <c r="Z79" s="984"/>
      <c r="AA79" s="104">
        <f>$D77*AA78</f>
        <v>0</v>
      </c>
      <c r="AB79" s="984"/>
      <c r="AC79" s="104">
        <f>$D77*AC78</f>
        <v>0</v>
      </c>
      <c r="AD79" s="984"/>
      <c r="AE79" s="104">
        <f>$D77*AE78</f>
        <v>0</v>
      </c>
      <c r="AF79" s="984"/>
      <c r="AG79" s="293">
        <f>$D77*AG78</f>
        <v>0</v>
      </c>
      <c r="AH79" s="984"/>
      <c r="AI79" s="104">
        <f>$D77*AI78</f>
        <v>0</v>
      </c>
      <c r="AJ79" s="984"/>
      <c r="AK79" s="104">
        <f>$D77*AK78</f>
        <v>0</v>
      </c>
      <c r="AL79" s="984"/>
      <c r="AM79" s="104">
        <f>$D77*AM78</f>
        <v>0</v>
      </c>
      <c r="AN79" s="984"/>
      <c r="AO79" s="104">
        <f>$D77*AO78</f>
        <v>0</v>
      </c>
      <c r="AP79" s="984"/>
      <c r="AQ79" s="104">
        <f>$D77*AQ78</f>
        <v>0</v>
      </c>
      <c r="AR79" s="984"/>
      <c r="AS79" s="104">
        <f>$D77*AS78</f>
        <v>0</v>
      </c>
      <c r="AT79" s="984"/>
      <c r="AU79" s="104">
        <f>$D77*AU78</f>
        <v>0</v>
      </c>
      <c r="AV79" s="984"/>
      <c r="AW79" s="104">
        <f>$D77*AW78</f>
        <v>0</v>
      </c>
      <c r="AX79" s="984"/>
      <c r="AY79" s="104">
        <f>$D77*AY78</f>
        <v>0</v>
      </c>
      <c r="AZ79" s="984"/>
      <c r="BA79" s="104">
        <f>$D77*BA78</f>
        <v>0</v>
      </c>
      <c r="BB79" s="984"/>
      <c r="BC79" s="104">
        <f>$D77*BC78</f>
        <v>0</v>
      </c>
      <c r="BD79" s="984"/>
    </row>
    <row r="80" spans="1:56" s="845" customFormat="1" ht="13.15" customHeight="1" x14ac:dyDescent="0.35">
      <c r="A80" s="994" t="s">
        <v>837</v>
      </c>
      <c r="B80" s="994" t="s">
        <v>528</v>
      </c>
      <c r="C80" s="997"/>
      <c r="D80" s="1000">
        <v>93.5</v>
      </c>
      <c r="E80" s="488"/>
      <c r="F80" s="250"/>
      <c r="G80" s="291">
        <f>G81/G$12</f>
        <v>0</v>
      </c>
      <c r="H80" s="1006">
        <v>29357.9</v>
      </c>
      <c r="I80" s="102">
        <f>I81/I$12</f>
        <v>0</v>
      </c>
      <c r="J80" s="982">
        <f>SUMIFS('9. Actuals SAP Extract'!$V:$V,'9. Actuals SAP Extract'!$H:$H,$A80,'9. Actuals SAP Extract'!$P:$P,$B80,'9. Actuals SAP Extract'!$W:$W,J$11)</f>
        <v>0</v>
      </c>
      <c r="K80" s="102">
        <f>K81/K$12</f>
        <v>0</v>
      </c>
      <c r="L80" s="982">
        <f>SUMIFS('9. Actuals SAP Extract'!$V:$V,'9. Actuals SAP Extract'!$P:$P,$B80,'9. Actuals SAP Extract'!$H:$H,$A80,'9. Actuals SAP Extract'!$W:$W,'Detailed Forecast vs Actuals'!L$11)</f>
        <v>0</v>
      </c>
      <c r="M80" s="291">
        <f>M81/M$12</f>
        <v>0</v>
      </c>
      <c r="N80" s="982">
        <f>SUMIFS('9. Actuals SAP Extract'!$V:$V,'9. Actuals SAP Extract'!$H:$H,$A80,'9. Actuals SAP Extract'!$P:$P,$B80,'9. Actuals SAP Extract'!$W:$W,N$11)</f>
        <v>0</v>
      </c>
      <c r="O80" s="102">
        <f>O81/O$12</f>
        <v>0</v>
      </c>
      <c r="P80" s="982">
        <f>SUMIFS('9. Actuals SAP Extract'!$V:$V,'9. Actuals SAP Extract'!$P:$P,$B80,'9. Actuals SAP Extract'!$H:$H,$A80,'9. Actuals SAP Extract'!$W:$W,'Detailed Forecast vs Actuals'!P$11)</f>
        <v>0</v>
      </c>
      <c r="Q80" s="291">
        <f>Q81/Q$12</f>
        <v>0</v>
      </c>
      <c r="R80" s="982">
        <f>SUMIFS('9. Actuals SAP Extract'!$V:$V,'9. Actuals SAP Extract'!$H:$H,$A80,'9. Actuals SAP Extract'!$P:$P,$B80,'9. Actuals SAP Extract'!$W:$W,R$11)</f>
        <v>0</v>
      </c>
      <c r="S80" s="102">
        <f>S81/S$12</f>
        <v>0</v>
      </c>
      <c r="T80" s="982"/>
      <c r="U80" s="291">
        <f>U81/U$12</f>
        <v>0</v>
      </c>
      <c r="V80" s="982">
        <f>SUMIFS('9. Actuals SAP Extract'!$V:$V,'9. Actuals SAP Extract'!$H:$H,$A80,'9. Actuals SAP Extract'!$P:$P,$B80,'9. Actuals SAP Extract'!$W:$W,V$11)</f>
        <v>0</v>
      </c>
      <c r="W80" s="102">
        <f>W81/W$12</f>
        <v>0</v>
      </c>
      <c r="X80" s="982">
        <f>SUMIFS('9. Actuals SAP Extract'!$V:$V,'9. Actuals SAP Extract'!$P:$P,$B80,'9. Actuals SAP Extract'!$H:$H,$A80,'9. Actuals SAP Extract'!$W:$W,'Detailed Forecast vs Actuals'!X$11)</f>
        <v>0</v>
      </c>
      <c r="Y80" s="291">
        <f>Y81/Y$12</f>
        <v>0</v>
      </c>
      <c r="Z80" s="982">
        <f>SUMIFS('9. Actuals SAP Extract'!$V:$V,'9. Actuals SAP Extract'!$H:$H,$A80,'9. Actuals SAP Extract'!$P:$P,$B80,'9. Actuals SAP Extract'!$W:$W,Z$11)</f>
        <v>0</v>
      </c>
      <c r="AA80" s="102">
        <f>AA81/AA$12</f>
        <v>0</v>
      </c>
      <c r="AB80" s="982">
        <f>SUMIFS('9. Actuals SAP Extract'!$V:$V,'9. Actuals SAP Extract'!$P:$P,$B80,'9. Actuals SAP Extract'!$H:$H,$A80,'9. Actuals SAP Extract'!$W:$W,'Detailed Forecast vs Actuals'!AB$11)</f>
        <v>0</v>
      </c>
      <c r="AC80" s="102">
        <f>AC81/AC$12</f>
        <v>0</v>
      </c>
      <c r="AD80" s="982">
        <f>SUMIFS('9. Actuals SAP Extract'!$V:$V,'9. Actuals SAP Extract'!$P:$P,$B80,'9. Actuals SAP Extract'!$H:$H,$A80,'9. Actuals SAP Extract'!$W:$W,'Detailed Forecast vs Actuals'!AD$11)</f>
        <v>1309</v>
      </c>
      <c r="AE80" s="102">
        <f>AE81/AE$12</f>
        <v>0</v>
      </c>
      <c r="AF80" s="982">
        <f>SUMIFS('9. Actuals SAP Extract'!$V:$V,'9. Actuals SAP Extract'!$P:$P,$B80,'9. Actuals SAP Extract'!$H:$H,$A80,'9. Actuals SAP Extract'!$W:$W,'Detailed Forecast vs Actuals'!AF$11)</f>
        <v>-1309</v>
      </c>
      <c r="AG80" s="291">
        <f>AG81/AG$12</f>
        <v>0</v>
      </c>
      <c r="AH80" s="982">
        <f>SUMIFS('9. Actuals SAP Extract'!$V:$V,'9. Actuals SAP Extract'!$P:$P,$B80,'9. Actuals SAP Extract'!$H:$H,$A80,'9. Actuals SAP Extract'!$W:$W,'Detailed Forecast vs Actuals'!AH$11)</f>
        <v>0</v>
      </c>
      <c r="AI80" s="102">
        <f>AI81/AI$12</f>
        <v>0</v>
      </c>
      <c r="AJ80" s="982">
        <f>SUMIFS('9. Actuals SAP Extract'!$V:$V,'9. Actuals SAP Extract'!$P:$P,$B80,'9. Actuals SAP Extract'!$H:$H,$A80,'9. Actuals SAP Extract'!$W:$W,'Detailed Forecast vs Actuals'!AJ$11)</f>
        <v>0</v>
      </c>
      <c r="AK80" s="102">
        <f>AK81/AK$12</f>
        <v>0</v>
      </c>
      <c r="AL80" s="982">
        <f>SUMIFS('9. Actuals SAP Extract'!$V:$V,'9. Actuals SAP Extract'!$P:$P,$B80,'9. Actuals SAP Extract'!$H:$H,$A80,'9. Actuals SAP Extract'!$W:$W,'Detailed Forecast vs Actuals'!AL$11)</f>
        <v>0</v>
      </c>
      <c r="AM80" s="102">
        <f>AM81/AM$12</f>
        <v>0</v>
      </c>
      <c r="AN80" s="982">
        <f>SUMIFS('9. Actuals SAP Extract'!$V:$V,'9. Actuals SAP Extract'!$P:$P,$B80,'9. Actuals SAP Extract'!$H:$H,$A80,'9. Actuals SAP Extract'!$W:$W,'Detailed Forecast vs Actuals'!AN$11)</f>
        <v>0</v>
      </c>
      <c r="AO80" s="102">
        <f>AO81/AO$12</f>
        <v>0</v>
      </c>
      <c r="AP80" s="982">
        <f>SUMIFS('9. Actuals SAP Extract'!$V:$V,'9. Actuals SAP Extract'!$P:$P,$B80,'9. Actuals SAP Extract'!$H:$H,$A80,'9. Actuals SAP Extract'!$W:$W,'Detailed Forecast vs Actuals'!AP$11)</f>
        <v>0</v>
      </c>
      <c r="AQ80" s="102">
        <f>AQ81/AQ$12</f>
        <v>0</v>
      </c>
      <c r="AR80" s="982"/>
      <c r="AS80" s="102">
        <f>AS81/AS$12</f>
        <v>0</v>
      </c>
      <c r="AT80" s="982"/>
      <c r="AU80" s="102">
        <f>AU81/AU$12</f>
        <v>0</v>
      </c>
      <c r="AV80" s="982"/>
      <c r="AW80" s="102">
        <f>AW81/AW$12</f>
        <v>0</v>
      </c>
      <c r="AX80" s="982"/>
      <c r="AY80" s="102">
        <f>AY81/AY$12</f>
        <v>0</v>
      </c>
      <c r="AZ80" s="982"/>
      <c r="BA80" s="102">
        <f>BA81/BA$12</f>
        <v>0</v>
      </c>
      <c r="BB80" s="982"/>
      <c r="BC80" s="102">
        <f>BC81/BC$12</f>
        <v>0</v>
      </c>
      <c r="BD80" s="982"/>
    </row>
    <row r="81" spans="1:56" s="845" customFormat="1" ht="13.15" customHeight="1" x14ac:dyDescent="0.35">
      <c r="A81" s="995"/>
      <c r="B81" s="995"/>
      <c r="C81" s="998"/>
      <c r="D81" s="1028"/>
      <c r="E81" s="489"/>
      <c r="F81" s="251"/>
      <c r="G81" s="292">
        <v>0</v>
      </c>
      <c r="H81" s="1007"/>
      <c r="I81" s="103">
        <v>0</v>
      </c>
      <c r="J81" s="983"/>
      <c r="K81" s="103">
        <v>0</v>
      </c>
      <c r="L81" s="983"/>
      <c r="M81" s="292">
        <v>0</v>
      </c>
      <c r="N81" s="983"/>
      <c r="O81" s="103">
        <v>0</v>
      </c>
      <c r="P81" s="983"/>
      <c r="Q81" s="292">
        <v>0</v>
      </c>
      <c r="R81" s="983"/>
      <c r="S81" s="103">
        <v>0</v>
      </c>
      <c r="T81" s="983"/>
      <c r="U81" s="292">
        <v>0</v>
      </c>
      <c r="V81" s="983"/>
      <c r="W81" s="103">
        <v>0</v>
      </c>
      <c r="X81" s="983"/>
      <c r="Y81" s="292">
        <v>0</v>
      </c>
      <c r="Z81" s="983"/>
      <c r="AA81" s="103">
        <v>0</v>
      </c>
      <c r="AB81" s="983"/>
      <c r="AC81" s="103">
        <v>0</v>
      </c>
      <c r="AD81" s="983"/>
      <c r="AE81" s="103">
        <v>0</v>
      </c>
      <c r="AF81" s="983"/>
      <c r="AG81" s="292">
        <v>0</v>
      </c>
      <c r="AH81" s="983"/>
      <c r="AI81" s="103">
        <v>0</v>
      </c>
      <c r="AJ81" s="983"/>
      <c r="AK81" s="103">
        <v>0</v>
      </c>
      <c r="AL81" s="983"/>
      <c r="AM81" s="103">
        <v>0</v>
      </c>
      <c r="AN81" s="983"/>
      <c r="AO81" s="103">
        <v>0</v>
      </c>
      <c r="AP81" s="983"/>
      <c r="AQ81" s="103">
        <v>0</v>
      </c>
      <c r="AR81" s="983"/>
      <c r="AS81" s="103">
        <v>0</v>
      </c>
      <c r="AT81" s="983"/>
      <c r="AU81" s="103">
        <v>0</v>
      </c>
      <c r="AV81" s="983"/>
      <c r="AW81" s="103">
        <v>0</v>
      </c>
      <c r="AX81" s="983"/>
      <c r="AY81" s="103">
        <v>0</v>
      </c>
      <c r="AZ81" s="983"/>
      <c r="BA81" s="103">
        <v>0</v>
      </c>
      <c r="BB81" s="983"/>
      <c r="BC81" s="103">
        <v>0</v>
      </c>
      <c r="BD81" s="983"/>
    </row>
    <row r="82" spans="1:56" s="845" customFormat="1" ht="13.9" customHeight="1" thickBot="1" x14ac:dyDescent="0.4">
      <c r="A82" s="996"/>
      <c r="B82" s="996"/>
      <c r="C82" s="999"/>
      <c r="D82" s="1002"/>
      <c r="E82" s="489"/>
      <c r="F82" s="252"/>
      <c r="G82" s="293">
        <f>$D80*G81</f>
        <v>0</v>
      </c>
      <c r="H82" s="1008"/>
      <c r="I82" s="104">
        <f>$D80*I81</f>
        <v>0</v>
      </c>
      <c r="J82" s="984"/>
      <c r="K82" s="104">
        <f>$D80*K81</f>
        <v>0</v>
      </c>
      <c r="L82" s="984"/>
      <c r="M82" s="293">
        <f>$D80*M81</f>
        <v>0</v>
      </c>
      <c r="N82" s="984"/>
      <c r="O82" s="104">
        <f>$D80*O81</f>
        <v>0</v>
      </c>
      <c r="P82" s="984"/>
      <c r="Q82" s="293">
        <f>$D80*Q81</f>
        <v>0</v>
      </c>
      <c r="R82" s="984"/>
      <c r="S82" s="104">
        <f>$D80*S81</f>
        <v>0</v>
      </c>
      <c r="T82" s="984"/>
      <c r="U82" s="293">
        <f>$D80*U81</f>
        <v>0</v>
      </c>
      <c r="V82" s="984"/>
      <c r="W82" s="104">
        <f>$D80*W81</f>
        <v>0</v>
      </c>
      <c r="X82" s="984"/>
      <c r="Y82" s="293">
        <f>$D80*Y81</f>
        <v>0</v>
      </c>
      <c r="Z82" s="984"/>
      <c r="AA82" s="104">
        <f>$D80*AA81</f>
        <v>0</v>
      </c>
      <c r="AB82" s="984"/>
      <c r="AC82" s="104">
        <f>$D80*AC81</f>
        <v>0</v>
      </c>
      <c r="AD82" s="984"/>
      <c r="AE82" s="104">
        <f>$D80*AE81</f>
        <v>0</v>
      </c>
      <c r="AF82" s="984"/>
      <c r="AG82" s="293">
        <f>$D80*AG81</f>
        <v>0</v>
      </c>
      <c r="AH82" s="984"/>
      <c r="AI82" s="104">
        <f>$D80*AI81</f>
        <v>0</v>
      </c>
      <c r="AJ82" s="984"/>
      <c r="AK82" s="104">
        <f>$D80*AK81</f>
        <v>0</v>
      </c>
      <c r="AL82" s="984"/>
      <c r="AM82" s="104">
        <f>$D80*AM81</f>
        <v>0</v>
      </c>
      <c r="AN82" s="984"/>
      <c r="AO82" s="104">
        <f>$D80*AO81</f>
        <v>0</v>
      </c>
      <c r="AP82" s="984"/>
      <c r="AQ82" s="104">
        <f>$D80*AQ81</f>
        <v>0</v>
      </c>
      <c r="AR82" s="984"/>
      <c r="AS82" s="104">
        <f>$D80*AS81</f>
        <v>0</v>
      </c>
      <c r="AT82" s="984"/>
      <c r="AU82" s="104">
        <f>$D80*AU81</f>
        <v>0</v>
      </c>
      <c r="AV82" s="984"/>
      <c r="AW82" s="104">
        <f>$D80*AW81</f>
        <v>0</v>
      </c>
      <c r="AX82" s="984"/>
      <c r="AY82" s="104">
        <f>$D80*AY81</f>
        <v>0</v>
      </c>
      <c r="AZ82" s="984"/>
      <c r="BA82" s="104">
        <f>$D80*BA81</f>
        <v>0</v>
      </c>
      <c r="BB82" s="984"/>
      <c r="BC82" s="104">
        <f>$D80*BC81</f>
        <v>0</v>
      </c>
      <c r="BD82" s="984"/>
    </row>
    <row r="83" spans="1:56" ht="13.15" customHeight="1" x14ac:dyDescent="0.35">
      <c r="A83" s="1064" t="s">
        <v>1048</v>
      </c>
      <c r="B83" s="1065"/>
      <c r="C83" s="1065"/>
      <c r="D83" s="1066"/>
      <c r="E83" s="488"/>
      <c r="F83" s="250"/>
      <c r="G83" s="291">
        <f>G84/G$12</f>
        <v>0</v>
      </c>
      <c r="H83" s="1006">
        <v>29357.9</v>
      </c>
      <c r="I83" s="102">
        <f>I84/I$12</f>
        <v>0</v>
      </c>
      <c r="J83" s="982">
        <f>SUMIFS('9. Actuals SAP Extract'!$V:$V,'9. Actuals SAP Extract'!$H:$H,$A83,'9. Actuals SAP Extract'!$P:$P,$B83,'9. Actuals SAP Extract'!$W:$W,J$11)</f>
        <v>0</v>
      </c>
      <c r="K83" s="102">
        <f>K84/K$12</f>
        <v>0</v>
      </c>
      <c r="L83" s="982">
        <f>SUMIFS('9. Actuals SAP Extract'!$V:$V,'9. Actuals SAP Extract'!$P:$P,$B83,'9. Actuals SAP Extract'!$H:$H,$A83,'9. Actuals SAP Extract'!$W:$W,'Detailed Forecast vs Actuals'!L$11)</f>
        <v>0</v>
      </c>
      <c r="M83" s="291">
        <f>M84/M$12</f>
        <v>0</v>
      </c>
      <c r="N83" s="982">
        <f>SUMIFS('9. Actuals SAP Extract'!$V:$V,'9. Actuals SAP Extract'!$H:$H,$A83,'9. Actuals SAP Extract'!$P:$P,$B83,'9. Actuals SAP Extract'!$W:$W,N$11)</f>
        <v>0</v>
      </c>
      <c r="O83" s="102">
        <f>O84/O$12</f>
        <v>0</v>
      </c>
      <c r="P83" s="982">
        <f>SUMIFS('9. Actuals SAP Extract'!$V:$V,'9. Actuals SAP Extract'!$P:$P,$B83,'9. Actuals SAP Extract'!$H:$H,$A83,'9. Actuals SAP Extract'!$W:$W,'Detailed Forecast vs Actuals'!P$11)</f>
        <v>0</v>
      </c>
      <c r="Q83" s="291">
        <f>Q84/Q$12</f>
        <v>0</v>
      </c>
      <c r="R83" s="982">
        <f>SUMIFS('9. Actuals SAP Extract'!$V:$V,'9. Actuals SAP Extract'!$H:$H,$A83,'9. Actuals SAP Extract'!$P:$P,$B83,'9. Actuals SAP Extract'!$W:$W,R$11)</f>
        <v>0</v>
      </c>
      <c r="S83" s="102">
        <f>S84/S$12</f>
        <v>0</v>
      </c>
      <c r="T83" s="982"/>
      <c r="U83" s="291">
        <f>U84/U$12</f>
        <v>0</v>
      </c>
      <c r="V83" s="982">
        <f>SUMIFS('9. Actuals SAP Extract'!$V:$V,'9. Actuals SAP Extract'!$H:$H,$A83,'9. Actuals SAP Extract'!$P:$P,$B83,'9. Actuals SAP Extract'!$W:$W,V$11)</f>
        <v>0</v>
      </c>
      <c r="W83" s="102">
        <f>W84/W$12</f>
        <v>0</v>
      </c>
      <c r="X83" s="982">
        <f>SUMIFS('9. Actuals SAP Extract'!$V:$V,'9. Actuals SAP Extract'!$P:$P,$B83,'9. Actuals SAP Extract'!$H:$H,$A83,'9. Actuals SAP Extract'!$W:$W,'Detailed Forecast vs Actuals'!X$11)</f>
        <v>0</v>
      </c>
      <c r="Y83" s="291">
        <f>Y84/Y$12</f>
        <v>0</v>
      </c>
      <c r="Z83" s="982">
        <f>SUMIFS('9. Actuals SAP Extract'!$V:$V,'9. Actuals SAP Extract'!$H:$H,$A83,'9. Actuals SAP Extract'!$P:$P,$B83,'9. Actuals SAP Extract'!$W:$W,Z$11)</f>
        <v>0</v>
      </c>
      <c r="AA83" s="102">
        <f>AA84/AA$12</f>
        <v>0</v>
      </c>
      <c r="AB83" s="982">
        <f>SUMIFS('9. Actuals SAP Extract'!$V:$V,'9. Actuals SAP Extract'!$P:$P,$B83,'9. Actuals SAP Extract'!$H:$H,$A83,'9. Actuals SAP Extract'!$W:$W,'Detailed Forecast vs Actuals'!AB$11)</f>
        <v>0</v>
      </c>
      <c r="AC83" s="102">
        <f>AC84/AC$12</f>
        <v>0</v>
      </c>
      <c r="AD83" s="982">
        <f>SUMIFS('9. Actuals SAP Extract'!$V:$V,'9. Actuals SAP Extract'!$P:$P,$B83,'9. Actuals SAP Extract'!$H:$H,$A83,'9. Actuals SAP Extract'!$W:$W,'Detailed Forecast vs Actuals'!AD$11)</f>
        <v>0</v>
      </c>
      <c r="AE83" s="102">
        <f>AE84/AE$12</f>
        <v>0</v>
      </c>
      <c r="AF83" s="982">
        <f>SUMIFS('9. Actuals SAP Extract'!$V:$V,'9. Actuals SAP Extract'!$P:$P,$B83,'9. Actuals SAP Extract'!$H:$H,$A83,'9. Actuals SAP Extract'!$W:$W,'Detailed Forecast vs Actuals'!AF$11)</f>
        <v>0</v>
      </c>
      <c r="AG83" s="291">
        <f>AG84/AG$12</f>
        <v>0</v>
      </c>
      <c r="AH83" s="982">
        <f>SUMIFS('9. Actuals SAP Extract'!$V:$V,'9. Actuals SAP Extract'!$P:$P,$B83,'9. Actuals SAP Extract'!$H:$H,$A83,'9. Actuals SAP Extract'!$W:$W,'Detailed Forecast vs Actuals'!AH$11)</f>
        <v>0</v>
      </c>
      <c r="AI83" s="102">
        <f>AI84/AI$12</f>
        <v>0</v>
      </c>
      <c r="AJ83" s="982">
        <f>SUMIFS('9. Actuals SAP Extract'!$V:$V,'9. Actuals SAP Extract'!$P:$P,$B83,'9. Actuals SAP Extract'!$H:$H,$A83,'9. Actuals SAP Extract'!$W:$W,'Detailed Forecast vs Actuals'!AJ$11)</f>
        <v>0</v>
      </c>
      <c r="AK83" s="102">
        <f>AK84/AK$12</f>
        <v>0</v>
      </c>
      <c r="AL83" s="982">
        <f>SUMIFS('9. Actuals SAP Extract'!$V:$V,'9. Actuals SAP Extract'!$P:$P,$B83,'9. Actuals SAP Extract'!$H:$H,$A83,'9. Actuals SAP Extract'!$W:$W,'Detailed Forecast vs Actuals'!AL$11)</f>
        <v>0</v>
      </c>
      <c r="AM83" s="102">
        <f>AM84/AM$12</f>
        <v>0</v>
      </c>
      <c r="AN83" s="982"/>
      <c r="AO83" s="102">
        <f>AO84/AO$12</f>
        <v>0</v>
      </c>
      <c r="AP83" s="982">
        <f>SUMIFS('9. Actuals SAP Extract'!$V:$V,'9. Actuals SAP Extract'!$P:$P,$B83,'9. Actuals SAP Extract'!$H:$H,$A83,'9. Actuals SAP Extract'!$W:$W,'Detailed Forecast vs Actuals'!AP$11)</f>
        <v>0</v>
      </c>
      <c r="AQ83" s="102">
        <f>AQ84/AQ$12</f>
        <v>0</v>
      </c>
      <c r="AR83" s="982"/>
      <c r="AS83" s="102">
        <f>AS84/AS$12</f>
        <v>0</v>
      </c>
      <c r="AT83" s="982"/>
      <c r="AU83" s="102">
        <f>AU84/AU$12</f>
        <v>0</v>
      </c>
      <c r="AV83" s="982"/>
      <c r="AW83" s="102">
        <f>AW84/AW$12</f>
        <v>0</v>
      </c>
      <c r="AX83" s="982"/>
      <c r="AY83" s="102">
        <f>AY84/AY$12</f>
        <v>0</v>
      </c>
      <c r="AZ83" s="982"/>
      <c r="BA83" s="102">
        <f>BA84/BA$12</f>
        <v>0</v>
      </c>
      <c r="BB83" s="982"/>
      <c r="BC83" s="102">
        <f>BC84/BC$12</f>
        <v>0</v>
      </c>
      <c r="BD83" s="982"/>
    </row>
    <row r="84" spans="1:56" ht="13.15" customHeight="1" x14ac:dyDescent="0.35">
      <c r="A84" s="1067"/>
      <c r="B84" s="1068"/>
      <c r="C84" s="1068"/>
      <c r="D84" s="1069"/>
      <c r="E84" s="489"/>
      <c r="F84" s="251"/>
      <c r="G84" s="292">
        <v>0</v>
      </c>
      <c r="H84" s="1007"/>
      <c r="I84" s="103">
        <v>0</v>
      </c>
      <c r="J84" s="983"/>
      <c r="K84" s="103">
        <v>0</v>
      </c>
      <c r="L84" s="983"/>
      <c r="M84" s="292">
        <v>0</v>
      </c>
      <c r="N84" s="983"/>
      <c r="O84" s="103">
        <v>0</v>
      </c>
      <c r="P84" s="983"/>
      <c r="Q84" s="292">
        <v>0</v>
      </c>
      <c r="R84" s="983"/>
      <c r="S84" s="103">
        <v>0</v>
      </c>
      <c r="T84" s="983"/>
      <c r="U84" s="292">
        <v>0</v>
      </c>
      <c r="V84" s="983"/>
      <c r="W84" s="103">
        <v>0</v>
      </c>
      <c r="X84" s="983"/>
      <c r="Y84" s="292">
        <v>0</v>
      </c>
      <c r="Z84" s="983"/>
      <c r="AA84" s="103">
        <v>0</v>
      </c>
      <c r="AB84" s="983"/>
      <c r="AC84" s="103">
        <v>0</v>
      </c>
      <c r="AD84" s="983"/>
      <c r="AE84" s="103">
        <v>0</v>
      </c>
      <c r="AF84" s="983"/>
      <c r="AG84" s="292">
        <v>0</v>
      </c>
      <c r="AH84" s="983"/>
      <c r="AI84" s="103">
        <v>0</v>
      </c>
      <c r="AJ84" s="983"/>
      <c r="AK84" s="103">
        <v>0</v>
      </c>
      <c r="AL84" s="983"/>
      <c r="AM84" s="103">
        <v>0</v>
      </c>
      <c r="AN84" s="983"/>
      <c r="AO84" s="103">
        <v>0</v>
      </c>
      <c r="AP84" s="983"/>
      <c r="AQ84" s="103">
        <v>0</v>
      </c>
      <c r="AR84" s="983"/>
      <c r="AS84" s="103">
        <v>0</v>
      </c>
      <c r="AT84" s="983"/>
      <c r="AU84" s="103">
        <v>0</v>
      </c>
      <c r="AV84" s="983"/>
      <c r="AW84" s="103">
        <v>0</v>
      </c>
      <c r="AX84" s="983"/>
      <c r="AY84" s="103">
        <v>0</v>
      </c>
      <c r="AZ84" s="983"/>
      <c r="BA84" s="103">
        <v>0</v>
      </c>
      <c r="BB84" s="983"/>
      <c r="BC84" s="103">
        <v>0</v>
      </c>
      <c r="BD84" s="983"/>
    </row>
    <row r="85" spans="1:56" ht="13.9" customHeight="1" thickBot="1" x14ac:dyDescent="0.4">
      <c r="A85" s="1070"/>
      <c r="B85" s="1071"/>
      <c r="C85" s="1071"/>
      <c r="D85" s="1072"/>
      <c r="E85" s="489"/>
      <c r="F85" s="252"/>
      <c r="G85" s="293">
        <f>$D83*G84</f>
        <v>0</v>
      </c>
      <c r="H85" s="1008"/>
      <c r="I85" s="104">
        <f>$D83*I84</f>
        <v>0</v>
      </c>
      <c r="J85" s="984"/>
      <c r="K85" s="104">
        <f>$D83*K84</f>
        <v>0</v>
      </c>
      <c r="L85" s="984"/>
      <c r="M85" s="293">
        <f>$D83*M84</f>
        <v>0</v>
      </c>
      <c r="N85" s="984"/>
      <c r="O85" s="104">
        <f>$D83*O84</f>
        <v>0</v>
      </c>
      <c r="P85" s="984"/>
      <c r="Q85" s="293">
        <f>$D83*Q84</f>
        <v>0</v>
      </c>
      <c r="R85" s="984"/>
      <c r="S85" s="104">
        <f>$D83*S84</f>
        <v>0</v>
      </c>
      <c r="T85" s="984"/>
      <c r="U85" s="293">
        <f>$D83*U84</f>
        <v>0</v>
      </c>
      <c r="V85" s="984"/>
      <c r="W85" s="104">
        <f>$D83*W84</f>
        <v>0</v>
      </c>
      <c r="X85" s="984"/>
      <c r="Y85" s="293">
        <f>$D83*Y84</f>
        <v>0</v>
      </c>
      <c r="Z85" s="984"/>
      <c r="AA85" s="104">
        <f>$D83*AA84</f>
        <v>0</v>
      </c>
      <c r="AB85" s="984"/>
      <c r="AC85" s="104">
        <f>$D83*AC84</f>
        <v>0</v>
      </c>
      <c r="AD85" s="984"/>
      <c r="AE85" s="104">
        <f>$D83*AE84</f>
        <v>0</v>
      </c>
      <c r="AF85" s="984"/>
      <c r="AG85" s="293">
        <f>$D83*AG84</f>
        <v>0</v>
      </c>
      <c r="AH85" s="984"/>
      <c r="AI85" s="104">
        <f>$D83*AI84</f>
        <v>0</v>
      </c>
      <c r="AJ85" s="984"/>
      <c r="AK85" s="104">
        <f>$D83*AK84</f>
        <v>0</v>
      </c>
      <c r="AL85" s="984"/>
      <c r="AM85" s="930">
        <v>0</v>
      </c>
      <c r="AN85" s="984"/>
      <c r="AO85" s="930">
        <v>0</v>
      </c>
      <c r="AP85" s="984"/>
      <c r="AQ85" s="930"/>
      <c r="AR85" s="984"/>
      <c r="AS85" s="104">
        <f>$D83*AS84</f>
        <v>0</v>
      </c>
      <c r="AT85" s="984"/>
      <c r="AU85" s="104">
        <f>$D83*AU84</f>
        <v>0</v>
      </c>
      <c r="AV85" s="984"/>
      <c r="AW85" s="104">
        <f>$D83*AW84</f>
        <v>0</v>
      </c>
      <c r="AX85" s="984"/>
      <c r="AY85" s="104">
        <f>$D83*AY84</f>
        <v>0</v>
      </c>
      <c r="AZ85" s="984"/>
      <c r="BA85" s="104">
        <f>$D83*BA84</f>
        <v>0</v>
      </c>
      <c r="BB85" s="984"/>
      <c r="BC85" s="104">
        <f>$D83*BC84</f>
        <v>0</v>
      </c>
      <c r="BD85" s="984"/>
    </row>
    <row r="86" spans="1:56" ht="13.15" customHeight="1" x14ac:dyDescent="0.35">
      <c r="A86" s="1043" t="s">
        <v>353</v>
      </c>
      <c r="B86" s="1044"/>
      <c r="C86" s="1044"/>
      <c r="D86" s="1044"/>
      <c r="E86" s="479"/>
      <c r="F86" s="250"/>
      <c r="G86" s="291">
        <f>G87/G$12</f>
        <v>0</v>
      </c>
      <c r="H86" s="1006"/>
      <c r="I86" s="102">
        <f>I87/I$12</f>
        <v>0</v>
      </c>
      <c r="J86" s="982">
        <v>6378.54</v>
      </c>
      <c r="K86" s="102">
        <f>K87/K$12</f>
        <v>0</v>
      </c>
      <c r="L86" s="982">
        <v>4761.43</v>
      </c>
      <c r="M86" s="291">
        <f>M87/M$12</f>
        <v>0</v>
      </c>
      <c r="N86" s="982">
        <v>6964</v>
      </c>
      <c r="O86" s="102">
        <f>O87/O$12</f>
        <v>0</v>
      </c>
      <c r="P86" s="982">
        <v>7676</v>
      </c>
      <c r="Q86" s="291">
        <f>Q87/Q$12</f>
        <v>0</v>
      </c>
      <c r="R86" s="982">
        <v>1292.45</v>
      </c>
      <c r="S86" s="102">
        <f>S87/S$12</f>
        <v>0</v>
      </c>
      <c r="T86" s="982"/>
      <c r="U86" s="291">
        <f>U87/U$12</f>
        <v>0</v>
      </c>
      <c r="V86" s="982">
        <v>0</v>
      </c>
      <c r="W86" s="102">
        <f>W87/W$12</f>
        <v>0</v>
      </c>
      <c r="X86" s="982">
        <v>522</v>
      </c>
      <c r="Y86" s="291">
        <f>Y87/Y$12</f>
        <v>0</v>
      </c>
      <c r="Z86" s="982">
        <v>10067</v>
      </c>
      <c r="AA86" s="102">
        <f>AA87/AA$12</f>
        <v>0</v>
      </c>
      <c r="AB86" s="982">
        <f>SUMIFS('9. Actuals SAP Extract'!$V:$V,'9. Actuals SAP Extract'!$P:$P,$B86,'9. Actuals SAP Extract'!$H:$H,$A86,'9. Actuals SAP Extract'!$W:$W,'Detailed Forecast vs Actuals'!AB$11)</f>
        <v>0</v>
      </c>
      <c r="AC86" s="102">
        <f>AC87/AC$12</f>
        <v>0</v>
      </c>
      <c r="AD86" s="982"/>
      <c r="AE86" s="102">
        <f>AE87/AE$12</f>
        <v>0</v>
      </c>
      <c r="AF86" s="982">
        <v>9225</v>
      </c>
      <c r="AG86" s="291">
        <f>AG87/AG$12</f>
        <v>0</v>
      </c>
      <c r="AH86" s="982">
        <v>4200</v>
      </c>
      <c r="AI86" s="102">
        <f>AI87/AI$12</f>
        <v>0</v>
      </c>
      <c r="AJ86" s="982">
        <f>SUMIFS('9. Actuals SAP Extract'!$V:$V,'9. Actuals SAP Extract'!$P:$P,$B86,'9. Actuals SAP Extract'!$H:$H,$A86,'9. Actuals SAP Extract'!$W:$W,'Detailed Forecast vs Actuals'!AJ$11)</f>
        <v>0</v>
      </c>
      <c r="AK86" s="102">
        <f>AK87/AK$12</f>
        <v>0</v>
      </c>
      <c r="AL86" s="982"/>
      <c r="AM86" s="102">
        <f>AM87/AM$12</f>
        <v>0</v>
      </c>
      <c r="AN86" s="982">
        <v>6935.48</v>
      </c>
      <c r="AO86" s="102">
        <f>AO87/AO$12</f>
        <v>0</v>
      </c>
      <c r="AP86" s="982">
        <f>SUMIFS('9. Actuals SAP Extract'!$V:$V,'9. Actuals SAP Extract'!$P:$P,$B86,'9. Actuals SAP Extract'!$H:$H,$A86,'9. Actuals SAP Extract'!$W:$W,'Detailed Forecast vs Actuals'!AP$11)</f>
        <v>0</v>
      </c>
      <c r="AQ86" s="102">
        <f>AQ87/AQ$12</f>
        <v>0</v>
      </c>
      <c r="AR86" s="982"/>
      <c r="AS86" s="102">
        <f>AS87/AS$12</f>
        <v>0</v>
      </c>
      <c r="AT86" s="982"/>
      <c r="AU86" s="102">
        <f>AU87/AU$12</f>
        <v>0</v>
      </c>
      <c r="AV86" s="982"/>
      <c r="AW86" s="102">
        <f>AW87/AW$12</f>
        <v>0</v>
      </c>
      <c r="AX86" s="982"/>
      <c r="AY86" s="102">
        <f>AY87/AY$12</f>
        <v>0</v>
      </c>
      <c r="AZ86" s="982"/>
      <c r="BA86" s="102">
        <f>BA87/BA$12</f>
        <v>0</v>
      </c>
      <c r="BB86" s="982"/>
      <c r="BC86" s="102">
        <f>BC87/BC$12</f>
        <v>0</v>
      </c>
      <c r="BD86" s="982"/>
    </row>
    <row r="87" spans="1:56" ht="13.15" customHeight="1" x14ac:dyDescent="0.35">
      <c r="A87" s="1045"/>
      <c r="B87" s="1046"/>
      <c r="C87" s="1046"/>
      <c r="D87" s="1046"/>
      <c r="E87" s="480"/>
      <c r="F87" s="251"/>
      <c r="G87" s="292">
        <v>0</v>
      </c>
      <c r="H87" s="1007"/>
      <c r="I87" s="103">
        <v>0</v>
      </c>
      <c r="J87" s="983"/>
      <c r="K87" s="103">
        <v>0</v>
      </c>
      <c r="L87" s="983"/>
      <c r="M87" s="292"/>
      <c r="N87" s="983"/>
      <c r="O87" s="103">
        <v>0</v>
      </c>
      <c r="P87" s="983"/>
      <c r="Q87" s="292">
        <v>0</v>
      </c>
      <c r="R87" s="983"/>
      <c r="S87" s="103">
        <v>0</v>
      </c>
      <c r="T87" s="983"/>
      <c r="U87" s="292">
        <v>0</v>
      </c>
      <c r="V87" s="983"/>
      <c r="W87" s="103">
        <v>0</v>
      </c>
      <c r="X87" s="983"/>
      <c r="Y87" s="292">
        <v>0</v>
      </c>
      <c r="Z87" s="983"/>
      <c r="AA87" s="103">
        <v>0</v>
      </c>
      <c r="AB87" s="983"/>
      <c r="AC87" s="103">
        <v>0</v>
      </c>
      <c r="AD87" s="983"/>
      <c r="AE87" s="103">
        <v>0</v>
      </c>
      <c r="AF87" s="983"/>
      <c r="AG87" s="292">
        <v>0</v>
      </c>
      <c r="AH87" s="983"/>
      <c r="AI87" s="103">
        <v>0</v>
      </c>
      <c r="AJ87" s="983"/>
      <c r="AK87" s="103">
        <v>0</v>
      </c>
      <c r="AL87" s="983"/>
      <c r="AM87" s="103">
        <v>0</v>
      </c>
      <c r="AN87" s="983"/>
      <c r="AO87" s="103">
        <v>0</v>
      </c>
      <c r="AP87" s="983"/>
      <c r="AQ87" s="103">
        <v>0</v>
      </c>
      <c r="AR87" s="983"/>
      <c r="AS87" s="103">
        <v>0</v>
      </c>
      <c r="AT87" s="983"/>
      <c r="AU87" s="103">
        <v>0</v>
      </c>
      <c r="AV87" s="983"/>
      <c r="AW87" s="103">
        <v>0</v>
      </c>
      <c r="AX87" s="983"/>
      <c r="AY87" s="103">
        <v>0</v>
      </c>
      <c r="AZ87" s="983"/>
      <c r="BA87" s="103">
        <v>0</v>
      </c>
      <c r="BB87" s="983"/>
      <c r="BC87" s="103">
        <v>0</v>
      </c>
      <c r="BD87" s="983"/>
    </row>
    <row r="88" spans="1:56" ht="13.9" customHeight="1" thickBot="1" x14ac:dyDescent="0.4">
      <c r="A88" s="1047"/>
      <c r="B88" s="1048"/>
      <c r="C88" s="1048"/>
      <c r="D88" s="1048"/>
      <c r="E88" s="481"/>
      <c r="F88" s="252"/>
      <c r="G88" s="293">
        <f>$D86*G87</f>
        <v>0</v>
      </c>
      <c r="H88" s="1008"/>
      <c r="I88" s="104">
        <f>$D86*I87</f>
        <v>0</v>
      </c>
      <c r="J88" s="984"/>
      <c r="K88" s="104">
        <f>$D86*K87</f>
        <v>0</v>
      </c>
      <c r="L88" s="984"/>
      <c r="M88" s="104">
        <f>$D86*M87</f>
        <v>0</v>
      </c>
      <c r="N88" s="984"/>
      <c r="O88" s="104">
        <f>O89*30%</f>
        <v>5326.8720000000003</v>
      </c>
      <c r="P88" s="984"/>
      <c r="Q88" s="104">
        <f>Q89*30%</f>
        <v>5494.3919999999998</v>
      </c>
      <c r="R88" s="984"/>
      <c r="S88" s="104">
        <f>S89*30%</f>
        <v>4728.18</v>
      </c>
      <c r="T88" s="984"/>
      <c r="U88" s="293">
        <f>$D86*U87</f>
        <v>0</v>
      </c>
      <c r="V88" s="984"/>
      <c r="W88" s="104">
        <f>$D86*W87</f>
        <v>0</v>
      </c>
      <c r="X88" s="984"/>
      <c r="Y88" s="293">
        <f>$D86*Y87</f>
        <v>0</v>
      </c>
      <c r="Z88" s="984"/>
      <c r="AA88" s="104">
        <f>$D86*AA87</f>
        <v>0</v>
      </c>
      <c r="AB88" s="984"/>
      <c r="AC88" s="104">
        <f>$D86*AC87</f>
        <v>0</v>
      </c>
      <c r="AD88" s="984"/>
      <c r="AE88" s="104">
        <f>$D86*AE87</f>
        <v>0</v>
      </c>
      <c r="AF88" s="984"/>
      <c r="AG88" s="293">
        <f>$D86*AG87</f>
        <v>0</v>
      </c>
      <c r="AH88" s="984"/>
      <c r="AI88" s="104">
        <v>4200</v>
      </c>
      <c r="AJ88" s="984"/>
      <c r="AK88" s="104">
        <v>4200</v>
      </c>
      <c r="AL88" s="984"/>
      <c r="AM88" s="104">
        <v>4200</v>
      </c>
      <c r="AN88" s="984"/>
      <c r="AO88" s="104">
        <v>6000</v>
      </c>
      <c r="AP88" s="984"/>
      <c r="AQ88" s="104">
        <v>6000</v>
      </c>
      <c r="AR88" s="984"/>
      <c r="AS88" s="104">
        <v>6000</v>
      </c>
      <c r="AT88" s="984"/>
      <c r="AU88" s="104">
        <v>4200</v>
      </c>
      <c r="AV88" s="984"/>
      <c r="AW88" s="104">
        <v>4200</v>
      </c>
      <c r="AX88" s="984"/>
      <c r="AY88" s="104">
        <v>4200</v>
      </c>
      <c r="AZ88" s="984"/>
      <c r="BA88" s="104">
        <v>4200</v>
      </c>
      <c r="BB88" s="984"/>
      <c r="BC88" s="104">
        <v>4200</v>
      </c>
      <c r="BD88" s="984"/>
    </row>
    <row r="89" spans="1:56" ht="15" thickBot="1" x14ac:dyDescent="0.4">
      <c r="A89" s="1033" t="s">
        <v>220</v>
      </c>
      <c r="B89" s="1034"/>
      <c r="C89" s="1034"/>
      <c r="D89" s="1034"/>
      <c r="E89" s="491"/>
      <c r="F89" s="253"/>
      <c r="G89" s="132">
        <f>SUM(G85,G76,G61,G46,G43,G40,G37,G34,G31,G28,G25)</f>
        <v>0</v>
      </c>
      <c r="H89" s="807">
        <f>SUM(H23:H88)</f>
        <v>100166.82</v>
      </c>
      <c r="I89" s="132">
        <f>SUM(I85,I76,I61,I46,I43,I40,I37,I34,I31,I28,I25)</f>
        <v>0</v>
      </c>
      <c r="J89" s="130">
        <f>SUM(J23:J88)</f>
        <v>19648.300000000003</v>
      </c>
      <c r="K89" s="132">
        <f>SUM(K85,K76,K61,K46,K43,K40,K37,K34,K31,K28,K25)</f>
        <v>0</v>
      </c>
      <c r="L89" s="130">
        <f>SUM(L23:L88)</f>
        <v>14666.500000000002</v>
      </c>
      <c r="M89" s="132">
        <f>SUM(M85,M76,M61,M46,M43,M40,M37,M34,M31,M28,M25)</f>
        <v>0</v>
      </c>
      <c r="N89" s="130">
        <f>SUM(N23:N88)</f>
        <v>21718.78</v>
      </c>
      <c r="O89" s="132">
        <f>SUM(O85,O76,O61,O46,O43,O40,O37,O34,O31,O28,O25)</f>
        <v>17756.240000000002</v>
      </c>
      <c r="P89" s="130">
        <f>SUM(P23:P43)</f>
        <v>15672</v>
      </c>
      <c r="Q89" s="132">
        <f>SUM(Q85,Q76,Q61,Q46,Q43,Q40,Q37,Q34,Q31,Q28,Q25)</f>
        <v>18314.64</v>
      </c>
      <c r="R89" s="130">
        <f>SUM(R23:R85)</f>
        <v>2688.2200000000007</v>
      </c>
      <c r="S89" s="132">
        <f>SUM(S85,S76,S61,S46,S43,S40,S37,S34,S31,S28,S25)</f>
        <v>15760.6</v>
      </c>
      <c r="T89" s="130">
        <f>SUM(T23:T85)</f>
        <v>1604.2000000000005</v>
      </c>
      <c r="U89" s="132">
        <f>SUM(U85,U76,U61,U46,U43,U40,U37,U34,U31,U28,U25)</f>
        <v>12852.4</v>
      </c>
      <c r="V89" s="130">
        <f>SUM(V23:V43)</f>
        <v>1815.44</v>
      </c>
      <c r="W89" s="132">
        <f>SUM(W85,W76,W61,W46,W43,W40,W37,W34,W31,W28,W25)</f>
        <v>12385.04</v>
      </c>
      <c r="X89" s="130">
        <f>SUM(X23:X85)</f>
        <v>815.26</v>
      </c>
      <c r="Y89" s="132">
        <f>SUM(Y85,Y76,Y61,Y46,Y43,Y40,Y37,Y34,Y31,Y28,Y25)</f>
        <v>15194.6</v>
      </c>
      <c r="Z89" s="130">
        <f>SUM(Z23:Z85)</f>
        <v>10098.849999999999</v>
      </c>
      <c r="AA89" s="132">
        <f>SUM(AA85,AA76,AA61,AA46,AA43,AA40,AA37,AA34,AA31,AA28,AA25)</f>
        <v>15194.6</v>
      </c>
      <c r="AB89" s="130">
        <f>SUM(AB23:AB85)</f>
        <v>10654.75</v>
      </c>
      <c r="AC89" s="132">
        <f>SUM(AC85,AC76,AC61,AC46,AC43,AC40,AC37,AC34,AC31,AC28,AC25)</f>
        <v>0</v>
      </c>
      <c r="AD89" s="130">
        <f>SUM(AD23:AD85)</f>
        <v>9462.2000000000007</v>
      </c>
      <c r="AE89" s="132">
        <f>SUM(AE85,AE76,AE61,AE46,AE43,AE40,AE37,AE34,AE31,AE28,AE25)</f>
        <v>0</v>
      </c>
      <c r="AF89" s="824">
        <f>SUM(AF23:AF85)</f>
        <v>16070.980000000003</v>
      </c>
      <c r="AG89" s="294">
        <f>SUM(AG85,AG76,AG61,AG46,AG43,AG40,AG37,AG34,AG31,AG28,AG25)</f>
        <v>3335.4</v>
      </c>
      <c r="AH89" s="130">
        <f>SUM(AH23:AH85)</f>
        <v>9335.64</v>
      </c>
      <c r="AI89" s="132">
        <f>SUM(AI85,AI79,AI76,AI73,AI64,AI61,AI46,AI43,AI40,AI37,AI34,AI31,AI28,AI25,AI22,AI19,AI16)</f>
        <v>5466.35</v>
      </c>
      <c r="AJ89" s="130">
        <f>SUM(AJ23:AJ85)</f>
        <v>4194.7</v>
      </c>
      <c r="AK89" s="132">
        <f>SUM(AK85,AK76,AK61,AK46,AK43,AK40,AK37,AK34,AK31,AK28,AK25)</f>
        <v>10006.200000000001</v>
      </c>
      <c r="AL89" s="130">
        <f>SUM(AL23:AL85)</f>
        <v>5967.87</v>
      </c>
      <c r="AM89" s="132">
        <f>SUM(AM85,AM76,AM61,AM46,AM43,AM40,AM37,AM34,AM31,AM28,AM25)</f>
        <v>10006.200000000001</v>
      </c>
      <c r="AN89" s="130">
        <f>SUM(AN23:AN85)</f>
        <v>15411.37</v>
      </c>
      <c r="AO89" s="132">
        <f>SUM(AO85,AO82,AO79,AO76,AO73,AO70,AO67,AO64,AO61,AO58,AO46,AO43,AO40,AO37,AO34,AO31,AO28,AO25,AO22,AO19,AO16)</f>
        <v>42457.83</v>
      </c>
      <c r="AP89" s="130">
        <f>SUM(AP23:AP85)</f>
        <v>14683.9</v>
      </c>
      <c r="AQ89" s="132">
        <f>SUM(AQ85,AQ82,AQ79,AQ76,AQ73,AQ70,AQ67,AQ64,AQ61,AQ58,AQ46,AQ43,AQ40,AQ37,AQ34,AQ31,AQ28,AQ25,AQ22,AQ19,AQ16)</f>
        <v>39630.82</v>
      </c>
      <c r="AR89" s="130">
        <f>SUM(AR23:AR85)</f>
        <v>0</v>
      </c>
      <c r="AS89" s="132">
        <f>SUM(AS85,AS82,AS79,AS76,AS73,AS70,AS67,AS64,AS61,AS58,AS46,AS43,AS40,AS37,AS34,AS31,AS28,AS25,AS22,AS19,AS16)</f>
        <v>39630.82</v>
      </c>
      <c r="AT89" s="130">
        <f>SUM(AT23:AT85)</f>
        <v>0</v>
      </c>
      <c r="AU89" s="132">
        <f>SUM(AU85,AU76,AU61,AU46,AU43,AU40,AU37,AU34,AU31,AU28,AU25)</f>
        <v>10006.200000000001</v>
      </c>
      <c r="AV89" s="130">
        <f>SUM(AV23:AV85)</f>
        <v>0</v>
      </c>
      <c r="AW89" s="132">
        <f>SUM(AW85,AW76,AW61,AW46,AW43,AW40,AW37,AW34,AW31,AW28,AW25)</f>
        <v>10006.200000000001</v>
      </c>
      <c r="AX89" s="130">
        <f>SUM(AX23:AX85)</f>
        <v>0</v>
      </c>
      <c r="AY89" s="132">
        <f>SUM(AY85,AY76,AY61,AY46,AY43,AY40,AY37,AY34,AY31,AY28,AY25)</f>
        <v>10006.200000000001</v>
      </c>
      <c r="AZ89" s="130">
        <f>SUM(AZ23:AZ85)</f>
        <v>0</v>
      </c>
      <c r="BA89" s="132">
        <f>SUM(BA85,BA76,BA61,BA46,BA43,BA40,BA37,BA34,BA31,BA28,BA25)</f>
        <v>10006.200000000001</v>
      </c>
      <c r="BB89" s="130">
        <f>SUM(BB23:BB85)</f>
        <v>0</v>
      </c>
      <c r="BC89" s="132">
        <f>SUM(BC85,BC76,BC61,BC46,BC43,BC40,BC37,BC34,BC31,BC28,BC25)</f>
        <v>10006.200000000001</v>
      </c>
      <c r="BD89" s="130">
        <f>SUM(BD23:BD85)</f>
        <v>0</v>
      </c>
    </row>
    <row r="90" spans="1:56" ht="15" thickBot="1" x14ac:dyDescent="0.4">
      <c r="A90" s="1041" t="s">
        <v>256</v>
      </c>
      <c r="B90" s="1042"/>
      <c r="C90" s="1042"/>
      <c r="D90" s="1042"/>
      <c r="E90" s="492"/>
      <c r="F90" s="253"/>
      <c r="G90" s="294">
        <f>SUM(G89)</f>
        <v>0</v>
      </c>
      <c r="H90" s="808">
        <f>SUM(H86,H89)</f>
        <v>100166.82</v>
      </c>
      <c r="I90" s="132">
        <f>SUM(I89)</f>
        <v>0</v>
      </c>
      <c r="J90" s="470">
        <f>SUM(J86,J89)</f>
        <v>26026.840000000004</v>
      </c>
      <c r="K90" s="294">
        <f>SUM(K89)</f>
        <v>0</v>
      </c>
      <c r="L90" s="470">
        <f>SUM(L86,L89)</f>
        <v>19427.93</v>
      </c>
      <c r="M90" s="294">
        <f>SUM(M88,M89)</f>
        <v>0</v>
      </c>
      <c r="N90" s="470">
        <f>SUM(N86,N89)</f>
        <v>28682.78</v>
      </c>
      <c r="O90" s="294">
        <f>SUM(O88,O89)</f>
        <v>23083.112000000001</v>
      </c>
      <c r="P90" s="470">
        <f>SUM(P86,P89)</f>
        <v>23348</v>
      </c>
      <c r="Q90" s="294">
        <f>SUM(Q88,Q89)</f>
        <v>23809.031999999999</v>
      </c>
      <c r="R90" s="470">
        <f>SUM(R86,R89)</f>
        <v>3980.670000000001</v>
      </c>
      <c r="S90" s="294">
        <f>SUM(S89)</f>
        <v>15760.6</v>
      </c>
      <c r="T90" s="470">
        <f>SUM(T86,T89)</f>
        <v>1604.2000000000005</v>
      </c>
      <c r="U90" s="294">
        <f>SUM(U89)</f>
        <v>12852.4</v>
      </c>
      <c r="V90" s="470">
        <f>SUM(V86,V89)</f>
        <v>1815.44</v>
      </c>
      <c r="W90" s="294">
        <f>SUM(W89)</f>
        <v>12385.04</v>
      </c>
      <c r="X90" s="470">
        <f>SUM(X86,X89)</f>
        <v>1337.26</v>
      </c>
      <c r="Y90" s="294">
        <f>SUM(Y89)</f>
        <v>15194.6</v>
      </c>
      <c r="Z90" s="470">
        <f>SUM(Z86,Z89)</f>
        <v>20165.849999999999</v>
      </c>
      <c r="AA90" s="294">
        <f>SUM(AA89)</f>
        <v>15194.6</v>
      </c>
      <c r="AB90" s="470">
        <f>SUM(AB86,AB89)</f>
        <v>10654.75</v>
      </c>
      <c r="AC90" s="294">
        <v>12000</v>
      </c>
      <c r="AD90" s="470">
        <f>SUM(AD86,AD89)</f>
        <v>9462.2000000000007</v>
      </c>
      <c r="AE90" s="294">
        <v>8000</v>
      </c>
      <c r="AF90" s="825">
        <v>28413</v>
      </c>
      <c r="AG90" s="294">
        <v>28000</v>
      </c>
      <c r="AH90" s="470">
        <f>SUM(AH86,AH89)</f>
        <v>13535.64</v>
      </c>
      <c r="AI90" s="294">
        <f>SUM(AI88,AI89)</f>
        <v>9666.35</v>
      </c>
      <c r="AJ90" s="470">
        <f>SUM(AJ86,AJ89)</f>
        <v>4194.7</v>
      </c>
      <c r="AK90" s="294">
        <f>SUM(AK88,AK89)</f>
        <v>14206.2</v>
      </c>
      <c r="AL90" s="470">
        <f>SUM(AL86,AL89)</f>
        <v>5967.87</v>
      </c>
      <c r="AM90" s="294">
        <f>SUM(AM88,AM89)</f>
        <v>14206.2</v>
      </c>
      <c r="AN90" s="470">
        <f>SUM(AN86,AN89)</f>
        <v>22346.85</v>
      </c>
      <c r="AO90" s="294">
        <f>SUM(AO88,AO89)</f>
        <v>48457.83</v>
      </c>
      <c r="AP90" s="470">
        <f>SUM(AP86,AP89)</f>
        <v>14683.9</v>
      </c>
      <c r="AQ90" s="294">
        <f>SUM(AQ88,AQ89)</f>
        <v>45630.82</v>
      </c>
      <c r="AR90" s="470">
        <f>SUM(AR86,AR89)</f>
        <v>0</v>
      </c>
      <c r="AS90" s="294">
        <f>SUM(AS88,AS89)</f>
        <v>45630.82</v>
      </c>
      <c r="AT90" s="470">
        <f>SUM(AT86,AT89)</f>
        <v>0</v>
      </c>
      <c r="AU90" s="294">
        <f>SUM(AU88,AU89)</f>
        <v>14206.2</v>
      </c>
      <c r="AV90" s="470">
        <f>SUM(AV86,AV89)</f>
        <v>0</v>
      </c>
      <c r="AW90" s="294">
        <f>SUM(AW88,AW89)</f>
        <v>14206.2</v>
      </c>
      <c r="AX90" s="470">
        <f>SUM(AX86,AX89)</f>
        <v>0</v>
      </c>
      <c r="AY90" s="294">
        <f>SUM(AY88,AY89)</f>
        <v>14206.2</v>
      </c>
      <c r="AZ90" s="470">
        <f>SUM(AZ86,AZ89)</f>
        <v>0</v>
      </c>
      <c r="BA90" s="294">
        <f>SUM(BA88,BA89)</f>
        <v>14206.2</v>
      </c>
      <c r="BB90" s="470">
        <f>SUM(BB86,BB89)</f>
        <v>0</v>
      </c>
      <c r="BC90" s="294">
        <f>SUM(BC88,BC89)</f>
        <v>14206.2</v>
      </c>
      <c r="BD90" s="470">
        <f>SUM(BD86,BD89)</f>
        <v>0</v>
      </c>
    </row>
    <row r="91" spans="1:56" ht="26.25" customHeight="1" x14ac:dyDescent="0.35">
      <c r="A91" s="312" t="s">
        <v>216</v>
      </c>
      <c r="B91" s="125" t="s">
        <v>187</v>
      </c>
      <c r="C91" s="125" t="s">
        <v>126</v>
      </c>
      <c r="D91" s="125" t="s">
        <v>168</v>
      </c>
      <c r="E91" s="493" t="s">
        <v>643</v>
      </c>
      <c r="F91" s="254"/>
      <c r="G91" s="295" t="s">
        <v>151</v>
      </c>
      <c r="H91" s="809" t="s">
        <v>146</v>
      </c>
      <c r="I91" s="826" t="s">
        <v>152</v>
      </c>
      <c r="J91" s="827" t="s">
        <v>147</v>
      </c>
      <c r="K91" s="827" t="s">
        <v>153</v>
      </c>
      <c r="L91" s="827" t="s">
        <v>133</v>
      </c>
      <c r="M91" s="295" t="s">
        <v>369</v>
      </c>
      <c r="N91" s="827" t="s">
        <v>358</v>
      </c>
      <c r="O91" s="827" t="s">
        <v>370</v>
      </c>
      <c r="P91" s="827" t="s">
        <v>371</v>
      </c>
      <c r="Q91" s="295" t="s">
        <v>372</v>
      </c>
      <c r="R91" s="827" t="s">
        <v>367</v>
      </c>
      <c r="S91" s="827" t="s">
        <v>373</v>
      </c>
      <c r="T91" s="827" t="s">
        <v>374</v>
      </c>
      <c r="U91" s="295" t="s">
        <v>375</v>
      </c>
      <c r="V91" s="827" t="s">
        <v>376</v>
      </c>
      <c r="W91" s="827" t="s">
        <v>377</v>
      </c>
      <c r="X91" s="827" t="s">
        <v>363</v>
      </c>
      <c r="Y91" s="295" t="s">
        <v>378</v>
      </c>
      <c r="Z91" s="827" t="s">
        <v>379</v>
      </c>
      <c r="AA91" s="827" t="s">
        <v>149</v>
      </c>
      <c r="AB91" s="827" t="s">
        <v>142</v>
      </c>
      <c r="AC91" s="827" t="s">
        <v>150</v>
      </c>
      <c r="AD91" s="827" t="s">
        <v>144</v>
      </c>
      <c r="AE91" s="827" t="s">
        <v>151</v>
      </c>
      <c r="AF91" s="828" t="s">
        <v>146</v>
      </c>
      <c r="AG91" s="299" t="s">
        <v>131</v>
      </c>
      <c r="AH91" s="98" t="s">
        <v>147</v>
      </c>
      <c r="AI91" s="97" t="s">
        <v>132</v>
      </c>
      <c r="AJ91" s="98" t="s">
        <v>133</v>
      </c>
      <c r="AK91" s="97" t="s">
        <v>134</v>
      </c>
      <c r="AL91" s="98" t="s">
        <v>358</v>
      </c>
      <c r="AM91" s="97" t="s">
        <v>135</v>
      </c>
      <c r="AN91" s="98" t="s">
        <v>371</v>
      </c>
      <c r="AO91" s="97" t="s">
        <v>136</v>
      </c>
      <c r="AP91" s="98" t="s">
        <v>367</v>
      </c>
      <c r="AQ91" s="97" t="s">
        <v>137</v>
      </c>
      <c r="AR91" s="98" t="s">
        <v>365</v>
      </c>
      <c r="AS91" s="97" t="s">
        <v>138</v>
      </c>
      <c r="AT91" s="98" t="s">
        <v>364</v>
      </c>
      <c r="AU91" s="97" t="s">
        <v>139</v>
      </c>
      <c r="AV91" s="98" t="s">
        <v>363</v>
      </c>
      <c r="AW91" s="97" t="s">
        <v>140</v>
      </c>
      <c r="AX91" s="98" t="s">
        <v>362</v>
      </c>
      <c r="AY91" s="97" t="s">
        <v>141</v>
      </c>
      <c r="AZ91" s="98" t="s">
        <v>142</v>
      </c>
      <c r="BA91" s="97" t="s">
        <v>143</v>
      </c>
      <c r="BB91" s="98" t="s">
        <v>144</v>
      </c>
      <c r="BC91" s="97" t="s">
        <v>145</v>
      </c>
      <c r="BD91" s="98" t="s">
        <v>146</v>
      </c>
    </row>
    <row r="92" spans="1:56" ht="26" hidden="1" x14ac:dyDescent="0.35">
      <c r="A92" s="304"/>
      <c r="B92" s="304" t="s">
        <v>646</v>
      </c>
      <c r="C92" s="304" t="s">
        <v>524</v>
      </c>
      <c r="D92" s="497">
        <v>5000055093</v>
      </c>
      <c r="E92" s="577">
        <v>282880</v>
      </c>
      <c r="F92" s="255"/>
      <c r="G92" s="105"/>
      <c r="H92" s="810">
        <f>SUMIFS('9. Actuals SAP Extract'!$V:$V,'9. Actuals SAP Extract'!$P:$P,$C92,'9. Actuals SAP Extract'!$O:$O,$D92,'9. Actuals SAP Extract'!$W:$W,H$11)</f>
        <v>320</v>
      </c>
      <c r="I92" s="109"/>
      <c r="J92" s="311">
        <f>SUMIFS('9. Actuals SAP Extract'!$V:$V,'9. Actuals SAP Extract'!$P:$P,$C92,'9. Actuals SAP Extract'!$O:$O,$D92,'9. Actuals SAP Extract'!$W:$W,J$11)</f>
        <v>824</v>
      </c>
      <c r="K92" s="105"/>
      <c r="L92" s="311">
        <f>SUMIFS('9. Actuals SAP Extract'!$V:$V,'9. Actuals SAP Extract'!$P:$P,$C92,'9. Actuals SAP Extract'!$O:$O,$D92,'9. Actuals SAP Extract'!$W:$W,L$11)</f>
        <v>-824</v>
      </c>
      <c r="M92" s="105"/>
      <c r="N92" s="311">
        <f>SUMIFS('9. Actuals SAP Extract'!$V:$V,'9. Actuals SAP Extract'!$P:$P,$C92,'9. Actuals SAP Extract'!$O:$O,$D92,'9. Actuals SAP Extract'!$W:$W,N$11)</f>
        <v>0</v>
      </c>
      <c r="O92" s="105"/>
      <c r="P92" s="311">
        <f>SUMIFS('9. Actuals SAP Extract'!$V:$V,'9. Actuals SAP Extract'!$P:$P,$C92,'9. Actuals SAP Extract'!$O:$O,$D92,'9. Actuals SAP Extract'!$W:$W,P$11)</f>
        <v>0</v>
      </c>
      <c r="Q92" s="105"/>
      <c r="R92" s="311">
        <f>SUMIFS('9. Actuals SAP Extract'!$V:$V,'9. Actuals SAP Extract'!$P:$P,$C92,'9. Actuals SAP Extract'!$O:$O,$D92,'9. Actuals SAP Extract'!$W:$W,R$11)</f>
        <v>0</v>
      </c>
      <c r="S92" s="105"/>
      <c r="T92" s="311">
        <f>SUMIFS('9. Actuals SAP Extract'!$V:$V,'9. Actuals SAP Extract'!$P:$P,$C92,'9. Actuals SAP Extract'!$O:$O,$D92,'9. Actuals SAP Extract'!$W:$W,T$11)</f>
        <v>0</v>
      </c>
      <c r="U92" s="105"/>
      <c r="V92" s="311">
        <f>SUMIFS('9. Actuals SAP Extract'!$V:$V,'9. Actuals SAP Extract'!$P:$P,$C92,'9. Actuals SAP Extract'!$O:$O,$D92,'9. Actuals SAP Extract'!$W:$W,V$11)</f>
        <v>0</v>
      </c>
      <c r="W92" s="105"/>
      <c r="X92" s="311">
        <f>SUMIFS('9. Actuals SAP Extract'!$V:$V,'9. Actuals SAP Extract'!$P:$P,$C92,'9. Actuals SAP Extract'!$O:$O,$D92,'9. Actuals SAP Extract'!$W:$W,X$11)</f>
        <v>0</v>
      </c>
      <c r="Y92" s="105"/>
      <c r="Z92" s="311">
        <f>SUMIFS('9. Actuals SAP Extract'!$V:$V,'9. Actuals SAP Extract'!$P:$P,$C92,'9. Actuals SAP Extract'!$O:$O,$D92,'9. Actuals SAP Extract'!$W:$W,Z$11)</f>
        <v>0</v>
      </c>
      <c r="AA92" s="105"/>
      <c r="AB92" s="311">
        <f>SUMIFS('9. Actuals SAP Extract'!$V:$V,'9. Actuals SAP Extract'!$P:$P,$C92,'9. Actuals SAP Extract'!$O:$O,$D92,'9. Actuals SAP Extract'!$W:$W,AB$11)</f>
        <v>0</v>
      </c>
      <c r="AC92" s="105"/>
      <c r="AD92" s="311">
        <f>SUMIFS('9. Actuals SAP Extract'!$V:$V,'9. Actuals SAP Extract'!$P:$P,$C92,'9. Actuals SAP Extract'!$O:$O,$D92,'9. Actuals SAP Extract'!$W:$W,AD$11)</f>
        <v>0</v>
      </c>
      <c r="AE92" s="105"/>
      <c r="AF92" s="829">
        <f>SUMIFS('9. Actuals SAP Extract'!$V:$V,'9. Actuals SAP Extract'!$P:$P,$C92,'9. Actuals SAP Extract'!$O:$O,$D92,'9. Actuals SAP Extract'!$W:$W,AF$11)</f>
        <v>0</v>
      </c>
      <c r="AG92" s="105"/>
      <c r="AH92" s="829">
        <f>SUMIFS('9. Actuals SAP Extract'!$V:$V,'9. Actuals SAP Extract'!$P:$P,$C92,'9. Actuals SAP Extract'!$O:$O,$D92,'9. Actuals SAP Extract'!$W:$W,AH$11)</f>
        <v>0</v>
      </c>
      <c r="AI92" s="105"/>
      <c r="AJ92" s="829">
        <f>SUMIFS('9. Actuals SAP Extract'!$V:$V,'9. Actuals SAP Extract'!$P:$P,$C92,'9. Actuals SAP Extract'!$O:$O,$D92,'9. Actuals SAP Extract'!$W:$W,AJ$11)</f>
        <v>0</v>
      </c>
      <c r="AK92" s="105"/>
      <c r="AL92" s="829">
        <f>SUMIFS('9. Actuals SAP Extract'!$V:$V,'9. Actuals SAP Extract'!$P:$P,$C92,'9. Actuals SAP Extract'!$O:$O,$D92,'9. Actuals SAP Extract'!$W:$W,AL$11)</f>
        <v>0</v>
      </c>
      <c r="AM92" s="105"/>
      <c r="AN92" s="133"/>
      <c r="AO92" s="105"/>
      <c r="AP92" s="133"/>
      <c r="AQ92" s="105"/>
      <c r="AR92" s="133"/>
      <c r="AS92" s="105"/>
      <c r="AT92" s="133"/>
      <c r="AU92" s="105"/>
      <c r="AV92" s="133"/>
      <c r="AW92" s="105"/>
      <c r="AX92" s="133"/>
      <c r="AY92" s="105"/>
      <c r="AZ92" s="133"/>
      <c r="BA92" s="105"/>
      <c r="BB92" s="133"/>
      <c r="BC92" s="105"/>
      <c r="BD92" s="133"/>
    </row>
    <row r="93" spans="1:56" x14ac:dyDescent="0.35">
      <c r="A93" s="899" t="s">
        <v>669</v>
      </c>
      <c r="B93" s="899" t="s">
        <v>445</v>
      </c>
      <c r="C93" s="899" t="s">
        <v>524</v>
      </c>
      <c r="D93" s="905">
        <v>7000001429</v>
      </c>
      <c r="E93" s="912">
        <v>316200</v>
      </c>
      <c r="F93" s="255"/>
      <c r="G93" s="105"/>
      <c r="H93" s="810">
        <f>SUMIFS('9. Actuals SAP Extract'!$V:$V,'9. Actuals SAP Extract'!$P:$P,$C93,'9. Actuals SAP Extract'!$O:$O,$D93,'9. Actuals SAP Extract'!$W:$W,H$11)</f>
        <v>0</v>
      </c>
      <c r="I93" s="109"/>
      <c r="J93" s="311">
        <f>SUMIFS('9. Actuals SAP Extract'!$V:$V,'9. Actuals SAP Extract'!$P:$P,$C93,'9. Actuals SAP Extract'!$O:$O,$D93,'9. Actuals SAP Extract'!$W:$W,J$11)</f>
        <v>0</v>
      </c>
      <c r="K93" s="105"/>
      <c r="L93" s="311">
        <f>SUMIFS('9. Actuals SAP Extract'!$V:$V,'9. Actuals SAP Extract'!$P:$P,$C93,'9. Actuals SAP Extract'!$O:$O,$D93,'9. Actuals SAP Extract'!$W:$W,L$11)</f>
        <v>0</v>
      </c>
      <c r="M93" s="105">
        <v>0</v>
      </c>
      <c r="N93" s="591">
        <f>SUMIFS('9. Actuals SAP Extract'!$V:$V,'9. Actuals SAP Extract'!$P:$P,$C93,'9. Actuals SAP Extract'!$O:$O,$D93,'9. Actuals SAP Extract'!$W:$W,N$11)</f>
        <v>0</v>
      </c>
      <c r="O93" s="105">
        <v>5500</v>
      </c>
      <c r="P93" s="592">
        <v>5500</v>
      </c>
      <c r="Q93" s="105"/>
      <c r="R93" s="311">
        <f>SUMIFS('9. Actuals SAP Extract'!$V:$V,'9. Actuals SAP Extract'!$P:$P,$C93,'9. Actuals SAP Extract'!$O:$O,$D93,'9. Actuals SAP Extract'!$W:$W,R$11)</f>
        <v>11000</v>
      </c>
      <c r="S93" s="105"/>
      <c r="T93" s="311">
        <f>SUMIFS('9. Actuals SAP Extract'!$V:$V,'9. Actuals SAP Extract'!$P:$P,$C93,'9. Actuals SAP Extract'!$O:$O,$D93,'9. Actuals SAP Extract'!$W:$W,T$11)</f>
        <v>27500</v>
      </c>
      <c r="U93" s="105"/>
      <c r="V93" s="311">
        <f>SUMIFS('9. Actuals SAP Extract'!$V:$V,'9. Actuals SAP Extract'!$P:$P,$C93,'9. Actuals SAP Extract'!$O:$O,$D93,'9. Actuals SAP Extract'!$W:$W,V$11)</f>
        <v>5500</v>
      </c>
      <c r="W93" s="105"/>
      <c r="X93" s="311">
        <f>SUMIFS('9. Actuals SAP Extract'!$V:$V,'9. Actuals SAP Extract'!$P:$P,$C93,'9. Actuals SAP Extract'!$O:$O,$D93,'9. Actuals SAP Extract'!$W:$W,X$11)</f>
        <v>0</v>
      </c>
      <c r="Y93" s="105">
        <f>5500+5500+5500</f>
        <v>16500</v>
      </c>
      <c r="Z93" s="311">
        <f>SUMIFS('9. Actuals SAP Extract'!$V:$V,'9. Actuals SAP Extract'!$P:$P,$C93,'9. Actuals SAP Extract'!$O:$O,$D93,'9. Actuals SAP Extract'!$W:$W,Z$11)</f>
        <v>-11000</v>
      </c>
      <c r="AA93" s="105">
        <v>5500</v>
      </c>
      <c r="AB93" s="311">
        <f>SUMIFS('9. Actuals SAP Extract'!$V:$V,'9. Actuals SAP Extract'!$P:$P,$C93,'9. Actuals SAP Extract'!$O:$O,$D93,'9. Actuals SAP Extract'!$W:$W,AB$11)</f>
        <v>0</v>
      </c>
      <c r="AC93" s="105">
        <v>5500</v>
      </c>
      <c r="AD93" s="792">
        <f>SUMIFS('9. Actuals SAP Extract'!$V:$V,'9. Actuals SAP Extract'!$P:$P,$C93,'9. Actuals SAP Extract'!$O:$O,$D93,'9. Actuals SAP Extract'!$W:$W,AD$11)</f>
        <v>5500</v>
      </c>
      <c r="AE93" s="615">
        <v>-29136</v>
      </c>
      <c r="AF93" s="829">
        <f>SUMIFS('9. Actuals SAP Extract'!$V:$V,'9. Actuals SAP Extract'!$P:$P,$C93,'9. Actuals SAP Extract'!$O:$O,$D93,'9. Actuals SAP Extract'!$W:$W,AF$11)</f>
        <v>-29136.32</v>
      </c>
      <c r="AG93" s="105">
        <f>5500*2</f>
        <v>11000</v>
      </c>
      <c r="AH93" s="829">
        <f>SUMIFS('9. Actuals SAP Extract'!$V:$V,'9. Actuals SAP Extract'!$P:$P,$C93,'9. Actuals SAP Extract'!$O:$O,$D93,'9. Actuals SAP Extract'!$W:$W,AH$11)</f>
        <v>11000</v>
      </c>
      <c r="AI93" s="105">
        <v>5500</v>
      </c>
      <c r="AJ93" s="867">
        <f>SUMIFS('9. Actuals SAP Extract'!$V:$V,'9. Actuals SAP Extract'!$P:$P,$C93,'9. Actuals SAP Extract'!$O:$O,$D93,'9. Actuals SAP Extract'!$W:$W,AJ$11)</f>
        <v>-5500</v>
      </c>
      <c r="AK93" s="105">
        <v>5500</v>
      </c>
      <c r="AL93" s="929">
        <f>SUMIFS('9. Actuals SAP Extract'!$V:$V,'9. Actuals SAP Extract'!$P:$P,$C93,'9. Actuals SAP Extract'!$O:$O,$D93,'9. Actuals SAP Extract'!$W:$W,AL$11)</f>
        <v>5500</v>
      </c>
      <c r="AM93" s="105">
        <v>5500</v>
      </c>
      <c r="AN93" s="867">
        <f>SUMIFS('9. Actuals SAP Extract'!$V:$V,'9. Actuals SAP Extract'!$P:$P,$C93,'9. Actuals SAP Extract'!$O:$O,$D93,'9. Actuals SAP Extract'!$W:$W,AN$11)</f>
        <v>5500</v>
      </c>
      <c r="AO93" s="105">
        <v>5500</v>
      </c>
      <c r="AP93" s="133">
        <f>SUMIFS('9. Actuals SAP Extract'!$V:$V,'9. Actuals SAP Extract'!$P:$P,$C93,'9. Actuals SAP Extract'!$O:$O,$D93,'9. Actuals SAP Extract'!$W:$W,AP$11)</f>
        <v>-5500</v>
      </c>
      <c r="AQ93" s="105">
        <v>5500</v>
      </c>
      <c r="AR93" s="133"/>
      <c r="AS93" s="105">
        <v>5500</v>
      </c>
      <c r="AT93" s="133"/>
      <c r="AU93" s="105">
        <v>5500</v>
      </c>
      <c r="AV93" s="133"/>
      <c r="AW93" s="105">
        <v>5500</v>
      </c>
      <c r="AX93" s="133"/>
      <c r="AY93" s="105">
        <v>5500</v>
      </c>
      <c r="AZ93" s="133"/>
      <c r="BA93" s="105">
        <v>5500</v>
      </c>
      <c r="BB93" s="133"/>
      <c r="BC93" s="105">
        <v>5500</v>
      </c>
      <c r="BD93" s="133"/>
    </row>
    <row r="94" spans="1:56" x14ac:dyDescent="0.35">
      <c r="A94" s="899" t="s">
        <v>669</v>
      </c>
      <c r="B94" s="899" t="s">
        <v>445</v>
      </c>
      <c r="C94" s="899" t="s">
        <v>524</v>
      </c>
      <c r="D94" s="905">
        <v>5000055979</v>
      </c>
      <c r="E94" s="912">
        <v>316200</v>
      </c>
      <c r="F94" s="255"/>
      <c r="G94" s="105"/>
      <c r="H94" s="810">
        <f>SUMIFS('9. Actuals SAP Extract'!$V:$V,'9. Actuals SAP Extract'!$P:$P,$C94,'9. Actuals SAP Extract'!$O:$O,$D94,'9. Actuals SAP Extract'!$W:$W,H$11)</f>
        <v>0</v>
      </c>
      <c r="I94" s="109"/>
      <c r="J94" s="311">
        <f>SUMIFS('9. Actuals SAP Extract'!$V:$V,'9. Actuals SAP Extract'!$P:$P,$C94,'9. Actuals SAP Extract'!$O:$O,$D94,'9. Actuals SAP Extract'!$W:$W,J$11)</f>
        <v>0</v>
      </c>
      <c r="K94" s="105"/>
      <c r="L94" s="311">
        <f>SUMIFS('9. Actuals SAP Extract'!$V:$V,'9. Actuals SAP Extract'!$P:$P,$C94,'9. Actuals SAP Extract'!$O:$O,$D94,'9. Actuals SAP Extract'!$W:$W,L$11)</f>
        <v>11000</v>
      </c>
      <c r="M94" s="105">
        <v>0</v>
      </c>
      <c r="N94" s="591">
        <f>SUMIFS('9. Actuals SAP Extract'!$V:$V,'9. Actuals SAP Extract'!$P:$P,$C94,'9. Actuals SAP Extract'!$O:$O,$D94,'9. Actuals SAP Extract'!$W:$W,N$11)</f>
        <v>5500</v>
      </c>
      <c r="O94" s="105">
        <v>5500</v>
      </c>
      <c r="P94" s="592">
        <v>5500</v>
      </c>
      <c r="Q94" s="105"/>
      <c r="R94" s="311">
        <f>SUMIFS('9. Actuals SAP Extract'!$V:$V,'9. Actuals SAP Extract'!$P:$P,$C94,'9. Actuals SAP Extract'!$O:$O,$D94,'9. Actuals SAP Extract'!$W:$W,R$11)</f>
        <v>-22000</v>
      </c>
      <c r="S94" s="105"/>
      <c r="T94" s="311">
        <f>SUMIFS('9. Actuals SAP Extract'!$V:$V,'9. Actuals SAP Extract'!$P:$P,$C94,'9. Actuals SAP Extract'!$O:$O,$D94,'9. Actuals SAP Extract'!$W:$W,T$11)</f>
        <v>0</v>
      </c>
      <c r="U94" s="105"/>
      <c r="V94" s="311">
        <f>SUMIFS('9. Actuals SAP Extract'!$V:$V,'9. Actuals SAP Extract'!$P:$P,$C94,'9. Actuals SAP Extract'!$O:$O,$D94,'9. Actuals SAP Extract'!$W:$W,V$11)</f>
        <v>0</v>
      </c>
      <c r="W94" s="105"/>
      <c r="X94" s="311">
        <f>SUMIFS('9. Actuals SAP Extract'!$V:$V,'9. Actuals SAP Extract'!$P:$P,$C94,'9. Actuals SAP Extract'!$O:$O,$D94,'9. Actuals SAP Extract'!$W:$W,X$11)</f>
        <v>16500</v>
      </c>
      <c r="Y94" s="105"/>
      <c r="Z94" s="311">
        <f>SUMIFS('9. Actuals SAP Extract'!$V:$V,'9. Actuals SAP Extract'!$P:$P,$C94,'9. Actuals SAP Extract'!$O:$O,$D94,'9. Actuals SAP Extract'!$W:$W,Z$11)</f>
        <v>0</v>
      </c>
      <c r="AA94" s="105"/>
      <c r="AB94" s="311">
        <f>SUMIFS('9. Actuals SAP Extract'!$V:$V,'9. Actuals SAP Extract'!$P:$P,$C94,'9. Actuals SAP Extract'!$O:$O,$D94,'9. Actuals SAP Extract'!$W:$W,AB$11)</f>
        <v>0</v>
      </c>
      <c r="AC94" s="105"/>
      <c r="AD94" s="311">
        <f>SUMIFS('9. Actuals SAP Extract'!$V:$V,'9. Actuals SAP Extract'!$P:$P,$C94,'9. Actuals SAP Extract'!$O:$O,$D94,'9. Actuals SAP Extract'!$W:$W,AD$11)</f>
        <v>0</v>
      </c>
      <c r="AE94" s="615"/>
      <c r="AF94" s="829">
        <f>SUMIFS('9. Actuals SAP Extract'!$V:$V,'9. Actuals SAP Extract'!$P:$P,$C94,'9. Actuals SAP Extract'!$O:$O,$D94,'9. Actuals SAP Extract'!$W:$W,AF$11)</f>
        <v>0</v>
      </c>
      <c r="AG94" s="105"/>
      <c r="AH94" s="829">
        <f>SUMIFS('9. Actuals SAP Extract'!$V:$V,'9. Actuals SAP Extract'!$P:$P,$C94,'9. Actuals SAP Extract'!$O:$O,$D94,'9. Actuals SAP Extract'!$W:$W,AH$11)</f>
        <v>0</v>
      </c>
      <c r="AI94" s="105"/>
      <c r="AJ94" s="829">
        <f>SUMIFS('9. Actuals SAP Extract'!$V:$V,'9. Actuals SAP Extract'!$P:$P,$C94,'9. Actuals SAP Extract'!$O:$O,$D94,'9. Actuals SAP Extract'!$W:$W,AJ$11)</f>
        <v>0</v>
      </c>
      <c r="AK94" s="105"/>
      <c r="AL94" s="829">
        <f>SUMIFS('9. Actuals SAP Extract'!$V:$V,'9. Actuals SAP Extract'!$P:$P,$C94,'9. Actuals SAP Extract'!$O:$O,$D94,'9. Actuals SAP Extract'!$W:$W,AL$11)</f>
        <v>0</v>
      </c>
      <c r="AM94" s="105"/>
      <c r="AN94" s="829">
        <f>SUMIFS('9. Actuals SAP Extract'!$V:$V,'9. Actuals SAP Extract'!$P:$P,$C94,'9. Actuals SAP Extract'!$O:$O,$D94,'9. Actuals SAP Extract'!$W:$W,AN$11)</f>
        <v>0</v>
      </c>
      <c r="AO94" s="105"/>
      <c r="AP94" s="133">
        <f>SUMIFS('9. Actuals SAP Extract'!$V:$V,'9. Actuals SAP Extract'!$P:$P,$C94,'9. Actuals SAP Extract'!$O:$O,$D94,'9. Actuals SAP Extract'!$W:$W,AP$11)</f>
        <v>0</v>
      </c>
      <c r="AQ94" s="105"/>
      <c r="AR94" s="133"/>
      <c r="AS94" s="105"/>
      <c r="AT94" s="133"/>
      <c r="AU94" s="105"/>
      <c r="AV94" s="133"/>
      <c r="AW94" s="105"/>
      <c r="AX94" s="133"/>
      <c r="AY94" s="105"/>
      <c r="AZ94" s="133"/>
      <c r="BA94" s="105"/>
      <c r="BB94" s="133"/>
      <c r="BC94" s="105"/>
      <c r="BD94" s="133"/>
    </row>
    <row r="95" spans="1:56" ht="26" hidden="1" x14ac:dyDescent="0.35">
      <c r="A95" s="304"/>
      <c r="B95" s="304" t="s">
        <v>653</v>
      </c>
      <c r="C95" s="304" t="s">
        <v>524</v>
      </c>
      <c r="D95" s="497">
        <v>5000057290</v>
      </c>
      <c r="E95" s="313"/>
      <c r="F95" s="255"/>
      <c r="G95" s="105"/>
      <c r="H95" s="810">
        <f>SUMIFS('9. Actuals SAP Extract'!$V:$V,'9. Actuals SAP Extract'!$P:$P,$C95,'9. Actuals SAP Extract'!$O:$O,$D95,'9. Actuals SAP Extract'!$W:$W,H$11)</f>
        <v>1818.84</v>
      </c>
      <c r="I95" s="109"/>
      <c r="J95" s="311">
        <f>SUMIFS('9. Actuals SAP Extract'!$V:$V,'9. Actuals SAP Extract'!$P:$P,$C95,'9. Actuals SAP Extract'!$O:$O,$D95,'9. Actuals SAP Extract'!$W:$W,J$11)</f>
        <v>5900.6000000000013</v>
      </c>
      <c r="K95" s="105"/>
      <c r="L95" s="311">
        <f>SUMIFS('9. Actuals SAP Extract'!$V:$V,'9. Actuals SAP Extract'!$P:$P,$C95,'9. Actuals SAP Extract'!$O:$O,$D95,'9. Actuals SAP Extract'!$W:$W,L$11)</f>
        <v>0</v>
      </c>
      <c r="M95" s="105"/>
      <c r="N95" s="311">
        <f>SUMIFS('9. Actuals SAP Extract'!$V:$V,'9. Actuals SAP Extract'!$P:$P,$C95,'9. Actuals SAP Extract'!$O:$O,$D95,'9. Actuals SAP Extract'!$W:$W,N$11)</f>
        <v>0</v>
      </c>
      <c r="O95" s="105"/>
      <c r="P95" s="311">
        <f>SUMIFS('9. Actuals SAP Extract'!$V:$V,'9. Actuals SAP Extract'!$P:$P,$C95,'9. Actuals SAP Extract'!$O:$O,$D95,'9. Actuals SAP Extract'!$W:$W,P$11)</f>
        <v>0</v>
      </c>
      <c r="Q95" s="105"/>
      <c r="R95" s="311">
        <f>SUMIFS('9. Actuals SAP Extract'!$V:$V,'9. Actuals SAP Extract'!$P:$P,$C95,'9. Actuals SAP Extract'!$O:$O,$D95,'9. Actuals SAP Extract'!$W:$W,R$11)</f>
        <v>0</v>
      </c>
      <c r="S95" s="105"/>
      <c r="T95" s="311">
        <f>SUMIFS('9. Actuals SAP Extract'!$V:$V,'9. Actuals SAP Extract'!$P:$P,$C95,'9. Actuals SAP Extract'!$O:$O,$D95,'9. Actuals SAP Extract'!$W:$W,T$11)</f>
        <v>0</v>
      </c>
      <c r="U95" s="105"/>
      <c r="V95" s="311">
        <f>SUMIFS('9. Actuals SAP Extract'!$V:$V,'9. Actuals SAP Extract'!$P:$P,$C95,'9. Actuals SAP Extract'!$O:$O,$D95,'9. Actuals SAP Extract'!$W:$W,V$11)</f>
        <v>0</v>
      </c>
      <c r="W95" s="105"/>
      <c r="X95" s="311">
        <f>SUMIFS('9. Actuals SAP Extract'!$V:$V,'9. Actuals SAP Extract'!$P:$P,$C95,'9. Actuals SAP Extract'!$O:$O,$D95,'9. Actuals SAP Extract'!$W:$W,X$11)</f>
        <v>0</v>
      </c>
      <c r="Y95" s="105"/>
      <c r="Z95" s="311">
        <f>SUMIFS('9. Actuals SAP Extract'!$V:$V,'9. Actuals SAP Extract'!$P:$P,$C95,'9. Actuals SAP Extract'!$O:$O,$D95,'9. Actuals SAP Extract'!$W:$W,Z$11)</f>
        <v>0</v>
      </c>
      <c r="AA95" s="105"/>
      <c r="AB95" s="311">
        <f>SUMIFS('9. Actuals SAP Extract'!$V:$V,'9. Actuals SAP Extract'!$P:$P,$C95,'9. Actuals SAP Extract'!$O:$O,$D95,'9. Actuals SAP Extract'!$W:$W,AB$11)</f>
        <v>0</v>
      </c>
      <c r="AC95" s="105"/>
      <c r="AD95" s="311">
        <f>SUMIFS('9. Actuals SAP Extract'!$V:$V,'9. Actuals SAP Extract'!$P:$P,$C95,'9. Actuals SAP Extract'!$O:$O,$D95,'9. Actuals SAP Extract'!$W:$W,AD$11)</f>
        <v>0</v>
      </c>
      <c r="AE95" s="615"/>
      <c r="AF95" s="829">
        <f>SUMIFS('9. Actuals SAP Extract'!$V:$V,'9. Actuals SAP Extract'!$P:$P,$C95,'9. Actuals SAP Extract'!$O:$O,$D95,'9. Actuals SAP Extract'!$W:$W,AF$11)</f>
        <v>0</v>
      </c>
      <c r="AG95" s="105"/>
      <c r="AH95" s="829">
        <f>SUMIFS('9. Actuals SAP Extract'!$V:$V,'9. Actuals SAP Extract'!$P:$P,$C95,'9. Actuals SAP Extract'!$O:$O,$D95,'9. Actuals SAP Extract'!$W:$W,AH$11)</f>
        <v>0</v>
      </c>
      <c r="AI95" s="105"/>
      <c r="AJ95" s="829">
        <f>SUMIFS('9. Actuals SAP Extract'!$V:$V,'9. Actuals SAP Extract'!$P:$P,$C95,'9. Actuals SAP Extract'!$O:$O,$D95,'9. Actuals SAP Extract'!$W:$W,AJ$11)</f>
        <v>0</v>
      </c>
      <c r="AK95" s="105"/>
      <c r="AL95" s="829">
        <f>SUMIFS('9. Actuals SAP Extract'!$V:$V,'9. Actuals SAP Extract'!$P:$P,$C95,'9. Actuals SAP Extract'!$O:$O,$D95,'9. Actuals SAP Extract'!$W:$W,AL$11)</f>
        <v>0</v>
      </c>
      <c r="AM95" s="105"/>
      <c r="AN95" s="829">
        <f>SUMIFS('9. Actuals SAP Extract'!$V:$V,'9. Actuals SAP Extract'!$P:$P,$C95,'9. Actuals SAP Extract'!$O:$O,$D95,'9. Actuals SAP Extract'!$W:$W,AN$11)</f>
        <v>0</v>
      </c>
      <c r="AO95" s="105"/>
      <c r="AP95" s="133">
        <f>SUMIFS('9. Actuals SAP Extract'!$V:$V,'9. Actuals SAP Extract'!$P:$P,$C95,'9. Actuals SAP Extract'!$O:$O,$D95,'9. Actuals SAP Extract'!$W:$W,AP$11)</f>
        <v>0</v>
      </c>
      <c r="AQ95" s="105"/>
      <c r="AR95" s="311"/>
      <c r="AS95" s="105"/>
      <c r="AT95" s="311"/>
      <c r="AU95" s="105"/>
      <c r="AV95" s="311"/>
      <c r="AW95" s="105"/>
      <c r="AX95" s="311"/>
      <c r="AY95" s="105"/>
      <c r="AZ95" s="311"/>
      <c r="BA95" s="105"/>
      <c r="BB95" s="311"/>
      <c r="BC95" s="105"/>
      <c r="BD95" s="311"/>
    </row>
    <row r="96" spans="1:56" x14ac:dyDescent="0.35">
      <c r="A96" s="902" t="s">
        <v>652</v>
      </c>
      <c r="B96" s="902" t="s">
        <v>445</v>
      </c>
      <c r="C96" s="902" t="s">
        <v>524</v>
      </c>
      <c r="D96" s="907">
        <v>7000001415</v>
      </c>
      <c r="E96" s="909">
        <v>788100</v>
      </c>
      <c r="F96" s="255"/>
      <c r="G96" s="105"/>
      <c r="H96" s="810">
        <f>SUMIFS('9. Actuals SAP Extract'!$V:$V,'9. Actuals SAP Extract'!$P:$P,$C96,'9. Actuals SAP Extract'!$O:$O,$D96,'9. Actuals SAP Extract'!$W:$W,H$11)</f>
        <v>0</v>
      </c>
      <c r="I96" s="109"/>
      <c r="J96" s="311">
        <f>SUMIFS('9. Actuals SAP Extract'!$V:$V,'9. Actuals SAP Extract'!$P:$P,$C96,'9. Actuals SAP Extract'!$O:$O,$D96,'9. Actuals SAP Extract'!$W:$W,J$11)</f>
        <v>0</v>
      </c>
      <c r="K96" s="105"/>
      <c r="L96" s="311">
        <f>SUMIFS('9. Actuals SAP Extract'!$V:$V,'9. Actuals SAP Extract'!$P:$P,$C96,'9. Actuals SAP Extract'!$O:$O,$D96,'9. Actuals SAP Extract'!$W:$W,L$11)</f>
        <v>0</v>
      </c>
      <c r="M96" s="105">
        <v>155892</v>
      </c>
      <c r="N96" s="591">
        <f>SUMIFS('9. Actuals SAP Extract'!$V:$V,'9. Actuals SAP Extract'!$P:$P,$C96,'9. Actuals SAP Extract'!$O:$O,$D96,'9. Actuals SAP Extract'!$W:$W,N$11)</f>
        <v>0</v>
      </c>
      <c r="O96" s="105">
        <v>146680</v>
      </c>
      <c r="P96" s="592">
        <v>163375</v>
      </c>
      <c r="Q96" s="105">
        <v>243246</v>
      </c>
      <c r="R96" s="311">
        <f>SUMIFS('9. Actuals SAP Extract'!$V:$V,'9. Actuals SAP Extract'!$P:$P,$C96,'9. Actuals SAP Extract'!$O:$O,$D96,'9. Actuals SAP Extract'!$W:$W,R$11)</f>
        <v>354675</v>
      </c>
      <c r="S96" s="105">
        <v>201977</v>
      </c>
      <c r="T96" s="311">
        <f>SUMIFS('9. Actuals SAP Extract'!$V:$V,'9. Actuals SAP Extract'!$P:$P,$C96,'9. Actuals SAP Extract'!$O:$O,$D96,'9. Actuals SAP Extract'!$W:$W,T$11)</f>
        <v>205195</v>
      </c>
      <c r="U96" s="105">
        <v>47704</v>
      </c>
      <c r="V96" s="311">
        <f>SUMIFS('9. Actuals SAP Extract'!$V:$V,'9. Actuals SAP Extract'!$P:$P,$C96,'9. Actuals SAP Extract'!$O:$O,$D96,'9. Actuals SAP Extract'!$W:$W,V$11)</f>
        <v>84704</v>
      </c>
      <c r="W96" s="105"/>
      <c r="X96" s="311">
        <f>SUMIFS('9. Actuals SAP Extract'!$V:$V,'9. Actuals SAP Extract'!$P:$P,$C96,'9. Actuals SAP Extract'!$O:$O,$D96,'9. Actuals SAP Extract'!$W:$W,X$11)</f>
        <v>-42000</v>
      </c>
      <c r="Y96" s="105">
        <f>147845+388435</f>
        <v>536280</v>
      </c>
      <c r="Z96" s="311">
        <v>536280</v>
      </c>
      <c r="AA96" s="105">
        <v>0</v>
      </c>
      <c r="AB96" s="792">
        <f>SUMIFS('9. Actuals SAP Extract'!$V:$V,'9. Actuals SAP Extract'!$P:$P,$C96,'9. Actuals SAP Extract'!$O:$O,$D96,'9. Actuals SAP Extract'!$W:$W,AB$11)</f>
        <v>601268</v>
      </c>
      <c r="AC96" s="105">
        <v>-372384</v>
      </c>
      <c r="AD96" s="792">
        <v>-360907</v>
      </c>
      <c r="AE96" s="615">
        <v>-11436</v>
      </c>
      <c r="AF96" s="829">
        <f>SUMIFS('9. Actuals SAP Extract'!$V:$V,'9. Actuals SAP Extract'!$P:$P,$C96,'9. Actuals SAP Extract'!$O:$O,$D96,'9. Actuals SAP Extract'!$W:$W,AF$11)</f>
        <v>-11436</v>
      </c>
      <c r="AG96" s="105">
        <v>-11436</v>
      </c>
      <c r="AH96" s="829">
        <f>SUMIFS('9. Actuals SAP Extract'!$V:$V,'9. Actuals SAP Extract'!$P:$P,$C96,'9. Actuals SAP Extract'!$O:$O,$D96,'9. Actuals SAP Extract'!$W:$W,AH$11)</f>
        <v>-11436</v>
      </c>
      <c r="AI96" s="105">
        <v>39336</v>
      </c>
      <c r="AJ96" s="867">
        <f>SUMIFS('9. Actuals SAP Extract'!$V:$V,'9. Actuals SAP Extract'!$P:$P,$C96,'9. Actuals SAP Extract'!$O:$O,$D96,'9. Actuals SAP Extract'!$W:$W,AJ$11)</f>
        <v>11436</v>
      </c>
      <c r="AK96" s="105"/>
      <c r="AL96" s="829">
        <f>SUMIFS('9. Actuals SAP Extract'!$V:$V,'9. Actuals SAP Extract'!$P:$P,$C96,'9. Actuals SAP Extract'!$O:$O,$D96,'9. Actuals SAP Extract'!$W:$W,AL$11)</f>
        <v>0</v>
      </c>
      <c r="AM96" s="105"/>
      <c r="AN96" s="867">
        <f>SUMIFS('9. Actuals SAP Extract'!$V:$V,'9. Actuals SAP Extract'!$P:$P,$C96,'9. Actuals SAP Extract'!$O:$O,$D96,'9. Actuals SAP Extract'!$W:$W,AN$11)</f>
        <v>0</v>
      </c>
      <c r="AO96" s="105"/>
      <c r="AP96" s="133">
        <f>SUMIFS('9. Actuals SAP Extract'!$V:$V,'9. Actuals SAP Extract'!$P:$P,$C96,'9. Actuals SAP Extract'!$O:$O,$D96,'9. Actuals SAP Extract'!$W:$W,AP$11)</f>
        <v>-70570</v>
      </c>
      <c r="AQ96" s="105"/>
      <c r="AR96" s="311"/>
      <c r="AS96" s="105"/>
      <c r="AT96" s="311"/>
      <c r="AU96" s="105"/>
      <c r="AV96" s="311"/>
      <c r="AW96" s="105"/>
      <c r="AX96" s="311"/>
      <c r="AY96" s="105"/>
      <c r="AZ96" s="311"/>
      <c r="BA96" s="105"/>
      <c r="BB96" s="311"/>
      <c r="BC96" s="105"/>
      <c r="BD96" s="311"/>
    </row>
    <row r="97" spans="1:56" x14ac:dyDescent="0.35">
      <c r="A97" s="902" t="s">
        <v>652</v>
      </c>
      <c r="B97" s="902" t="s">
        <v>445</v>
      </c>
      <c r="C97" s="902" t="s">
        <v>524</v>
      </c>
      <c r="D97" s="907">
        <v>5000058992</v>
      </c>
      <c r="E97" s="909">
        <v>788100</v>
      </c>
      <c r="F97" s="255"/>
      <c r="G97" s="105"/>
      <c r="H97" s="810">
        <f>SUMIFS('9. Actuals SAP Extract'!$V:$V,'9. Actuals SAP Extract'!$P:$P,$C97,'9. Actuals SAP Extract'!$O:$O,$D97,'9. Actuals SAP Extract'!$W:$W,H$11)</f>
        <v>50020</v>
      </c>
      <c r="I97" s="109"/>
      <c r="J97" s="311">
        <f>SUMIFS('9. Actuals SAP Extract'!$V:$V,'9. Actuals SAP Extract'!$P:$P,$C97,'9. Actuals SAP Extract'!$O:$O,$D97,'9. Actuals SAP Extract'!$W:$W,J$11)</f>
        <v>16730</v>
      </c>
      <c r="K97" s="105"/>
      <c r="L97" s="311">
        <f>SUMIFS('9. Actuals SAP Extract'!$V:$V,'9. Actuals SAP Extract'!$P:$P,$C97,'9. Actuals SAP Extract'!$O:$O,$D97,'9. Actuals SAP Extract'!$W:$W,L$11)</f>
        <v>11550</v>
      </c>
      <c r="M97" s="105">
        <v>155892</v>
      </c>
      <c r="N97" s="591">
        <f>SUMIFS('9. Actuals SAP Extract'!$V:$V,'9. Actuals SAP Extract'!$P:$P,$C97,'9. Actuals SAP Extract'!$O:$O,$D97,'9. Actuals SAP Extract'!$W:$W,N$11)</f>
        <v>167877</v>
      </c>
      <c r="O97" s="105">
        <v>146680</v>
      </c>
      <c r="P97" s="592">
        <v>163375</v>
      </c>
      <c r="Q97" s="105">
        <v>243246</v>
      </c>
      <c r="R97" s="311">
        <f>SUMIFS('9. Actuals SAP Extract'!$V:$V,'9. Actuals SAP Extract'!$P:$P,$C97,'9. Actuals SAP Extract'!$O:$O,$D97,'9. Actuals SAP Extract'!$W:$W,R$11)</f>
        <v>-332017</v>
      </c>
      <c r="S97" s="105"/>
      <c r="T97" s="311">
        <f>SUMIFS('9. Actuals SAP Extract'!$V:$V,'9. Actuals SAP Extract'!$P:$P,$C97,'9. Actuals SAP Extract'!$O:$O,$D97,'9. Actuals SAP Extract'!$W:$W,T$11)</f>
        <v>0</v>
      </c>
      <c r="U97" s="105"/>
      <c r="V97" s="311">
        <f>SUMIFS('9. Actuals SAP Extract'!$V:$V,'9. Actuals SAP Extract'!$P:$P,$C97,'9. Actuals SAP Extract'!$O:$O,$D97,'9. Actuals SAP Extract'!$W:$W,V$11)</f>
        <v>0</v>
      </c>
      <c r="W97" s="105"/>
      <c r="X97" s="311">
        <f>SUMIFS('9. Actuals SAP Extract'!$V:$V,'9. Actuals SAP Extract'!$P:$P,$C97,'9. Actuals SAP Extract'!$O:$O,$D97,'9. Actuals SAP Extract'!$W:$W,X$11)</f>
        <v>0</v>
      </c>
      <c r="Y97" s="105"/>
      <c r="Z97" s="311">
        <f>SUMIFS('9. Actuals SAP Extract'!$V:$V,'9. Actuals SAP Extract'!$P:$P,$C97,'9. Actuals SAP Extract'!$O:$O,$D97,'9. Actuals SAP Extract'!$W:$W,Z$11)</f>
        <v>0</v>
      </c>
      <c r="AA97" s="105"/>
      <c r="AB97" s="311">
        <f>SUMIFS('9. Actuals SAP Extract'!$V:$V,'9. Actuals SAP Extract'!$P:$P,$C97,'9. Actuals SAP Extract'!$O:$O,$D97,'9. Actuals SAP Extract'!$W:$W,AB$11)</f>
        <v>0</v>
      </c>
      <c r="AC97" s="105"/>
      <c r="AD97" s="311">
        <f>SUMIFS('9. Actuals SAP Extract'!$V:$V,'9. Actuals SAP Extract'!$P:$P,$C97,'9. Actuals SAP Extract'!$O:$O,$D97,'9. Actuals SAP Extract'!$W:$W,AD$11)</f>
        <v>0</v>
      </c>
      <c r="AE97" s="615"/>
      <c r="AF97" s="829">
        <f>SUMIFS('9. Actuals SAP Extract'!$V:$V,'9. Actuals SAP Extract'!$P:$P,$C97,'9. Actuals SAP Extract'!$O:$O,$D97,'9. Actuals SAP Extract'!$W:$W,AF$11)</f>
        <v>0</v>
      </c>
      <c r="AG97" s="105"/>
      <c r="AH97" s="829">
        <f>SUMIFS('9. Actuals SAP Extract'!$V:$V,'9. Actuals SAP Extract'!$P:$P,$C97,'9. Actuals SAP Extract'!$O:$O,$D97,'9. Actuals SAP Extract'!$W:$W,AH$11)</f>
        <v>0</v>
      </c>
      <c r="AI97" s="105"/>
      <c r="AJ97" s="829">
        <f>SUMIFS('9. Actuals SAP Extract'!$V:$V,'9. Actuals SAP Extract'!$P:$P,$C97,'9. Actuals SAP Extract'!$O:$O,$D97,'9. Actuals SAP Extract'!$W:$W,AJ$11)</f>
        <v>0</v>
      </c>
      <c r="AK97" s="105"/>
      <c r="AL97" s="829">
        <f>SUMIFS('9. Actuals SAP Extract'!$V:$V,'9. Actuals SAP Extract'!$P:$P,$C97,'9. Actuals SAP Extract'!$O:$O,$D97,'9. Actuals SAP Extract'!$W:$W,AL$11)</f>
        <v>0</v>
      </c>
      <c r="AM97" s="105"/>
      <c r="AN97" s="829">
        <f>SUMIFS('9. Actuals SAP Extract'!$V:$V,'9. Actuals SAP Extract'!$P:$P,$C97,'9. Actuals SAP Extract'!$O:$O,$D97,'9. Actuals SAP Extract'!$W:$W,AN$11)</f>
        <v>0</v>
      </c>
      <c r="AO97" s="105"/>
      <c r="AP97" s="133">
        <f>SUMIFS('9. Actuals SAP Extract'!$V:$V,'9. Actuals SAP Extract'!$P:$P,$C97,'9. Actuals SAP Extract'!$O:$O,$D97,'9. Actuals SAP Extract'!$W:$W,AP$11)</f>
        <v>0</v>
      </c>
      <c r="AQ97" s="105"/>
      <c r="AR97" s="311"/>
      <c r="AS97" s="105"/>
      <c r="AT97" s="311"/>
      <c r="AU97" s="105"/>
      <c r="AV97" s="311"/>
      <c r="AW97" s="105"/>
      <c r="AX97" s="311"/>
      <c r="AY97" s="105"/>
      <c r="AZ97" s="311"/>
      <c r="BA97" s="105"/>
      <c r="BB97" s="311"/>
      <c r="BC97" s="105"/>
      <c r="BD97" s="311"/>
    </row>
    <row r="98" spans="1:56" ht="26" x14ac:dyDescent="0.35">
      <c r="A98" s="899" t="s">
        <v>668</v>
      </c>
      <c r="B98" s="899" t="s">
        <v>646</v>
      </c>
      <c r="C98" s="899" t="s">
        <v>524</v>
      </c>
      <c r="D98" s="905">
        <v>7000001237</v>
      </c>
      <c r="E98" s="910"/>
      <c r="F98" s="255"/>
      <c r="G98" s="105"/>
      <c r="H98" s="810">
        <f>SUMIFS('9. Actuals SAP Extract'!$V:$V,'9. Actuals SAP Extract'!$P:$P,$C98,'9. Actuals SAP Extract'!$O:$O,$D98,'9. Actuals SAP Extract'!$W:$W,H$11)</f>
        <v>0</v>
      </c>
      <c r="I98" s="109"/>
      <c r="J98" s="311">
        <f>SUMIFS('9. Actuals SAP Extract'!$V:$V,'9. Actuals SAP Extract'!$P:$P,$C98,'9. Actuals SAP Extract'!$O:$O,$D98,'9. Actuals SAP Extract'!$W:$W,J$11)</f>
        <v>0</v>
      </c>
      <c r="K98" s="105"/>
      <c r="L98" s="311">
        <f>SUMIFS('9. Actuals SAP Extract'!$V:$V,'9. Actuals SAP Extract'!$P:$P,$C98,'9. Actuals SAP Extract'!$O:$O,$D98,'9. Actuals SAP Extract'!$W:$W,L$11)</f>
        <v>0</v>
      </c>
      <c r="M98" s="105"/>
      <c r="N98" s="591">
        <f>SUMIFS('9. Actuals SAP Extract'!$V:$V,'9. Actuals SAP Extract'!$P:$P,$C98,'9. Actuals SAP Extract'!$O:$O,$D98,'9. Actuals SAP Extract'!$W:$W,N$11)</f>
        <v>0</v>
      </c>
      <c r="O98" s="105">
        <v>10277</v>
      </c>
      <c r="P98" s="592">
        <v>659.4</v>
      </c>
      <c r="Q98" s="105">
        <v>3500</v>
      </c>
      <c r="R98" s="311">
        <f>SUMIFS('9. Actuals SAP Extract'!$V:$V,'9. Actuals SAP Extract'!$P:$P,$C98,'9. Actuals SAP Extract'!$O:$O,$D98,'9. Actuals SAP Extract'!$W:$W,R$11)</f>
        <v>7580.6</v>
      </c>
      <c r="S98" s="105">
        <v>3500</v>
      </c>
      <c r="T98" s="311">
        <f>SUMIFS('9. Actuals SAP Extract'!$V:$V,'9. Actuals SAP Extract'!$P:$P,$C98,'9. Actuals SAP Extract'!$O:$O,$D98,'9. Actuals SAP Extract'!$W:$W,T$11)</f>
        <v>-2142.1999999999998</v>
      </c>
      <c r="U98" s="105">
        <v>3500</v>
      </c>
      <c r="V98" s="311">
        <f>SUMIFS('9. Actuals SAP Extract'!$V:$V,'9. Actuals SAP Extract'!$P:$P,$C98,'9. Actuals SAP Extract'!$O:$O,$D98,'9. Actuals SAP Extract'!$W:$W,V$11)</f>
        <v>329.6</v>
      </c>
      <c r="W98" s="105"/>
      <c r="X98" s="311">
        <f>SUMIFS('9. Actuals SAP Extract'!$V:$V,'9. Actuals SAP Extract'!$P:$P,$C98,'9. Actuals SAP Extract'!$O:$O,$D98,'9. Actuals SAP Extract'!$W:$W,X$11)</f>
        <v>494.4</v>
      </c>
      <c r="Y98" s="105"/>
      <c r="Z98" s="311">
        <f>SUMIFS('9. Actuals SAP Extract'!$V:$V,'9. Actuals SAP Extract'!$P:$P,$C98,'9. Actuals SAP Extract'!$O:$O,$D98,'9. Actuals SAP Extract'!$W:$W,Z$11)</f>
        <v>0</v>
      </c>
      <c r="AA98" s="105"/>
      <c r="AB98" s="792">
        <f>SUMIFS('9. Actuals SAP Extract'!$V:$V,'9. Actuals SAP Extract'!$P:$P,$C98,'9. Actuals SAP Extract'!$O:$O,$D98,'9. Actuals SAP Extract'!$W:$W,AB$11)</f>
        <v>824</v>
      </c>
      <c r="AC98" s="105"/>
      <c r="AD98" s="311">
        <f>SUMIFS('9. Actuals SAP Extract'!$V:$V,'9. Actuals SAP Extract'!$P:$P,$C98,'9. Actuals SAP Extract'!$O:$O,$D98,'9. Actuals SAP Extract'!$W:$W,AD$11)</f>
        <v>0</v>
      </c>
      <c r="AE98" s="615"/>
      <c r="AF98" s="829">
        <f>SUMIFS('9. Actuals SAP Extract'!$V:$V,'9. Actuals SAP Extract'!$P:$P,$C98,'9. Actuals SAP Extract'!$O:$O,$D98,'9. Actuals SAP Extract'!$W:$W,AF$11)</f>
        <v>3296</v>
      </c>
      <c r="AG98" s="105">
        <v>1689</v>
      </c>
      <c r="AH98" s="829">
        <f>SUMIFS('9. Actuals SAP Extract'!$V:$V,'9. Actuals SAP Extract'!$P:$P,$C98,'9. Actuals SAP Extract'!$O:$O,$D98,'9. Actuals SAP Extract'!$W:$W,AH$11)</f>
        <v>0</v>
      </c>
      <c r="AI98" s="105">
        <v>1689</v>
      </c>
      <c r="AJ98" s="829">
        <f>SUMIFS('9. Actuals SAP Extract'!$V:$V,'9. Actuals SAP Extract'!$P:$P,$C98,'9. Actuals SAP Extract'!$O:$O,$D98,'9. Actuals SAP Extract'!$W:$W,AJ$11)</f>
        <v>0</v>
      </c>
      <c r="AK98" s="105">
        <v>0</v>
      </c>
      <c r="AL98" s="829">
        <f>SUMIFS('9. Actuals SAP Extract'!$V:$V,'9. Actuals SAP Extract'!$P:$P,$C98,'9. Actuals SAP Extract'!$O:$O,$D98,'9. Actuals SAP Extract'!$W:$W,AL$11)</f>
        <v>0</v>
      </c>
      <c r="AM98" s="105"/>
      <c r="AN98" s="829">
        <f>SUMIFS('9. Actuals SAP Extract'!$V:$V,'9. Actuals SAP Extract'!$P:$P,$C98,'9. Actuals SAP Extract'!$O:$O,$D98,'9. Actuals SAP Extract'!$W:$W,AN$11)</f>
        <v>0</v>
      </c>
      <c r="AO98" s="105"/>
      <c r="AP98" s="133">
        <f>SUMIFS('9. Actuals SAP Extract'!$V:$V,'9. Actuals SAP Extract'!$P:$P,$C98,'9. Actuals SAP Extract'!$O:$O,$D98,'9. Actuals SAP Extract'!$W:$W,AP$11)</f>
        <v>0</v>
      </c>
      <c r="AQ98" s="105"/>
      <c r="AR98" s="133"/>
      <c r="AS98" s="105"/>
      <c r="AT98" s="133"/>
      <c r="AU98" s="105"/>
      <c r="AV98" s="133"/>
      <c r="AW98" s="105"/>
      <c r="AX98" s="133"/>
      <c r="AY98" s="105"/>
      <c r="AZ98" s="133"/>
      <c r="BA98" s="105"/>
      <c r="BB98" s="133"/>
      <c r="BC98" s="105">
        <v>1689</v>
      </c>
      <c r="BD98" s="133"/>
    </row>
    <row r="99" spans="1:56" s="845" customFormat="1" ht="26" x14ac:dyDescent="0.35">
      <c r="A99" s="899" t="s">
        <v>668</v>
      </c>
      <c r="B99" s="899" t="s">
        <v>646</v>
      </c>
      <c r="C99" s="899" t="s">
        <v>524</v>
      </c>
      <c r="D99" s="905">
        <v>5000060399</v>
      </c>
      <c r="E99" s="910"/>
      <c r="F99" s="255"/>
      <c r="G99" s="105"/>
      <c r="H99" s="810"/>
      <c r="I99" s="109"/>
      <c r="J99" s="311"/>
      <c r="K99" s="105"/>
      <c r="L99" s="311"/>
      <c r="M99" s="105"/>
      <c r="N99" s="591"/>
      <c r="O99" s="105"/>
      <c r="P99" s="592"/>
      <c r="Q99" s="105"/>
      <c r="R99" s="311"/>
      <c r="S99" s="105"/>
      <c r="T99" s="311"/>
      <c r="U99" s="105"/>
      <c r="V99" s="311"/>
      <c r="W99" s="105"/>
      <c r="X99" s="311"/>
      <c r="Y99" s="105"/>
      <c r="Z99" s="311"/>
      <c r="AA99" s="105"/>
      <c r="AB99" s="792"/>
      <c r="AC99" s="105"/>
      <c r="AD99" s="311"/>
      <c r="AE99" s="615"/>
      <c r="AF99" s="829"/>
      <c r="AG99" s="105"/>
      <c r="AH99" s="829"/>
      <c r="AI99" s="105"/>
      <c r="AJ99" s="829"/>
      <c r="AK99" s="105"/>
      <c r="AL99" s="829"/>
      <c r="AM99" s="105"/>
      <c r="AN99" s="829">
        <f>SUMIFS('9. Actuals SAP Extract'!$V:$V,'9. Actuals SAP Extract'!$P:$P,$C99,'9. Actuals SAP Extract'!$O:$O,$D99,'9. Actuals SAP Extract'!$W:$W,AN$11)</f>
        <v>0</v>
      </c>
      <c r="AO99" s="105"/>
      <c r="AP99" s="133">
        <f>SUMIFS('9. Actuals SAP Extract'!$V:$V,'9. Actuals SAP Extract'!$P:$P,$C99,'9. Actuals SAP Extract'!$O:$O,$D99,'9. Actuals SAP Extract'!$W:$W,AP$11)</f>
        <v>0</v>
      </c>
      <c r="AQ99" s="105"/>
      <c r="AR99" s="311"/>
      <c r="AS99" s="105"/>
      <c r="AT99" s="311"/>
      <c r="AU99" s="105"/>
      <c r="AV99" s="311"/>
      <c r="AW99" s="105"/>
      <c r="AX99" s="311"/>
      <c r="AY99" s="105"/>
      <c r="AZ99" s="311"/>
      <c r="BA99" s="105"/>
      <c r="BB99" s="311"/>
      <c r="BC99" s="105"/>
      <c r="BD99" s="311"/>
    </row>
    <row r="100" spans="1:56" ht="26" x14ac:dyDescent="0.35">
      <c r="A100" s="899" t="s">
        <v>668</v>
      </c>
      <c r="B100" s="899" t="s">
        <v>646</v>
      </c>
      <c r="C100" s="899" t="s">
        <v>524</v>
      </c>
      <c r="D100" s="905">
        <v>7000002343</v>
      </c>
      <c r="E100" s="910"/>
      <c r="F100" s="255"/>
      <c r="G100" s="105"/>
      <c r="H100" s="810">
        <f>SUMIFS('9. Actuals SAP Extract'!$V:$V,'9. Actuals SAP Extract'!$P:$P,$C100,'9. Actuals SAP Extract'!$O:$O,$D100,'9. Actuals SAP Extract'!$W:$W,H$11)</f>
        <v>0</v>
      </c>
      <c r="I100" s="109"/>
      <c r="J100" s="311">
        <f>SUMIFS('9. Actuals SAP Extract'!$V:$V,'9. Actuals SAP Extract'!$P:$P,$C100,'9. Actuals SAP Extract'!$O:$O,$D100,'9. Actuals SAP Extract'!$W:$W,J$11)</f>
        <v>0</v>
      </c>
      <c r="K100" s="105"/>
      <c r="L100" s="311">
        <f>SUMIFS('9. Actuals SAP Extract'!$V:$V,'9. Actuals SAP Extract'!$P:$P,$C100,'9. Actuals SAP Extract'!$O:$O,$D100,'9. Actuals SAP Extract'!$W:$W,L$11)</f>
        <v>0</v>
      </c>
      <c r="M100" s="105"/>
      <c r="N100" s="591">
        <f>SUMIFS('9. Actuals SAP Extract'!$V:$V,'9. Actuals SAP Extract'!$P:$P,$C100,'9. Actuals SAP Extract'!$O:$O,$D100,'9. Actuals SAP Extract'!$W:$W,N$11)</f>
        <v>0</v>
      </c>
      <c r="O100" s="105">
        <v>10277</v>
      </c>
      <c r="P100" s="592">
        <v>659.4</v>
      </c>
      <c r="Q100" s="105">
        <v>3500</v>
      </c>
      <c r="R100" s="311">
        <f>SUMIFS('9. Actuals SAP Extract'!$V:$V,'9. Actuals SAP Extract'!$P:$P,$C100,'9. Actuals SAP Extract'!$O:$O,$D100,'9. Actuals SAP Extract'!$W:$W,R$11)</f>
        <v>0</v>
      </c>
      <c r="S100" s="105"/>
      <c r="T100" s="311">
        <f>SUMIFS('9. Actuals SAP Extract'!$V:$V,'9. Actuals SAP Extract'!$P:$P,$C100,'9. Actuals SAP Extract'!$O:$O,$D100,'9. Actuals SAP Extract'!$W:$W,T$11)</f>
        <v>0</v>
      </c>
      <c r="U100" s="105"/>
      <c r="V100" s="311">
        <f>SUMIFS('9. Actuals SAP Extract'!$V:$V,'9. Actuals SAP Extract'!$P:$P,$C100,'9. Actuals SAP Extract'!$O:$O,$D100,'9. Actuals SAP Extract'!$W:$W,V$11)</f>
        <v>0</v>
      </c>
      <c r="W100" s="105"/>
      <c r="X100" s="311">
        <f>SUMIFS('9. Actuals SAP Extract'!$V:$V,'9. Actuals SAP Extract'!$P:$P,$C100,'9. Actuals SAP Extract'!$O:$O,$D100,'9. Actuals SAP Extract'!$W:$W,X$11)</f>
        <v>0</v>
      </c>
      <c r="Y100" s="105"/>
      <c r="Z100" s="311">
        <f>SUMIFS('9. Actuals SAP Extract'!$V:$V,'9. Actuals SAP Extract'!$P:$P,$C100,'9. Actuals SAP Extract'!$O:$O,$D100,'9. Actuals SAP Extract'!$W:$W,Z$11)</f>
        <v>0</v>
      </c>
      <c r="AA100" s="105"/>
      <c r="AB100" s="311">
        <f>SUMIFS('9. Actuals SAP Extract'!$V:$V,'9. Actuals SAP Extract'!$P:$P,$C100,'9. Actuals SAP Extract'!$O:$O,$D100,'9. Actuals SAP Extract'!$W:$W,AB$11)</f>
        <v>0</v>
      </c>
      <c r="AC100" s="105"/>
      <c r="AD100" s="311">
        <f>SUMIFS('9. Actuals SAP Extract'!$V:$V,'9. Actuals SAP Extract'!$P:$P,$C100,'9. Actuals SAP Extract'!$O:$O,$D100,'9. Actuals SAP Extract'!$W:$W,AD$11)</f>
        <v>0</v>
      </c>
      <c r="AE100" s="615"/>
      <c r="AF100" s="829">
        <f>SUMIFS('9. Actuals SAP Extract'!$V:$V,'9. Actuals SAP Extract'!$P:$P,$C100,'9. Actuals SAP Extract'!$O:$O,$D100,'9. Actuals SAP Extract'!$W:$W,AF$11)</f>
        <v>0</v>
      </c>
      <c r="AG100" s="105"/>
      <c r="AH100" s="829">
        <f>SUMIFS('9. Actuals SAP Extract'!$V:$V,'9. Actuals SAP Extract'!$P:$P,$C100,'9. Actuals SAP Extract'!$O:$O,$D100,'9. Actuals SAP Extract'!$W:$W,AH$11)</f>
        <v>0</v>
      </c>
      <c r="AI100" s="105"/>
      <c r="AJ100" s="829">
        <f>SUMIFS('9. Actuals SAP Extract'!$V:$V,'9. Actuals SAP Extract'!$P:$P,$C100,'9. Actuals SAP Extract'!$O:$O,$D100,'9. Actuals SAP Extract'!$W:$W,AJ$11)</f>
        <v>0</v>
      </c>
      <c r="AK100" s="105">
        <v>2037</v>
      </c>
      <c r="AL100" s="929">
        <f>SUMIFS('9. Actuals SAP Extract'!$V:$V,'9. Actuals SAP Extract'!$P:$P,$C100,'9. Actuals SAP Extract'!$O:$O,$D100,'9. Actuals SAP Extract'!$W:$W,AL$11)</f>
        <v>2715.84</v>
      </c>
      <c r="AM100" s="105"/>
      <c r="AN100" s="829">
        <f>SUMIFS('9. Actuals SAP Extract'!$V:$V,'9. Actuals SAP Extract'!$P:$P,$C100,'9. Actuals SAP Extract'!$O:$O,$D100,'9. Actuals SAP Extract'!$W:$W,AN$11)</f>
        <v>0</v>
      </c>
      <c r="AO100" s="105"/>
      <c r="AP100" s="133">
        <f>SUMIFS('9. Actuals SAP Extract'!$V:$V,'9. Actuals SAP Extract'!$P:$P,$C100,'9. Actuals SAP Extract'!$O:$O,$D100,'9. Actuals SAP Extract'!$W:$W,AP$11)</f>
        <v>0</v>
      </c>
      <c r="AQ100" s="105"/>
      <c r="AR100" s="133"/>
      <c r="AS100" s="105"/>
      <c r="AT100" s="133"/>
      <c r="AU100" s="105"/>
      <c r="AV100" s="133"/>
      <c r="AW100" s="105"/>
      <c r="AX100" s="133"/>
      <c r="AY100" s="105"/>
      <c r="AZ100" s="133"/>
      <c r="BA100" s="105"/>
      <c r="BB100" s="133"/>
      <c r="BC100" s="105"/>
      <c r="BD100" s="133"/>
    </row>
    <row r="101" spans="1:56" s="845" customFormat="1" ht="26" x14ac:dyDescent="0.35">
      <c r="A101" s="902" t="s">
        <v>685</v>
      </c>
      <c r="B101" s="902" t="s">
        <v>653</v>
      </c>
      <c r="C101" s="902" t="s">
        <v>524</v>
      </c>
      <c r="D101" s="907">
        <v>7000002439</v>
      </c>
      <c r="E101" s="911"/>
      <c r="F101" s="255"/>
      <c r="G101" s="105"/>
      <c r="H101" s="810"/>
      <c r="I101" s="109"/>
      <c r="J101" s="311"/>
      <c r="K101" s="105"/>
      <c r="L101" s="311"/>
      <c r="M101" s="105"/>
      <c r="N101" s="591"/>
      <c r="O101" s="105"/>
      <c r="P101" s="592"/>
      <c r="Q101" s="105"/>
      <c r="R101" s="311"/>
      <c r="S101" s="105"/>
      <c r="T101" s="311"/>
      <c r="U101" s="105"/>
      <c r="V101" s="311"/>
      <c r="W101" s="105"/>
      <c r="X101" s="311"/>
      <c r="Y101" s="105"/>
      <c r="Z101" s="311"/>
      <c r="AA101" s="105"/>
      <c r="AB101" s="311"/>
      <c r="AC101" s="105"/>
      <c r="AD101" s="311"/>
      <c r="AE101" s="615"/>
      <c r="AF101" s="829"/>
      <c r="AG101" s="105"/>
      <c r="AH101" s="829"/>
      <c r="AI101" s="105"/>
      <c r="AJ101" s="829"/>
      <c r="AK101" s="105"/>
      <c r="AL101" s="929">
        <f>SUMIFS('9. Actuals SAP Extract'!$V:$V,'9. Actuals SAP Extract'!$P:$P,$C101,'9. Actuals SAP Extract'!$O:$O,$D101,'9. Actuals SAP Extract'!$W:$W,AL$11)</f>
        <v>10061.470000000001</v>
      </c>
      <c r="AM101" s="105"/>
      <c r="AN101" s="829">
        <f>SUMIFS('9. Actuals SAP Extract'!$V:$V,'9. Actuals SAP Extract'!$P:$P,$C101,'9. Actuals SAP Extract'!$O:$O,$D101,'9. Actuals SAP Extract'!$W:$W,AN$11)</f>
        <v>5600.22</v>
      </c>
      <c r="AO101" s="105">
        <v>4703</v>
      </c>
      <c r="AP101" s="133">
        <f>SUMIFS('9. Actuals SAP Extract'!$V:$V,'9. Actuals SAP Extract'!$P:$P,$C101,'9. Actuals SAP Extract'!$O:$O,$D101,'9. Actuals SAP Extract'!$W:$W,AP$11)</f>
        <v>0</v>
      </c>
      <c r="AQ101" s="105">
        <v>4703</v>
      </c>
      <c r="AR101" s="311"/>
      <c r="AS101" s="105">
        <v>4703</v>
      </c>
      <c r="AT101" s="311"/>
      <c r="AU101" s="105">
        <v>4703</v>
      </c>
      <c r="AV101" s="311"/>
      <c r="AW101" s="105">
        <v>4703</v>
      </c>
      <c r="AX101" s="311"/>
      <c r="AY101" s="105">
        <v>4703</v>
      </c>
      <c r="AZ101" s="311"/>
      <c r="BA101" s="105">
        <v>4703</v>
      </c>
      <c r="BB101" s="311"/>
      <c r="BC101" s="105">
        <v>4703</v>
      </c>
      <c r="BD101" s="311"/>
    </row>
    <row r="102" spans="1:56" ht="26" x14ac:dyDescent="0.35">
      <c r="A102" s="902" t="s">
        <v>685</v>
      </c>
      <c r="B102" s="902" t="s">
        <v>653</v>
      </c>
      <c r="C102" s="902" t="s">
        <v>524</v>
      </c>
      <c r="D102" s="907">
        <v>7000001527</v>
      </c>
      <c r="E102" s="911"/>
      <c r="F102" s="255"/>
      <c r="G102" s="105"/>
      <c r="H102" s="810"/>
      <c r="I102" s="109"/>
      <c r="J102" s="311"/>
      <c r="K102" s="105"/>
      <c r="L102" s="311"/>
      <c r="M102" s="105"/>
      <c r="N102" s="591"/>
      <c r="O102" s="105"/>
      <c r="P102" s="592"/>
      <c r="Q102" s="105"/>
      <c r="R102" s="311">
        <f>SUMIFS('9. Actuals SAP Extract'!$V:$V,'9. Actuals SAP Extract'!$P:$P,$C102,'9. Actuals SAP Extract'!$O:$O,$D102,'9. Actuals SAP Extract'!$W:$W,R$11)</f>
        <v>8897.44</v>
      </c>
      <c r="S102" s="105"/>
      <c r="T102" s="311">
        <f>SUMIFS('9. Actuals SAP Extract'!$V:$V,'9. Actuals SAP Extract'!$P:$P,$C102,'9. Actuals SAP Extract'!$O:$O,$D102,'9. Actuals SAP Extract'!$W:$W,T$11)</f>
        <v>419.73</v>
      </c>
      <c r="U102" s="105"/>
      <c r="V102" s="311">
        <f>SUMIFS('9. Actuals SAP Extract'!$V:$V,'9. Actuals SAP Extract'!$P:$P,$C102,'9. Actuals SAP Extract'!$O:$O,$D102,'9. Actuals SAP Extract'!$W:$W,V$11)</f>
        <v>2000</v>
      </c>
      <c r="W102" s="105"/>
      <c r="X102" s="311">
        <f>SUMIFS('9. Actuals SAP Extract'!$V:$V,'9. Actuals SAP Extract'!$P:$P,$C102,'9. Actuals SAP Extract'!$O:$O,$D102,'9. Actuals SAP Extract'!$W:$W,X$11)</f>
        <v>15793.099999999999</v>
      </c>
      <c r="Y102" s="105">
        <v>5931</v>
      </c>
      <c r="Z102" s="311">
        <f>SUMIFS('9. Actuals SAP Extract'!$V:$V,'9. Actuals SAP Extract'!$P:$P,$C102,'9. Actuals SAP Extract'!$O:$O,$D102,'9. Actuals SAP Extract'!$W:$W,Z$11)</f>
        <v>5931</v>
      </c>
      <c r="AA102" s="105">
        <v>5931</v>
      </c>
      <c r="AB102" s="792">
        <f>SUMIFS('9. Actuals SAP Extract'!$V:$V,'9. Actuals SAP Extract'!$P:$P,$C102,'9. Actuals SAP Extract'!$O:$O,$D102,'9. Actuals SAP Extract'!$W:$W,AB$11)</f>
        <v>5931</v>
      </c>
      <c r="AC102" s="105">
        <v>5931</v>
      </c>
      <c r="AD102" s="792">
        <f>SUMIFS('9. Actuals SAP Extract'!$V:$V,'9. Actuals SAP Extract'!$P:$P,$C102,'9. Actuals SAP Extract'!$O:$O,$D102,'9. Actuals SAP Extract'!$W:$W,AD$11)</f>
        <v>9426.66</v>
      </c>
      <c r="AE102" s="615">
        <v>5931</v>
      </c>
      <c r="AF102" s="829">
        <f>SUMIFS('9. Actuals SAP Extract'!$V:$V,'9. Actuals SAP Extract'!$P:$P,$C102,'9. Actuals SAP Extract'!$O:$O,$D102,'9. Actuals SAP Extract'!$W:$W,AF$11)</f>
        <v>-4845</v>
      </c>
      <c r="AG102" s="105"/>
      <c r="AH102" s="829">
        <f>SUMIFS('9. Actuals SAP Extract'!$V:$V,'9. Actuals SAP Extract'!$P:$P,$C102,'9. Actuals SAP Extract'!$O:$O,$D102,'9. Actuals SAP Extract'!$W:$W,AH$11)</f>
        <v>4935.71</v>
      </c>
      <c r="AI102" s="105">
        <v>4703</v>
      </c>
      <c r="AJ102" s="867">
        <f>SUMIFS('9. Actuals SAP Extract'!$V:$V,'9. Actuals SAP Extract'!$P:$P,$C102,'9. Actuals SAP Extract'!$O:$O,$D102,'9. Actuals SAP Extract'!$W:$W,AJ$11)</f>
        <v>4703</v>
      </c>
      <c r="AK102" s="105">
        <v>4703</v>
      </c>
      <c r="AL102" s="929">
        <f>SUMIFS('9. Actuals SAP Extract'!$V:$V,'9. Actuals SAP Extract'!$P:$P,$C102,'9. Actuals SAP Extract'!$O:$O,$D102,'9. Actuals SAP Extract'!$W:$W,AL$11)</f>
        <v>-2752</v>
      </c>
      <c r="AM102" s="105">
        <v>4703</v>
      </c>
      <c r="AN102" s="867">
        <f>SUMIFS('9. Actuals SAP Extract'!$V:$V,'9. Actuals SAP Extract'!$P:$P,$C102,'9. Actuals SAP Extract'!$O:$O,$D102,'9. Actuals SAP Extract'!$W:$W,AN$11)</f>
        <v>2752</v>
      </c>
      <c r="AO102" s="105"/>
      <c r="AP102" s="133">
        <f>SUMIFS('9. Actuals SAP Extract'!$V:$V,'9. Actuals SAP Extract'!$P:$P,$C102,'9. Actuals SAP Extract'!$O:$O,$D102,'9. Actuals SAP Extract'!$W:$W,AP$11)</f>
        <v>-4703</v>
      </c>
      <c r="AQ102" s="105"/>
      <c r="AR102" s="311"/>
      <c r="AS102" s="105"/>
      <c r="AT102" s="311"/>
      <c r="AU102" s="105"/>
      <c r="AV102" s="311"/>
      <c r="AW102" s="105"/>
      <c r="AX102" s="311"/>
      <c r="AY102" s="105"/>
      <c r="AZ102" s="311"/>
      <c r="BA102" s="105"/>
      <c r="BB102" s="311"/>
      <c r="BC102" s="105"/>
      <c r="BD102" s="311"/>
    </row>
    <row r="103" spans="1:56" ht="26" x14ac:dyDescent="0.35">
      <c r="A103" s="902" t="s">
        <v>685</v>
      </c>
      <c r="B103" s="902" t="s">
        <v>653</v>
      </c>
      <c r="C103" s="902" t="s">
        <v>524</v>
      </c>
      <c r="D103" s="907">
        <v>5000060402</v>
      </c>
      <c r="E103" s="911"/>
      <c r="F103" s="255"/>
      <c r="G103" s="105"/>
      <c r="H103" s="810">
        <f>SUMIFS('9. Actuals SAP Extract'!$V:$V,'9. Actuals SAP Extract'!$P:$P,$C103,'9. Actuals SAP Extract'!$O:$O,$D103,'9. Actuals SAP Extract'!$W:$W,H$11)</f>
        <v>0</v>
      </c>
      <c r="I103" s="109"/>
      <c r="J103" s="311">
        <f>SUMIFS('9. Actuals SAP Extract'!$V:$V,'9. Actuals SAP Extract'!$P:$P,$C103,'9. Actuals SAP Extract'!$O:$O,$D103,'9. Actuals SAP Extract'!$W:$W,J$11)</f>
        <v>0</v>
      </c>
      <c r="K103" s="105"/>
      <c r="L103" s="311">
        <f>SUMIFS('9. Actuals SAP Extract'!$V:$V,'9. Actuals SAP Extract'!$P:$P,$C103,'9. Actuals SAP Extract'!$O:$O,$D103,'9. Actuals SAP Extract'!$W:$W,L$11)</f>
        <v>3000</v>
      </c>
      <c r="M103" s="105"/>
      <c r="N103" s="591">
        <f>SUMIFS('9. Actuals SAP Extract'!$V:$V,'9. Actuals SAP Extract'!$P:$P,$C103,'9. Actuals SAP Extract'!$O:$O,$D103,'9. Actuals SAP Extract'!$W:$W,N$11)</f>
        <v>3959.25</v>
      </c>
      <c r="O103" s="105">
        <v>1319</v>
      </c>
      <c r="P103" s="311">
        <f>SUMIFS('9. Actuals SAP Extract'!$V:$V,'9. Actuals SAP Extract'!$P:$P,$C103,'9. Actuals SAP Extract'!$O:$O,$D103,'9. Actuals SAP Extract'!$W:$W,P$11)</f>
        <v>0</v>
      </c>
      <c r="Q103" s="105">
        <v>1319</v>
      </c>
      <c r="R103" s="311">
        <f>SUMIFS('9. Actuals SAP Extract'!$V:$V,'9. Actuals SAP Extract'!$P:$P,$C103,'9. Actuals SAP Extract'!$O:$O,$D103,'9. Actuals SAP Extract'!$W:$W,R$11)</f>
        <v>-3000</v>
      </c>
      <c r="S103" s="105">
        <v>1319</v>
      </c>
      <c r="T103" s="311">
        <f>SUMIFS('9. Actuals SAP Extract'!$V:$V,'9. Actuals SAP Extract'!$P:$P,$C103,'9. Actuals SAP Extract'!$O:$O,$D103,'9. Actuals SAP Extract'!$W:$W,T$11)</f>
        <v>0</v>
      </c>
      <c r="U103" s="105">
        <v>1319</v>
      </c>
      <c r="V103" s="311">
        <f>SUMIFS('9. Actuals SAP Extract'!$V:$V,'9. Actuals SAP Extract'!$P:$P,$C103,'9. Actuals SAP Extract'!$O:$O,$D103,'9. Actuals SAP Extract'!$W:$W,V$11)</f>
        <v>0</v>
      </c>
      <c r="W103" s="105"/>
      <c r="X103" s="311">
        <f>SUMIFS('9. Actuals SAP Extract'!$V:$V,'9. Actuals SAP Extract'!$P:$P,$C103,'9. Actuals SAP Extract'!$O:$O,$D103,'9. Actuals SAP Extract'!$W:$W,X$11)</f>
        <v>0</v>
      </c>
      <c r="Y103" s="105"/>
      <c r="Z103" s="311">
        <f>SUMIFS('9. Actuals SAP Extract'!$V:$V,'9. Actuals SAP Extract'!$P:$P,$C103,'9. Actuals SAP Extract'!$O:$O,$D103,'9. Actuals SAP Extract'!$W:$W,Z$11)</f>
        <v>0</v>
      </c>
      <c r="AA103" s="105"/>
      <c r="AB103" s="311">
        <f>SUMIFS('9. Actuals SAP Extract'!$V:$V,'9. Actuals SAP Extract'!$P:$P,$C103,'9. Actuals SAP Extract'!$O:$O,$D103,'9. Actuals SAP Extract'!$W:$W,AB$11)</f>
        <v>0</v>
      </c>
      <c r="AC103" s="105"/>
      <c r="AD103" s="311">
        <f>SUMIFS('9. Actuals SAP Extract'!$V:$V,'9. Actuals SAP Extract'!$P:$P,$C103,'9. Actuals SAP Extract'!$O:$O,$D103,'9. Actuals SAP Extract'!$W:$W,AD$11)</f>
        <v>0</v>
      </c>
      <c r="AE103" s="105"/>
      <c r="AF103" s="829">
        <f>SUMIFS('9. Actuals SAP Extract'!$V:$V,'9. Actuals SAP Extract'!$P:$P,$C103,'9. Actuals SAP Extract'!$O:$O,$D103,'9. Actuals SAP Extract'!$W:$W,AF$11)</f>
        <v>0</v>
      </c>
      <c r="AG103" s="105"/>
      <c r="AH103" s="829">
        <f>SUMIFS('9. Actuals SAP Extract'!$V:$V,'9. Actuals SAP Extract'!$P:$P,$C103,'9. Actuals SAP Extract'!$O:$O,$D103,'9. Actuals SAP Extract'!$W:$W,AH$11)</f>
        <v>0</v>
      </c>
      <c r="AI103" s="105"/>
      <c r="AJ103" s="829">
        <f>SUMIFS('9. Actuals SAP Extract'!$V:$V,'9. Actuals SAP Extract'!$P:$P,$C103,'9. Actuals SAP Extract'!$O:$O,$D103,'9. Actuals SAP Extract'!$W:$W,AJ$11)</f>
        <v>0</v>
      </c>
      <c r="AK103" s="105"/>
      <c r="AL103" s="829">
        <f>SUMIFS('9. Actuals SAP Extract'!$V:$V,'9. Actuals SAP Extract'!$P:$P,$C103,'9. Actuals SAP Extract'!$O:$O,$D103,'9. Actuals SAP Extract'!$W:$W,AL$11)</f>
        <v>0</v>
      </c>
      <c r="AM103" s="105"/>
      <c r="AN103" s="829">
        <f>SUMIFS('9. Actuals SAP Extract'!$V:$V,'9. Actuals SAP Extract'!$P:$P,$C103,'9. Actuals SAP Extract'!$O:$O,$D103,'9. Actuals SAP Extract'!$W:$W,AN$11)</f>
        <v>0</v>
      </c>
      <c r="AO103" s="105"/>
      <c r="AP103" s="133">
        <f>SUMIFS('9. Actuals SAP Extract'!$V:$V,'9. Actuals SAP Extract'!$P:$P,$C103,'9. Actuals SAP Extract'!$O:$O,$D103,'9. Actuals SAP Extract'!$W:$W,AP$11)</f>
        <v>0</v>
      </c>
      <c r="AQ103" s="105"/>
      <c r="AR103" s="311"/>
      <c r="AS103" s="105"/>
      <c r="AT103" s="311"/>
      <c r="AU103" s="105"/>
      <c r="AV103" s="311"/>
      <c r="AW103" s="105"/>
      <c r="AX103" s="311"/>
      <c r="AY103" s="105"/>
      <c r="AZ103" s="311"/>
      <c r="BA103" s="105"/>
      <c r="BB103" s="311"/>
      <c r="BC103" s="105"/>
      <c r="BD103" s="311"/>
    </row>
    <row r="104" spans="1:56" ht="39" x14ac:dyDescent="0.35">
      <c r="A104" s="899" t="s">
        <v>667</v>
      </c>
      <c r="B104" s="899" t="s">
        <v>666</v>
      </c>
      <c r="C104" s="899" t="s">
        <v>524</v>
      </c>
      <c r="D104" s="905">
        <v>7000001262</v>
      </c>
      <c r="E104" s="910"/>
      <c r="F104" s="255"/>
      <c r="G104" s="105"/>
      <c r="H104" s="810">
        <f>SUMIFS('9. Actuals SAP Extract'!$V:$V,'9. Actuals SAP Extract'!$P:$P,$C104,'9. Actuals SAP Extract'!$O:$O,$D104,'9. Actuals SAP Extract'!$W:$W,H$11)</f>
        <v>0</v>
      </c>
      <c r="I104" s="109"/>
      <c r="J104" s="311">
        <f>SUMIFS('9. Actuals SAP Extract'!$V:$V,'9. Actuals SAP Extract'!$P:$P,$C104,'9. Actuals SAP Extract'!$O:$O,$D104,'9. Actuals SAP Extract'!$W:$W,J$11)</f>
        <v>0</v>
      </c>
      <c r="K104" s="105"/>
      <c r="L104" s="311">
        <f>SUMIFS('9. Actuals SAP Extract'!$V:$V,'9. Actuals SAP Extract'!$P:$P,$C104,'9. Actuals SAP Extract'!$O:$O,$D104,'9. Actuals SAP Extract'!$W:$W,L$11)</f>
        <v>0</v>
      </c>
      <c r="M104" s="105"/>
      <c r="N104" s="591">
        <f>SUMIFS('9. Actuals SAP Extract'!$V:$V,'9. Actuals SAP Extract'!$P:$P,$C104,'9. Actuals SAP Extract'!$O:$O,$D104,'9. Actuals SAP Extract'!$W:$W,N$11)</f>
        <v>0</v>
      </c>
      <c r="O104" s="105">
        <v>587</v>
      </c>
      <c r="P104" s="311">
        <f>SUMIFS('9. Actuals SAP Extract'!$V:$V,'9. Actuals SAP Extract'!$P:$P,$C104,'9. Actuals SAP Extract'!$O:$O,$D104,'9. Actuals SAP Extract'!$W:$W,P$11)</f>
        <v>0</v>
      </c>
      <c r="Q104" s="105">
        <v>587</v>
      </c>
      <c r="R104" s="311">
        <f>SUMIFS('9. Actuals SAP Extract'!$V:$V,'9. Actuals SAP Extract'!$P:$P,$C104,'9. Actuals SAP Extract'!$O:$O,$D104,'9. Actuals SAP Extract'!$W:$W,R$11)</f>
        <v>1837.9099999999999</v>
      </c>
      <c r="S104" s="105">
        <v>587</v>
      </c>
      <c r="T104" s="311">
        <f>SUMIFS('9. Actuals SAP Extract'!$V:$V,'9. Actuals SAP Extract'!$P:$P,$C104,'9. Actuals SAP Extract'!$O:$O,$D104,'9. Actuals SAP Extract'!$W:$W,T$11)</f>
        <v>89.33</v>
      </c>
      <c r="U104" s="105">
        <v>587</v>
      </c>
      <c r="V104" s="311">
        <f>SUMIFS('9. Actuals SAP Extract'!$V:$V,'9. Actuals SAP Extract'!$P:$P,$C104,'9. Actuals SAP Extract'!$O:$O,$D104,'9. Actuals SAP Extract'!$W:$W,V$11)</f>
        <v>587</v>
      </c>
      <c r="W104" s="105"/>
      <c r="X104" s="311">
        <f>SUMIFS('9. Actuals SAP Extract'!$V:$V,'9. Actuals SAP Extract'!$P:$P,$C104,'9. Actuals SAP Extract'!$O:$O,$D104,'9. Actuals SAP Extract'!$W:$W,X$11)</f>
        <v>-18.009999999999991</v>
      </c>
      <c r="Y104" s="105"/>
      <c r="Z104" s="311">
        <f>SUMIFS('9. Actuals SAP Extract'!$V:$V,'9. Actuals SAP Extract'!$P:$P,$C104,'9. Actuals SAP Extract'!$O:$O,$D104,'9. Actuals SAP Extract'!$W:$W,Z$11)</f>
        <v>0</v>
      </c>
      <c r="AA104" s="105"/>
      <c r="AB104" s="311">
        <f>SUMIFS('9. Actuals SAP Extract'!$V:$V,'9. Actuals SAP Extract'!$P:$P,$C104,'9. Actuals SAP Extract'!$O:$O,$D104,'9. Actuals SAP Extract'!$W:$W,AB$11)</f>
        <v>0</v>
      </c>
      <c r="AC104" s="105"/>
      <c r="AD104" s="311">
        <f>SUMIFS('9. Actuals SAP Extract'!$V:$V,'9. Actuals SAP Extract'!$P:$P,$C104,'9. Actuals SAP Extract'!$O:$O,$D104,'9. Actuals SAP Extract'!$W:$W,AD$11)</f>
        <v>0</v>
      </c>
      <c r="AE104" s="105"/>
      <c r="AF104" s="829">
        <f>SUMIFS('9. Actuals SAP Extract'!$V:$V,'9. Actuals SAP Extract'!$P:$P,$C104,'9. Actuals SAP Extract'!$O:$O,$D104,'9. Actuals SAP Extract'!$W:$W,AF$11)</f>
        <v>0</v>
      </c>
      <c r="AG104" s="105"/>
      <c r="AH104" s="829">
        <f>SUMIFS('9. Actuals SAP Extract'!$V:$V,'9. Actuals SAP Extract'!$P:$P,$C104,'9. Actuals SAP Extract'!$O:$O,$D104,'9. Actuals SAP Extract'!$W:$W,AH$11)</f>
        <v>0</v>
      </c>
      <c r="AI104" s="105"/>
      <c r="AJ104" s="829">
        <f>SUMIFS('9. Actuals SAP Extract'!$V:$V,'9. Actuals SAP Extract'!$P:$P,$C104,'9. Actuals SAP Extract'!$O:$O,$D104,'9. Actuals SAP Extract'!$W:$W,AJ$11)</f>
        <v>0</v>
      </c>
      <c r="AK104" s="105"/>
      <c r="AL104" s="829">
        <f>SUMIFS('9. Actuals SAP Extract'!$V:$V,'9. Actuals SAP Extract'!$P:$P,$C104,'9. Actuals SAP Extract'!$O:$O,$D104,'9. Actuals SAP Extract'!$W:$W,AL$11)</f>
        <v>0</v>
      </c>
      <c r="AM104" s="105"/>
      <c r="AN104" s="829">
        <f>SUMIFS('9. Actuals SAP Extract'!$V:$V,'9. Actuals SAP Extract'!$P:$P,$C104,'9. Actuals SAP Extract'!$O:$O,$D104,'9. Actuals SAP Extract'!$W:$W,AN$11)</f>
        <v>0</v>
      </c>
      <c r="AO104" s="105"/>
      <c r="AP104" s="133">
        <f>SUMIFS('9. Actuals SAP Extract'!$V:$V,'9. Actuals SAP Extract'!$P:$P,$C104,'9. Actuals SAP Extract'!$O:$O,$D104,'9. Actuals SAP Extract'!$W:$W,AP$11)</f>
        <v>0</v>
      </c>
      <c r="AQ104" s="105"/>
      <c r="AR104" s="133"/>
      <c r="AS104" s="105"/>
      <c r="AT104" s="133"/>
      <c r="AU104" s="105"/>
      <c r="AV104" s="133"/>
      <c r="AW104" s="105"/>
      <c r="AX104" s="133"/>
      <c r="AY104" s="105"/>
      <c r="AZ104" s="133"/>
      <c r="BA104" s="105"/>
      <c r="BB104" s="133"/>
      <c r="BC104" s="105"/>
      <c r="BD104" s="133"/>
    </row>
    <row r="105" spans="1:56" ht="39" x14ac:dyDescent="0.35">
      <c r="A105" s="899" t="s">
        <v>667</v>
      </c>
      <c r="B105" s="899" t="s">
        <v>666</v>
      </c>
      <c r="C105" s="899" t="s">
        <v>524</v>
      </c>
      <c r="D105" s="905">
        <v>5000060468</v>
      </c>
      <c r="E105" s="910">
        <v>165.6</v>
      </c>
      <c r="F105" s="255"/>
      <c r="G105" s="105"/>
      <c r="H105" s="810">
        <f>SUMIFS('9. Actuals SAP Extract'!$V:$V,'9. Actuals SAP Extract'!$P:$P,$C105,'9. Actuals SAP Extract'!$O:$O,$D105,'9. Actuals SAP Extract'!$W:$W,H$11)</f>
        <v>0</v>
      </c>
      <c r="I105" s="109"/>
      <c r="J105" s="311">
        <f>SUMIFS('9. Actuals SAP Extract'!$V:$V,'9. Actuals SAP Extract'!$P:$P,$C105,'9. Actuals SAP Extract'!$O:$O,$D105,'9. Actuals SAP Extract'!$W:$W,J$11)</f>
        <v>0</v>
      </c>
      <c r="K105" s="105"/>
      <c r="L105" s="311">
        <f>SUMIFS('9. Actuals SAP Extract'!$V:$V,'9. Actuals SAP Extract'!$P:$P,$C105,'9. Actuals SAP Extract'!$O:$O,$D105,'9. Actuals SAP Extract'!$W:$W,L$11)</f>
        <v>0</v>
      </c>
      <c r="M105" s="105"/>
      <c r="N105" s="591">
        <f>SUMIFS('9. Actuals SAP Extract'!$V:$V,'9. Actuals SAP Extract'!$P:$P,$C105,'9. Actuals SAP Extract'!$O:$O,$D105,'9. Actuals SAP Extract'!$W:$W,N$11)</f>
        <v>1098.01</v>
      </c>
      <c r="O105" s="105">
        <v>587</v>
      </c>
      <c r="P105" s="311">
        <f>SUMIFS('9. Actuals SAP Extract'!$V:$V,'9. Actuals SAP Extract'!$P:$P,$C105,'9. Actuals SAP Extract'!$O:$O,$D105,'9. Actuals SAP Extract'!$W:$W,P$11)</f>
        <v>0</v>
      </c>
      <c r="Q105" s="105">
        <v>587</v>
      </c>
      <c r="R105" s="311">
        <f>SUMIFS('9. Actuals SAP Extract'!$V:$V,'9. Actuals SAP Extract'!$P:$P,$C105,'9. Actuals SAP Extract'!$O:$O,$D105,'9. Actuals SAP Extract'!$W:$W,R$11)</f>
        <v>0</v>
      </c>
      <c r="S105" s="105">
        <v>587</v>
      </c>
      <c r="T105" s="311">
        <f>SUMIFS('9. Actuals SAP Extract'!$V:$V,'9. Actuals SAP Extract'!$P:$P,$C105,'9. Actuals SAP Extract'!$O:$O,$D105,'9. Actuals SAP Extract'!$W:$W,T$11)</f>
        <v>0</v>
      </c>
      <c r="U105" s="105">
        <v>587</v>
      </c>
      <c r="V105" s="311">
        <f>SUMIFS('9. Actuals SAP Extract'!$V:$V,'9. Actuals SAP Extract'!$P:$P,$C105,'9. Actuals SAP Extract'!$O:$O,$D105,'9. Actuals SAP Extract'!$W:$W,V$11)</f>
        <v>0</v>
      </c>
      <c r="W105" s="105"/>
      <c r="X105" s="311">
        <f>SUMIFS('9. Actuals SAP Extract'!$V:$V,'9. Actuals SAP Extract'!$P:$P,$C105,'9. Actuals SAP Extract'!$O:$O,$D105,'9. Actuals SAP Extract'!$W:$W,X$11)</f>
        <v>0</v>
      </c>
      <c r="Y105" s="105"/>
      <c r="Z105" s="311">
        <f>SUMIFS('9. Actuals SAP Extract'!$V:$V,'9. Actuals SAP Extract'!$P:$P,$C105,'9. Actuals SAP Extract'!$O:$O,$D105,'9. Actuals SAP Extract'!$W:$W,Z$11)</f>
        <v>0</v>
      </c>
      <c r="AA105" s="105"/>
      <c r="AB105" s="311">
        <f>SUMIFS('9. Actuals SAP Extract'!$V:$V,'9. Actuals SAP Extract'!$P:$P,$C105,'9. Actuals SAP Extract'!$O:$O,$D105,'9. Actuals SAP Extract'!$W:$W,AB$11)</f>
        <v>0</v>
      </c>
      <c r="AC105" s="105"/>
      <c r="AD105" s="311">
        <f>SUMIFS('9. Actuals SAP Extract'!$V:$V,'9. Actuals SAP Extract'!$P:$P,$C105,'9. Actuals SAP Extract'!$O:$O,$D105,'9. Actuals SAP Extract'!$W:$W,AD$11)</f>
        <v>0</v>
      </c>
      <c r="AE105" s="105"/>
      <c r="AF105" s="829">
        <f>SUMIFS('9. Actuals SAP Extract'!$V:$V,'9. Actuals SAP Extract'!$P:$P,$C105,'9. Actuals SAP Extract'!$O:$O,$D105,'9. Actuals SAP Extract'!$W:$W,AF$11)</f>
        <v>0</v>
      </c>
      <c r="AG105" s="105"/>
      <c r="AH105" s="829">
        <f>SUMIFS('9. Actuals SAP Extract'!$V:$V,'9. Actuals SAP Extract'!$P:$P,$C105,'9. Actuals SAP Extract'!$O:$O,$D105,'9. Actuals SAP Extract'!$W:$W,AH$11)</f>
        <v>0</v>
      </c>
      <c r="AI105" s="105"/>
      <c r="AJ105" s="829">
        <f>SUMIFS('9. Actuals SAP Extract'!$V:$V,'9. Actuals SAP Extract'!$P:$P,$C105,'9. Actuals SAP Extract'!$O:$O,$D105,'9. Actuals SAP Extract'!$W:$W,AJ$11)</f>
        <v>0</v>
      </c>
      <c r="AK105" s="105"/>
      <c r="AL105" s="829">
        <f>SUMIFS('9. Actuals SAP Extract'!$V:$V,'9. Actuals SAP Extract'!$P:$P,$C105,'9. Actuals SAP Extract'!$O:$O,$D105,'9. Actuals SAP Extract'!$W:$W,AL$11)</f>
        <v>0</v>
      </c>
      <c r="AM105" s="105"/>
      <c r="AN105" s="829">
        <f>SUMIFS('9. Actuals SAP Extract'!$V:$V,'9. Actuals SAP Extract'!$P:$P,$C105,'9. Actuals SAP Extract'!$O:$O,$D105,'9. Actuals SAP Extract'!$W:$W,AN$11)</f>
        <v>0</v>
      </c>
      <c r="AO105" s="105"/>
      <c r="AP105" s="133">
        <f>SUMIFS('9. Actuals SAP Extract'!$V:$V,'9. Actuals SAP Extract'!$P:$P,$C105,'9. Actuals SAP Extract'!$O:$O,$D105,'9. Actuals SAP Extract'!$W:$W,AP$11)</f>
        <v>0</v>
      </c>
      <c r="AQ105" s="105"/>
      <c r="AR105" s="133"/>
      <c r="AS105" s="105"/>
      <c r="AT105" s="133"/>
      <c r="AU105" s="105"/>
      <c r="AV105" s="133"/>
      <c r="AW105" s="105"/>
      <c r="AX105" s="133"/>
      <c r="AY105" s="105"/>
      <c r="AZ105" s="133"/>
      <c r="BA105" s="105"/>
      <c r="BB105" s="133"/>
      <c r="BC105" s="105"/>
      <c r="BD105" s="133"/>
    </row>
    <row r="106" spans="1:56" ht="39" hidden="1" x14ac:dyDescent="0.35">
      <c r="A106" s="304"/>
      <c r="B106" s="304" t="s">
        <v>742</v>
      </c>
      <c r="C106" s="304" t="s">
        <v>524</v>
      </c>
      <c r="D106" s="497">
        <v>4501316055</v>
      </c>
      <c r="E106" s="313"/>
      <c r="F106" s="255"/>
      <c r="G106" s="105"/>
      <c r="H106" s="810">
        <f>SUMIFS('9. Actuals SAP Extract'!$V:$V,'9. Actuals SAP Extract'!$P:$P,$C106,'9. Actuals SAP Extract'!$O:$O,$D106,'9. Actuals SAP Extract'!$W:$W,H$11)</f>
        <v>0</v>
      </c>
      <c r="I106" s="109"/>
      <c r="J106" s="311">
        <f>SUMIFS('9. Actuals SAP Extract'!$V:$V,'9. Actuals SAP Extract'!$P:$P,$C106,'9. Actuals SAP Extract'!$O:$O,$D106,'9. Actuals SAP Extract'!$W:$W,J$11)</f>
        <v>0</v>
      </c>
      <c r="K106" s="105"/>
      <c r="L106" s="311">
        <f>SUMIFS('9. Actuals SAP Extract'!$V:$V,'9. Actuals SAP Extract'!$P:$P,$C106,'9. Actuals SAP Extract'!$O:$O,$D106,'9. Actuals SAP Extract'!$W:$W,L$11)</f>
        <v>0</v>
      </c>
      <c r="M106" s="105"/>
      <c r="N106" s="311">
        <f>SUMIFS('9. Actuals SAP Extract'!$V:$V,'9. Actuals SAP Extract'!$P:$P,$C106,'9. Actuals SAP Extract'!$O:$O,$D106,'9. Actuals SAP Extract'!$W:$W,N$11)</f>
        <v>0</v>
      </c>
      <c r="O106" s="105"/>
      <c r="P106" s="311">
        <f>SUMIFS('9. Actuals SAP Extract'!$V:$V,'9. Actuals SAP Extract'!$P:$P,$C106,'9. Actuals SAP Extract'!$O:$O,$D106,'9. Actuals SAP Extract'!$W:$W,P$11)</f>
        <v>0</v>
      </c>
      <c r="Q106" s="105"/>
      <c r="R106" s="311">
        <f>SUMIFS('9. Actuals SAP Extract'!$V:$V,'9. Actuals SAP Extract'!$P:$P,$C106,'9. Actuals SAP Extract'!$O:$O,$D106,'9. Actuals SAP Extract'!$W:$W,R$11)</f>
        <v>0</v>
      </c>
      <c r="S106" s="105"/>
      <c r="T106" s="311">
        <f>SUMIFS('9. Actuals SAP Extract'!$V:$V,'9. Actuals SAP Extract'!$P:$P,$C106,'9. Actuals SAP Extract'!$O:$O,$D106,'9. Actuals SAP Extract'!$W:$W,T$11)</f>
        <v>0</v>
      </c>
      <c r="U106" s="105"/>
      <c r="V106" s="311">
        <f>SUMIFS('9. Actuals SAP Extract'!$V:$V,'9. Actuals SAP Extract'!$P:$P,$C106,'9. Actuals SAP Extract'!$O:$O,$D106,'9. Actuals SAP Extract'!$W:$W,V$11)</f>
        <v>0</v>
      </c>
      <c r="W106" s="105"/>
      <c r="X106" s="311">
        <f>SUMIFS('9. Actuals SAP Extract'!$V:$V,'9. Actuals SAP Extract'!$P:$P,$C106,'9. Actuals SAP Extract'!$O:$O,$D106,'9. Actuals SAP Extract'!$W:$W,X$11)</f>
        <v>439.65</v>
      </c>
      <c r="Y106" s="105">
        <v>0</v>
      </c>
      <c r="Z106" s="311">
        <f>SUMIFS('9. Actuals SAP Extract'!$V:$V,'9. Actuals SAP Extract'!$P:$P,$C106,'9. Actuals SAP Extract'!$O:$O,$D106,'9. Actuals SAP Extract'!$W:$W,Z$11)</f>
        <v>0</v>
      </c>
      <c r="AA106" s="105"/>
      <c r="AB106" s="311">
        <f>SUMIFS('9. Actuals SAP Extract'!$V:$V,'9. Actuals SAP Extract'!$P:$P,$C106,'9. Actuals SAP Extract'!$O:$O,$D106,'9. Actuals SAP Extract'!$W:$W,AB$11)</f>
        <v>0</v>
      </c>
      <c r="AC106" s="105"/>
      <c r="AD106" s="311">
        <f>SUMIFS('9. Actuals SAP Extract'!$V:$V,'9. Actuals SAP Extract'!$P:$P,$C106,'9. Actuals SAP Extract'!$O:$O,$D106,'9. Actuals SAP Extract'!$W:$W,AD$11)</f>
        <v>0</v>
      </c>
      <c r="AE106" s="105"/>
      <c r="AF106" s="829">
        <f>SUMIFS('9. Actuals SAP Extract'!$V:$V,'9. Actuals SAP Extract'!$P:$P,$C106,'9. Actuals SAP Extract'!$O:$O,$D106,'9. Actuals SAP Extract'!$W:$W,AF$11)</f>
        <v>0</v>
      </c>
      <c r="AG106" s="105"/>
      <c r="AH106" s="829">
        <f>SUMIFS('9. Actuals SAP Extract'!$V:$V,'9. Actuals SAP Extract'!$P:$P,$C106,'9. Actuals SAP Extract'!$O:$O,$D106,'9. Actuals SAP Extract'!$W:$W,AH$11)</f>
        <v>0</v>
      </c>
      <c r="AI106" s="105"/>
      <c r="AJ106" s="829">
        <f>SUMIFS('9. Actuals SAP Extract'!$V:$V,'9. Actuals SAP Extract'!$P:$P,$C106,'9. Actuals SAP Extract'!$O:$O,$D106,'9. Actuals SAP Extract'!$W:$W,AJ$11)</f>
        <v>0</v>
      </c>
      <c r="AK106" s="105"/>
      <c r="AL106" s="829">
        <f>SUMIFS('9. Actuals SAP Extract'!$V:$V,'9. Actuals SAP Extract'!$P:$P,$C106,'9. Actuals SAP Extract'!$O:$O,$D106,'9. Actuals SAP Extract'!$W:$W,AL$11)</f>
        <v>0</v>
      </c>
      <c r="AM106" s="105"/>
      <c r="AN106" s="829">
        <f>SUMIFS('9. Actuals SAP Extract'!$V:$V,'9. Actuals SAP Extract'!$P:$P,$C106,'9. Actuals SAP Extract'!$O:$O,$D106,'9. Actuals SAP Extract'!$W:$W,AN$11)</f>
        <v>0</v>
      </c>
      <c r="AO106" s="105"/>
      <c r="AP106" s="133">
        <f>SUMIFS('9. Actuals SAP Extract'!$V:$V,'9. Actuals SAP Extract'!$P:$P,$C106,'9. Actuals SAP Extract'!$O:$O,$D106,'9. Actuals SAP Extract'!$W:$W,AP$11)</f>
        <v>0</v>
      </c>
      <c r="AQ106" s="105"/>
      <c r="AR106" s="311"/>
      <c r="AS106" s="105"/>
      <c r="AT106" s="311"/>
      <c r="AU106" s="105"/>
      <c r="AV106" s="311"/>
      <c r="AW106" s="105"/>
      <c r="AX106" s="311"/>
      <c r="AY106" s="105"/>
      <c r="AZ106" s="311"/>
      <c r="BA106" s="105"/>
      <c r="BB106" s="311"/>
      <c r="BC106" s="105"/>
      <c r="BD106" s="311"/>
    </row>
    <row r="107" spans="1:56" x14ac:dyDescent="0.35">
      <c r="A107" s="902" t="s">
        <v>382</v>
      </c>
      <c r="B107" s="902" t="s">
        <v>214</v>
      </c>
      <c r="C107" s="902" t="s">
        <v>524</v>
      </c>
      <c r="D107" s="907">
        <v>5000060473</v>
      </c>
      <c r="E107" s="908">
        <v>0.05</v>
      </c>
      <c r="F107" s="255"/>
      <c r="G107" s="105"/>
      <c r="H107" s="810">
        <f>SUMIFS('9. Actuals SAP Extract'!$V:$V,'9. Actuals SAP Extract'!$P:$P,$C107,'9. Actuals SAP Extract'!$O:$O,$D107,'9. Actuals SAP Extract'!$W:$W,H$11)</f>
        <v>0</v>
      </c>
      <c r="I107" s="109"/>
      <c r="J107" s="311">
        <f>SUMIFS('9. Actuals SAP Extract'!$V:$V,'9. Actuals SAP Extract'!$P:$P,$C107,'9. Actuals SAP Extract'!$O:$O,$D107,'9. Actuals SAP Extract'!$W:$W,J$11)</f>
        <v>0</v>
      </c>
      <c r="K107" s="105"/>
      <c r="L107" s="311">
        <f>SUMIFS('9. Actuals SAP Extract'!$V:$V,'9. Actuals SAP Extract'!$P:$P,$C107,'9. Actuals SAP Extract'!$O:$O,$D107,'9. Actuals SAP Extract'!$W:$W,L$11)</f>
        <v>0</v>
      </c>
      <c r="M107" s="105">
        <v>5040</v>
      </c>
      <c r="N107" s="311">
        <f>SUMIFS('9. Actuals SAP Extract'!$V:$V,'9. Actuals SAP Extract'!$P:$P,$C107,'9. Actuals SAP Extract'!$O:$O,$D107,'9. Actuals SAP Extract'!$W:$W,N$11)</f>
        <v>0</v>
      </c>
      <c r="O107" s="105">
        <v>10080</v>
      </c>
      <c r="P107" s="592">
        <v>10080</v>
      </c>
      <c r="Q107" s="105">
        <f>105*40</f>
        <v>4200</v>
      </c>
      <c r="R107" s="311">
        <f>SUMIFS('9. Actuals SAP Extract'!$V:$V,'9. Actuals SAP Extract'!$P:$P,$C107,'9. Actuals SAP Extract'!$O:$O,$D107,'9. Actuals SAP Extract'!$W:$W,R$11)</f>
        <v>-1785</v>
      </c>
      <c r="S107" s="105">
        <f>105*40</f>
        <v>4200</v>
      </c>
      <c r="T107" s="311">
        <f>SUMIFS('9. Actuals SAP Extract'!$V:$V,'9. Actuals SAP Extract'!$P:$P,$C107,'9. Actuals SAP Extract'!$O:$O,$D107,'9. Actuals SAP Extract'!$W:$W,T$11)</f>
        <v>-3095</v>
      </c>
      <c r="U107" s="105">
        <f>105*40</f>
        <v>4200</v>
      </c>
      <c r="V107" s="311">
        <f>SUMIFS('9. Actuals SAP Extract'!$V:$V,'9. Actuals SAP Extract'!$P:$P,$C107,'9. Actuals SAP Extract'!$O:$O,$D107,'9. Actuals SAP Extract'!$W:$W,V$11)</f>
        <v>4200</v>
      </c>
      <c r="W107" s="105">
        <f>105*40</f>
        <v>4200</v>
      </c>
      <c r="X107" s="311">
        <f>SUMIFS('9. Actuals SAP Extract'!$V:$V,'9. Actuals SAP Extract'!$P:$P,$C107,'9. Actuals SAP Extract'!$O:$O,$D107,'9. Actuals SAP Extract'!$W:$W,X$11)</f>
        <v>-5200</v>
      </c>
      <c r="Y107" s="105">
        <v>4620</v>
      </c>
      <c r="Z107" s="311">
        <f>SUMIFS('9. Actuals SAP Extract'!$V:$V,'9. Actuals SAP Extract'!$P:$P,$C107,'9. Actuals SAP Extract'!$O:$O,$D107,'9. Actuals SAP Extract'!$W:$W,Z$11)</f>
        <v>-4200</v>
      </c>
      <c r="AA107" s="105">
        <v>4620</v>
      </c>
      <c r="AB107" s="311">
        <f>SUMIFS('9. Actuals SAP Extract'!$V:$V,'9. Actuals SAP Extract'!$P:$P,$C107,'9. Actuals SAP Extract'!$O:$O,$D107,'9. Actuals SAP Extract'!$W:$W,AB$11)</f>
        <v>0</v>
      </c>
      <c r="AC107" s="105">
        <f>20*4*105</f>
        <v>8400</v>
      </c>
      <c r="AD107" s="311">
        <f>SUMIFS('9. Actuals SAP Extract'!$V:$V,'9. Actuals SAP Extract'!$P:$P,$C107,'9. Actuals SAP Extract'!$O:$O,$D107,'9. Actuals SAP Extract'!$W:$W,AD$11)</f>
        <v>0</v>
      </c>
      <c r="AE107" s="615">
        <v>8400</v>
      </c>
      <c r="AF107" s="829">
        <f>SUMIFS('9. Actuals SAP Extract'!$V:$V,'9. Actuals SAP Extract'!$P:$P,$C107,'9. Actuals SAP Extract'!$O:$O,$D107,'9. Actuals SAP Extract'!$W:$W,AF$11)</f>
        <v>0</v>
      </c>
      <c r="AG107" s="105">
        <v>8400</v>
      </c>
      <c r="AH107" s="829">
        <f>SUMIFS('9. Actuals SAP Extract'!$V:$V,'9. Actuals SAP Extract'!$P:$P,$C107,'9. Actuals SAP Extract'!$O:$O,$D107,'9. Actuals SAP Extract'!$W:$W,AH$11)</f>
        <v>0</v>
      </c>
      <c r="AI107" s="105">
        <v>8400</v>
      </c>
      <c r="AJ107" s="829">
        <f>SUMIFS('9. Actuals SAP Extract'!$V:$V,'9. Actuals SAP Extract'!$P:$P,$C107,'9. Actuals SAP Extract'!$O:$O,$D107,'9. Actuals SAP Extract'!$W:$W,AJ$11)</f>
        <v>0</v>
      </c>
      <c r="AK107" s="105">
        <v>-3517</v>
      </c>
      <c r="AL107" s="829">
        <f>SUMIFS('9. Actuals SAP Extract'!$V:$V,'9. Actuals SAP Extract'!$P:$P,$C107,'9. Actuals SAP Extract'!$O:$O,$D107,'9. Actuals SAP Extract'!$W:$W,AL$11)</f>
        <v>0</v>
      </c>
      <c r="AM107" s="105">
        <v>8400</v>
      </c>
      <c r="AN107" s="829">
        <f>SUMIFS('9. Actuals SAP Extract'!$V:$V,'9. Actuals SAP Extract'!$P:$P,$C107,'9. Actuals SAP Extract'!$O:$O,$D107,'9. Actuals SAP Extract'!$W:$W,AN$11)</f>
        <v>0</v>
      </c>
      <c r="AO107" s="105">
        <v>8400</v>
      </c>
      <c r="AP107" s="133">
        <f>SUMIFS('9. Actuals SAP Extract'!$V:$V,'9. Actuals SAP Extract'!$P:$P,$C107,'9. Actuals SAP Extract'!$O:$O,$D107,'9. Actuals SAP Extract'!$W:$W,AP$11)</f>
        <v>0</v>
      </c>
      <c r="AQ107" s="105">
        <v>8400</v>
      </c>
      <c r="AR107" s="311"/>
      <c r="AS107" s="105">
        <v>8400</v>
      </c>
      <c r="AT107" s="311"/>
      <c r="AU107" s="105">
        <v>8400</v>
      </c>
      <c r="AV107" s="311"/>
      <c r="AW107" s="105">
        <v>8400</v>
      </c>
      <c r="AX107" s="311"/>
      <c r="AY107" s="105">
        <v>8400</v>
      </c>
      <c r="AZ107" s="311"/>
      <c r="BA107" s="105">
        <v>8400</v>
      </c>
      <c r="BB107" s="311"/>
      <c r="BC107" s="105">
        <v>8400</v>
      </c>
      <c r="BD107" s="311"/>
    </row>
    <row r="108" spans="1:56" x14ac:dyDescent="0.35">
      <c r="A108" s="902" t="s">
        <v>382</v>
      </c>
      <c r="B108" s="902" t="s">
        <v>214</v>
      </c>
      <c r="C108" s="902" t="s">
        <v>654</v>
      </c>
      <c r="D108" s="907">
        <v>5000060473</v>
      </c>
      <c r="E108" s="908">
        <v>0.05</v>
      </c>
      <c r="F108" s="255"/>
      <c r="G108" s="105"/>
      <c r="H108" s="810">
        <f>SUMIFS('9. Actuals SAP Extract'!$V:$V,'9. Actuals SAP Extract'!$P:$P,$C108,'9. Actuals SAP Extract'!$O:$O,$D108,'9. Actuals SAP Extract'!$W:$W,H$11)</f>
        <v>0</v>
      </c>
      <c r="I108" s="109"/>
      <c r="J108" s="311">
        <f>SUMIFS('9. Actuals SAP Extract'!$V:$V,'9. Actuals SAP Extract'!$P:$P,$C108,'9. Actuals SAP Extract'!$O:$O,$D108,'9. Actuals SAP Extract'!$W:$W,J$11)</f>
        <v>0</v>
      </c>
      <c r="K108" s="105"/>
      <c r="L108" s="311">
        <f>SUMIFS('9. Actuals SAP Extract'!$V:$V,'9. Actuals SAP Extract'!$P:$P,$C108,'9. Actuals SAP Extract'!$O:$O,$D108,'9. Actuals SAP Extract'!$W:$W,L$11)</f>
        <v>0</v>
      </c>
      <c r="M108" s="105">
        <v>5040</v>
      </c>
      <c r="N108" s="311">
        <f>SUMIFS('9. Actuals SAP Extract'!$V:$V,'9. Actuals SAP Extract'!$P:$P,$C108,'9. Actuals SAP Extract'!$O:$O,$D108,'9. Actuals SAP Extract'!$W:$W,N$11)</f>
        <v>0</v>
      </c>
      <c r="O108" s="105">
        <v>10080</v>
      </c>
      <c r="P108" s="592">
        <v>10080</v>
      </c>
      <c r="Q108" s="105">
        <f>105*40</f>
        <v>4200</v>
      </c>
      <c r="R108" s="311">
        <f>SUMIFS('9. Actuals SAP Extract'!$V:$V,'9. Actuals SAP Extract'!$P:$P,$C108,'9. Actuals SAP Extract'!$O:$O,$D108,'9. Actuals SAP Extract'!$W:$W,R$11)</f>
        <v>0</v>
      </c>
      <c r="S108" s="105">
        <f>105*40</f>
        <v>4200</v>
      </c>
      <c r="T108" s="311">
        <f>SUMIFS('9. Actuals SAP Extract'!$V:$V,'9. Actuals SAP Extract'!$P:$P,$C108,'9. Actuals SAP Extract'!$O:$O,$D108,'9. Actuals SAP Extract'!$W:$W,T$11)</f>
        <v>0</v>
      </c>
      <c r="U108" s="105">
        <f>105*40</f>
        <v>4200</v>
      </c>
      <c r="V108" s="311">
        <f>SUMIFS('9. Actuals SAP Extract'!$V:$V,'9. Actuals SAP Extract'!$P:$P,$C108,'9. Actuals SAP Extract'!$O:$O,$D108,'9. Actuals SAP Extract'!$W:$W,V$11)</f>
        <v>0</v>
      </c>
      <c r="W108" s="105">
        <f>105*40</f>
        <v>4200</v>
      </c>
      <c r="X108" s="311">
        <f>SUMIFS('9. Actuals SAP Extract'!$V:$V,'9. Actuals SAP Extract'!$P:$P,$C108,'9. Actuals SAP Extract'!$O:$O,$D108,'9. Actuals SAP Extract'!$W:$W,X$11)</f>
        <v>4620</v>
      </c>
      <c r="Y108" s="105"/>
      <c r="Z108" s="311">
        <f>SUMIFS('9. Actuals SAP Extract'!$V:$V,'9. Actuals SAP Extract'!$P:$P,$C108,'9. Actuals SAP Extract'!$O:$O,$D108,'9. Actuals SAP Extract'!$W:$W,Z$11)</f>
        <v>4410</v>
      </c>
      <c r="AA108" s="105"/>
      <c r="AB108" s="792">
        <f>SUMIFS('9. Actuals SAP Extract'!$V:$V,'9. Actuals SAP Extract'!$P:$P,$C108,'9. Actuals SAP Extract'!$O:$O,$D108,'9. Actuals SAP Extract'!$W:$W,AB$11)</f>
        <v>4515</v>
      </c>
      <c r="AC108" s="105"/>
      <c r="AD108" s="792">
        <f>SUMIFS('9. Actuals SAP Extract'!$V:$V,'9. Actuals SAP Extract'!$P:$P,$C108,'9. Actuals SAP Extract'!$O:$O,$D108,'9. Actuals SAP Extract'!$W:$W,AD$11)</f>
        <v>4830</v>
      </c>
      <c r="AE108" s="105"/>
      <c r="AF108" s="829">
        <f>SUMIFS('9. Actuals SAP Extract'!$V:$V,'9. Actuals SAP Extract'!$P:$P,$C108,'9. Actuals SAP Extract'!$O:$O,$D108,'9. Actuals SAP Extract'!$W:$W,AF$11)</f>
        <v>7560</v>
      </c>
      <c r="AG108" s="105"/>
      <c r="AH108" s="829">
        <f>SUMIFS('9. Actuals SAP Extract'!$V:$V,'9. Actuals SAP Extract'!$P:$P,$C108,'9. Actuals SAP Extract'!$O:$O,$D108,'9. Actuals SAP Extract'!$W:$W,AH$11)</f>
        <v>0</v>
      </c>
      <c r="AI108" s="105"/>
      <c r="AJ108" s="867">
        <f>SUMIFS('9. Actuals SAP Extract'!$V:$V,'9. Actuals SAP Extract'!$P:$P,$C108,'9. Actuals SAP Extract'!$O:$O,$D108,'9. Actuals SAP Extract'!$W:$W,AJ$11)</f>
        <v>15907</v>
      </c>
      <c r="AK108" s="105"/>
      <c r="AL108" s="829">
        <f>SUMIFS('9. Actuals SAP Extract'!$V:$V,'9. Actuals SAP Extract'!$P:$P,$C108,'9. Actuals SAP Extract'!$O:$O,$D108,'9. Actuals SAP Extract'!$W:$W,AL$11)</f>
        <v>0</v>
      </c>
      <c r="AM108" s="105"/>
      <c r="AN108" s="829">
        <f>SUMIFS('9. Actuals SAP Extract'!$V:$V,'9. Actuals SAP Extract'!$P:$P,$C108,'9. Actuals SAP Extract'!$O:$O,$D108,'9. Actuals SAP Extract'!$W:$W,AN$11)</f>
        <v>0</v>
      </c>
      <c r="AO108" s="105"/>
      <c r="AP108" s="133">
        <f>SUMIFS('9. Actuals SAP Extract'!$V:$V,'9. Actuals SAP Extract'!$P:$P,$C108,'9. Actuals SAP Extract'!$O:$O,$D108,'9. Actuals SAP Extract'!$W:$W,AP$11)</f>
        <v>0</v>
      </c>
      <c r="AQ108" s="105"/>
      <c r="AR108" s="311"/>
      <c r="AS108" s="105"/>
      <c r="AT108" s="311"/>
      <c r="AU108" s="105"/>
      <c r="AV108" s="311"/>
      <c r="AW108" s="105"/>
      <c r="AX108" s="311"/>
      <c r="AY108" s="105"/>
      <c r="AZ108" s="311"/>
      <c r="BA108" s="105"/>
      <c r="BB108" s="311"/>
      <c r="BC108" s="105"/>
      <c r="BD108" s="311"/>
    </row>
    <row r="109" spans="1:56" x14ac:dyDescent="0.35">
      <c r="A109" s="899" t="s">
        <v>706</v>
      </c>
      <c r="B109" s="899" t="s">
        <v>650</v>
      </c>
      <c r="C109" s="899" t="s">
        <v>577</v>
      </c>
      <c r="D109" s="905">
        <v>7000001145</v>
      </c>
      <c r="E109" s="906"/>
      <c r="F109" s="255"/>
      <c r="G109" s="105"/>
      <c r="H109" s="810"/>
      <c r="I109" s="109"/>
      <c r="J109" s="311"/>
      <c r="K109" s="105"/>
      <c r="L109" s="311"/>
      <c r="M109" s="105"/>
      <c r="N109" s="311"/>
      <c r="O109" s="105"/>
      <c r="P109" s="592"/>
      <c r="Q109" s="105"/>
      <c r="R109" s="311"/>
      <c r="S109" s="105"/>
      <c r="T109" s="311"/>
      <c r="U109" s="105"/>
      <c r="V109" s="311">
        <f>SUMIFS('9. Actuals SAP Extract'!$V:$V,'9. Actuals SAP Extract'!$P:$P,$C109,'9. Actuals SAP Extract'!$O:$O,$D109,'9. Actuals SAP Extract'!$W:$W,V$11)</f>
        <v>0</v>
      </c>
      <c r="W109" s="105"/>
      <c r="X109" s="311">
        <f>SUMIFS('9. Actuals SAP Extract'!$V:$V,'9. Actuals SAP Extract'!$P:$P,$C109,'9. Actuals SAP Extract'!$O:$O,$D109,'9. Actuals SAP Extract'!$W:$W,X$11)</f>
        <v>1792</v>
      </c>
      <c r="Y109" s="105"/>
      <c r="Z109" s="311">
        <f>SUMIFS('9. Actuals SAP Extract'!$V:$V,'9. Actuals SAP Extract'!$P:$P,$C109,'9. Actuals SAP Extract'!$O:$O,$D109,'9. Actuals SAP Extract'!$W:$W,Z$11)</f>
        <v>5376</v>
      </c>
      <c r="AA109" s="105"/>
      <c r="AB109" s="792">
        <f>SUMIFS('9. Actuals SAP Extract'!$V:$V,'9. Actuals SAP Extract'!$P:$P,$C109,'9. Actuals SAP Extract'!$O:$O,$D109,'9. Actuals SAP Extract'!$W:$W,AB$11)</f>
        <v>1792</v>
      </c>
      <c r="AC109" s="105"/>
      <c r="AD109" s="792">
        <f>SUMIFS('9. Actuals SAP Extract'!$V:$V,'9. Actuals SAP Extract'!$P:$P,$C109,'9. Actuals SAP Extract'!$O:$O,$D109,'9. Actuals SAP Extract'!$W:$W,AD$11)</f>
        <v>3584</v>
      </c>
      <c r="AE109" s="105"/>
      <c r="AF109" s="829">
        <f>SUMIFS('9. Actuals SAP Extract'!$V:$V,'9. Actuals SAP Extract'!$P:$P,$C109,'9. Actuals SAP Extract'!$O:$O,$D109,'9. Actuals SAP Extract'!$W:$W,AF$11)</f>
        <v>0</v>
      </c>
      <c r="AG109" s="105"/>
      <c r="AH109" s="829">
        <f>SUMIFS('9. Actuals SAP Extract'!$V:$V,'9. Actuals SAP Extract'!$P:$P,$C109,'9. Actuals SAP Extract'!$O:$O,$D109,'9. Actuals SAP Extract'!$W:$W,AH$11)</f>
        <v>0</v>
      </c>
      <c r="AI109" s="105"/>
      <c r="AJ109" s="867">
        <f>SUMIFS('9. Actuals SAP Extract'!$V:$V,'9. Actuals SAP Extract'!$P:$P,$C109,'9. Actuals SAP Extract'!$O:$O,$D109,'9. Actuals SAP Extract'!$W:$W,AJ$11)</f>
        <v>8176</v>
      </c>
      <c r="AK109" s="105"/>
      <c r="AL109" s="829">
        <f>SUMIFS('9. Actuals SAP Extract'!$V:$V,'9. Actuals SAP Extract'!$P:$P,$C109,'9. Actuals SAP Extract'!$O:$O,$D109,'9. Actuals SAP Extract'!$W:$W,AL$11)</f>
        <v>0</v>
      </c>
      <c r="AM109" s="105"/>
      <c r="AN109" s="829">
        <f>SUMIFS('9. Actuals SAP Extract'!$V:$V,'9. Actuals SAP Extract'!$P:$P,$C109,'9. Actuals SAP Extract'!$O:$O,$D109,'9. Actuals SAP Extract'!$W:$W,AN$11)</f>
        <v>0</v>
      </c>
      <c r="AO109" s="105"/>
      <c r="AP109" s="133">
        <f>SUMIFS('9. Actuals SAP Extract'!$V:$V,'9. Actuals SAP Extract'!$P:$P,$C109,'9. Actuals SAP Extract'!$O:$O,$D109,'9. Actuals SAP Extract'!$W:$W,AP$11)</f>
        <v>0</v>
      </c>
      <c r="AQ109" s="105"/>
      <c r="AR109" s="311"/>
      <c r="AS109" s="105"/>
      <c r="AT109" s="311"/>
      <c r="AU109" s="105"/>
      <c r="AV109" s="311"/>
      <c r="AW109" s="105"/>
      <c r="AX109" s="311"/>
      <c r="AY109" s="105"/>
      <c r="AZ109" s="311"/>
      <c r="BA109" s="105"/>
      <c r="BB109" s="311"/>
      <c r="BC109" s="105"/>
      <c r="BD109" s="311"/>
    </row>
    <row r="110" spans="1:56" s="845" customFormat="1" x14ac:dyDescent="0.35">
      <c r="A110" s="899" t="s">
        <v>706</v>
      </c>
      <c r="B110" s="899" t="s">
        <v>650</v>
      </c>
      <c r="C110" s="899" t="s">
        <v>524</v>
      </c>
      <c r="D110" s="905">
        <v>7000002363</v>
      </c>
      <c r="E110" s="906"/>
      <c r="F110" s="255"/>
      <c r="G110" s="105"/>
      <c r="H110" s="810"/>
      <c r="I110" s="109"/>
      <c r="J110" s="311"/>
      <c r="K110" s="105"/>
      <c r="L110" s="311"/>
      <c r="M110" s="105"/>
      <c r="N110" s="311"/>
      <c r="O110" s="105"/>
      <c r="P110" s="592"/>
      <c r="Q110" s="105"/>
      <c r="R110" s="311"/>
      <c r="S110" s="105"/>
      <c r="T110" s="311"/>
      <c r="U110" s="105"/>
      <c r="V110" s="311"/>
      <c r="W110" s="105"/>
      <c r="X110" s="311"/>
      <c r="Y110" s="105"/>
      <c r="Z110" s="311"/>
      <c r="AA110" s="105"/>
      <c r="AB110" s="792"/>
      <c r="AC110" s="105"/>
      <c r="AD110" s="792"/>
      <c r="AE110" s="105"/>
      <c r="AF110" s="829"/>
      <c r="AG110" s="105"/>
      <c r="AH110" s="829"/>
      <c r="AI110" s="105"/>
      <c r="AJ110" s="867"/>
      <c r="AK110" s="105">
        <v>5488</v>
      </c>
      <c r="AL110" s="929">
        <f>SUMIFS('9. Actuals SAP Extract'!$V:$V,'9. Actuals SAP Extract'!$P:$P,$C110,'9. Actuals SAP Extract'!$O:$O,$D110,'9. Actuals SAP Extract'!$W:$W,AL$11)</f>
        <v>11200</v>
      </c>
      <c r="AM110" s="105">
        <v>5416</v>
      </c>
      <c r="AN110" s="867">
        <f>SUMIFS('9. Actuals SAP Extract'!$V:$V,'9. Actuals SAP Extract'!$P:$P,$C110,'9. Actuals SAP Extract'!$O:$O,$D110,'9. Actuals SAP Extract'!$W:$W,AN$11)</f>
        <v>3920</v>
      </c>
      <c r="AO110" s="105">
        <v>5416</v>
      </c>
      <c r="AP110" s="133">
        <f>SUMIFS('9. Actuals SAP Extract'!$V:$V,'9. Actuals SAP Extract'!$P:$P,$C110,'9. Actuals SAP Extract'!$O:$O,$D110,'9. Actuals SAP Extract'!$W:$W,AP$11)</f>
        <v>0</v>
      </c>
      <c r="AQ110" s="105">
        <v>5416</v>
      </c>
      <c r="AR110" s="311"/>
      <c r="AS110" s="105">
        <v>5416</v>
      </c>
      <c r="AT110" s="311"/>
      <c r="AU110" s="105">
        <v>5416</v>
      </c>
      <c r="AV110" s="311"/>
      <c r="AW110" s="105">
        <v>5416</v>
      </c>
      <c r="AX110" s="311"/>
      <c r="AY110" s="105">
        <v>5416</v>
      </c>
      <c r="AZ110" s="311"/>
      <c r="BA110" s="105">
        <v>5416</v>
      </c>
      <c r="BB110" s="311"/>
      <c r="BC110" s="105">
        <v>5416</v>
      </c>
      <c r="BD110" s="311"/>
    </row>
    <row r="111" spans="1:56" x14ac:dyDescent="0.35">
      <c r="A111" s="899" t="s">
        <v>706</v>
      </c>
      <c r="B111" s="899" t="s">
        <v>650</v>
      </c>
      <c r="C111" s="899" t="s">
        <v>524</v>
      </c>
      <c r="D111" s="905">
        <v>7000001145</v>
      </c>
      <c r="E111" s="906"/>
      <c r="F111" s="255"/>
      <c r="G111" s="105"/>
      <c r="H111" s="810"/>
      <c r="I111" s="109"/>
      <c r="J111" s="311"/>
      <c r="K111" s="105"/>
      <c r="L111" s="311"/>
      <c r="M111" s="105"/>
      <c r="N111" s="311"/>
      <c r="O111" s="105"/>
      <c r="P111" s="592"/>
      <c r="Q111" s="105"/>
      <c r="R111" s="311"/>
      <c r="S111" s="105"/>
      <c r="T111" s="311"/>
      <c r="U111" s="105"/>
      <c r="V111" s="592">
        <f>SUMIFS('9. Actuals SAP Extract'!$V:$V,'9. Actuals SAP Extract'!$P:$P,$C111,'9. Actuals SAP Extract'!$O:$O,$D111,'9. Actuals SAP Extract'!$W:$W,V$11)</f>
        <v>2604</v>
      </c>
      <c r="W111" s="105"/>
      <c r="X111" s="311">
        <f>SUMIFS('9. Actuals SAP Extract'!$V:$V,'9. Actuals SAP Extract'!$P:$P,$C111,'9. Actuals SAP Extract'!$O:$O,$D111,'9. Actuals SAP Extract'!$W:$W,X$11)</f>
        <v>-2604</v>
      </c>
      <c r="Y111" s="105">
        <v>2604</v>
      </c>
      <c r="Z111" s="311">
        <f>SUMIFS('9. Actuals SAP Extract'!$V:$V,'9. Actuals SAP Extract'!$P:$P,$C111,'9. Actuals SAP Extract'!$O:$O,$D111,'9. Actuals SAP Extract'!$W:$W,Z$11)</f>
        <v>0</v>
      </c>
      <c r="AA111" s="105">
        <v>2604</v>
      </c>
      <c r="AB111" s="311">
        <f>SUMIFS('9. Actuals SAP Extract'!$V:$V,'9. Actuals SAP Extract'!$P:$P,$C111,'9. Actuals SAP Extract'!$O:$O,$D111,'9. Actuals SAP Extract'!$W:$W,AB$11)</f>
        <v>0</v>
      </c>
      <c r="AC111" s="105">
        <v>2604</v>
      </c>
      <c r="AD111" s="311">
        <f>SUMIFS('9. Actuals SAP Extract'!$V:$V,'9. Actuals SAP Extract'!$P:$P,$C111,'9. Actuals SAP Extract'!$O:$O,$D111,'9. Actuals SAP Extract'!$W:$W,AD$11)</f>
        <v>0</v>
      </c>
      <c r="AE111" s="615">
        <v>2604</v>
      </c>
      <c r="AF111" s="829">
        <f>SUMIFS('9. Actuals SAP Extract'!$V:$V,'9. Actuals SAP Extract'!$P:$P,$C111,'9. Actuals SAP Extract'!$O:$O,$D111,'9. Actuals SAP Extract'!$W:$W,AF$11)</f>
        <v>0</v>
      </c>
      <c r="AG111" s="105">
        <v>2604</v>
      </c>
      <c r="AH111" s="829">
        <f>SUMIFS('9. Actuals SAP Extract'!$V:$V,'9. Actuals SAP Extract'!$P:$P,$C111,'9. Actuals SAP Extract'!$O:$O,$D111,'9. Actuals SAP Extract'!$W:$W,AH$11)</f>
        <v>0</v>
      </c>
      <c r="AI111" s="105">
        <v>3517</v>
      </c>
      <c r="AJ111" s="829">
        <f>SUMIFS('9. Actuals SAP Extract'!$V:$V,'9. Actuals SAP Extract'!$P:$P,$C111,'9. Actuals SAP Extract'!$O:$O,$D111,'9. Actuals SAP Extract'!$W:$W,AJ$11)</f>
        <v>0</v>
      </c>
      <c r="AK111" s="105"/>
      <c r="AL111" s="829">
        <f>SUMIFS('9. Actuals SAP Extract'!$V:$V,'9. Actuals SAP Extract'!$P:$P,$C111,'9. Actuals SAP Extract'!$O:$O,$D111,'9. Actuals SAP Extract'!$W:$W,AL$11)</f>
        <v>0</v>
      </c>
      <c r="AM111" s="105"/>
      <c r="AN111" s="829">
        <f>SUMIFS('9. Actuals SAP Extract'!$V:$V,'9. Actuals SAP Extract'!$P:$P,$C111,'9. Actuals SAP Extract'!$O:$O,$D111,'9. Actuals SAP Extract'!$W:$W,AN$11)</f>
        <v>0</v>
      </c>
      <c r="AO111" s="105"/>
      <c r="AP111" s="133">
        <f>SUMIFS('9. Actuals SAP Extract'!$V:$V,'9. Actuals SAP Extract'!$P:$P,$C111,'9. Actuals SAP Extract'!$O:$O,$D111,'9. Actuals SAP Extract'!$W:$W,AP$11)</f>
        <v>0</v>
      </c>
      <c r="AQ111" s="105"/>
      <c r="AR111" s="311"/>
      <c r="AS111" s="105"/>
      <c r="AT111" s="311"/>
      <c r="AU111" s="105"/>
      <c r="AV111" s="311"/>
      <c r="AW111" s="105"/>
      <c r="AX111" s="311"/>
      <c r="AY111" s="105"/>
      <c r="AZ111" s="311"/>
      <c r="BA111" s="105"/>
      <c r="BB111" s="311"/>
      <c r="BC111" s="105"/>
      <c r="BD111" s="311"/>
    </row>
    <row r="112" spans="1:56" x14ac:dyDescent="0.35">
      <c r="A112" s="902" t="s">
        <v>651</v>
      </c>
      <c r="B112" s="902" t="s">
        <v>650</v>
      </c>
      <c r="C112" s="902" t="s">
        <v>654</v>
      </c>
      <c r="D112" s="903">
        <v>5000046818</v>
      </c>
      <c r="E112" s="904">
        <v>2.5000000000000001E-2</v>
      </c>
      <c r="F112" s="255"/>
      <c r="G112" s="105"/>
      <c r="H112" s="810">
        <f>SUMIFS('9. Actuals SAP Extract'!$V:$V,'9. Actuals SAP Extract'!$P:$P,$C112,'9. Actuals SAP Extract'!$O:$O,$D112,'9. Actuals SAP Extract'!$W:$W,H$11)</f>
        <v>0</v>
      </c>
      <c r="I112" s="109"/>
      <c r="J112" s="311">
        <f>SUMIFS('9. Actuals SAP Extract'!$V:$V,'9. Actuals SAP Extract'!$P:$P,$C112,'9. Actuals SAP Extract'!$O:$O,$D112,'9. Actuals SAP Extract'!$W:$W,J$11)</f>
        <v>0</v>
      </c>
      <c r="K112" s="105"/>
      <c r="L112" s="311">
        <f>SUMIFS('9. Actuals SAP Extract'!$V:$V,'9. Actuals SAP Extract'!$P:$P,$C112,'9. Actuals SAP Extract'!$O:$O,$D112,'9. Actuals SAP Extract'!$W:$W,L$11)</f>
        <v>0</v>
      </c>
      <c r="M112" s="105">
        <f>M107/2</f>
        <v>2520</v>
      </c>
      <c r="N112" s="311">
        <f>SUMIFS('9. Actuals SAP Extract'!$V:$V,'9. Actuals SAP Extract'!$P:$P,$C112,'9. Actuals SAP Extract'!$O:$O,$D112,'9. Actuals SAP Extract'!$W:$W,N$11)</f>
        <v>0</v>
      </c>
      <c r="O112" s="105">
        <f>1</f>
        <v>1</v>
      </c>
      <c r="P112" s="592">
        <v>5040</v>
      </c>
      <c r="Q112" s="105">
        <v>5040</v>
      </c>
      <c r="R112" s="311">
        <f>SUMIFS('9. Actuals SAP Extract'!$V:$V,'9. Actuals SAP Extract'!$P:$P,$C112,'9. Actuals SAP Extract'!$O:$O,$D112,'9. Actuals SAP Extract'!$W:$W,R$11)</f>
        <v>0</v>
      </c>
      <c r="S112" s="105">
        <v>2604</v>
      </c>
      <c r="T112" s="311">
        <f>SUMIFS('9. Actuals SAP Extract'!$V:$V,'9. Actuals SAP Extract'!$P:$P,$C112,'9. Actuals SAP Extract'!$O:$O,$D112,'9. Actuals SAP Extract'!$W:$W,T$11)</f>
        <v>0</v>
      </c>
      <c r="U112" s="105">
        <v>2604</v>
      </c>
      <c r="V112" s="311">
        <f>SUMIFS('9. Actuals SAP Extract'!$V:$V,'9. Actuals SAP Extract'!$P:$P,$C112,'9. Actuals SAP Extract'!$O:$O,$D112,'9. Actuals SAP Extract'!$W:$W,V$11)</f>
        <v>0</v>
      </c>
      <c r="W112" s="105">
        <v>2604</v>
      </c>
      <c r="X112" s="311">
        <f>SUMIFS('9. Actuals SAP Extract'!$V:$V,'9. Actuals SAP Extract'!$P:$P,$C112,'9. Actuals SAP Extract'!$O:$O,$D112,'9. Actuals SAP Extract'!$W:$W,X$11)</f>
        <v>0</v>
      </c>
      <c r="Y112" s="105"/>
      <c r="Z112" s="311">
        <f>SUMIFS('9. Actuals SAP Extract'!$V:$V,'9. Actuals SAP Extract'!$P:$P,$C112,'9. Actuals SAP Extract'!$O:$O,$D112,'9. Actuals SAP Extract'!$W:$W,Z$11)</f>
        <v>0</v>
      </c>
      <c r="AA112" s="105"/>
      <c r="AB112" s="311">
        <f>SUMIFS('9. Actuals SAP Extract'!$V:$V,'9. Actuals SAP Extract'!$P:$P,$C112,'9. Actuals SAP Extract'!$O:$O,$D112,'9. Actuals SAP Extract'!$W:$W,AB$11)</f>
        <v>0</v>
      </c>
      <c r="AC112" s="105"/>
      <c r="AD112" s="311">
        <f>SUMIFS('9. Actuals SAP Extract'!$V:$V,'9. Actuals SAP Extract'!$P:$P,$C112,'9. Actuals SAP Extract'!$O:$O,$D112,'9. Actuals SAP Extract'!$W:$W,AD$11)</f>
        <v>0</v>
      </c>
      <c r="AE112" s="615"/>
      <c r="AF112" s="829">
        <f>SUMIFS('9. Actuals SAP Extract'!$V:$V,'9. Actuals SAP Extract'!$P:$P,$C112,'9. Actuals SAP Extract'!$O:$O,$D112,'9. Actuals SAP Extract'!$W:$W,AF$11)</f>
        <v>0</v>
      </c>
      <c r="AG112" s="105"/>
      <c r="AH112" s="829">
        <f>SUMIFS('9. Actuals SAP Extract'!$V:$V,'9. Actuals SAP Extract'!$P:$P,$C112,'9. Actuals SAP Extract'!$O:$O,$D112,'9. Actuals SAP Extract'!$W:$W,AH$11)</f>
        <v>0</v>
      </c>
      <c r="AI112" s="105"/>
      <c r="AJ112" s="829">
        <f>SUMIFS('9. Actuals SAP Extract'!$V:$V,'9. Actuals SAP Extract'!$P:$P,$C112,'9. Actuals SAP Extract'!$O:$O,$D112,'9. Actuals SAP Extract'!$W:$W,AJ$11)</f>
        <v>0</v>
      </c>
      <c r="AK112" s="105"/>
      <c r="AL112" s="829">
        <f>SUMIFS('9. Actuals SAP Extract'!$V:$V,'9. Actuals SAP Extract'!$P:$P,$C112,'9. Actuals SAP Extract'!$O:$O,$D112,'9. Actuals SAP Extract'!$W:$W,AL$11)</f>
        <v>0</v>
      </c>
      <c r="AM112" s="105"/>
      <c r="AN112" s="829">
        <f>SUMIFS('9. Actuals SAP Extract'!$V:$V,'9. Actuals SAP Extract'!$P:$P,$C112,'9. Actuals SAP Extract'!$O:$O,$D112,'9. Actuals SAP Extract'!$W:$W,AN$11)</f>
        <v>0</v>
      </c>
      <c r="AO112" s="105"/>
      <c r="AP112" s="133">
        <f>SUMIFS('9. Actuals SAP Extract'!$V:$V,'9. Actuals SAP Extract'!$P:$P,$C112,'9. Actuals SAP Extract'!$O:$O,$D112,'9. Actuals SAP Extract'!$W:$W,AP$11)</f>
        <v>0</v>
      </c>
      <c r="AQ112" s="105"/>
      <c r="AR112" s="311"/>
      <c r="AS112" s="105"/>
      <c r="AT112" s="311"/>
      <c r="AU112" s="105"/>
      <c r="AV112" s="311"/>
      <c r="AW112" s="105"/>
      <c r="AX112" s="311"/>
      <c r="AY112" s="105"/>
      <c r="AZ112" s="311"/>
      <c r="BA112" s="105"/>
      <c r="BB112" s="311"/>
      <c r="BC112" s="105"/>
      <c r="BD112" s="311"/>
    </row>
    <row r="113" spans="1:56" x14ac:dyDescent="0.35">
      <c r="A113" s="902" t="s">
        <v>651</v>
      </c>
      <c r="B113" s="902" t="s">
        <v>650</v>
      </c>
      <c r="C113" s="902" t="s">
        <v>524</v>
      </c>
      <c r="D113" s="903">
        <v>5000046818</v>
      </c>
      <c r="E113" s="904">
        <v>2.5000000000000001E-2</v>
      </c>
      <c r="F113" s="255"/>
      <c r="G113" s="105"/>
      <c r="H113" s="810">
        <f>SUMIFS('9. Actuals SAP Extract'!$V:$V,'9. Actuals SAP Extract'!$P:$P,$C113,'9. Actuals SAP Extract'!$O:$O,$D113,'9. Actuals SAP Extract'!$W:$W,H$11)</f>
        <v>0</v>
      </c>
      <c r="I113" s="109"/>
      <c r="J113" s="311">
        <f>SUMIFS('9. Actuals SAP Extract'!$V:$V,'9. Actuals SAP Extract'!$P:$P,$C113,'9. Actuals SAP Extract'!$O:$O,$D113,'9. Actuals SAP Extract'!$W:$W,J$11)</f>
        <v>0</v>
      </c>
      <c r="K113" s="105"/>
      <c r="L113" s="311">
        <f>SUMIFS('9. Actuals SAP Extract'!$V:$V,'9. Actuals SAP Extract'!$P:$P,$C113,'9. Actuals SAP Extract'!$O:$O,$D113,'9. Actuals SAP Extract'!$W:$W,L$11)</f>
        <v>0</v>
      </c>
      <c r="M113" s="105">
        <f>M108/2</f>
        <v>2520</v>
      </c>
      <c r="N113" s="311">
        <f>SUMIFS('9. Actuals SAP Extract'!$V:$V,'9. Actuals SAP Extract'!$P:$P,$C113,'9. Actuals SAP Extract'!$O:$O,$D113,'9. Actuals SAP Extract'!$W:$W,N$11)</f>
        <v>0</v>
      </c>
      <c r="O113" s="105">
        <f>1</f>
        <v>1</v>
      </c>
      <c r="P113" s="592">
        <v>5040</v>
      </c>
      <c r="Q113" s="105">
        <v>5040</v>
      </c>
      <c r="R113" s="311">
        <f>SUMIFS('9. Actuals SAP Extract'!$V:$V,'9. Actuals SAP Extract'!$P:$P,$C113,'9. Actuals SAP Extract'!$O:$O,$D113,'9. Actuals SAP Extract'!$W:$W,R$11)</f>
        <v>0</v>
      </c>
      <c r="S113" s="105">
        <v>2604</v>
      </c>
      <c r="T113" s="311">
        <f>SUMIFS('9. Actuals SAP Extract'!$V:$V,'9. Actuals SAP Extract'!$P:$P,$C113,'9. Actuals SAP Extract'!$O:$O,$D113,'9. Actuals SAP Extract'!$W:$W,T$11)</f>
        <v>-2436</v>
      </c>
      <c r="U113" s="105">
        <v>2604</v>
      </c>
      <c r="V113" s="311">
        <f>SUMIFS('9. Actuals SAP Extract'!$V:$V,'9. Actuals SAP Extract'!$P:$P,$C113,'9. Actuals SAP Extract'!$O:$O,$D113,'9. Actuals SAP Extract'!$W:$W,V$11)</f>
        <v>2604</v>
      </c>
      <c r="W113" s="105">
        <v>2604</v>
      </c>
      <c r="X113" s="311">
        <f>SUMIFS('9. Actuals SAP Extract'!$V:$V,'9. Actuals SAP Extract'!$P:$P,$C113,'9. Actuals SAP Extract'!$O:$O,$D113,'9. Actuals SAP Extract'!$W:$W,X$11)</f>
        <v>-2604</v>
      </c>
      <c r="Y113" s="105"/>
      <c r="Z113" s="311">
        <f>SUMIFS('9. Actuals SAP Extract'!$V:$V,'9. Actuals SAP Extract'!$P:$P,$C113,'9. Actuals SAP Extract'!$O:$O,$D113,'9. Actuals SAP Extract'!$W:$W,Z$11)</f>
        <v>-2604</v>
      </c>
      <c r="AA113" s="105"/>
      <c r="AB113" s="311">
        <f>SUMIFS('9. Actuals SAP Extract'!$V:$V,'9. Actuals SAP Extract'!$P:$P,$C113,'9. Actuals SAP Extract'!$O:$O,$D113,'9. Actuals SAP Extract'!$W:$W,AB$11)</f>
        <v>0</v>
      </c>
      <c r="AC113" s="105"/>
      <c r="AD113" s="311">
        <f>SUMIFS('9. Actuals SAP Extract'!$V:$V,'9. Actuals SAP Extract'!$P:$P,$C113,'9. Actuals SAP Extract'!$O:$O,$D113,'9. Actuals SAP Extract'!$W:$W,AD$11)</f>
        <v>0</v>
      </c>
      <c r="AE113" s="615"/>
      <c r="AF113" s="829">
        <f>SUMIFS('9. Actuals SAP Extract'!$V:$V,'9. Actuals SAP Extract'!$P:$P,$C113,'9. Actuals SAP Extract'!$O:$O,$D113,'9. Actuals SAP Extract'!$W:$W,AF$11)</f>
        <v>0</v>
      </c>
      <c r="AG113" s="105"/>
      <c r="AH113" s="829">
        <f>SUMIFS('9. Actuals SAP Extract'!$V:$V,'9. Actuals SAP Extract'!$P:$P,$C113,'9. Actuals SAP Extract'!$O:$O,$D113,'9. Actuals SAP Extract'!$W:$W,AH$11)</f>
        <v>0</v>
      </c>
      <c r="AI113" s="105"/>
      <c r="AJ113" s="829">
        <f>SUMIFS('9. Actuals SAP Extract'!$V:$V,'9. Actuals SAP Extract'!$P:$P,$C113,'9. Actuals SAP Extract'!$O:$O,$D113,'9. Actuals SAP Extract'!$W:$W,AJ$11)</f>
        <v>0</v>
      </c>
      <c r="AK113" s="105"/>
      <c r="AL113" s="829">
        <f>SUMIFS('9. Actuals SAP Extract'!$V:$V,'9. Actuals SAP Extract'!$P:$P,$C113,'9. Actuals SAP Extract'!$O:$O,$D113,'9. Actuals SAP Extract'!$W:$W,AL$11)</f>
        <v>0</v>
      </c>
      <c r="AM113" s="105"/>
      <c r="AN113" s="829">
        <f>SUMIFS('9. Actuals SAP Extract'!$V:$V,'9. Actuals SAP Extract'!$P:$P,$C113,'9. Actuals SAP Extract'!$O:$O,$D113,'9. Actuals SAP Extract'!$W:$W,AN$11)</f>
        <v>0</v>
      </c>
      <c r="AO113" s="105"/>
      <c r="AP113" s="133">
        <f>SUMIFS('9. Actuals SAP Extract'!$V:$V,'9. Actuals SAP Extract'!$P:$P,$C113,'9. Actuals SAP Extract'!$O:$O,$D113,'9. Actuals SAP Extract'!$W:$W,AP$11)</f>
        <v>0</v>
      </c>
      <c r="AQ113" s="105"/>
      <c r="AR113" s="311"/>
      <c r="AS113" s="105"/>
      <c r="AT113" s="311"/>
      <c r="AU113" s="105"/>
      <c r="AV113" s="311"/>
      <c r="AW113" s="105"/>
      <c r="AX113" s="311"/>
      <c r="AY113" s="105"/>
      <c r="AZ113" s="311"/>
      <c r="BA113" s="105"/>
      <c r="BB113" s="311"/>
      <c r="BC113" s="105"/>
      <c r="BD113" s="311"/>
    </row>
    <row r="114" spans="1:56" s="845" customFormat="1" ht="39" x14ac:dyDescent="0.35">
      <c r="A114" s="899" t="s">
        <v>847</v>
      </c>
      <c r="B114" s="899" t="s">
        <v>703</v>
      </c>
      <c r="C114" s="899" t="s">
        <v>524</v>
      </c>
      <c r="D114" s="900">
        <v>7000002490</v>
      </c>
      <c r="E114" s="901"/>
      <c r="F114" s="255"/>
      <c r="G114" s="105"/>
      <c r="H114" s="810">
        <f>SUMIFS('9. Actuals SAP Extract'!$V:$V,'9. Actuals SAP Extract'!$P:$P,$C114,'9. Actuals SAP Extract'!$O:$O,$D114,'9. Actuals SAP Extract'!$W:$W,H$11)</f>
        <v>0</v>
      </c>
      <c r="I114" s="109"/>
      <c r="J114" s="311">
        <f>SUMIFS('9. Actuals SAP Extract'!$V:$V,'9. Actuals SAP Extract'!$P:$P,$C114,'9. Actuals SAP Extract'!$O:$O,$D114,'9. Actuals SAP Extract'!$W:$W,J$11)</f>
        <v>0</v>
      </c>
      <c r="K114" s="105"/>
      <c r="L114" s="311">
        <f>SUMIFS('9. Actuals SAP Extract'!$V:$V,'9. Actuals SAP Extract'!$P:$P,$C114,'9. Actuals SAP Extract'!$O:$O,$D114,'9. Actuals SAP Extract'!$W:$W,L$11)</f>
        <v>0</v>
      </c>
      <c r="M114" s="105"/>
      <c r="N114" s="311">
        <f>SUMIFS('9. Actuals SAP Extract'!$V:$V,'9. Actuals SAP Extract'!$P:$P,$C114,'9. Actuals SAP Extract'!$O:$O,$D114,'9. Actuals SAP Extract'!$W:$W,N$11)</f>
        <v>0</v>
      </c>
      <c r="O114" s="105"/>
      <c r="P114" s="311">
        <f>SUMIFS('9. Actuals SAP Extract'!$V:$V,'9. Actuals SAP Extract'!$P:$P,$C114,'9. Actuals SAP Extract'!$O:$O,$D114,'9. Actuals SAP Extract'!$W:$W,P$11)</f>
        <v>0</v>
      </c>
      <c r="Q114" s="105"/>
      <c r="R114" s="311">
        <v>6370</v>
      </c>
      <c r="S114" s="105"/>
      <c r="T114" s="311">
        <f>SUMIFS('9. Actuals SAP Extract'!$V:$V,'9. Actuals SAP Extract'!$P:$P,$C114,'9. Actuals SAP Extract'!$O:$O,$D114,'9. Actuals SAP Extract'!$W:$W,T$11)</f>
        <v>0</v>
      </c>
      <c r="U114" s="105"/>
      <c r="V114" s="311">
        <f>SUMIFS('9. Actuals SAP Extract'!$V:$V,'9. Actuals SAP Extract'!$P:$P,$C114,'9. Actuals SAP Extract'!$O:$O,$D114,'9. Actuals SAP Extract'!$W:$W,V$11)</f>
        <v>0</v>
      </c>
      <c r="W114" s="105"/>
      <c r="X114" s="311">
        <f>SUMIFS('9. Actuals SAP Extract'!$V:$V,'9. Actuals SAP Extract'!$P:$P,$C114,'9. Actuals SAP Extract'!$O:$O,$D114,'9. Actuals SAP Extract'!$W:$W,X$11)</f>
        <v>0</v>
      </c>
      <c r="Y114" s="105"/>
      <c r="Z114" s="311">
        <f>SUMIFS('9. Actuals SAP Extract'!$V:$V,'9. Actuals SAP Extract'!$P:$P,$C114,'9. Actuals SAP Extract'!$O:$O,$D114,'9. Actuals SAP Extract'!$W:$W,Z$11)</f>
        <v>0</v>
      </c>
      <c r="AA114" s="105"/>
      <c r="AB114" s="792">
        <f>SUMIFS('9. Actuals SAP Extract'!$V:$V,'9. Actuals SAP Extract'!$P:$P,$C114,'9. Actuals SAP Extract'!$O:$O,$D114,'9. Actuals SAP Extract'!$W:$W,AB$11)</f>
        <v>0</v>
      </c>
      <c r="AC114" s="105">
        <v>25000</v>
      </c>
      <c r="AD114" s="792">
        <f>SUMIFS('9. Actuals SAP Extract'!$V:$V,'9. Actuals SAP Extract'!$P:$P,$C114,'9. Actuals SAP Extract'!$O:$O,$D114,'9. Actuals SAP Extract'!$W:$W,AD$11)</f>
        <v>0</v>
      </c>
      <c r="AE114" s="615">
        <v>15533</v>
      </c>
      <c r="AF114" s="829">
        <f>SUMIFS('9. Actuals SAP Extract'!$V:$V,'9. Actuals SAP Extract'!$P:$P,$C114,'9. Actuals SAP Extract'!$O:$O,$D114,'9. Actuals SAP Extract'!$W:$W,AF$11)</f>
        <v>0</v>
      </c>
      <c r="AG114" s="105">
        <v>0</v>
      </c>
      <c r="AH114" s="829">
        <f>SUMIFS('9. Actuals SAP Extract'!$V:$V,'9. Actuals SAP Extract'!$P:$P,$C114,'9. Actuals SAP Extract'!$O:$O,$D114,'9. Actuals SAP Extract'!$W:$W,AH$11)</f>
        <v>0</v>
      </c>
      <c r="AI114" s="105"/>
      <c r="AJ114" s="829">
        <f>SUMIFS('9. Actuals SAP Extract'!$V:$V,'9. Actuals SAP Extract'!$P:$P,$C114,'9. Actuals SAP Extract'!$O:$O,$D114,'9. Actuals SAP Extract'!$W:$W,AJ$11)</f>
        <v>0</v>
      </c>
      <c r="AK114" s="105">
        <v>14400</v>
      </c>
      <c r="AL114" s="929">
        <f>SUMIFS('9. Actuals SAP Extract'!$V:$V,'9. Actuals SAP Extract'!$P:$P,$C114,'9. Actuals SAP Extract'!$O:$O,$D114,'9. Actuals SAP Extract'!$W:$W,AL$11)</f>
        <v>29000</v>
      </c>
      <c r="AM114" s="105">
        <v>7200</v>
      </c>
      <c r="AN114" s="867">
        <f>SUMIFS('9. Actuals SAP Extract'!$V:$V,'9. Actuals SAP Extract'!$P:$P,$C114,'9. Actuals SAP Extract'!$O:$O,$D114,'9. Actuals SAP Extract'!$W:$W,AN$11)</f>
        <v>14902</v>
      </c>
      <c r="AO114" s="105">
        <v>7200</v>
      </c>
      <c r="AP114" s="133">
        <f>SUMIFS('9. Actuals SAP Extract'!$V:$V,'9. Actuals SAP Extract'!$P:$P,$C114,'9. Actuals SAP Extract'!$O:$O,$D114,'9. Actuals SAP Extract'!$W:$W,AP$11)</f>
        <v>0</v>
      </c>
      <c r="AQ114" s="105">
        <v>7200</v>
      </c>
      <c r="AR114" s="311"/>
      <c r="AS114" s="105">
        <v>7200</v>
      </c>
      <c r="AT114" s="311"/>
      <c r="AU114" s="105">
        <v>7200</v>
      </c>
      <c r="AV114" s="311"/>
      <c r="AW114" s="105">
        <v>7200</v>
      </c>
      <c r="AX114" s="311"/>
      <c r="AY114" s="105">
        <v>7200</v>
      </c>
      <c r="AZ114" s="311"/>
      <c r="BA114" s="105">
        <v>7200</v>
      </c>
      <c r="BB114" s="311"/>
      <c r="BC114" s="105">
        <v>7200</v>
      </c>
      <c r="BD114" s="311"/>
    </row>
    <row r="115" spans="1:56" ht="39" x14ac:dyDescent="0.35">
      <c r="A115" s="899" t="s">
        <v>847</v>
      </c>
      <c r="B115" s="899" t="s">
        <v>703</v>
      </c>
      <c r="C115" s="899" t="s">
        <v>524</v>
      </c>
      <c r="D115" s="900">
        <v>7000000729</v>
      </c>
      <c r="E115" s="901"/>
      <c r="F115" s="255"/>
      <c r="G115" s="105"/>
      <c r="H115" s="810">
        <f>SUMIFS('9. Actuals SAP Extract'!$V:$V,'9. Actuals SAP Extract'!$P:$P,$C115,'9. Actuals SAP Extract'!$O:$O,$D115,'9. Actuals SAP Extract'!$W:$W,H$11)</f>
        <v>0</v>
      </c>
      <c r="I115" s="109"/>
      <c r="J115" s="311">
        <f>SUMIFS('9. Actuals SAP Extract'!$V:$V,'9. Actuals SAP Extract'!$P:$P,$C115,'9. Actuals SAP Extract'!$O:$O,$D115,'9. Actuals SAP Extract'!$W:$W,J$11)</f>
        <v>0</v>
      </c>
      <c r="K115" s="105"/>
      <c r="L115" s="311">
        <f>SUMIFS('9. Actuals SAP Extract'!$V:$V,'9. Actuals SAP Extract'!$P:$P,$C115,'9. Actuals SAP Extract'!$O:$O,$D115,'9. Actuals SAP Extract'!$W:$W,L$11)</f>
        <v>0</v>
      </c>
      <c r="M115" s="105"/>
      <c r="N115" s="311">
        <f>SUMIFS('9. Actuals SAP Extract'!$V:$V,'9. Actuals SAP Extract'!$P:$P,$C115,'9. Actuals SAP Extract'!$O:$O,$D115,'9. Actuals SAP Extract'!$W:$W,N$11)</f>
        <v>0</v>
      </c>
      <c r="O115" s="105"/>
      <c r="P115" s="311">
        <f>SUMIFS('9. Actuals SAP Extract'!$V:$V,'9. Actuals SAP Extract'!$P:$P,$C115,'9. Actuals SAP Extract'!$O:$O,$D115,'9. Actuals SAP Extract'!$W:$W,P$11)</f>
        <v>0</v>
      </c>
      <c r="Q115" s="105"/>
      <c r="R115" s="311">
        <v>6370</v>
      </c>
      <c r="S115" s="105"/>
      <c r="T115" s="311">
        <f>SUMIFS('9. Actuals SAP Extract'!$V:$V,'9. Actuals SAP Extract'!$P:$P,$C115,'9. Actuals SAP Extract'!$O:$O,$D115,'9. Actuals SAP Extract'!$W:$W,T$11)</f>
        <v>0</v>
      </c>
      <c r="U115" s="105"/>
      <c r="V115" s="311">
        <f>SUMIFS('9. Actuals SAP Extract'!$V:$V,'9. Actuals SAP Extract'!$P:$P,$C115,'9. Actuals SAP Extract'!$O:$O,$D115,'9. Actuals SAP Extract'!$W:$W,V$11)</f>
        <v>0</v>
      </c>
      <c r="W115" s="105"/>
      <c r="X115" s="311">
        <f>SUMIFS('9. Actuals SAP Extract'!$V:$V,'9. Actuals SAP Extract'!$P:$P,$C115,'9. Actuals SAP Extract'!$O:$O,$D115,'9. Actuals SAP Extract'!$W:$W,X$11)</f>
        <v>54470.720000000001</v>
      </c>
      <c r="Y115" s="105"/>
      <c r="Z115" s="311">
        <f>SUMIFS('9. Actuals SAP Extract'!$V:$V,'9. Actuals SAP Extract'!$P:$P,$C115,'9. Actuals SAP Extract'!$O:$O,$D115,'9. Actuals SAP Extract'!$W:$W,Z$11)</f>
        <v>0</v>
      </c>
      <c r="AA115" s="105"/>
      <c r="AB115" s="792">
        <f>SUMIFS('9. Actuals SAP Extract'!$V:$V,'9. Actuals SAP Extract'!$P:$P,$C115,'9. Actuals SAP Extract'!$O:$O,$D115,'9. Actuals SAP Extract'!$W:$W,AB$11)</f>
        <v>25801.919999999998</v>
      </c>
      <c r="AC115" s="105">
        <v>25000</v>
      </c>
      <c r="AD115" s="792">
        <f>SUMIFS('9. Actuals SAP Extract'!$V:$V,'9. Actuals SAP Extract'!$P:$P,$C115,'9. Actuals SAP Extract'!$O:$O,$D115,'9. Actuals SAP Extract'!$W:$W,AD$11)</f>
        <v>25000</v>
      </c>
      <c r="AE115" s="615">
        <v>15533</v>
      </c>
      <c r="AF115" s="829">
        <f>SUMIFS('9. Actuals SAP Extract'!$V:$V,'9. Actuals SAP Extract'!$P:$P,$C115,'9. Actuals SAP Extract'!$O:$O,$D115,'9. Actuals SAP Extract'!$W:$W,AF$11)</f>
        <v>15533.15</v>
      </c>
      <c r="AG115" s="105">
        <v>0</v>
      </c>
      <c r="AH115" s="829">
        <f>SUMIFS('9. Actuals SAP Extract'!$V:$V,'9. Actuals SAP Extract'!$P:$P,$C115,'9. Actuals SAP Extract'!$O:$O,$D115,'9. Actuals SAP Extract'!$W:$W,AH$11)</f>
        <v>15000</v>
      </c>
      <c r="AI115" s="105">
        <v>15002</v>
      </c>
      <c r="AJ115" s="867">
        <f>SUMIFS('9. Actuals SAP Extract'!$V:$V,'9. Actuals SAP Extract'!$P:$P,$C115,'9. Actuals SAP Extract'!$O:$O,$D115,'9. Actuals SAP Extract'!$W:$W,AJ$11)</f>
        <v>15002</v>
      </c>
      <c r="AK115" s="105"/>
      <c r="AL115" s="929">
        <f>SUMIFS('9. Actuals SAP Extract'!$V:$V,'9. Actuals SAP Extract'!$P:$P,$C115,'9. Actuals SAP Extract'!$O:$O,$D115,'9. Actuals SAP Extract'!$W:$W,AL$11)</f>
        <v>-30002</v>
      </c>
      <c r="AM115" s="105"/>
      <c r="AN115" s="829">
        <f>SUMIFS('9. Actuals SAP Extract'!$V:$V,'9. Actuals SAP Extract'!$P:$P,$C115,'9. Actuals SAP Extract'!$O:$O,$D115,'9. Actuals SAP Extract'!$W:$W,AN$11)</f>
        <v>0</v>
      </c>
      <c r="AO115" s="105"/>
      <c r="AP115" s="133">
        <f>SUMIFS('9. Actuals SAP Extract'!$V:$V,'9. Actuals SAP Extract'!$P:$P,$C115,'9. Actuals SAP Extract'!$O:$O,$D115,'9. Actuals SAP Extract'!$W:$W,AP$11)</f>
        <v>0</v>
      </c>
      <c r="AQ115" s="105"/>
      <c r="AR115" s="311"/>
      <c r="AS115" s="105"/>
      <c r="AT115" s="311"/>
      <c r="AU115" s="105"/>
      <c r="AV115" s="311"/>
      <c r="AW115" s="105"/>
      <c r="AX115" s="311"/>
      <c r="AY115" s="105"/>
      <c r="AZ115" s="311"/>
      <c r="BA115" s="105"/>
      <c r="BB115" s="311"/>
      <c r="BC115" s="105"/>
      <c r="BD115" s="311"/>
    </row>
    <row r="116" spans="1:56" ht="26" x14ac:dyDescent="0.35">
      <c r="A116" s="902" t="s">
        <v>707</v>
      </c>
      <c r="B116" s="902" t="s">
        <v>744</v>
      </c>
      <c r="C116" s="902" t="s">
        <v>524</v>
      </c>
      <c r="D116" s="903">
        <v>7000002000</v>
      </c>
      <c r="E116" s="913">
        <v>145</v>
      </c>
      <c r="F116" s="255"/>
      <c r="G116" s="105"/>
      <c r="H116" s="810"/>
      <c r="I116" s="109"/>
      <c r="J116" s="311"/>
      <c r="K116" s="105"/>
      <c r="L116" s="311"/>
      <c r="M116" s="105"/>
      <c r="N116" s="311"/>
      <c r="O116" s="105"/>
      <c r="P116" s="311"/>
      <c r="Q116" s="105"/>
      <c r="R116" s="311"/>
      <c r="S116" s="105"/>
      <c r="T116" s="311"/>
      <c r="U116" s="105"/>
      <c r="V116" s="311"/>
      <c r="W116" s="105"/>
      <c r="X116" s="311">
        <f>SUMIFS('9. Actuals SAP Extract'!$V:$V,'9. Actuals SAP Extract'!$P:$P,$C116,'9. Actuals SAP Extract'!$O:$O,$D116,'9. Actuals SAP Extract'!$W:$W,X$11)</f>
        <v>0</v>
      </c>
      <c r="Y116" s="615">
        <f>E116*Y12</f>
        <v>25520</v>
      </c>
      <c r="Z116" s="311">
        <f>SUMIFS('9. Actuals SAP Extract'!$V:$V,'9. Actuals SAP Extract'!$P:$P,$C116,'9. Actuals SAP Extract'!$O:$O,$D116,'9. Actuals SAP Extract'!$W:$W,Z$11)</f>
        <v>25520</v>
      </c>
      <c r="AA116" s="615">
        <v>0</v>
      </c>
      <c r="AB116" s="311">
        <f>SUMIFS('9. Actuals SAP Extract'!$V:$V,'9. Actuals SAP Extract'!$P:$P,$C116,'9. Actuals SAP Extract'!$O:$O,$D116,'9. Actuals SAP Extract'!$W:$W,AB$11)</f>
        <v>0</v>
      </c>
      <c r="AC116" s="615">
        <v>49880</v>
      </c>
      <c r="AD116" s="792">
        <f>SUMIFS('9. Actuals SAP Extract'!$V:$V,'9. Actuals SAP Extract'!$P:$P,$C116,'9. Actuals SAP Extract'!$O:$O,$D116,'9. Actuals SAP Extract'!$W:$W,AD$11)</f>
        <v>49880</v>
      </c>
      <c r="AE116" s="615">
        <f>E116*AE12/2</f>
        <v>11600</v>
      </c>
      <c r="AF116" s="829">
        <f>SUMIFS('9. Actuals SAP Extract'!$V:$V,'9. Actuals SAP Extract'!$P:$P,$C116,'9. Actuals SAP Extract'!$O:$O,$D116,'9. Actuals SAP Extract'!$W:$W,AF$11)</f>
        <v>12416</v>
      </c>
      <c r="AG116" s="615">
        <f>G116*AG12/2</f>
        <v>0</v>
      </c>
      <c r="AH116" s="829">
        <f>SUMIFS('9. Actuals SAP Extract'!$V:$V,'9. Actuals SAP Extract'!$P:$P,$C116,'9. Actuals SAP Extract'!$O:$O,$D116,'9. Actuals SAP Extract'!$W:$W,AH$11)</f>
        <v>33597</v>
      </c>
      <c r="AI116" s="615">
        <f>$E$116*AI$12</f>
        <v>23200</v>
      </c>
      <c r="AJ116" s="867">
        <f>SUMIFS('9. Actuals SAP Extract'!$V:$V,'9. Actuals SAP Extract'!$P:$P,$C116,'9. Actuals SAP Extract'!$O:$O,$D116,'9. Actuals SAP Extract'!$W:$W,AJ$11)</f>
        <v>23200</v>
      </c>
      <c r="AK116" s="615">
        <f>$E$116*AK$12</f>
        <v>25520</v>
      </c>
      <c r="AL116" s="929">
        <f>SUMIFS('9. Actuals SAP Extract'!$V:$V,'9. Actuals SAP Extract'!$P:$P,$C116,'9. Actuals SAP Extract'!$O:$O,$D116,'9. Actuals SAP Extract'!$W:$W,AL$11)</f>
        <v>23587</v>
      </c>
      <c r="AM116" s="615">
        <f>$E$116*AM$12</f>
        <v>25520</v>
      </c>
      <c r="AN116" s="829">
        <f>SUMIFS('9. Actuals SAP Extract'!$V:$V,'9. Actuals SAP Extract'!$P:$P,$C116,'9. Actuals SAP Extract'!$O:$O,$D116,'9. Actuals SAP Extract'!$W:$W,AN$11)</f>
        <v>25520</v>
      </c>
      <c r="AO116" s="615">
        <v>25520</v>
      </c>
      <c r="AP116" s="133">
        <f>SUMIFS('9. Actuals SAP Extract'!$V:$V,'9. Actuals SAP Extract'!$P:$P,$C116,'9. Actuals SAP Extract'!$O:$O,$D116,'9. Actuals SAP Extract'!$W:$W,AP$11)</f>
        <v>25520</v>
      </c>
      <c r="AQ116" s="615">
        <f>$E$116*AQ$12</f>
        <v>25520</v>
      </c>
      <c r="AR116" s="311"/>
      <c r="AS116" s="615">
        <f>$E$116*AS$12</f>
        <v>25520</v>
      </c>
      <c r="AT116" s="311"/>
      <c r="AU116" s="615">
        <f>$E$116*AU$12</f>
        <v>24360</v>
      </c>
      <c r="AV116" s="311"/>
      <c r="AW116" s="615">
        <f>$E$116*AW$12</f>
        <v>25520</v>
      </c>
      <c r="AX116" s="311"/>
      <c r="AY116" s="615">
        <f>$E$116*AY$12</f>
        <v>25520</v>
      </c>
      <c r="AZ116" s="311"/>
      <c r="BA116" s="615">
        <f>$E$116*BA$12</f>
        <v>22040</v>
      </c>
      <c r="BB116" s="311"/>
      <c r="BC116" s="615">
        <f>$E$116*BC$12</f>
        <v>23200</v>
      </c>
      <c r="BD116" s="311"/>
    </row>
    <row r="117" spans="1:56" ht="26.15" customHeight="1" x14ac:dyDescent="0.35">
      <c r="A117" s="899" t="s">
        <v>743</v>
      </c>
      <c r="B117" s="899" t="s">
        <v>745</v>
      </c>
      <c r="C117" s="899" t="s">
        <v>524</v>
      </c>
      <c r="D117" s="900">
        <v>7000001998</v>
      </c>
      <c r="E117" s="901"/>
      <c r="F117" s="255"/>
      <c r="G117" s="105"/>
      <c r="H117" s="810"/>
      <c r="I117" s="109"/>
      <c r="J117" s="311"/>
      <c r="K117" s="105"/>
      <c r="L117" s="311"/>
      <c r="M117" s="105"/>
      <c r="N117" s="311"/>
      <c r="O117" s="105"/>
      <c r="P117" s="311"/>
      <c r="Q117" s="105"/>
      <c r="R117" s="311"/>
      <c r="S117" s="105"/>
      <c r="T117" s="311"/>
      <c r="U117" s="105"/>
      <c r="V117" s="311"/>
      <c r="W117" s="105"/>
      <c r="X117" s="311">
        <f>SUMIFS('9. Actuals SAP Extract'!$V:$V,'9. Actuals SAP Extract'!$P:$P,$C117,'9. Actuals SAP Extract'!$O:$O,$D117,'9. Actuals SAP Extract'!$W:$W,X$11)</f>
        <v>769.8</v>
      </c>
      <c r="Y117" s="105"/>
      <c r="Z117" s="311">
        <f>SUMIFS('9. Actuals SAP Extract'!$V:$V,'9. Actuals SAP Extract'!$P:$P,$C117,'9. Actuals SAP Extract'!$O:$O,$D117,'9. Actuals SAP Extract'!$W:$W,Z$11)</f>
        <v>0</v>
      </c>
      <c r="AA117" s="105"/>
      <c r="AB117" s="311">
        <f>SUMIFS('9. Actuals SAP Extract'!$V:$V,'9. Actuals SAP Extract'!$P:$P,$C117,'9. Actuals SAP Extract'!$O:$O,$D117,'9. Actuals SAP Extract'!$W:$W,AB$11)</f>
        <v>0</v>
      </c>
      <c r="AC117" s="105"/>
      <c r="AD117" s="792">
        <f>SUMIFS('9. Actuals SAP Extract'!$V:$V,'9. Actuals SAP Extract'!$P:$P,$C117,'9. Actuals SAP Extract'!$O:$O,$D117,'9. Actuals SAP Extract'!$W:$W,AD$11)</f>
        <v>3584.21</v>
      </c>
      <c r="AE117" s="615">
        <v>2512</v>
      </c>
      <c r="AF117" s="829">
        <f>SUMIFS('9. Actuals SAP Extract'!$V:$V,'9. Actuals SAP Extract'!$P:$P,$C117,'9. Actuals SAP Extract'!$O:$O,$D117,'9. Actuals SAP Extract'!$W:$W,AF$11)</f>
        <v>0</v>
      </c>
      <c r="AG117" s="105">
        <v>2512</v>
      </c>
      <c r="AH117" s="829">
        <f>SUMIFS('9. Actuals SAP Extract'!$V:$V,'9. Actuals SAP Extract'!$P:$P,$C117,'9. Actuals SAP Extract'!$O:$O,$D117,'9. Actuals SAP Extract'!$W:$W,AH$11)</f>
        <v>2766.31</v>
      </c>
      <c r="AI117" s="105">
        <v>2512</v>
      </c>
      <c r="AJ117" s="829">
        <f>SUMIFS('9. Actuals SAP Extract'!$V:$V,'9. Actuals SAP Extract'!$P:$P,$C117,'9. Actuals SAP Extract'!$O:$O,$D117,'9. Actuals SAP Extract'!$W:$W,AJ$11)</f>
        <v>0</v>
      </c>
      <c r="AK117" s="105">
        <v>2512</v>
      </c>
      <c r="AL117" s="929">
        <f>SUMIFS('9. Actuals SAP Extract'!$V:$V,'9. Actuals SAP Extract'!$P:$P,$C117,'9. Actuals SAP Extract'!$O:$O,$D117,'9. Actuals SAP Extract'!$W:$W,AL$11)</f>
        <v>-2512</v>
      </c>
      <c r="AM117" s="105">
        <v>2512</v>
      </c>
      <c r="AN117" s="829">
        <f>SUMIFS('9. Actuals SAP Extract'!$V:$V,'9. Actuals SAP Extract'!$P:$P,$C117,'9. Actuals SAP Extract'!$O:$O,$D117,'9. Actuals SAP Extract'!$W:$W,AN$11)</f>
        <v>1410.67</v>
      </c>
      <c r="AO117" s="105">
        <v>2512</v>
      </c>
      <c r="AP117" s="133">
        <f>SUMIFS('9. Actuals SAP Extract'!$V:$V,'9. Actuals SAP Extract'!$P:$P,$C117,'9. Actuals SAP Extract'!$O:$O,$D117,'9. Actuals SAP Extract'!$W:$W,AP$11)</f>
        <v>0</v>
      </c>
      <c r="AQ117" s="105">
        <v>2512</v>
      </c>
      <c r="AR117" s="311"/>
      <c r="AS117" s="105">
        <v>2512</v>
      </c>
      <c r="AT117" s="311"/>
      <c r="AU117" s="105">
        <v>2512</v>
      </c>
      <c r="AV117" s="311"/>
      <c r="AW117" s="105">
        <v>2512</v>
      </c>
      <c r="AX117" s="311"/>
      <c r="AY117" s="105">
        <v>2512</v>
      </c>
      <c r="AZ117" s="311"/>
      <c r="BA117" s="105">
        <v>2512</v>
      </c>
      <c r="BB117" s="311"/>
      <c r="BC117" s="105">
        <v>2512</v>
      </c>
      <c r="BD117" s="311"/>
    </row>
    <row r="118" spans="1:56" x14ac:dyDescent="0.35">
      <c r="A118" s="902" t="s">
        <v>746</v>
      </c>
      <c r="B118" s="902" t="s">
        <v>744</v>
      </c>
      <c r="C118" s="902" t="s">
        <v>524</v>
      </c>
      <c r="D118" s="903">
        <v>7000001734</v>
      </c>
      <c r="E118" s="914">
        <v>257618.69</v>
      </c>
      <c r="F118" s="255"/>
      <c r="G118" s="105"/>
      <c r="H118" s="810"/>
      <c r="I118" s="109"/>
      <c r="J118" s="311"/>
      <c r="K118" s="105"/>
      <c r="L118" s="311"/>
      <c r="M118" s="105"/>
      <c r="N118" s="311"/>
      <c r="O118" s="105"/>
      <c r="P118" s="311"/>
      <c r="Q118" s="105"/>
      <c r="R118" s="311"/>
      <c r="S118" s="105"/>
      <c r="T118" s="311"/>
      <c r="U118" s="105"/>
      <c r="V118" s="311"/>
      <c r="W118" s="105"/>
      <c r="X118" s="311">
        <f>SUMIFS('9. Actuals SAP Extract'!$V:$V,'9. Actuals SAP Extract'!$P:$P,$C118,'9. Actuals SAP Extract'!$O:$O,$D118,'9. Actuals SAP Extract'!$W:$W,X$11)</f>
        <v>31320</v>
      </c>
      <c r="Y118" s="105"/>
      <c r="Z118" s="311">
        <f>SUMIFS('9. Actuals SAP Extract'!$V:$V,'9. Actuals SAP Extract'!$P:$P,$C118,'9. Actuals SAP Extract'!$O:$O,$D118,'9. Actuals SAP Extract'!$W:$W,Z$11)</f>
        <v>0</v>
      </c>
      <c r="AA118" s="105"/>
      <c r="AB118" s="311">
        <f>SUMIFS('9. Actuals SAP Extract'!$V:$V,'9. Actuals SAP Extract'!$P:$P,$C118,'9. Actuals SAP Extract'!$O:$O,$D118,'9. Actuals SAP Extract'!$W:$W,AB$11)</f>
        <v>0</v>
      </c>
      <c r="AC118" s="105"/>
      <c r="AD118" s="311">
        <f>SUMIFS('9. Actuals SAP Extract'!$V:$V,'9. Actuals SAP Extract'!$P:$P,$C118,'9. Actuals SAP Extract'!$O:$O,$D118,'9. Actuals SAP Extract'!$W:$W,AD$11)</f>
        <v>0</v>
      </c>
      <c r="AE118" s="615"/>
      <c r="AF118" s="829">
        <f>SUMIFS('9. Actuals SAP Extract'!$V:$V,'9. Actuals SAP Extract'!$P:$P,$C118,'9. Actuals SAP Extract'!$O:$O,$D118,'9. Actuals SAP Extract'!$W:$W,AF$11)</f>
        <v>0</v>
      </c>
      <c r="AG118" s="105"/>
      <c r="AH118" s="829">
        <f>SUMIFS('9. Actuals SAP Extract'!$V:$V,'9. Actuals SAP Extract'!$P:$P,$C118,'9. Actuals SAP Extract'!$O:$O,$D118,'9. Actuals SAP Extract'!$W:$W,AH$11)</f>
        <v>0</v>
      </c>
      <c r="AI118" s="105"/>
      <c r="AJ118" s="829">
        <f>SUMIFS('9. Actuals SAP Extract'!$V:$V,'9. Actuals SAP Extract'!$P:$P,$C118,'9. Actuals SAP Extract'!$O:$O,$D118,'9. Actuals SAP Extract'!$W:$W,AJ$11)</f>
        <v>0</v>
      </c>
      <c r="AK118" s="105"/>
      <c r="AL118" s="829">
        <f>SUMIFS('9. Actuals SAP Extract'!$V:$V,'9. Actuals SAP Extract'!$P:$P,$C118,'9. Actuals SAP Extract'!$O:$O,$D118,'9. Actuals SAP Extract'!$W:$W,AL$11)</f>
        <v>0</v>
      </c>
      <c r="AM118" s="105"/>
      <c r="AN118" s="829">
        <f>SUMIFS('9. Actuals SAP Extract'!$V:$V,'9. Actuals SAP Extract'!$P:$P,$C118,'9. Actuals SAP Extract'!$O:$O,$D118,'9. Actuals SAP Extract'!$W:$W,AN$11)</f>
        <v>0</v>
      </c>
      <c r="AO118" s="105"/>
      <c r="AP118" s="133">
        <f>SUMIFS('9. Actuals SAP Extract'!$V:$V,'9. Actuals SAP Extract'!$P:$P,$C118,'9. Actuals SAP Extract'!$O:$O,$D118,'9. Actuals SAP Extract'!$W:$W,AP$11)</f>
        <v>0</v>
      </c>
      <c r="AQ118" s="105"/>
      <c r="AR118" s="311"/>
      <c r="AS118" s="105"/>
      <c r="AT118" s="311"/>
      <c r="AU118" s="105"/>
      <c r="AV118" s="311"/>
      <c r="AW118" s="105"/>
      <c r="AX118" s="311"/>
      <c r="AY118" s="105"/>
      <c r="AZ118" s="311"/>
      <c r="BA118" s="105"/>
      <c r="BB118" s="311"/>
      <c r="BC118" s="105"/>
      <c r="BD118" s="311"/>
    </row>
    <row r="119" spans="1:56" x14ac:dyDescent="0.35">
      <c r="A119" s="899"/>
      <c r="B119" s="899" t="s">
        <v>782</v>
      </c>
      <c r="C119" s="899" t="s">
        <v>524</v>
      </c>
      <c r="D119" s="900">
        <v>7000002054</v>
      </c>
      <c r="E119" s="915">
        <f>333900+68893</f>
        <v>402793</v>
      </c>
      <c r="F119" s="255"/>
      <c r="G119" s="105"/>
      <c r="H119" s="810"/>
      <c r="I119" s="109"/>
      <c r="J119" s="311"/>
      <c r="K119" s="105"/>
      <c r="L119" s="311"/>
      <c r="M119" s="105"/>
      <c r="N119" s="311"/>
      <c r="O119" s="105"/>
      <c r="P119" s="311"/>
      <c r="Q119" s="105"/>
      <c r="R119" s="311"/>
      <c r="S119" s="105"/>
      <c r="T119" s="311"/>
      <c r="U119" s="105"/>
      <c r="V119" s="311"/>
      <c r="W119" s="105"/>
      <c r="X119" s="311"/>
      <c r="Y119" s="105"/>
      <c r="Z119" s="311">
        <f>SUMIFS('9. Actuals SAP Extract'!$V:$V,'9. Actuals SAP Extract'!$P:$P,$C119,'9. Actuals SAP Extract'!$O:$O,$D119,'9. Actuals SAP Extract'!$W:$W,Z$11)</f>
        <v>0</v>
      </c>
      <c r="AA119" s="105">
        <v>120204</v>
      </c>
      <c r="AB119" s="792">
        <f>SUMIFS('9. Actuals SAP Extract'!$V:$V,'9. Actuals SAP Extract'!$P:$P,$C119,'9. Actuals SAP Extract'!$O:$O,$D119,'9. Actuals SAP Extract'!$W:$W,AB$11)</f>
        <v>133560</v>
      </c>
      <c r="AC119" s="105">
        <v>200340</v>
      </c>
      <c r="AD119" s="792">
        <f>SUMIFS('9. Actuals SAP Extract'!$V:$V,'9. Actuals SAP Extract'!$P:$P,$C119,'9. Actuals SAP Extract'!$O:$O,$D119,'9. Actuals SAP Extract'!$W:$W,AD$11)</f>
        <v>200340</v>
      </c>
      <c r="AE119" s="615">
        <v>68893</v>
      </c>
      <c r="AF119" s="829">
        <v>68893</v>
      </c>
      <c r="AG119" s="105">
        <v>136374</v>
      </c>
      <c r="AH119" s="829">
        <f>SUMIFS('9. Actuals SAP Extract'!$V:$V,'9. Actuals SAP Extract'!$P:$P,$C119,'9. Actuals SAP Extract'!$O:$O,$D119,'9. Actuals SAP Extract'!$W:$W,AH$11)</f>
        <v>70251.670000000013</v>
      </c>
      <c r="AI119" s="105">
        <v>145175</v>
      </c>
      <c r="AJ119" s="867">
        <f>SUMIFS('9. Actuals SAP Extract'!$V:$V,'9. Actuals SAP Extract'!$P:$P,$C119,'9. Actuals SAP Extract'!$O:$O,$D119,'9. Actuals SAP Extract'!$W:$W,AJ$11)</f>
        <v>69969</v>
      </c>
      <c r="AK119" s="105">
        <v>-71328</v>
      </c>
      <c r="AL119" s="929">
        <v>-71328</v>
      </c>
      <c r="AM119" s="105">
        <v>68893</v>
      </c>
      <c r="AN119" s="867">
        <v>-153965</v>
      </c>
      <c r="AO119" s="105">
        <v>-137786</v>
      </c>
      <c r="AP119" s="133">
        <f>SUMIFS('9. Actuals SAP Extract'!$V:$V,'9. Actuals SAP Extract'!$P:$P,$C119,'9. Actuals SAP Extract'!$O:$O,$D119,'9. Actuals SAP Extract'!$W:$W,AP$11)</f>
        <v>-222858</v>
      </c>
      <c r="AQ119" s="105"/>
      <c r="AR119" s="311"/>
      <c r="AS119" s="105"/>
      <c r="AT119" s="311"/>
      <c r="AU119" s="105"/>
      <c r="AV119" s="311"/>
      <c r="AW119" s="105"/>
      <c r="AX119" s="311"/>
      <c r="AY119" s="105"/>
      <c r="AZ119" s="311"/>
      <c r="BA119" s="105"/>
      <c r="BB119" s="311"/>
      <c r="BC119" s="105"/>
      <c r="BD119" s="311"/>
    </row>
    <row r="120" spans="1:56" hidden="1" x14ac:dyDescent="0.35">
      <c r="A120" s="258" t="s">
        <v>704</v>
      </c>
      <c r="B120" s="107" t="s">
        <v>703</v>
      </c>
      <c r="C120" s="107" t="s">
        <v>524</v>
      </c>
      <c r="D120" s="572">
        <v>7000001204</v>
      </c>
      <c r="E120" s="317"/>
      <c r="F120" s="255"/>
      <c r="G120" s="105"/>
      <c r="H120" s="810">
        <f>SUMIFS('9. Actuals SAP Extract'!$V:$V,'9. Actuals SAP Extract'!$P:$P,$C120,'9. Actuals SAP Extract'!$O:$O,$D120,'9. Actuals SAP Extract'!$W:$W,H$11)</f>
        <v>0</v>
      </c>
      <c r="I120" s="109"/>
      <c r="J120" s="311">
        <f>SUMIFS('9. Actuals SAP Extract'!$V:$V,'9. Actuals SAP Extract'!$P:$P,$C120,'9. Actuals SAP Extract'!$O:$O,$D120,'9. Actuals SAP Extract'!$W:$W,J$11)</f>
        <v>0</v>
      </c>
      <c r="K120" s="105"/>
      <c r="L120" s="311">
        <f>SUMIFS('9. Actuals SAP Extract'!$V:$V,'9. Actuals SAP Extract'!$P:$P,$C120,'9. Actuals SAP Extract'!$O:$O,$D120,'9. Actuals SAP Extract'!$W:$W,L$11)</f>
        <v>0</v>
      </c>
      <c r="M120" s="105"/>
      <c r="N120" s="311">
        <f>SUMIFS('9. Actuals SAP Extract'!$V:$V,'9. Actuals SAP Extract'!$P:$P,$C120,'9. Actuals SAP Extract'!$O:$O,$D120,'9. Actuals SAP Extract'!$W:$W,N$11)</f>
        <v>0</v>
      </c>
      <c r="O120" s="105"/>
      <c r="P120" s="311">
        <f>SUMIFS('9. Actuals SAP Extract'!$V:$V,'9. Actuals SAP Extract'!$P:$P,$C120,'9. Actuals SAP Extract'!$O:$O,$D120,'9. Actuals SAP Extract'!$W:$W,P$11)</f>
        <v>0</v>
      </c>
      <c r="Q120" s="105"/>
      <c r="R120" s="311">
        <f>SUMIFS('9. Actuals SAP Extract'!$V:$V,'9. Actuals SAP Extract'!$P:$P,$C120,'9. Actuals SAP Extract'!$O:$O,$D120,'9. Actuals SAP Extract'!$W:$W,R$11)</f>
        <v>0</v>
      </c>
      <c r="S120" s="105"/>
      <c r="T120" s="311">
        <f>SUMIFS('9. Actuals SAP Extract'!$V:$V,'9. Actuals SAP Extract'!$P:$P,$C120,'9. Actuals SAP Extract'!$O:$O,$D120,'9. Actuals SAP Extract'!$W:$W,T$11)</f>
        <v>0</v>
      </c>
      <c r="U120" s="105"/>
      <c r="V120" s="311">
        <f>SUMIFS('9. Actuals SAP Extract'!$V:$V,'9. Actuals SAP Extract'!$P:$P,$C120,'9. Actuals SAP Extract'!$O:$O,$D120,'9. Actuals SAP Extract'!$W:$W,V$11)</f>
        <v>0</v>
      </c>
      <c r="W120" s="105"/>
      <c r="X120" s="311">
        <f>SUMIFS('9. Actuals SAP Extract'!$V:$V,'9. Actuals SAP Extract'!$P:$P,$C120,'9. Actuals SAP Extract'!$O:$O,$D120,'9. Actuals SAP Extract'!$W:$W,X$11)</f>
        <v>0</v>
      </c>
      <c r="Y120" s="105"/>
      <c r="Z120" s="311">
        <f>SUMIFS('9. Actuals SAP Extract'!$V:$V,'9. Actuals SAP Extract'!$P:$P,$C120,'9. Actuals SAP Extract'!$O:$O,$D120,'9. Actuals SAP Extract'!$W:$W,Z$11)</f>
        <v>0</v>
      </c>
      <c r="AA120" s="105"/>
      <c r="AB120" s="311">
        <f>SUMIFS('9. Actuals SAP Extract'!$V:$V,'9. Actuals SAP Extract'!$P:$P,$C120,'9. Actuals SAP Extract'!$O:$O,$D120,'9. Actuals SAP Extract'!$W:$W,AB$11)</f>
        <v>0</v>
      </c>
      <c r="AC120" s="105">
        <v>70000</v>
      </c>
      <c r="AD120" s="792">
        <f>SUMIFS('9. Actuals SAP Extract'!$V:$V,'9. Actuals SAP Extract'!$P:$P,$C120,'9. Actuals SAP Extract'!$O:$O,$D120,'9. Actuals SAP Extract'!$W:$W,AD$11)</f>
        <v>70000</v>
      </c>
      <c r="AE120" s="615">
        <v>-70000</v>
      </c>
      <c r="AF120" s="829">
        <f>SUMIFS('9. Actuals SAP Extract'!$V:$V,'9. Actuals SAP Extract'!$P:$P,$C120,'9. Actuals SAP Extract'!$O:$O,$D120,'9. Actuals SAP Extract'!$W:$W,AF$11)</f>
        <v>-70000</v>
      </c>
      <c r="AG120" s="105">
        <v>0</v>
      </c>
      <c r="AH120" s="829">
        <f>SUMIFS('9. Actuals SAP Extract'!$V:$V,'9. Actuals SAP Extract'!$P:$P,$C120,'9. Actuals SAP Extract'!$O:$O,$D120,'9. Actuals SAP Extract'!$W:$W,AH$11)</f>
        <v>0</v>
      </c>
      <c r="AI120" s="105"/>
      <c r="AJ120" s="829">
        <f>SUMIFS('9. Actuals SAP Extract'!$V:$V,'9. Actuals SAP Extract'!$P:$P,$C120,'9. Actuals SAP Extract'!$O:$O,$D120,'9. Actuals SAP Extract'!$W:$W,AJ$11)</f>
        <v>0</v>
      </c>
      <c r="AK120" s="105"/>
      <c r="AL120" s="829">
        <f>SUMIFS('9. Actuals SAP Extract'!$V:$V,'9. Actuals SAP Extract'!$P:$P,$C120,'9. Actuals SAP Extract'!$O:$O,$D120,'9. Actuals SAP Extract'!$W:$W,AL$11)</f>
        <v>0</v>
      </c>
      <c r="AM120" s="105"/>
      <c r="AN120" s="829">
        <f>SUMIFS('9. Actuals SAP Extract'!$V:$V,'9. Actuals SAP Extract'!$P:$P,$C120,'9. Actuals SAP Extract'!$O:$O,$D120,'9. Actuals SAP Extract'!$W:$W,AN$11)</f>
        <v>0</v>
      </c>
      <c r="AO120" s="105"/>
      <c r="AP120" s="133">
        <f>SUMIFS('9. Actuals SAP Extract'!$V:$V,'9. Actuals SAP Extract'!$P:$P,$C120,'9. Actuals SAP Extract'!$O:$O,$D120,'9. Actuals SAP Extract'!$W:$W,AP$11)</f>
        <v>0</v>
      </c>
      <c r="AQ120" s="105"/>
      <c r="AR120" s="311"/>
      <c r="AS120" s="105"/>
      <c r="AT120" s="311"/>
      <c r="AU120" s="105"/>
      <c r="AV120" s="311"/>
      <c r="AW120" s="105"/>
      <c r="AX120" s="311"/>
      <c r="AY120" s="105"/>
      <c r="AZ120" s="311"/>
      <c r="BA120" s="105"/>
      <c r="BB120" s="311"/>
      <c r="BC120" s="105"/>
      <c r="BD120" s="311"/>
    </row>
    <row r="121" spans="1:56" ht="14.5" hidden="1" customHeight="1" x14ac:dyDescent="0.35">
      <c r="A121" s="304"/>
      <c r="B121" s="304"/>
      <c r="C121" s="304"/>
      <c r="D121" s="498"/>
      <c r="E121" s="317"/>
      <c r="F121" s="255"/>
      <c r="G121" s="105"/>
      <c r="H121" s="810">
        <f>SUMIFS('9. Actuals SAP Extract'!$V:$V,'9. Actuals SAP Extract'!$P:$P,$C121,'9. Actuals SAP Extract'!$O:$O,$D121,'9. Actuals SAP Extract'!$W:$W,H$11)</f>
        <v>0</v>
      </c>
      <c r="I121" s="109"/>
      <c r="J121" s="311">
        <f>SUMIFS('9. Actuals SAP Extract'!$V:$V,'9. Actuals SAP Extract'!$P:$P,$C121,'9. Actuals SAP Extract'!$O:$O,$D121,'9. Actuals SAP Extract'!$W:$W,J$11)</f>
        <v>0</v>
      </c>
      <c r="K121" s="105"/>
      <c r="L121" s="311">
        <f>SUMIFS('9. Actuals SAP Extract'!$V:$V,'9. Actuals SAP Extract'!$P:$P,$C121,'9. Actuals SAP Extract'!$O:$O,$D121,'9. Actuals SAP Extract'!$W:$W,L$11)</f>
        <v>0</v>
      </c>
      <c r="M121" s="105"/>
      <c r="N121" s="311">
        <f>SUMIFS('9. Actuals SAP Extract'!$V:$V,'9. Actuals SAP Extract'!$P:$P,$C121,'9. Actuals SAP Extract'!$O:$O,$D121,'9. Actuals SAP Extract'!$W:$W,N$11)</f>
        <v>0</v>
      </c>
      <c r="O121" s="105"/>
      <c r="P121" s="311">
        <f>SUMIFS('9. Actuals SAP Extract'!$V:$V,'9. Actuals SAP Extract'!$P:$P,$C121,'9. Actuals SAP Extract'!$O:$O,$D121,'9. Actuals SAP Extract'!$W:$W,P$11)</f>
        <v>0</v>
      </c>
      <c r="Q121" s="105"/>
      <c r="R121" s="311">
        <f>SUMIFS('9. Actuals SAP Extract'!$V:$V,'9. Actuals SAP Extract'!$P:$P,$C121,'9. Actuals SAP Extract'!$O:$O,$D121,'9. Actuals SAP Extract'!$W:$W,R$11)</f>
        <v>0</v>
      </c>
      <c r="S121" s="105"/>
      <c r="T121" s="311">
        <f>SUMIFS('9. Actuals SAP Extract'!$V:$V,'9. Actuals SAP Extract'!$P:$P,$C121,'9. Actuals SAP Extract'!$O:$O,$D121,'9. Actuals SAP Extract'!$W:$W,T$11)</f>
        <v>0</v>
      </c>
      <c r="U121" s="105"/>
      <c r="V121" s="311">
        <f>SUMIFS('9. Actuals SAP Extract'!$V:$V,'9. Actuals SAP Extract'!$P:$P,$C121,'9. Actuals SAP Extract'!$O:$O,$D121,'9. Actuals SAP Extract'!$W:$W,V$11)</f>
        <v>0</v>
      </c>
      <c r="W121" s="105"/>
      <c r="X121" s="311">
        <f>SUMIFS('9. Actuals SAP Extract'!$V:$V,'9. Actuals SAP Extract'!$P:$P,$C121,'9. Actuals SAP Extract'!$O:$O,$D121,'9. Actuals SAP Extract'!$W:$W,X$11)</f>
        <v>0</v>
      </c>
      <c r="Y121" s="105"/>
      <c r="Z121" s="311">
        <f>SUMIFS('9. Actuals SAP Extract'!$V:$V,'9. Actuals SAP Extract'!$P:$P,$C121,'9. Actuals SAP Extract'!$O:$O,$D121,'9. Actuals SAP Extract'!$W:$W,Z$11)</f>
        <v>0</v>
      </c>
      <c r="AA121" s="105"/>
      <c r="AB121" s="311"/>
      <c r="AC121" s="105"/>
      <c r="AD121" s="792">
        <f>SUMIFS('9. Actuals SAP Extract'!$V:$V,'9. Actuals SAP Extract'!$P:$P,$C121,'9. Actuals SAP Extract'!$O:$O,$D121,'9. Actuals SAP Extract'!$W:$W,AD$11)</f>
        <v>0</v>
      </c>
      <c r="AE121" s="615"/>
      <c r="AF121" s="829">
        <f>SUMIFS('9. Actuals SAP Extract'!$V:$V,'9. Actuals SAP Extract'!$P:$P,$C121,'9. Actuals SAP Extract'!$O:$O,$D121,'9. Actuals SAP Extract'!$W:$W,AF$11)</f>
        <v>0</v>
      </c>
      <c r="AG121" s="105"/>
      <c r="AH121" s="829">
        <f>SUMIFS('9. Actuals SAP Extract'!$V:$V,'9. Actuals SAP Extract'!$P:$P,$C121,'9. Actuals SAP Extract'!$O:$O,$D121,'9. Actuals SAP Extract'!$W:$W,AH$11)</f>
        <v>0</v>
      </c>
      <c r="AI121" s="105"/>
      <c r="AJ121" s="829">
        <f>SUMIFS('9. Actuals SAP Extract'!$V:$V,'9. Actuals SAP Extract'!$P:$P,$C121,'9. Actuals SAP Extract'!$O:$O,$D121,'9. Actuals SAP Extract'!$W:$W,AJ$11)</f>
        <v>0</v>
      </c>
      <c r="AK121" s="105"/>
      <c r="AL121" s="829">
        <f>SUMIFS('9. Actuals SAP Extract'!$V:$V,'9. Actuals SAP Extract'!$P:$P,$C121,'9. Actuals SAP Extract'!$O:$O,$D121,'9. Actuals SAP Extract'!$W:$W,AL$11)</f>
        <v>0</v>
      </c>
      <c r="AM121" s="105"/>
      <c r="AN121" s="829">
        <f>SUMIFS('9. Actuals SAP Extract'!$V:$V,'9. Actuals SAP Extract'!$P:$P,$C121,'9. Actuals SAP Extract'!$O:$O,$D121,'9. Actuals SAP Extract'!$W:$W,AN$11)</f>
        <v>0</v>
      </c>
      <c r="AO121" s="105"/>
      <c r="AP121" s="133">
        <f>SUMIFS('9. Actuals SAP Extract'!$V:$V,'9. Actuals SAP Extract'!$P:$P,$C121,'9. Actuals SAP Extract'!$O:$O,$D121,'9. Actuals SAP Extract'!$W:$W,AP$11)</f>
        <v>0</v>
      </c>
      <c r="AQ121" s="105"/>
      <c r="AR121" s="133"/>
      <c r="AS121" s="105"/>
      <c r="AT121" s="133"/>
      <c r="AU121" s="105"/>
      <c r="AV121" s="133"/>
      <c r="AW121" s="105"/>
      <c r="AX121" s="133"/>
      <c r="AY121" s="105"/>
      <c r="AZ121" s="133"/>
      <c r="BA121" s="105"/>
      <c r="BB121" s="133"/>
      <c r="BC121" s="105"/>
      <c r="BD121" s="133"/>
    </row>
    <row r="122" spans="1:56" ht="14.5" hidden="1" customHeight="1" x14ac:dyDescent="0.35">
      <c r="A122" s="304"/>
      <c r="B122" s="304"/>
      <c r="C122" s="304"/>
      <c r="D122" s="497"/>
      <c r="E122" s="313"/>
      <c r="F122" s="255"/>
      <c r="G122" s="105"/>
      <c r="H122" s="810">
        <f>SUMIFS('9. Actuals SAP Extract'!$V:$V,'9. Actuals SAP Extract'!$P:$P,$C122,'9. Actuals SAP Extract'!$O:$O,$D122,'9. Actuals SAP Extract'!$W:$W,H$11)</f>
        <v>0</v>
      </c>
      <c r="I122" s="109"/>
      <c r="J122" s="311">
        <f>SUMIFS('9. Actuals SAP Extract'!$V:$V,'9. Actuals SAP Extract'!$P:$P,$C122,'9. Actuals SAP Extract'!$O:$O,$D122,'9. Actuals SAP Extract'!$W:$W,J$11)</f>
        <v>0</v>
      </c>
      <c r="K122" s="105"/>
      <c r="L122" s="311">
        <f>SUMIFS('9. Actuals SAP Extract'!$V:$V,'9. Actuals SAP Extract'!$P:$P,$C122,'9. Actuals SAP Extract'!$O:$O,$D122,'9. Actuals SAP Extract'!$W:$W,L$11)</f>
        <v>0</v>
      </c>
      <c r="M122" s="105"/>
      <c r="N122" s="311">
        <f>SUMIFS('9. Actuals SAP Extract'!$V:$V,'9. Actuals SAP Extract'!$P:$P,$C122,'9. Actuals SAP Extract'!$O:$O,$D122,'9. Actuals SAP Extract'!$W:$W,N$11)</f>
        <v>0</v>
      </c>
      <c r="O122" s="105"/>
      <c r="P122" s="311">
        <f>SUMIFS('9. Actuals SAP Extract'!$V:$V,'9. Actuals SAP Extract'!$P:$P,$C122,'9. Actuals SAP Extract'!$O:$O,$D122,'9. Actuals SAP Extract'!$W:$W,P$11)</f>
        <v>0</v>
      </c>
      <c r="Q122" s="105"/>
      <c r="R122" s="311">
        <f>SUMIFS('9. Actuals SAP Extract'!$V:$V,'9. Actuals SAP Extract'!$P:$P,$C122,'9. Actuals SAP Extract'!$O:$O,$D122,'9. Actuals SAP Extract'!$W:$W,R$11)</f>
        <v>0</v>
      </c>
      <c r="S122" s="105"/>
      <c r="T122" s="311">
        <f>SUMIFS('9. Actuals SAP Extract'!$V:$V,'9. Actuals SAP Extract'!$P:$P,$C122,'9. Actuals SAP Extract'!$O:$O,$D122,'9. Actuals SAP Extract'!$W:$W,T$11)</f>
        <v>0</v>
      </c>
      <c r="U122" s="105"/>
      <c r="V122" s="311">
        <f>SUMIFS('9. Actuals SAP Extract'!$V:$V,'9. Actuals SAP Extract'!$P:$P,$C122,'9. Actuals SAP Extract'!$O:$O,$D122,'9. Actuals SAP Extract'!$W:$W,V$11)</f>
        <v>0</v>
      </c>
      <c r="W122" s="105"/>
      <c r="X122" s="311">
        <f>SUMIFS('9. Actuals SAP Extract'!$V:$V,'9. Actuals SAP Extract'!$P:$P,$C122,'9. Actuals SAP Extract'!$O:$O,$D122,'9. Actuals SAP Extract'!$W:$W,X$11)</f>
        <v>0</v>
      </c>
      <c r="Y122" s="105"/>
      <c r="Z122" s="311">
        <f>SUMIFS('9. Actuals SAP Extract'!$V:$V,'9. Actuals SAP Extract'!$P:$P,$C122,'9. Actuals SAP Extract'!$O:$O,$D122,'9. Actuals SAP Extract'!$W:$W,Z$11)</f>
        <v>0</v>
      </c>
      <c r="AA122" s="105"/>
      <c r="AB122" s="311"/>
      <c r="AC122" s="105"/>
      <c r="AD122" s="792">
        <f>SUMIFS('9. Actuals SAP Extract'!$V:$V,'9. Actuals SAP Extract'!$P:$P,$C122,'9. Actuals SAP Extract'!$O:$O,$D122,'9. Actuals SAP Extract'!$W:$W,AD$11)</f>
        <v>0</v>
      </c>
      <c r="AE122" s="615"/>
      <c r="AF122" s="829">
        <f>SUMIFS('9. Actuals SAP Extract'!$V:$V,'9. Actuals SAP Extract'!$P:$P,$C122,'9. Actuals SAP Extract'!$O:$O,$D122,'9. Actuals SAP Extract'!$W:$W,AF$11)</f>
        <v>0</v>
      </c>
      <c r="AG122" s="105"/>
      <c r="AH122" s="829">
        <f>SUMIFS('9. Actuals SAP Extract'!$V:$V,'9. Actuals SAP Extract'!$P:$P,$C122,'9. Actuals SAP Extract'!$O:$O,$D122,'9. Actuals SAP Extract'!$W:$W,AH$11)</f>
        <v>0</v>
      </c>
      <c r="AI122" s="105"/>
      <c r="AJ122" s="829">
        <f>SUMIFS('9. Actuals SAP Extract'!$V:$V,'9. Actuals SAP Extract'!$P:$P,$C122,'9. Actuals SAP Extract'!$O:$O,$D122,'9. Actuals SAP Extract'!$W:$W,AJ$11)</f>
        <v>0</v>
      </c>
      <c r="AK122" s="105"/>
      <c r="AL122" s="829">
        <f>SUMIFS('9. Actuals SAP Extract'!$V:$V,'9. Actuals SAP Extract'!$P:$P,$C122,'9. Actuals SAP Extract'!$O:$O,$D122,'9. Actuals SAP Extract'!$W:$W,AL$11)</f>
        <v>0</v>
      </c>
      <c r="AM122" s="105"/>
      <c r="AN122" s="829">
        <f>SUMIFS('9. Actuals SAP Extract'!$V:$V,'9. Actuals SAP Extract'!$P:$P,$C122,'9. Actuals SAP Extract'!$O:$O,$D122,'9. Actuals SAP Extract'!$W:$W,AN$11)</f>
        <v>0</v>
      </c>
      <c r="AO122" s="105"/>
      <c r="AP122" s="133">
        <f>SUMIFS('9. Actuals SAP Extract'!$V:$V,'9. Actuals SAP Extract'!$P:$P,$C122,'9. Actuals SAP Extract'!$O:$O,$D122,'9. Actuals SAP Extract'!$W:$W,AP$11)</f>
        <v>0</v>
      </c>
      <c r="AQ122" s="105"/>
      <c r="AR122" s="133"/>
      <c r="AS122" s="105"/>
      <c r="AT122" s="133"/>
      <c r="AU122" s="105"/>
      <c r="AV122" s="133"/>
      <c r="AW122" s="105"/>
      <c r="AX122" s="133"/>
      <c r="AY122" s="105"/>
      <c r="AZ122" s="133"/>
      <c r="BA122" s="105"/>
      <c r="BB122" s="133"/>
      <c r="BC122" s="105"/>
      <c r="BD122" s="133"/>
    </row>
    <row r="123" spans="1:56" ht="14.5" hidden="1" customHeight="1" x14ac:dyDescent="0.35">
      <c r="A123" s="304"/>
      <c r="B123" s="304"/>
      <c r="C123" s="304"/>
      <c r="D123" s="497"/>
      <c r="E123" s="313"/>
      <c r="F123" s="255"/>
      <c r="G123" s="105"/>
      <c r="H123" s="810">
        <f>SUMIFS('9. Actuals SAP Extract'!$V:$V,'9. Actuals SAP Extract'!$P:$P,$C123,'9. Actuals SAP Extract'!$O:$O,$D123,'9. Actuals SAP Extract'!$W:$W,H$11)</f>
        <v>0</v>
      </c>
      <c r="I123" s="109"/>
      <c r="J123" s="311">
        <f>SUMIFS('9. Actuals SAP Extract'!$V:$V,'9. Actuals SAP Extract'!$P:$P,$C123,'9. Actuals SAP Extract'!$O:$O,$D123,'9. Actuals SAP Extract'!$W:$W,J$11)</f>
        <v>0</v>
      </c>
      <c r="K123" s="105"/>
      <c r="L123" s="311">
        <f>SUMIFS('9. Actuals SAP Extract'!$V:$V,'9. Actuals SAP Extract'!$P:$P,$C123,'9. Actuals SAP Extract'!$O:$O,$D123,'9. Actuals SAP Extract'!$W:$W,L$11)</f>
        <v>0</v>
      </c>
      <c r="M123" s="105"/>
      <c r="N123" s="311">
        <f>SUMIFS('9. Actuals SAP Extract'!$V:$V,'9. Actuals SAP Extract'!$P:$P,$C123,'9. Actuals SAP Extract'!$O:$O,$D123,'9. Actuals SAP Extract'!$W:$W,N$11)</f>
        <v>0</v>
      </c>
      <c r="O123" s="105"/>
      <c r="P123" s="311">
        <f>SUMIFS('9. Actuals SAP Extract'!$V:$V,'9. Actuals SAP Extract'!$P:$P,$C123,'9. Actuals SAP Extract'!$O:$O,$D123,'9. Actuals SAP Extract'!$W:$W,P$11)</f>
        <v>0</v>
      </c>
      <c r="Q123" s="105"/>
      <c r="R123" s="311">
        <f>SUMIFS('9. Actuals SAP Extract'!$V:$V,'9. Actuals SAP Extract'!$P:$P,$C123,'9. Actuals SAP Extract'!$O:$O,$D123,'9. Actuals SAP Extract'!$W:$W,R$11)</f>
        <v>0</v>
      </c>
      <c r="S123" s="105"/>
      <c r="T123" s="311">
        <f>SUMIFS('9. Actuals SAP Extract'!$V:$V,'9. Actuals SAP Extract'!$P:$P,$C123,'9. Actuals SAP Extract'!$O:$O,$D123,'9. Actuals SAP Extract'!$W:$W,T$11)</f>
        <v>0</v>
      </c>
      <c r="U123" s="105"/>
      <c r="V123" s="311">
        <f>SUMIFS('9. Actuals SAP Extract'!$V:$V,'9. Actuals SAP Extract'!$P:$P,$C123,'9. Actuals SAP Extract'!$O:$O,$D123,'9. Actuals SAP Extract'!$W:$W,V$11)</f>
        <v>0</v>
      </c>
      <c r="W123" s="105"/>
      <c r="X123" s="311">
        <f>SUMIFS('9. Actuals SAP Extract'!$V:$V,'9. Actuals SAP Extract'!$P:$P,$C123,'9. Actuals SAP Extract'!$O:$O,$D123,'9. Actuals SAP Extract'!$W:$W,X$11)</f>
        <v>0</v>
      </c>
      <c r="Y123" s="105"/>
      <c r="Z123" s="311">
        <f>SUMIFS('9. Actuals SAP Extract'!$V:$V,'9. Actuals SAP Extract'!$P:$P,$C123,'9. Actuals SAP Extract'!$O:$O,$D123,'9. Actuals SAP Extract'!$W:$W,Z$11)</f>
        <v>0</v>
      </c>
      <c r="AA123" s="105"/>
      <c r="AB123" s="311"/>
      <c r="AC123" s="105"/>
      <c r="AD123" s="792">
        <f>SUMIFS('9. Actuals SAP Extract'!$V:$V,'9. Actuals SAP Extract'!$P:$P,$C123,'9. Actuals SAP Extract'!$O:$O,$D123,'9. Actuals SAP Extract'!$W:$W,AD$11)</f>
        <v>0</v>
      </c>
      <c r="AE123" s="615"/>
      <c r="AF123" s="829">
        <f>SUMIFS('9. Actuals SAP Extract'!$V:$V,'9. Actuals SAP Extract'!$P:$P,$C123,'9. Actuals SAP Extract'!$O:$O,$D123,'9. Actuals SAP Extract'!$W:$W,AF$11)</f>
        <v>0</v>
      </c>
      <c r="AG123" s="105"/>
      <c r="AH123" s="829">
        <f>SUMIFS('9. Actuals SAP Extract'!$V:$V,'9. Actuals SAP Extract'!$P:$P,$C123,'9. Actuals SAP Extract'!$O:$O,$D123,'9. Actuals SAP Extract'!$W:$W,AH$11)</f>
        <v>0</v>
      </c>
      <c r="AI123" s="105"/>
      <c r="AJ123" s="829">
        <f>SUMIFS('9. Actuals SAP Extract'!$V:$V,'9. Actuals SAP Extract'!$P:$P,$C123,'9. Actuals SAP Extract'!$O:$O,$D123,'9. Actuals SAP Extract'!$W:$W,AJ$11)</f>
        <v>0</v>
      </c>
      <c r="AK123" s="105"/>
      <c r="AL123" s="829">
        <f>SUMIFS('9. Actuals SAP Extract'!$V:$V,'9. Actuals SAP Extract'!$P:$P,$C123,'9. Actuals SAP Extract'!$O:$O,$D123,'9. Actuals SAP Extract'!$W:$W,AL$11)</f>
        <v>0</v>
      </c>
      <c r="AM123" s="105"/>
      <c r="AN123" s="829">
        <f>SUMIFS('9. Actuals SAP Extract'!$V:$V,'9. Actuals SAP Extract'!$P:$P,$C123,'9. Actuals SAP Extract'!$O:$O,$D123,'9. Actuals SAP Extract'!$W:$W,AN$11)</f>
        <v>0</v>
      </c>
      <c r="AO123" s="105"/>
      <c r="AP123" s="133">
        <f>SUMIFS('9. Actuals SAP Extract'!$V:$V,'9. Actuals SAP Extract'!$P:$P,$C123,'9. Actuals SAP Extract'!$O:$O,$D123,'9. Actuals SAP Extract'!$W:$W,AP$11)</f>
        <v>0</v>
      </c>
      <c r="AQ123" s="105"/>
      <c r="AR123" s="133"/>
      <c r="AS123" s="105"/>
      <c r="AT123" s="133"/>
      <c r="AU123" s="105"/>
      <c r="AV123" s="133"/>
      <c r="AW123" s="105"/>
      <c r="AX123" s="133"/>
      <c r="AY123" s="105"/>
      <c r="AZ123" s="133"/>
      <c r="BA123" s="105"/>
      <c r="BB123" s="133"/>
      <c r="BC123" s="105"/>
      <c r="BD123" s="133"/>
    </row>
    <row r="124" spans="1:56" ht="14.5" hidden="1" customHeight="1" x14ac:dyDescent="0.35">
      <c r="A124" s="304"/>
      <c r="B124" s="304"/>
      <c r="C124" s="304"/>
      <c r="D124" s="497"/>
      <c r="E124" s="313"/>
      <c r="F124" s="255"/>
      <c r="G124" s="105"/>
      <c r="H124" s="810">
        <f>SUMIFS('9. Actuals SAP Extract'!$V:$V,'9. Actuals SAP Extract'!$P:$P,$C124,'9. Actuals SAP Extract'!$O:$O,$D124,'9. Actuals SAP Extract'!$W:$W,H$11)</f>
        <v>0</v>
      </c>
      <c r="I124" s="109"/>
      <c r="J124" s="311">
        <f>SUMIFS('9. Actuals SAP Extract'!$V:$V,'9. Actuals SAP Extract'!$P:$P,$C124,'9. Actuals SAP Extract'!$O:$O,$D124,'9. Actuals SAP Extract'!$W:$W,J$11)</f>
        <v>0</v>
      </c>
      <c r="K124" s="105"/>
      <c r="L124" s="311">
        <f>SUMIFS('9. Actuals SAP Extract'!$V:$V,'9. Actuals SAP Extract'!$P:$P,$C124,'9. Actuals SAP Extract'!$O:$O,$D124,'9. Actuals SAP Extract'!$W:$W,L$11)</f>
        <v>0</v>
      </c>
      <c r="M124" s="105"/>
      <c r="N124" s="311">
        <f>SUMIFS('9. Actuals SAP Extract'!$V:$V,'9. Actuals SAP Extract'!$P:$P,$C124,'9. Actuals SAP Extract'!$O:$O,$D124,'9. Actuals SAP Extract'!$W:$W,N$11)</f>
        <v>0</v>
      </c>
      <c r="O124" s="105"/>
      <c r="P124" s="311">
        <f>SUMIFS('9. Actuals SAP Extract'!$V:$V,'9. Actuals SAP Extract'!$P:$P,$C124,'9. Actuals SAP Extract'!$O:$O,$D124,'9. Actuals SAP Extract'!$W:$W,P$11)</f>
        <v>0</v>
      </c>
      <c r="Q124" s="105"/>
      <c r="R124" s="311">
        <f>SUMIFS('9. Actuals SAP Extract'!$V:$V,'9. Actuals SAP Extract'!$P:$P,$C124,'9. Actuals SAP Extract'!$O:$O,$D124,'9. Actuals SAP Extract'!$W:$W,R$11)</f>
        <v>0</v>
      </c>
      <c r="S124" s="105"/>
      <c r="T124" s="311">
        <f>SUMIFS('9. Actuals SAP Extract'!$V:$V,'9. Actuals SAP Extract'!$P:$P,$C124,'9. Actuals SAP Extract'!$O:$O,$D124,'9. Actuals SAP Extract'!$W:$W,T$11)</f>
        <v>0</v>
      </c>
      <c r="U124" s="105"/>
      <c r="V124" s="311">
        <f>SUMIFS('9. Actuals SAP Extract'!$V:$V,'9. Actuals SAP Extract'!$P:$P,$C124,'9. Actuals SAP Extract'!$O:$O,$D124,'9. Actuals SAP Extract'!$W:$W,V$11)</f>
        <v>0</v>
      </c>
      <c r="W124" s="105"/>
      <c r="X124" s="311">
        <f>SUMIFS('9. Actuals SAP Extract'!$V:$V,'9. Actuals SAP Extract'!$P:$P,$C124,'9. Actuals SAP Extract'!$O:$O,$D124,'9. Actuals SAP Extract'!$W:$W,X$11)</f>
        <v>0</v>
      </c>
      <c r="Y124" s="105"/>
      <c r="Z124" s="311">
        <f>SUMIFS('9. Actuals SAP Extract'!$V:$V,'9. Actuals SAP Extract'!$P:$P,$C124,'9. Actuals SAP Extract'!$O:$O,$D124,'9. Actuals SAP Extract'!$W:$W,Z$11)</f>
        <v>0</v>
      </c>
      <c r="AA124" s="105"/>
      <c r="AB124" s="311"/>
      <c r="AC124" s="105"/>
      <c r="AD124" s="792">
        <f>SUMIFS('9. Actuals SAP Extract'!$V:$V,'9. Actuals SAP Extract'!$P:$P,$C124,'9. Actuals SAP Extract'!$O:$O,$D124,'9. Actuals SAP Extract'!$W:$W,AD$11)</f>
        <v>0</v>
      </c>
      <c r="AE124" s="615"/>
      <c r="AF124" s="829">
        <f>SUMIFS('9. Actuals SAP Extract'!$V:$V,'9. Actuals SAP Extract'!$P:$P,$C124,'9. Actuals SAP Extract'!$O:$O,$D124,'9. Actuals SAP Extract'!$W:$W,AF$11)</f>
        <v>0</v>
      </c>
      <c r="AG124" s="105"/>
      <c r="AH124" s="829">
        <f>SUMIFS('9. Actuals SAP Extract'!$V:$V,'9. Actuals SAP Extract'!$P:$P,$C124,'9. Actuals SAP Extract'!$O:$O,$D124,'9. Actuals SAP Extract'!$W:$W,AH$11)</f>
        <v>0</v>
      </c>
      <c r="AI124" s="105"/>
      <c r="AJ124" s="829">
        <f>SUMIFS('9. Actuals SAP Extract'!$V:$V,'9. Actuals SAP Extract'!$P:$P,$C124,'9. Actuals SAP Extract'!$O:$O,$D124,'9. Actuals SAP Extract'!$W:$W,AJ$11)</f>
        <v>0</v>
      </c>
      <c r="AK124" s="105"/>
      <c r="AL124" s="829">
        <f>SUMIFS('9. Actuals SAP Extract'!$V:$V,'9. Actuals SAP Extract'!$P:$P,$C124,'9. Actuals SAP Extract'!$O:$O,$D124,'9. Actuals SAP Extract'!$W:$W,AL$11)</f>
        <v>0</v>
      </c>
      <c r="AM124" s="105"/>
      <c r="AN124" s="829">
        <f>SUMIFS('9. Actuals SAP Extract'!$V:$V,'9. Actuals SAP Extract'!$P:$P,$C124,'9. Actuals SAP Extract'!$O:$O,$D124,'9. Actuals SAP Extract'!$W:$W,AN$11)</f>
        <v>0</v>
      </c>
      <c r="AO124" s="105"/>
      <c r="AP124" s="133">
        <f>SUMIFS('9. Actuals SAP Extract'!$V:$V,'9. Actuals SAP Extract'!$P:$P,$C124,'9. Actuals SAP Extract'!$O:$O,$D124,'9. Actuals SAP Extract'!$W:$W,AP$11)</f>
        <v>0</v>
      </c>
      <c r="AQ124" s="105"/>
      <c r="AR124" s="311"/>
      <c r="AS124" s="105"/>
      <c r="AT124" s="311"/>
      <c r="AU124" s="105"/>
      <c r="AV124" s="311"/>
      <c r="AW124" s="105"/>
      <c r="AX124" s="311"/>
      <c r="AY124" s="105"/>
      <c r="AZ124" s="311"/>
      <c r="BA124" s="105"/>
      <c r="BB124" s="311"/>
      <c r="BC124" s="105"/>
      <c r="BD124" s="311"/>
    </row>
    <row r="125" spans="1:56" ht="14.5" hidden="1" customHeight="1" x14ac:dyDescent="0.35">
      <c r="A125" s="304"/>
      <c r="B125" s="304"/>
      <c r="C125" s="304"/>
      <c r="D125" s="497"/>
      <c r="E125" s="313"/>
      <c r="F125" s="255"/>
      <c r="G125" s="105"/>
      <c r="H125" s="810">
        <f>SUMIFS('9. Actuals SAP Extract'!$V:$V,'9. Actuals SAP Extract'!$P:$P,$C125,'9. Actuals SAP Extract'!$O:$O,$D125,'9. Actuals SAP Extract'!$W:$W,H$11)</f>
        <v>0</v>
      </c>
      <c r="I125" s="109"/>
      <c r="J125" s="311">
        <f>SUMIFS('9. Actuals SAP Extract'!$V:$V,'9. Actuals SAP Extract'!$P:$P,$C125,'9. Actuals SAP Extract'!$O:$O,$D125,'9. Actuals SAP Extract'!$W:$W,J$11)</f>
        <v>0</v>
      </c>
      <c r="K125" s="105"/>
      <c r="L125" s="311">
        <f>SUMIFS('9. Actuals SAP Extract'!$V:$V,'9. Actuals SAP Extract'!$P:$P,$C125,'9. Actuals SAP Extract'!$O:$O,$D125,'9. Actuals SAP Extract'!$W:$W,L$11)</f>
        <v>0</v>
      </c>
      <c r="M125" s="105"/>
      <c r="N125" s="311">
        <f>SUMIFS('9. Actuals SAP Extract'!$V:$V,'9. Actuals SAP Extract'!$P:$P,$C125,'9. Actuals SAP Extract'!$O:$O,$D125,'9. Actuals SAP Extract'!$W:$W,N$11)</f>
        <v>0</v>
      </c>
      <c r="O125" s="105"/>
      <c r="P125" s="311">
        <f>SUMIFS('9. Actuals SAP Extract'!$V:$V,'9. Actuals SAP Extract'!$P:$P,$C125,'9. Actuals SAP Extract'!$O:$O,$D125,'9. Actuals SAP Extract'!$W:$W,P$11)</f>
        <v>0</v>
      </c>
      <c r="Q125" s="105"/>
      <c r="R125" s="311">
        <f>SUMIFS('9. Actuals SAP Extract'!$V:$V,'9. Actuals SAP Extract'!$P:$P,$C125,'9. Actuals SAP Extract'!$O:$O,$D125,'9. Actuals SAP Extract'!$W:$W,R$11)</f>
        <v>0</v>
      </c>
      <c r="S125" s="105"/>
      <c r="T125" s="311">
        <f>SUMIFS('9. Actuals SAP Extract'!$V:$V,'9. Actuals SAP Extract'!$P:$P,$C125,'9. Actuals SAP Extract'!$O:$O,$D125,'9. Actuals SAP Extract'!$W:$W,T$11)</f>
        <v>0</v>
      </c>
      <c r="U125" s="105"/>
      <c r="V125" s="311">
        <f>SUMIFS('9. Actuals SAP Extract'!$V:$V,'9. Actuals SAP Extract'!$P:$P,$C125,'9. Actuals SAP Extract'!$O:$O,$D125,'9. Actuals SAP Extract'!$W:$W,V$11)</f>
        <v>0</v>
      </c>
      <c r="W125" s="105"/>
      <c r="X125" s="311">
        <f>SUMIFS('9. Actuals SAP Extract'!$V:$V,'9. Actuals SAP Extract'!$P:$P,$C125,'9. Actuals SAP Extract'!$O:$O,$D125,'9. Actuals SAP Extract'!$W:$W,X$11)</f>
        <v>0</v>
      </c>
      <c r="Y125" s="105"/>
      <c r="Z125" s="311">
        <f>SUMIFS('9. Actuals SAP Extract'!$V:$V,'9. Actuals SAP Extract'!$P:$P,$C125,'9. Actuals SAP Extract'!$O:$O,$D125,'9. Actuals SAP Extract'!$W:$W,Z$11)</f>
        <v>0</v>
      </c>
      <c r="AA125" s="105"/>
      <c r="AB125" s="311"/>
      <c r="AC125" s="105"/>
      <c r="AD125" s="792">
        <f>SUMIFS('9. Actuals SAP Extract'!$V:$V,'9. Actuals SAP Extract'!$P:$P,$C125,'9. Actuals SAP Extract'!$O:$O,$D125,'9. Actuals SAP Extract'!$W:$W,AD$11)</f>
        <v>0</v>
      </c>
      <c r="AE125" s="615"/>
      <c r="AF125" s="829">
        <f>SUMIFS('9. Actuals SAP Extract'!$V:$V,'9. Actuals SAP Extract'!$P:$P,$C125,'9. Actuals SAP Extract'!$O:$O,$D125,'9. Actuals SAP Extract'!$W:$W,AF$11)</f>
        <v>0</v>
      </c>
      <c r="AG125" s="105"/>
      <c r="AH125" s="829">
        <f>SUMIFS('9. Actuals SAP Extract'!$V:$V,'9. Actuals SAP Extract'!$P:$P,$C125,'9. Actuals SAP Extract'!$O:$O,$D125,'9. Actuals SAP Extract'!$W:$W,AH$11)</f>
        <v>0</v>
      </c>
      <c r="AI125" s="105"/>
      <c r="AJ125" s="829">
        <f>SUMIFS('9. Actuals SAP Extract'!$V:$V,'9. Actuals SAP Extract'!$P:$P,$C125,'9. Actuals SAP Extract'!$O:$O,$D125,'9. Actuals SAP Extract'!$W:$W,AJ$11)</f>
        <v>0</v>
      </c>
      <c r="AK125" s="105"/>
      <c r="AL125" s="829">
        <f>SUMIFS('9. Actuals SAP Extract'!$V:$V,'9. Actuals SAP Extract'!$P:$P,$C125,'9. Actuals SAP Extract'!$O:$O,$D125,'9. Actuals SAP Extract'!$W:$W,AL$11)</f>
        <v>0</v>
      </c>
      <c r="AM125" s="105"/>
      <c r="AN125" s="829">
        <f>SUMIFS('9. Actuals SAP Extract'!$V:$V,'9. Actuals SAP Extract'!$P:$P,$C125,'9. Actuals SAP Extract'!$O:$O,$D125,'9. Actuals SAP Extract'!$W:$W,AN$11)</f>
        <v>0</v>
      </c>
      <c r="AO125" s="105"/>
      <c r="AP125" s="133">
        <f>SUMIFS('9. Actuals SAP Extract'!$V:$V,'9. Actuals SAP Extract'!$P:$P,$C125,'9. Actuals SAP Extract'!$O:$O,$D125,'9. Actuals SAP Extract'!$W:$W,AP$11)</f>
        <v>0</v>
      </c>
      <c r="AQ125" s="105"/>
      <c r="AR125" s="311"/>
      <c r="AS125" s="105"/>
      <c r="AT125" s="311"/>
      <c r="AU125" s="105"/>
      <c r="AV125" s="311"/>
      <c r="AW125" s="105"/>
      <c r="AX125" s="311"/>
      <c r="AY125" s="105"/>
      <c r="AZ125" s="311"/>
      <c r="BA125" s="105"/>
      <c r="BB125" s="311"/>
      <c r="BC125" s="105"/>
      <c r="BD125" s="311"/>
    </row>
    <row r="126" spans="1:56" ht="14.5" hidden="1" customHeight="1" x14ac:dyDescent="0.35">
      <c r="A126" s="304"/>
      <c r="B126" s="304"/>
      <c r="C126" s="304"/>
      <c r="D126" s="498"/>
      <c r="E126" s="317"/>
      <c r="F126" s="255"/>
      <c r="G126" s="298"/>
      <c r="H126" s="810">
        <f>SUMIFS('9. Actuals SAP Extract'!$V:$V,'9. Actuals SAP Extract'!$P:$P,$C126,'9. Actuals SAP Extract'!$O:$O,$D126,'9. Actuals SAP Extract'!$W:$W,H$11)</f>
        <v>0</v>
      </c>
      <c r="I126" s="108"/>
      <c r="J126" s="311">
        <f>SUMIFS('9. Actuals SAP Extract'!$V:$V,'9. Actuals SAP Extract'!$P:$P,$C126,'9. Actuals SAP Extract'!$O:$O,$D126,'9. Actuals SAP Extract'!$W:$W,J$11)</f>
        <v>0</v>
      </c>
      <c r="K126" s="108"/>
      <c r="L126" s="311">
        <f>SUMIFS('9. Actuals SAP Extract'!$V:$V,'9. Actuals SAP Extract'!$P:$P,$C126,'9. Actuals SAP Extract'!$O:$O,$D126,'9. Actuals SAP Extract'!$W:$W,L$11)</f>
        <v>0</v>
      </c>
      <c r="M126" s="298"/>
      <c r="N126" s="311">
        <f>SUMIFS('9. Actuals SAP Extract'!$V:$V,'9. Actuals SAP Extract'!$P:$P,$C126,'9. Actuals SAP Extract'!$O:$O,$D126,'9. Actuals SAP Extract'!$W:$W,N$11)</f>
        <v>0</v>
      </c>
      <c r="O126" s="108"/>
      <c r="P126" s="311">
        <f>SUMIFS('9. Actuals SAP Extract'!$V:$V,'9. Actuals SAP Extract'!$P:$P,$C126,'9. Actuals SAP Extract'!$O:$O,$D126,'9. Actuals SAP Extract'!$W:$W,P$11)</f>
        <v>0</v>
      </c>
      <c r="Q126" s="298"/>
      <c r="R126" s="311">
        <f>SUMIFS('9. Actuals SAP Extract'!$V:$V,'9. Actuals SAP Extract'!$P:$P,$C126,'9. Actuals SAP Extract'!$O:$O,$D126,'9. Actuals SAP Extract'!$W:$W,R$11)</f>
        <v>0</v>
      </c>
      <c r="S126" s="108"/>
      <c r="T126" s="311">
        <f>SUMIFS('9. Actuals SAP Extract'!$V:$V,'9. Actuals SAP Extract'!$P:$P,$C126,'9. Actuals SAP Extract'!$O:$O,$D126,'9. Actuals SAP Extract'!$W:$W,T$11)</f>
        <v>0</v>
      </c>
      <c r="U126" s="298"/>
      <c r="V126" s="311">
        <f>SUMIFS('9. Actuals SAP Extract'!$V:$V,'9. Actuals SAP Extract'!$P:$P,$C126,'9. Actuals SAP Extract'!$O:$O,$D126,'9. Actuals SAP Extract'!$W:$W,V$11)</f>
        <v>0</v>
      </c>
      <c r="W126" s="108"/>
      <c r="X126" s="311">
        <f>SUMIFS('9. Actuals SAP Extract'!$V:$V,'9. Actuals SAP Extract'!$P:$P,$C126,'9. Actuals SAP Extract'!$O:$O,$D126,'9. Actuals SAP Extract'!$W:$W,X$11)</f>
        <v>0</v>
      </c>
      <c r="Y126" s="298"/>
      <c r="Z126" s="311">
        <f>SUMIFS('9. Actuals SAP Extract'!$V:$V,'9. Actuals SAP Extract'!$P:$P,$C126,'9. Actuals SAP Extract'!$O:$O,$D126,'9. Actuals SAP Extract'!$W:$W,Z$11)</f>
        <v>0</v>
      </c>
      <c r="AA126" s="108"/>
      <c r="AB126" s="310"/>
      <c r="AC126" s="108"/>
      <c r="AD126" s="792">
        <f>SUMIFS('9. Actuals SAP Extract'!$V:$V,'9. Actuals SAP Extract'!$P:$P,$C126,'9. Actuals SAP Extract'!$O:$O,$D126,'9. Actuals SAP Extract'!$W:$W,AD$11)</f>
        <v>0</v>
      </c>
      <c r="AE126" s="615"/>
      <c r="AF126" s="829">
        <f>SUMIFS('9. Actuals SAP Extract'!$V:$V,'9. Actuals SAP Extract'!$P:$P,$C126,'9. Actuals SAP Extract'!$O:$O,$D126,'9. Actuals SAP Extract'!$W:$W,AF$11)</f>
        <v>0</v>
      </c>
      <c r="AG126" s="105"/>
      <c r="AH126" s="829">
        <f>SUMIFS('9. Actuals SAP Extract'!$V:$V,'9. Actuals SAP Extract'!$P:$P,$C126,'9. Actuals SAP Extract'!$O:$O,$D126,'9. Actuals SAP Extract'!$W:$W,AH$11)</f>
        <v>0</v>
      </c>
      <c r="AI126" s="105"/>
      <c r="AJ126" s="829">
        <f>SUMIFS('9. Actuals SAP Extract'!$V:$V,'9. Actuals SAP Extract'!$P:$P,$C126,'9. Actuals SAP Extract'!$O:$O,$D126,'9. Actuals SAP Extract'!$W:$W,AJ$11)</f>
        <v>0</v>
      </c>
      <c r="AK126" s="105"/>
      <c r="AL126" s="829">
        <f>SUMIFS('9. Actuals SAP Extract'!$V:$V,'9. Actuals SAP Extract'!$P:$P,$C126,'9. Actuals SAP Extract'!$O:$O,$D126,'9. Actuals SAP Extract'!$W:$W,AL$11)</f>
        <v>0</v>
      </c>
      <c r="AM126" s="105"/>
      <c r="AN126" s="829">
        <f>SUMIFS('9. Actuals SAP Extract'!$V:$V,'9. Actuals SAP Extract'!$P:$P,$C126,'9. Actuals SAP Extract'!$O:$O,$D126,'9. Actuals SAP Extract'!$W:$W,AN$11)</f>
        <v>0</v>
      </c>
      <c r="AO126" s="105"/>
      <c r="AP126" s="133">
        <f>SUMIFS('9. Actuals SAP Extract'!$V:$V,'9. Actuals SAP Extract'!$P:$P,$C126,'9. Actuals SAP Extract'!$O:$O,$D126,'9. Actuals SAP Extract'!$W:$W,AP$11)</f>
        <v>0</v>
      </c>
      <c r="AQ126" s="105"/>
      <c r="AR126" s="114"/>
      <c r="AS126" s="105"/>
      <c r="AT126" s="114"/>
      <c r="AU126" s="105"/>
      <c r="AV126" s="114"/>
      <c r="AW126" s="105"/>
      <c r="AX126" s="114"/>
      <c r="AY126" s="105"/>
      <c r="AZ126" s="114"/>
      <c r="BA126" s="105"/>
      <c r="BB126" s="114"/>
      <c r="BC126" s="105"/>
      <c r="BD126" s="114"/>
    </row>
    <row r="127" spans="1:56" ht="52" customHeight="1" x14ac:dyDescent="0.35">
      <c r="A127" s="902" t="s">
        <v>870</v>
      </c>
      <c r="B127" s="902" t="s">
        <v>782</v>
      </c>
      <c r="C127" s="902" t="s">
        <v>524</v>
      </c>
      <c r="D127" s="837">
        <v>7000009182</v>
      </c>
      <c r="E127" s="916">
        <v>8229</v>
      </c>
      <c r="F127" s="255"/>
      <c r="G127" s="298"/>
      <c r="H127" s="810">
        <f>SUMIFS('9. Actuals SAP Extract'!$V:$V,'9. Actuals SAP Extract'!$P:$P,$C127,'9. Actuals SAP Extract'!$O:$O,$D127,'9. Actuals SAP Extract'!$W:$W,H$11)</f>
        <v>0</v>
      </c>
      <c r="I127" s="108"/>
      <c r="J127" s="311">
        <f>SUMIFS('9. Actuals SAP Extract'!$V:$V,'9. Actuals SAP Extract'!$P:$P,$C127,'9. Actuals SAP Extract'!$O:$O,$D127,'9. Actuals SAP Extract'!$W:$W,J$11)</f>
        <v>0</v>
      </c>
      <c r="K127" s="108"/>
      <c r="L127" s="311">
        <f>SUMIFS('9. Actuals SAP Extract'!$V:$V,'9. Actuals SAP Extract'!$P:$P,$C127,'9. Actuals SAP Extract'!$O:$O,$D127,'9. Actuals SAP Extract'!$W:$W,L$11)</f>
        <v>0</v>
      </c>
      <c r="M127" s="298"/>
      <c r="N127" s="311">
        <f>SUMIFS('9. Actuals SAP Extract'!$V:$V,'9. Actuals SAP Extract'!$P:$P,$C127,'9. Actuals SAP Extract'!$O:$O,$D127,'9. Actuals SAP Extract'!$W:$W,N$11)</f>
        <v>0</v>
      </c>
      <c r="O127" s="108"/>
      <c r="P127" s="311">
        <f>SUMIFS('9. Actuals SAP Extract'!$V:$V,'9. Actuals SAP Extract'!$P:$P,$C127,'9. Actuals SAP Extract'!$O:$O,$D127,'9. Actuals SAP Extract'!$W:$W,P$11)</f>
        <v>0</v>
      </c>
      <c r="Q127" s="298"/>
      <c r="R127" s="311">
        <f>SUMIFS('9. Actuals SAP Extract'!$V:$V,'9. Actuals SAP Extract'!$P:$P,$C127,'9. Actuals SAP Extract'!$O:$O,$D127,'9. Actuals SAP Extract'!$W:$W,R$11)</f>
        <v>0</v>
      </c>
      <c r="S127" s="108"/>
      <c r="T127" s="311">
        <f>SUMIFS('9. Actuals SAP Extract'!$V:$V,'9. Actuals SAP Extract'!$P:$P,$C127,'9. Actuals SAP Extract'!$O:$O,$D127,'9. Actuals SAP Extract'!$W:$W,T$11)</f>
        <v>0</v>
      </c>
      <c r="U127" s="298"/>
      <c r="V127" s="311">
        <f>SUMIFS('9. Actuals SAP Extract'!$V:$V,'9. Actuals SAP Extract'!$P:$P,$C127,'9. Actuals SAP Extract'!$O:$O,$D127,'9. Actuals SAP Extract'!$W:$W,V$11)</f>
        <v>0</v>
      </c>
      <c r="W127" s="108"/>
      <c r="X127" s="311">
        <f>SUMIFS('9. Actuals SAP Extract'!$V:$V,'9. Actuals SAP Extract'!$P:$P,$C127,'9. Actuals SAP Extract'!$O:$O,$D127,'9. Actuals SAP Extract'!$W:$W,X$11)</f>
        <v>0</v>
      </c>
      <c r="Y127" s="298"/>
      <c r="Z127" s="311">
        <f>SUMIFS('9. Actuals SAP Extract'!$V:$V,'9. Actuals SAP Extract'!$P:$P,$C127,'9. Actuals SAP Extract'!$O:$O,$D127,'9. Actuals SAP Extract'!$W:$W,Z$11)</f>
        <v>0</v>
      </c>
      <c r="AA127" s="108"/>
      <c r="AB127" s="310"/>
      <c r="AC127" s="108"/>
      <c r="AD127" s="792">
        <f>SUMIFS('9. Actuals SAP Extract'!$V:$V,'9. Actuals SAP Extract'!$P:$P,$C127,'9. Actuals SAP Extract'!$O:$O,$D127,'9. Actuals SAP Extract'!$W:$W,AD$11)</f>
        <v>0</v>
      </c>
      <c r="AE127" s="615"/>
      <c r="AF127" s="829">
        <f>SUMIFS('9. Actuals SAP Extract'!$V:$V,'9. Actuals SAP Extract'!$P:$P,$C127,'9. Actuals SAP Extract'!$O:$O,$D127,'9. Actuals SAP Extract'!$W:$W,AF$11)</f>
        <v>0</v>
      </c>
      <c r="AG127" s="105"/>
      <c r="AH127" s="829">
        <f>SUMIFS('9. Actuals SAP Extract'!$V:$V,'9. Actuals SAP Extract'!$P:$P,$C127,'9. Actuals SAP Extract'!$O:$O,$D127,'9. Actuals SAP Extract'!$W:$W,AH$11)</f>
        <v>0</v>
      </c>
      <c r="AI127" s="105">
        <v>8229</v>
      </c>
      <c r="AJ127" s="867">
        <f>SUMIFS('9. Actuals SAP Extract'!$V:$V,'9. Actuals SAP Extract'!$P:$P,$C127,'9. Actuals SAP Extract'!$O:$O,$D127,'9. Actuals SAP Extract'!$W:$W,AJ$11)</f>
        <v>8229</v>
      </c>
      <c r="AK127" s="105">
        <v>0</v>
      </c>
      <c r="AL127" s="829">
        <f>SUMIFS('9. Actuals SAP Extract'!$V:$V,'9. Actuals SAP Extract'!$P:$P,$C127,'9. Actuals SAP Extract'!$O:$O,$D127,'9. Actuals SAP Extract'!$W:$W,AL$11)</f>
        <v>0</v>
      </c>
      <c r="AM127" s="105"/>
      <c r="AN127" s="829">
        <f>SUMIFS('9. Actuals SAP Extract'!$V:$V,'9. Actuals SAP Extract'!$P:$P,$C127,'9. Actuals SAP Extract'!$O:$O,$D127,'9. Actuals SAP Extract'!$W:$W,AN$11)</f>
        <v>0</v>
      </c>
      <c r="AO127" s="105"/>
      <c r="AP127" s="133">
        <f>SUMIFS('9. Actuals SAP Extract'!$V:$V,'9. Actuals SAP Extract'!$P:$P,$C127,'9. Actuals SAP Extract'!$O:$O,$D127,'9. Actuals SAP Extract'!$W:$W,AP$11)</f>
        <v>-8229</v>
      </c>
      <c r="AQ127" s="105"/>
      <c r="AR127" s="114"/>
      <c r="AS127" s="105"/>
      <c r="AT127" s="114"/>
      <c r="AU127" s="105"/>
      <c r="AV127" s="114"/>
      <c r="AW127" s="105"/>
      <c r="AX127" s="114"/>
      <c r="AY127" s="105"/>
      <c r="AZ127" s="114"/>
      <c r="BA127" s="105"/>
      <c r="BB127" s="114"/>
      <c r="BC127" s="105"/>
      <c r="BD127" s="114"/>
    </row>
    <row r="128" spans="1:56" s="845" customFormat="1" ht="52" customHeight="1" x14ac:dyDescent="0.35">
      <c r="A128" s="902" t="s">
        <v>1102</v>
      </c>
      <c r="B128" s="902" t="s">
        <v>782</v>
      </c>
      <c r="C128" s="902" t="s">
        <v>524</v>
      </c>
      <c r="D128" s="837" t="s">
        <v>1103</v>
      </c>
      <c r="E128" s="916"/>
      <c r="F128" s="255"/>
      <c r="G128" s="298"/>
      <c r="H128" s="810">
        <f>SUMIFS('9. Actuals SAP Extract'!$V:$V,'9. Actuals SAP Extract'!$P:$P,$C128,'9. Actuals SAP Extract'!$O:$O,$D128,'9. Actuals SAP Extract'!$W:$W,H$11)</f>
        <v>0</v>
      </c>
      <c r="I128" s="108"/>
      <c r="J128" s="311">
        <f>SUMIFS('9. Actuals SAP Extract'!$V:$V,'9. Actuals SAP Extract'!$P:$P,$C128,'9. Actuals SAP Extract'!$O:$O,$D128,'9. Actuals SAP Extract'!$W:$W,J$11)</f>
        <v>0</v>
      </c>
      <c r="K128" s="108"/>
      <c r="L128" s="311">
        <f>SUMIFS('9. Actuals SAP Extract'!$V:$V,'9. Actuals SAP Extract'!$P:$P,$C128,'9. Actuals SAP Extract'!$O:$O,$D128,'9. Actuals SAP Extract'!$W:$W,L$11)</f>
        <v>0</v>
      </c>
      <c r="M128" s="298"/>
      <c r="N128" s="311">
        <f>SUMIFS('9. Actuals SAP Extract'!$V:$V,'9. Actuals SAP Extract'!$P:$P,$C128,'9. Actuals SAP Extract'!$O:$O,$D128,'9. Actuals SAP Extract'!$W:$W,N$11)</f>
        <v>0</v>
      </c>
      <c r="O128" s="108"/>
      <c r="P128" s="311">
        <f>SUMIFS('9. Actuals SAP Extract'!$V:$V,'9. Actuals SAP Extract'!$P:$P,$C128,'9. Actuals SAP Extract'!$O:$O,$D128,'9. Actuals SAP Extract'!$W:$W,P$11)</f>
        <v>0</v>
      </c>
      <c r="Q128" s="298"/>
      <c r="R128" s="311">
        <f>SUMIFS('9. Actuals SAP Extract'!$V:$V,'9. Actuals SAP Extract'!$P:$P,$C128,'9. Actuals SAP Extract'!$O:$O,$D128,'9. Actuals SAP Extract'!$W:$W,R$11)</f>
        <v>0</v>
      </c>
      <c r="S128" s="108"/>
      <c r="T128" s="311">
        <f>SUMIFS('9. Actuals SAP Extract'!$V:$V,'9. Actuals SAP Extract'!$P:$P,$C128,'9. Actuals SAP Extract'!$O:$O,$D128,'9. Actuals SAP Extract'!$W:$W,T$11)</f>
        <v>0</v>
      </c>
      <c r="U128" s="298"/>
      <c r="V128" s="311">
        <f>SUMIFS('9. Actuals SAP Extract'!$V:$V,'9. Actuals SAP Extract'!$P:$P,$C128,'9. Actuals SAP Extract'!$O:$O,$D128,'9. Actuals SAP Extract'!$W:$W,V$11)</f>
        <v>0</v>
      </c>
      <c r="W128" s="108"/>
      <c r="X128" s="311">
        <f>SUMIFS('9. Actuals SAP Extract'!$V:$V,'9. Actuals SAP Extract'!$P:$P,$C128,'9. Actuals SAP Extract'!$O:$O,$D128,'9. Actuals SAP Extract'!$W:$W,X$11)</f>
        <v>0</v>
      </c>
      <c r="Y128" s="298"/>
      <c r="Z128" s="311">
        <f>SUMIFS('9. Actuals SAP Extract'!$V:$V,'9. Actuals SAP Extract'!$P:$P,$C128,'9. Actuals SAP Extract'!$O:$O,$D128,'9. Actuals SAP Extract'!$W:$W,Z$11)</f>
        <v>0</v>
      </c>
      <c r="AA128" s="108"/>
      <c r="AB128" s="310"/>
      <c r="AC128" s="108"/>
      <c r="AD128" s="792">
        <f>SUMIFS('9. Actuals SAP Extract'!$V:$V,'9. Actuals SAP Extract'!$P:$P,$C128,'9. Actuals SAP Extract'!$O:$O,$D128,'9. Actuals SAP Extract'!$W:$W,AD$11)</f>
        <v>0</v>
      </c>
      <c r="AE128" s="615"/>
      <c r="AF128" s="829">
        <f>SUMIFS('9. Actuals SAP Extract'!$V:$V,'9. Actuals SAP Extract'!$P:$P,$C128,'9. Actuals SAP Extract'!$O:$O,$D128,'9. Actuals SAP Extract'!$W:$W,AF$11)</f>
        <v>0</v>
      </c>
      <c r="AG128" s="105"/>
      <c r="AH128" s="829">
        <f>SUMIFS('9. Actuals SAP Extract'!$V:$V,'9. Actuals SAP Extract'!$P:$P,$C128,'9. Actuals SAP Extract'!$O:$O,$D128,'9. Actuals SAP Extract'!$W:$W,AH$11)</f>
        <v>0</v>
      </c>
      <c r="AI128" s="105">
        <v>8229</v>
      </c>
      <c r="AJ128" s="867">
        <f>SUMIFS('9. Actuals SAP Extract'!$V:$V,'9. Actuals SAP Extract'!$P:$P,$C128,'9. Actuals SAP Extract'!$O:$O,$D128,'9. Actuals SAP Extract'!$W:$W,AJ$11)</f>
        <v>0</v>
      </c>
      <c r="AK128" s="105">
        <v>0</v>
      </c>
      <c r="AL128" s="829">
        <f>SUMIFS('9. Actuals SAP Extract'!$V:$V,'9. Actuals SAP Extract'!$P:$P,$C128,'9. Actuals SAP Extract'!$O:$O,$D128,'9. Actuals SAP Extract'!$W:$W,AL$11)</f>
        <v>0</v>
      </c>
      <c r="AM128" s="105"/>
      <c r="AN128" s="829">
        <f>SUMIFS('9. Actuals SAP Extract'!$V:$V,'9. Actuals SAP Extract'!$P:$P,$C128,'9. Actuals SAP Extract'!$O:$O,$D128,'9. Actuals SAP Extract'!$W:$W,AN$11)</f>
        <v>0</v>
      </c>
      <c r="AO128" s="105"/>
      <c r="AP128" s="133">
        <f>SUMIFS('9. Actuals SAP Extract'!$V:$V,'9. Actuals SAP Extract'!$P:$P,$C128,'9. Actuals SAP Extract'!$O:$O,$D128,'9. Actuals SAP Extract'!$W:$W,AP$11)</f>
        <v>0</v>
      </c>
      <c r="AQ128" s="105"/>
      <c r="AR128" s="114"/>
      <c r="AS128" s="105"/>
      <c r="AT128" s="114"/>
      <c r="AU128" s="615"/>
      <c r="AV128" s="114"/>
      <c r="AW128" s="615"/>
      <c r="AX128" s="114"/>
      <c r="AY128" s="615"/>
      <c r="AZ128" s="114"/>
      <c r="BA128" s="105"/>
      <c r="BB128" s="114"/>
      <c r="BC128" s="105"/>
      <c r="BD128" s="114"/>
    </row>
    <row r="129" spans="1:56" x14ac:dyDescent="0.35">
      <c r="A129" s="1054" t="s">
        <v>1006</v>
      </c>
      <c r="B129" s="1055"/>
      <c r="C129" s="1055"/>
      <c r="D129" s="1056"/>
      <c r="E129" s="317"/>
      <c r="F129" s="255"/>
      <c r="G129" s="298"/>
      <c r="H129" s="810">
        <f>SUMIFS('9. Actuals SAP Extract'!$V:$V,'9. Actuals SAP Extract'!$P:$P,$C129,'9. Actuals SAP Extract'!$O:$O,$D129,'9. Actuals SAP Extract'!$W:$W,H$11)</f>
        <v>0</v>
      </c>
      <c r="I129" s="108"/>
      <c r="J129" s="311">
        <f>SUMIFS('9. Actuals SAP Extract'!$V:$V,'9. Actuals SAP Extract'!$P:$P,$C129,'9. Actuals SAP Extract'!$O:$O,$D129,'9. Actuals SAP Extract'!$W:$W,J$11)</f>
        <v>0</v>
      </c>
      <c r="K129" s="108"/>
      <c r="L129" s="311">
        <f>SUMIFS('9. Actuals SAP Extract'!$V:$V,'9. Actuals SAP Extract'!$P:$P,$C129,'9. Actuals SAP Extract'!$O:$O,$D129,'9. Actuals SAP Extract'!$W:$W,L$11)</f>
        <v>0</v>
      </c>
      <c r="M129" s="298"/>
      <c r="N129" s="311">
        <f>SUMIFS('9. Actuals SAP Extract'!$V:$V,'9. Actuals SAP Extract'!$P:$P,$C129,'9. Actuals SAP Extract'!$O:$O,$D129,'9. Actuals SAP Extract'!$W:$W,N$11)</f>
        <v>0</v>
      </c>
      <c r="O129" s="108"/>
      <c r="P129" s="311">
        <f>SUMIFS('9. Actuals SAP Extract'!$V:$V,'9. Actuals SAP Extract'!$P:$P,$C129,'9. Actuals SAP Extract'!$O:$O,$D129,'9. Actuals SAP Extract'!$W:$W,P$11)</f>
        <v>0</v>
      </c>
      <c r="Q129" s="298"/>
      <c r="R129" s="311">
        <f>SUMIFS('9. Actuals SAP Extract'!$V:$V,'9. Actuals SAP Extract'!$P:$P,$C129,'9. Actuals SAP Extract'!$O:$O,$D129,'9. Actuals SAP Extract'!$W:$W,R$11)</f>
        <v>0</v>
      </c>
      <c r="S129" s="108"/>
      <c r="T129" s="311">
        <f>SUMIFS('9. Actuals SAP Extract'!$V:$V,'9. Actuals SAP Extract'!$P:$P,$C129,'9. Actuals SAP Extract'!$O:$O,$D129,'9. Actuals SAP Extract'!$W:$W,T$11)</f>
        <v>0</v>
      </c>
      <c r="U129" s="298"/>
      <c r="V129" s="311">
        <f>SUMIFS('9. Actuals SAP Extract'!$V:$V,'9. Actuals SAP Extract'!$P:$P,$C129,'9. Actuals SAP Extract'!$O:$O,$D129,'9. Actuals SAP Extract'!$W:$W,V$11)</f>
        <v>0</v>
      </c>
      <c r="W129" s="108"/>
      <c r="X129" s="311">
        <f>SUMIFS('9. Actuals SAP Extract'!$V:$V,'9. Actuals SAP Extract'!$P:$P,$C129,'9. Actuals SAP Extract'!$O:$O,$D129,'9. Actuals SAP Extract'!$W:$W,X$11)</f>
        <v>0</v>
      </c>
      <c r="Y129" s="298"/>
      <c r="Z129" s="311">
        <f>SUMIFS('9. Actuals SAP Extract'!$V:$V,'9. Actuals SAP Extract'!$P:$P,$C129,'9. Actuals SAP Extract'!$O:$O,$D129,'9. Actuals SAP Extract'!$W:$W,Z$11)</f>
        <v>0</v>
      </c>
      <c r="AA129" s="108"/>
      <c r="AB129" s="310"/>
      <c r="AC129" s="108"/>
      <c r="AD129" s="792">
        <f>SUMIFS('9. Actuals SAP Extract'!$V:$V,'9. Actuals SAP Extract'!$P:$P,$C129,'9. Actuals SAP Extract'!$O:$O,$D129,'9. Actuals SAP Extract'!$W:$W,AD$11)</f>
        <v>0</v>
      </c>
      <c r="AE129" s="615">
        <v>-40136</v>
      </c>
      <c r="AF129" s="829">
        <f>SUMIFS('9. Actuals SAP Extract'!$V:$V,'9. Actuals SAP Extract'!$P:$P,$C129,'9. Actuals SAP Extract'!$O:$O,$D129,'9. Actuals SAP Extract'!$W:$W,AF$11)</f>
        <v>0</v>
      </c>
      <c r="AG129" s="105">
        <v>-40136</v>
      </c>
      <c r="AH129" s="829">
        <f>SUMIFS('9. Actuals SAP Extract'!$V:$V,'9. Actuals SAP Extract'!$P:$P,$C129,'9. Actuals SAP Extract'!$O:$O,$D129,'9. Actuals SAP Extract'!$W:$W,AH$11)</f>
        <v>0</v>
      </c>
      <c r="AI129" s="105"/>
      <c r="AJ129" s="829">
        <f>SUMIFS('9. Actuals SAP Extract'!$V:$V,'9. Actuals SAP Extract'!$P:$P,$C129,'9. Actuals SAP Extract'!$O:$O,$D129,'9. Actuals SAP Extract'!$W:$W,AJ$11)</f>
        <v>0</v>
      </c>
      <c r="AK129" s="889">
        <v>8176</v>
      </c>
      <c r="AL129" s="829">
        <f>SUMIFS('9. Actuals SAP Extract'!$V:$V,'9. Actuals SAP Extract'!$P:$P,$C129,'9. Actuals SAP Extract'!$O:$O,$D129,'9. Actuals SAP Extract'!$W:$W,AL$11)</f>
        <v>0</v>
      </c>
      <c r="AM129" s="105"/>
      <c r="AN129" s="829">
        <f>SUMIFS('9. Actuals SAP Extract'!$V:$V,'9. Actuals SAP Extract'!$P:$P,$C129,'9. Actuals SAP Extract'!$O:$O,$D129,'9. Actuals SAP Extract'!$W:$W,AN$11)</f>
        <v>0</v>
      </c>
      <c r="AO129" s="105"/>
      <c r="AP129" s="133">
        <f>SUMIFS('9. Actuals SAP Extract'!$V:$V,'9. Actuals SAP Extract'!$P:$P,$C129,'9. Actuals SAP Extract'!$O:$O,$D129,'9. Actuals SAP Extract'!$W:$W,AP$11)</f>
        <v>0</v>
      </c>
      <c r="AQ129" s="105"/>
      <c r="AR129" s="310"/>
      <c r="AS129" s="105"/>
      <c r="AT129" s="310"/>
      <c r="AU129" s="105"/>
      <c r="AV129" s="310"/>
      <c r="AW129" s="105"/>
      <c r="AX129" s="310"/>
      <c r="AY129" s="105"/>
      <c r="AZ129" s="310"/>
      <c r="BA129" s="105"/>
      <c r="BB129" s="310"/>
      <c r="BC129" s="105"/>
      <c r="BD129" s="310"/>
    </row>
    <row r="130" spans="1:56" x14ac:dyDescent="0.35">
      <c r="A130" s="1051" t="s">
        <v>1107</v>
      </c>
      <c r="B130" s="1052"/>
      <c r="C130" s="1052"/>
      <c r="D130" s="1053"/>
      <c r="E130" s="317"/>
      <c r="F130" s="255"/>
      <c r="G130" s="298"/>
      <c r="H130" s="810">
        <f>SUMIFS('9. Actuals SAP Extract'!$V:$V,'9. Actuals SAP Extract'!$P:$P,$C130,'9. Actuals SAP Extract'!$O:$O,$D130,'9. Actuals SAP Extract'!$W:$W,H$11)</f>
        <v>0</v>
      </c>
      <c r="I130" s="108"/>
      <c r="J130" s="311">
        <f>SUMIFS('9. Actuals SAP Extract'!$V:$V,'9. Actuals SAP Extract'!$P:$P,$C130,'9. Actuals SAP Extract'!$O:$O,$D130,'9. Actuals SAP Extract'!$W:$W,J$11)</f>
        <v>0</v>
      </c>
      <c r="K130" s="108"/>
      <c r="L130" s="311">
        <f>SUMIFS('9. Actuals SAP Extract'!$V:$V,'9. Actuals SAP Extract'!$P:$P,$C130,'9. Actuals SAP Extract'!$O:$O,$D130,'9. Actuals SAP Extract'!$W:$W,L$11)</f>
        <v>0</v>
      </c>
      <c r="M130" s="298"/>
      <c r="N130" s="311">
        <f>SUMIFS('9. Actuals SAP Extract'!$V:$V,'9. Actuals SAP Extract'!$P:$P,$C130,'9. Actuals SAP Extract'!$O:$O,$D130,'9. Actuals SAP Extract'!$W:$W,N$11)</f>
        <v>0</v>
      </c>
      <c r="O130" s="108"/>
      <c r="P130" s="311">
        <f>SUMIFS('9. Actuals SAP Extract'!$V:$V,'9. Actuals SAP Extract'!$P:$P,$C130,'9. Actuals SAP Extract'!$O:$O,$D130,'9. Actuals SAP Extract'!$W:$W,P$11)</f>
        <v>0</v>
      </c>
      <c r="Q130" s="298"/>
      <c r="R130" s="311">
        <f>SUMIFS('9. Actuals SAP Extract'!$V:$V,'9. Actuals SAP Extract'!$P:$P,$C130,'9. Actuals SAP Extract'!$O:$O,$D130,'9. Actuals SAP Extract'!$W:$W,R$11)</f>
        <v>0</v>
      </c>
      <c r="S130" s="108"/>
      <c r="T130" s="311">
        <f>SUMIFS('9. Actuals SAP Extract'!$V:$V,'9. Actuals SAP Extract'!$P:$P,$C130,'9. Actuals SAP Extract'!$O:$O,$D130,'9. Actuals SAP Extract'!$W:$W,T$11)</f>
        <v>0</v>
      </c>
      <c r="U130" s="298"/>
      <c r="V130" s="311">
        <f>SUMIFS('9. Actuals SAP Extract'!$V:$V,'9. Actuals SAP Extract'!$P:$P,$C130,'9. Actuals SAP Extract'!$O:$O,$D130,'9. Actuals SAP Extract'!$W:$W,V$11)</f>
        <v>0</v>
      </c>
      <c r="W130" s="108"/>
      <c r="X130" s="311">
        <f>SUMIFS('9. Actuals SAP Extract'!$V:$V,'9. Actuals SAP Extract'!$P:$P,$C130,'9. Actuals SAP Extract'!$O:$O,$D130,'9. Actuals SAP Extract'!$W:$W,X$11)</f>
        <v>0</v>
      </c>
      <c r="Y130" s="298"/>
      <c r="Z130" s="311">
        <f>SUMIFS('9. Actuals SAP Extract'!$V:$V,'9. Actuals SAP Extract'!$P:$P,$C130,'9. Actuals SAP Extract'!$O:$O,$D130,'9. Actuals SAP Extract'!$W:$W,Z$11)</f>
        <v>0</v>
      </c>
      <c r="AA130" s="108"/>
      <c r="AB130" s="310"/>
      <c r="AC130" s="108"/>
      <c r="AD130" s="792">
        <f>SUMIFS('9. Actuals SAP Extract'!$V:$V,'9. Actuals SAP Extract'!$P:$P,$C130,'9. Actuals SAP Extract'!$O:$O,$D130,'9. Actuals SAP Extract'!$W:$W,AD$11)</f>
        <v>0</v>
      </c>
      <c r="AE130" s="615">
        <v>40000</v>
      </c>
      <c r="AF130" s="829">
        <f>SUMIFS('9. Actuals SAP Extract'!$V:$V,'9. Actuals SAP Extract'!$P:$P,$C130,'9. Actuals SAP Extract'!$O:$O,$D130,'9. Actuals SAP Extract'!$W:$W,AF$11)</f>
        <v>0</v>
      </c>
      <c r="AG130" s="105">
        <v>0</v>
      </c>
      <c r="AH130" s="829">
        <f>SUMIFS('9. Actuals SAP Extract'!$V:$V,'9. Actuals SAP Extract'!$P:$P,$C130,'9. Actuals SAP Extract'!$O:$O,$D130,'9. Actuals SAP Extract'!$W:$W,AH$11)</f>
        <v>0</v>
      </c>
      <c r="AI130" s="105">
        <v>0</v>
      </c>
      <c r="AJ130" s="829">
        <f>SUMIFS('9. Actuals SAP Extract'!$V:$V,'9. Actuals SAP Extract'!$P:$P,$C130,'9. Actuals SAP Extract'!$O:$O,$D130,'9. Actuals SAP Extract'!$W:$W,AJ$11)</f>
        <v>0</v>
      </c>
      <c r="AK130" s="105">
        <v>0</v>
      </c>
      <c r="AL130" s="829">
        <f>SUMIFS('9. Actuals SAP Extract'!$V:$V,'9. Actuals SAP Extract'!$P:$P,$C130,'9. Actuals SAP Extract'!$O:$O,$D130,'9. Actuals SAP Extract'!$W:$W,AL$11)</f>
        <v>0</v>
      </c>
      <c r="AM130" s="105">
        <v>0</v>
      </c>
      <c r="AN130" s="829">
        <f>SUMIFS('9. Actuals SAP Extract'!$V:$V,'9. Actuals SAP Extract'!$P:$P,$C130,'9. Actuals SAP Extract'!$O:$O,$D130,'9. Actuals SAP Extract'!$W:$W,AN$11)</f>
        <v>0</v>
      </c>
      <c r="AO130" s="105">
        <v>0</v>
      </c>
      <c r="AP130" s="133">
        <f>SUMIFS('9. Actuals SAP Extract'!$V:$V,'9. Actuals SAP Extract'!$P:$P,$C130,'9. Actuals SAP Extract'!$O:$O,$D130,'9. Actuals SAP Extract'!$W:$W,AP$11)</f>
        <v>0</v>
      </c>
      <c r="AQ130" s="105">
        <v>0</v>
      </c>
      <c r="AR130" s="310"/>
      <c r="AS130" s="973">
        <v>195600</v>
      </c>
      <c r="AT130" s="310"/>
      <c r="AU130" s="105">
        <v>0</v>
      </c>
      <c r="AV130" s="310"/>
      <c r="AW130" s="105">
        <v>0</v>
      </c>
      <c r="AX130" s="310"/>
      <c r="AY130" s="105">
        <v>0</v>
      </c>
      <c r="AZ130" s="310"/>
      <c r="BA130" s="105">
        <v>0</v>
      </c>
      <c r="BB130" s="310"/>
      <c r="BC130" s="105">
        <v>0</v>
      </c>
      <c r="BD130" s="310"/>
    </row>
    <row r="131" spans="1:56" x14ac:dyDescent="0.35">
      <c r="A131" s="786" t="s">
        <v>1034</v>
      </c>
      <c r="B131" s="786" t="s">
        <v>1035</v>
      </c>
      <c r="C131" s="786" t="s">
        <v>524</v>
      </c>
      <c r="D131" s="787">
        <v>4501316055</v>
      </c>
      <c r="E131" s="788"/>
      <c r="F131" s="255"/>
      <c r="G131" s="298"/>
      <c r="H131" s="810">
        <f>SUMIFS('9. Actuals SAP Extract'!$V:$V,'9. Actuals SAP Extract'!$P:$P,$C131,'9. Actuals SAP Extract'!$O:$O,$D131,'9. Actuals SAP Extract'!$W:$W,H$11)</f>
        <v>0</v>
      </c>
      <c r="I131" s="108"/>
      <c r="J131" s="311">
        <f>SUMIFS('9. Actuals SAP Extract'!$V:$V,'9. Actuals SAP Extract'!$P:$P,$C131,'9. Actuals SAP Extract'!$O:$O,$D131,'9. Actuals SAP Extract'!$W:$W,J$11)</f>
        <v>0</v>
      </c>
      <c r="K131" s="108"/>
      <c r="L131" s="311">
        <f>SUMIFS('9. Actuals SAP Extract'!$V:$V,'9. Actuals SAP Extract'!$P:$P,$C131,'9. Actuals SAP Extract'!$O:$O,$D131,'9. Actuals SAP Extract'!$W:$W,L$11)</f>
        <v>0</v>
      </c>
      <c r="M131" s="298"/>
      <c r="N131" s="311">
        <f>SUMIFS('9. Actuals SAP Extract'!$V:$V,'9. Actuals SAP Extract'!$P:$P,$C131,'9. Actuals SAP Extract'!$O:$O,$D131,'9. Actuals SAP Extract'!$W:$W,N$11)</f>
        <v>0</v>
      </c>
      <c r="O131" s="108"/>
      <c r="P131" s="311">
        <f>SUMIFS('9. Actuals SAP Extract'!$V:$V,'9. Actuals SAP Extract'!$P:$P,$C131,'9. Actuals SAP Extract'!$O:$O,$D131,'9. Actuals SAP Extract'!$W:$W,P$11)</f>
        <v>0</v>
      </c>
      <c r="Q131" s="298"/>
      <c r="R131" s="311">
        <f>SUMIFS('9. Actuals SAP Extract'!$V:$V,'9. Actuals SAP Extract'!$P:$P,$C131,'9. Actuals SAP Extract'!$O:$O,$D131,'9. Actuals SAP Extract'!$W:$W,R$11)</f>
        <v>0</v>
      </c>
      <c r="S131" s="108"/>
      <c r="T131" s="311">
        <f>SUMIFS('9. Actuals SAP Extract'!$V:$V,'9. Actuals SAP Extract'!$P:$P,$C131,'9. Actuals SAP Extract'!$O:$O,$D131,'9. Actuals SAP Extract'!$W:$W,T$11)</f>
        <v>0</v>
      </c>
      <c r="U131" s="298"/>
      <c r="V131" s="311">
        <f>SUMIFS('9. Actuals SAP Extract'!$V:$V,'9. Actuals SAP Extract'!$P:$P,$C131,'9. Actuals SAP Extract'!$O:$O,$D131,'9. Actuals SAP Extract'!$W:$W,V$11)</f>
        <v>0</v>
      </c>
      <c r="W131" s="108"/>
      <c r="X131" s="311">
        <f>SUMIFS('9. Actuals SAP Extract'!$V:$V,'9. Actuals SAP Extract'!$P:$P,$C131,'9. Actuals SAP Extract'!$O:$O,$D131,'9. Actuals SAP Extract'!$W:$W,X$11)</f>
        <v>439.65</v>
      </c>
      <c r="Y131" s="298"/>
      <c r="Z131" s="311">
        <f>SUMIFS('9. Actuals SAP Extract'!$V:$V,'9. Actuals SAP Extract'!$P:$P,$C131,'9. Actuals SAP Extract'!$O:$O,$D131,'9. Actuals SAP Extract'!$W:$W,Z$11)</f>
        <v>0</v>
      </c>
      <c r="AA131" s="108"/>
      <c r="AB131" s="310"/>
      <c r="AC131" s="108"/>
      <c r="AD131" s="792">
        <f>SUMIFS('9. Actuals SAP Extract'!$V:$V,'9. Actuals SAP Extract'!$P:$P,$C131,'9. Actuals SAP Extract'!$O:$O,$D131,'9. Actuals SAP Extract'!$W:$W,AD$11)</f>
        <v>0</v>
      </c>
      <c r="AE131" s="791">
        <v>-23520</v>
      </c>
      <c r="AF131" s="829">
        <f>SUMIFS('9. Actuals SAP Extract'!$V:$V,'9. Actuals SAP Extract'!$P:$P,$C131,'9. Actuals SAP Extract'!$O:$O,$D131,'9. Actuals SAP Extract'!$W:$W,AF$11)</f>
        <v>0</v>
      </c>
      <c r="AG131" s="105">
        <v>-23520</v>
      </c>
      <c r="AH131" s="829">
        <f>SUMIFS('9. Actuals SAP Extract'!$V:$V,'9. Actuals SAP Extract'!$P:$P,$C131,'9. Actuals SAP Extract'!$O:$O,$D131,'9. Actuals SAP Extract'!$W:$W,AH$11)</f>
        <v>0</v>
      </c>
      <c r="AI131" s="105"/>
      <c r="AJ131" s="829">
        <f>SUMIFS('9. Actuals SAP Extract'!$V:$V,'9. Actuals SAP Extract'!$P:$P,$C131,'9. Actuals SAP Extract'!$O:$O,$D131,'9. Actuals SAP Extract'!$W:$W,AJ$11)</f>
        <v>0</v>
      </c>
      <c r="AK131" s="105"/>
      <c r="AL131" s="829">
        <f>SUMIFS('9. Actuals SAP Extract'!$V:$V,'9. Actuals SAP Extract'!$P:$P,$C131,'9. Actuals SAP Extract'!$O:$O,$D131,'9. Actuals SAP Extract'!$W:$W,AL$11)</f>
        <v>0</v>
      </c>
      <c r="AM131" s="105"/>
      <c r="AN131" s="829">
        <f>SUMIFS('9. Actuals SAP Extract'!$V:$V,'9. Actuals SAP Extract'!$P:$P,$C131,'9. Actuals SAP Extract'!$O:$O,$D131,'9. Actuals SAP Extract'!$W:$W,AN$11)</f>
        <v>0</v>
      </c>
      <c r="AO131" s="105"/>
      <c r="AP131" s="133">
        <f>SUMIFS('9. Actuals SAP Extract'!$V:$V,'9. Actuals SAP Extract'!$P:$P,$C131,'9. Actuals SAP Extract'!$O:$O,$D131,'9. Actuals SAP Extract'!$W:$W,AP$11)</f>
        <v>0</v>
      </c>
      <c r="AQ131" s="105"/>
      <c r="AR131" s="310"/>
      <c r="AS131" s="105"/>
      <c r="AT131" s="310"/>
      <c r="AU131" s="105"/>
      <c r="AV131" s="310"/>
      <c r="AW131" s="105"/>
      <c r="AX131" s="310"/>
      <c r="AY131" s="105"/>
      <c r="AZ131" s="310"/>
      <c r="BA131" s="105"/>
      <c r="BB131" s="310"/>
      <c r="BC131" s="105"/>
      <c r="BD131" s="310"/>
    </row>
    <row r="132" spans="1:56" ht="29" x14ac:dyDescent="0.35">
      <c r="A132" s="917" t="s">
        <v>846</v>
      </c>
      <c r="B132" s="918"/>
      <c r="C132" s="919" t="s">
        <v>524</v>
      </c>
      <c r="D132" s="900">
        <v>7000001237</v>
      </c>
      <c r="E132" s="901"/>
      <c r="F132" s="255"/>
      <c r="G132" s="298"/>
      <c r="H132" s="810">
        <f>SUMIFS('9. Actuals SAP Extract'!$V:$V,'9. Actuals SAP Extract'!$P:$P,$C132,'9. Actuals SAP Extract'!$O:$O,$D132,'9. Actuals SAP Extract'!$W:$W,H$11)</f>
        <v>0</v>
      </c>
      <c r="I132" s="108"/>
      <c r="J132" s="311">
        <f>SUMIFS('9. Actuals SAP Extract'!$V:$V,'9. Actuals SAP Extract'!$P:$P,$C132,'9. Actuals SAP Extract'!$O:$O,$D132,'9. Actuals SAP Extract'!$W:$W,J$11)</f>
        <v>0</v>
      </c>
      <c r="K132" s="108"/>
      <c r="L132" s="311">
        <f>SUMIFS('9. Actuals SAP Extract'!$V:$V,'9. Actuals SAP Extract'!$P:$P,$C132,'9. Actuals SAP Extract'!$O:$O,$D132,'9. Actuals SAP Extract'!$W:$W,L$11)</f>
        <v>0</v>
      </c>
      <c r="M132" s="298"/>
      <c r="N132" s="311">
        <f>SUMIFS('9. Actuals SAP Extract'!$V:$V,'9. Actuals SAP Extract'!$P:$P,$C132,'9. Actuals SAP Extract'!$O:$O,$D132,'9. Actuals SAP Extract'!$W:$W,N$11)</f>
        <v>0</v>
      </c>
      <c r="O132" s="108"/>
      <c r="P132" s="311">
        <f>SUMIFS('9. Actuals SAP Extract'!$V:$V,'9. Actuals SAP Extract'!$P:$P,$C132,'9. Actuals SAP Extract'!$O:$O,$D132,'9. Actuals SAP Extract'!$W:$W,P$11)</f>
        <v>0</v>
      </c>
      <c r="Q132" s="298"/>
      <c r="R132" s="311">
        <f>SUMIFS('9. Actuals SAP Extract'!$V:$V,'9. Actuals SAP Extract'!$P:$P,$C132,'9. Actuals SAP Extract'!$O:$O,$D132,'9. Actuals SAP Extract'!$W:$W,R$11)</f>
        <v>7580.6</v>
      </c>
      <c r="S132" s="108"/>
      <c r="T132" s="311">
        <f>SUMIFS('9. Actuals SAP Extract'!$V:$V,'9. Actuals SAP Extract'!$P:$P,$C132,'9. Actuals SAP Extract'!$O:$O,$D132,'9. Actuals SAP Extract'!$W:$W,T$11)</f>
        <v>-2142.1999999999998</v>
      </c>
      <c r="U132" s="298"/>
      <c r="V132" s="311">
        <f>SUMIFS('9. Actuals SAP Extract'!$V:$V,'9. Actuals SAP Extract'!$P:$P,$C132,'9. Actuals SAP Extract'!$O:$O,$D132,'9. Actuals SAP Extract'!$W:$W,V$11)</f>
        <v>329.6</v>
      </c>
      <c r="W132" s="108"/>
      <c r="X132" s="311">
        <f>SUMIFS('9. Actuals SAP Extract'!$V:$V,'9. Actuals SAP Extract'!$P:$P,$C132,'9. Actuals SAP Extract'!$O:$O,$D132,'9. Actuals SAP Extract'!$W:$W,X$11)</f>
        <v>494.4</v>
      </c>
      <c r="Y132" s="298"/>
      <c r="Z132" s="311">
        <f>SUMIFS('9. Actuals SAP Extract'!$V:$V,'9. Actuals SAP Extract'!$P:$P,$C132,'9. Actuals SAP Extract'!$O:$O,$D132,'9. Actuals SAP Extract'!$W:$W,Z$11)</f>
        <v>0</v>
      </c>
      <c r="AA132" s="108"/>
      <c r="AB132" s="310"/>
      <c r="AC132" s="108"/>
      <c r="AD132" s="792">
        <f>SUMIFS('9. Actuals SAP Extract'!$V:$V,'9. Actuals SAP Extract'!$P:$P,$C132,'9. Actuals SAP Extract'!$O:$O,$D132,'9. Actuals SAP Extract'!$W:$W,AD$11)</f>
        <v>0</v>
      </c>
      <c r="AE132" s="108"/>
      <c r="AF132" s="829">
        <f>SUMIFS('9. Actuals SAP Extract'!$V:$V,'9. Actuals SAP Extract'!$P:$P,$C132,'9. Actuals SAP Extract'!$O:$O,$D132,'9. Actuals SAP Extract'!$W:$W,AF$11)</f>
        <v>3296</v>
      </c>
      <c r="AG132" s="105"/>
      <c r="AH132" s="829">
        <f>SUMIFS('9. Actuals SAP Extract'!$V:$V,'9. Actuals SAP Extract'!$P:$P,$C132,'9. Actuals SAP Extract'!$O:$O,$D132,'9. Actuals SAP Extract'!$W:$W,AH$11)</f>
        <v>0</v>
      </c>
      <c r="AI132" s="105"/>
      <c r="AJ132" s="829">
        <f>SUMIFS('9. Actuals SAP Extract'!$V:$V,'9. Actuals SAP Extract'!$P:$P,$C132,'9. Actuals SAP Extract'!$O:$O,$D132,'9. Actuals SAP Extract'!$W:$W,AJ$11)</f>
        <v>0</v>
      </c>
      <c r="AK132" s="105"/>
      <c r="AL132" s="829">
        <f>SUMIFS('9. Actuals SAP Extract'!$V:$V,'9. Actuals SAP Extract'!$P:$P,$C132,'9. Actuals SAP Extract'!$O:$O,$D132,'9. Actuals SAP Extract'!$W:$W,AL$11)</f>
        <v>0</v>
      </c>
      <c r="AM132" s="105"/>
      <c r="AN132" s="829">
        <f>SUMIFS('9. Actuals SAP Extract'!$V:$V,'9. Actuals SAP Extract'!$P:$P,$C132,'9. Actuals SAP Extract'!$O:$O,$D132,'9. Actuals SAP Extract'!$W:$W,AN$11)</f>
        <v>0</v>
      </c>
      <c r="AO132" s="105"/>
      <c r="AP132" s="133">
        <f>SUMIFS('9. Actuals SAP Extract'!$V:$V,'9. Actuals SAP Extract'!$P:$P,$C132,'9. Actuals SAP Extract'!$O:$O,$D132,'9. Actuals SAP Extract'!$W:$W,AP$11)</f>
        <v>0</v>
      </c>
      <c r="AQ132" s="105">
        <v>0</v>
      </c>
      <c r="AR132" s="310"/>
      <c r="AS132" s="105"/>
      <c r="AT132" s="310"/>
      <c r="AU132" s="105"/>
      <c r="AV132" s="310"/>
      <c r="AW132" s="105"/>
      <c r="AX132" s="310"/>
      <c r="AY132" s="105"/>
      <c r="AZ132" s="310"/>
      <c r="BA132" s="105"/>
      <c r="BB132" s="310"/>
      <c r="BC132" s="105"/>
      <c r="BD132" s="310"/>
    </row>
    <row r="133" spans="1:56" ht="26" x14ac:dyDescent="0.35">
      <c r="A133" s="920" t="s">
        <v>841</v>
      </c>
      <c r="B133" s="921" t="s">
        <v>721</v>
      </c>
      <c r="C133" s="922" t="s">
        <v>524</v>
      </c>
      <c r="D133" s="903">
        <v>7000002099</v>
      </c>
      <c r="E133" s="913">
        <v>1370040</v>
      </c>
      <c r="F133" s="255"/>
      <c r="G133" s="298"/>
      <c r="H133" s="810">
        <f>SUMIFS('9. Actuals SAP Extract'!$V:$V,'9. Actuals SAP Extract'!$P:$P,$C133,'9. Actuals SAP Extract'!$O:$O,$D133,'9. Actuals SAP Extract'!$W:$W,H$11)</f>
        <v>0</v>
      </c>
      <c r="I133" s="108"/>
      <c r="J133" s="311">
        <f>SUMIFS('9. Actuals SAP Extract'!$V:$V,'9. Actuals SAP Extract'!$P:$P,$C133,'9. Actuals SAP Extract'!$O:$O,$D133,'9. Actuals SAP Extract'!$W:$W,J$11)</f>
        <v>0</v>
      </c>
      <c r="K133" s="108"/>
      <c r="L133" s="311">
        <f>SUMIFS('9. Actuals SAP Extract'!$V:$V,'9. Actuals SAP Extract'!$P:$P,$C133,'9. Actuals SAP Extract'!$O:$O,$D133,'9. Actuals SAP Extract'!$W:$W,L$11)</f>
        <v>0</v>
      </c>
      <c r="M133" s="298"/>
      <c r="N133" s="311">
        <f>SUMIFS('9. Actuals SAP Extract'!$V:$V,'9. Actuals SAP Extract'!$P:$P,$C133,'9. Actuals SAP Extract'!$O:$O,$D133,'9. Actuals SAP Extract'!$W:$W,N$11)</f>
        <v>0</v>
      </c>
      <c r="O133" s="108"/>
      <c r="P133" s="311">
        <f>SUMIFS('9. Actuals SAP Extract'!$V:$V,'9. Actuals SAP Extract'!$P:$P,$C133,'9. Actuals SAP Extract'!$O:$O,$D133,'9. Actuals SAP Extract'!$W:$W,P$11)</f>
        <v>0</v>
      </c>
      <c r="Q133" s="298"/>
      <c r="R133" s="311">
        <f>SUMIFS('9. Actuals SAP Extract'!$V:$V,'9. Actuals SAP Extract'!$P:$P,$C133,'9. Actuals SAP Extract'!$O:$O,$D133,'9. Actuals SAP Extract'!$W:$W,R$11)</f>
        <v>0</v>
      </c>
      <c r="S133" s="108"/>
      <c r="T133" s="311">
        <f>SUMIFS('9. Actuals SAP Extract'!$V:$V,'9. Actuals SAP Extract'!$P:$P,$C133,'9. Actuals SAP Extract'!$O:$O,$D133,'9. Actuals SAP Extract'!$W:$W,T$11)</f>
        <v>0</v>
      </c>
      <c r="U133" s="298"/>
      <c r="V133" s="311">
        <f>SUMIFS('9. Actuals SAP Extract'!$V:$V,'9. Actuals SAP Extract'!$P:$P,$C133,'9. Actuals SAP Extract'!$O:$O,$D133,'9. Actuals SAP Extract'!$W:$W,V$11)</f>
        <v>0</v>
      </c>
      <c r="W133" s="108"/>
      <c r="X133" s="311">
        <f>SUMIFS('9. Actuals SAP Extract'!$V:$V,'9. Actuals SAP Extract'!$P:$P,$C133,'9. Actuals SAP Extract'!$O:$O,$D133,'9. Actuals SAP Extract'!$W:$W,X$11)</f>
        <v>0</v>
      </c>
      <c r="Y133" s="298"/>
      <c r="Z133" s="311">
        <f>SUMIFS('9. Actuals SAP Extract'!$V:$V,'9. Actuals SAP Extract'!$P:$P,$C133,'9. Actuals SAP Extract'!$O:$O,$D133,'9. Actuals SAP Extract'!$W:$W,Z$11)</f>
        <v>0</v>
      </c>
      <c r="AA133" s="108"/>
      <c r="AB133" s="310"/>
      <c r="AC133" s="108"/>
      <c r="AD133" s="311">
        <f>SUMIFS('9. Actuals SAP Extract'!$V:$V,'9. Actuals SAP Extract'!$P:$P,$C133,'9. Actuals SAP Extract'!$O:$O,$D133,'9. Actuals SAP Extract'!$W:$W,AD$11)</f>
        <v>0</v>
      </c>
      <c r="AE133" s="791">
        <v>327390</v>
      </c>
      <c r="AF133" s="829">
        <f>SUMIFS('9. Actuals SAP Extract'!$V:$V,'9. Actuals SAP Extract'!$P:$P,$C133,'9. Actuals SAP Extract'!$O:$O,$D133,'9. Actuals SAP Extract'!$W:$W,AF$11)</f>
        <v>237360</v>
      </c>
      <c r="AG133" s="298">
        <v>417420</v>
      </c>
      <c r="AH133" s="829">
        <f>SUMIFS('9. Actuals SAP Extract'!$V:$V,'9. Actuals SAP Extract'!$P:$P,$C133,'9. Actuals SAP Extract'!$O:$O,$D133,'9. Actuals SAP Extract'!$W:$W,AH$11)</f>
        <v>417420</v>
      </c>
      <c r="AI133" s="108">
        <v>111435</v>
      </c>
      <c r="AJ133" s="867">
        <f>SUMIFS('9. Actuals SAP Extract'!$V:$V,'9. Actuals SAP Extract'!$P:$P,$C133,'9. Actuals SAP Extract'!$O:$O,$D133,'9. Actuals SAP Extract'!$W:$W,AJ$11)</f>
        <v>111435</v>
      </c>
      <c r="AK133" s="108">
        <v>146019</v>
      </c>
      <c r="AL133" s="929">
        <f>SUMIFS('9. Actuals SAP Extract'!$V:$V,'9. Actuals SAP Extract'!$P:$P,$C133,'9. Actuals SAP Extract'!$O:$O,$D133,'9. Actuals SAP Extract'!$W:$W,AL$11)</f>
        <v>146019</v>
      </c>
      <c r="AM133" s="108">
        <v>57242</v>
      </c>
      <c r="AN133" s="867">
        <f>SUMIFS('9. Actuals SAP Extract'!$V:$V,'9. Actuals SAP Extract'!$P:$P,$C133,'9. Actuals SAP Extract'!$O:$O,$D133,'9. Actuals SAP Extract'!$W:$W,AN$11)</f>
        <v>57242</v>
      </c>
      <c r="AO133" s="108">
        <v>162181</v>
      </c>
      <c r="AP133" s="133">
        <f>SUMIFS('9. Actuals SAP Extract'!$V:$V,'9. Actuals SAP Extract'!$P:$P,$C133,'9. Actuals SAP Extract'!$O:$O,$D133,'9. Actuals SAP Extract'!$W:$W,AP$11)</f>
        <v>-311356</v>
      </c>
      <c r="AQ133" s="108">
        <v>148938</v>
      </c>
      <c r="AR133" s="310"/>
      <c r="AS133" s="108">
        <v>89445</v>
      </c>
      <c r="AT133" s="310"/>
      <c r="AU133" s="108"/>
      <c r="AV133" s="310"/>
      <c r="AW133" s="108"/>
      <c r="AX133" s="310"/>
      <c r="AY133" s="108"/>
      <c r="AZ133" s="310"/>
      <c r="BA133" s="108"/>
      <c r="BB133" s="310"/>
      <c r="BC133" s="108">
        <v>42912</v>
      </c>
      <c r="BD133" s="310"/>
    </row>
    <row r="134" spans="1:56" s="845" customFormat="1" x14ac:dyDescent="0.35">
      <c r="A134" s="1057" t="s">
        <v>971</v>
      </c>
      <c r="B134" s="1058"/>
      <c r="C134" s="1058"/>
      <c r="D134" s="1058"/>
      <c r="E134" s="1059"/>
      <c r="F134" s="255"/>
      <c r="G134" s="298"/>
      <c r="H134" s="810"/>
      <c r="I134" s="108"/>
      <c r="J134" s="311"/>
      <c r="K134" s="298"/>
      <c r="L134" s="311"/>
      <c r="M134" s="298"/>
      <c r="N134" s="311"/>
      <c r="O134" s="298"/>
      <c r="P134" s="311"/>
      <c r="Q134" s="298"/>
      <c r="R134" s="311"/>
      <c r="S134" s="298"/>
      <c r="T134" s="311"/>
      <c r="U134" s="298"/>
      <c r="V134" s="311"/>
      <c r="W134" s="298"/>
      <c r="X134" s="311"/>
      <c r="Y134" s="298"/>
      <c r="Z134" s="311"/>
      <c r="AA134" s="298"/>
      <c r="AB134" s="310"/>
      <c r="AC134" s="298"/>
      <c r="AD134" s="311"/>
      <c r="AE134" s="850"/>
      <c r="AF134" s="829"/>
      <c r="AG134" s="860"/>
      <c r="AH134" s="829"/>
      <c r="AI134" s="860"/>
      <c r="AJ134" s="829">
        <f>SUMIFS('9. Actuals SAP Extract'!$V:$V,'9. Actuals SAP Extract'!$P:$P,$C134,'9. Actuals SAP Extract'!$O:$O,$D134,'9. Actuals SAP Extract'!$W:$W,AJ$11)</f>
        <v>0</v>
      </c>
      <c r="AK134" s="860"/>
      <c r="AL134" s="829">
        <f>SUMIFS('9. Actuals SAP Extract'!$V:$V,'9. Actuals SAP Extract'!$P:$P,$C134,'9. Actuals SAP Extract'!$O:$O,$D134,'9. Actuals SAP Extract'!$W:$W,AL$11)</f>
        <v>0</v>
      </c>
      <c r="AM134" s="860"/>
      <c r="AN134" s="829">
        <f>SUMIFS('9. Actuals SAP Extract'!$V:$V,'9. Actuals SAP Extract'!$P:$P,$C134,'9. Actuals SAP Extract'!$O:$O,$D134,'9. Actuals SAP Extract'!$W:$W,AN$11)</f>
        <v>0</v>
      </c>
      <c r="AO134" s="860"/>
      <c r="AP134" s="310"/>
      <c r="AQ134" s="860"/>
      <c r="AR134" s="310"/>
      <c r="AS134" s="860"/>
      <c r="AT134" s="310"/>
      <c r="AU134" s="860"/>
      <c r="AV134" s="310"/>
      <c r="AW134" s="860"/>
      <c r="AX134" s="310"/>
      <c r="AY134" s="860"/>
      <c r="AZ134" s="310"/>
      <c r="BA134" s="860"/>
      <c r="BB134" s="310"/>
      <c r="BC134" s="860"/>
      <c r="BD134" s="310"/>
    </row>
    <row r="135" spans="1:56" x14ac:dyDescent="0.35">
      <c r="A135" s="1049" t="s">
        <v>280</v>
      </c>
      <c r="B135" s="1050"/>
      <c r="C135" s="1050"/>
      <c r="D135" s="1050"/>
      <c r="E135" s="499"/>
      <c r="F135" s="255"/>
      <c r="G135" s="297"/>
      <c r="H135" s="811"/>
      <c r="I135" s="830"/>
      <c r="J135" s="831"/>
      <c r="K135" s="297"/>
      <c r="L135" s="311"/>
      <c r="M135" s="297"/>
      <c r="N135" s="831"/>
      <c r="O135" s="297"/>
      <c r="P135" s="310"/>
      <c r="Q135" s="297"/>
      <c r="R135" s="311">
        <f>SUMIFS('9. Actuals SAP Extract'!$V:$V,'9. Actuals SAP Extract'!$P:$P,$C135,'9. Actuals SAP Extract'!$O:$O,$D135,'9. Actuals SAP Extract'!$W:$W,R$11)</f>
        <v>0</v>
      </c>
      <c r="S135" s="297"/>
      <c r="T135" s="311">
        <f>SUMIFS('9. Actuals SAP Extract'!$V:$V,'9. Actuals SAP Extract'!$P:$P,$C135,'9. Actuals SAP Extract'!$O:$O,$D135,'9. Actuals SAP Extract'!$W:$W,T$11)</f>
        <v>0</v>
      </c>
      <c r="U135" s="297"/>
      <c r="V135" s="311">
        <f>SUMIFS('9. Actuals SAP Extract'!$V:$V,'9. Actuals SAP Extract'!$P:$P,$C135,'9. Actuals SAP Extract'!$O:$O,$D135,'9. Actuals SAP Extract'!$W:$W,V$11)</f>
        <v>0</v>
      </c>
      <c r="W135" s="297"/>
      <c r="X135" s="311">
        <v>632.44000000000005</v>
      </c>
      <c r="Y135" s="297"/>
      <c r="Z135" s="311">
        <f>SUMIFS('9. Actuals SAP Extract'!$V:$V,'9. Actuals SAP Extract'!$P:$P,$C135,'9. Actuals SAP Extract'!$O:$O,$D135,'9. Actuals SAP Extract'!$W:$W,Z$11)</f>
        <v>0</v>
      </c>
      <c r="AA135" s="297"/>
      <c r="AB135" s="310"/>
      <c r="AC135" s="297">
        <v>4500</v>
      </c>
      <c r="AD135" s="310"/>
      <c r="AE135" s="297">
        <v>7000</v>
      </c>
      <c r="AF135" s="832"/>
      <c r="AG135" s="297">
        <v>6000</v>
      </c>
      <c r="AH135" s="829">
        <v>11695.53</v>
      </c>
      <c r="AI135" s="248">
        <v>5000</v>
      </c>
      <c r="AJ135" s="829">
        <v>3396.2</v>
      </c>
      <c r="AK135" s="248">
        <v>12000</v>
      </c>
      <c r="AL135" s="114">
        <v>1878.62</v>
      </c>
      <c r="AM135" s="248">
        <v>3000</v>
      </c>
      <c r="AN135" s="829">
        <v>10632.01</v>
      </c>
      <c r="AO135" s="248">
        <v>5000</v>
      </c>
      <c r="AP135" s="114"/>
      <c r="AQ135" s="248">
        <v>6800</v>
      </c>
      <c r="AR135" s="114"/>
      <c r="AS135" s="248">
        <v>17000</v>
      </c>
      <c r="AT135" s="114"/>
      <c r="AU135" s="248">
        <v>500</v>
      </c>
      <c r="AV135" s="114"/>
      <c r="AW135" s="248">
        <v>5000</v>
      </c>
      <c r="AX135" s="114"/>
      <c r="AY135" s="248">
        <v>4500</v>
      </c>
      <c r="AZ135" s="114"/>
      <c r="BA135" s="248">
        <v>4000</v>
      </c>
      <c r="BB135" s="114"/>
      <c r="BC135" s="248">
        <v>5000</v>
      </c>
      <c r="BD135" s="114"/>
    </row>
    <row r="136" spans="1:56" ht="24.75" customHeight="1" thickBot="1" x14ac:dyDescent="0.4">
      <c r="A136" s="1025" t="s">
        <v>645</v>
      </c>
      <c r="B136" s="1026"/>
      <c r="C136" s="1026"/>
      <c r="D136" s="1026"/>
      <c r="E136" s="1027"/>
      <c r="F136" s="255"/>
      <c r="G136" s="298"/>
      <c r="H136" s="810">
        <v>103408.84</v>
      </c>
      <c r="I136" s="108"/>
      <c r="J136" s="311">
        <f>SUMIFS('9. Actuals SAP Extract'!$V:$V,'9. Actuals SAP Extract'!$P:$P,$C136,'9. Actuals SAP Extract'!$O:$O,$D136,'9. Actuals SAP Extract'!$W:$W,J$11)</f>
        <v>0</v>
      </c>
      <c r="K136" s="108"/>
      <c r="L136" s="311">
        <f>SUMIFS('9. Actuals SAP Extract'!$V:$V,'9. Actuals SAP Extract'!$P:$P,$C136,'9. Actuals SAP Extract'!$O:$O,$D136,'9. Actuals SAP Extract'!$W:$W,L$11)</f>
        <v>0</v>
      </c>
      <c r="M136" s="298"/>
      <c r="N136" s="311">
        <f>SUMIFS('9. Actuals SAP Extract'!$V:$V,'9. Actuals SAP Extract'!$P:$P,$C136,'9. Actuals SAP Extract'!$O:$O,$D136,'9. Actuals SAP Extract'!$W:$W,N$11)</f>
        <v>0</v>
      </c>
      <c r="O136" s="108"/>
      <c r="P136" s="311">
        <f>SUMIFS('9. Actuals SAP Extract'!$V:$V,'9. Actuals SAP Extract'!$P:$P,$C136,'9. Actuals SAP Extract'!$O:$O,$D136,'9. Actuals SAP Extract'!$W:$W,P$11)</f>
        <v>0</v>
      </c>
      <c r="Q136" s="298"/>
      <c r="R136" s="311">
        <f>SUMIFS('9. Actuals SAP Extract'!$V:$V,'9. Actuals SAP Extract'!$P:$P,$C136,'9. Actuals SAP Extract'!$O:$O,$D136,'9. Actuals SAP Extract'!$W:$W,R$11)</f>
        <v>0</v>
      </c>
      <c r="S136" s="108"/>
      <c r="T136" s="311">
        <f>SUMIFS('9. Actuals SAP Extract'!$V:$V,'9. Actuals SAP Extract'!$P:$P,$C136,'9. Actuals SAP Extract'!$O:$O,$D136,'9. Actuals SAP Extract'!$W:$W,T$11)</f>
        <v>0</v>
      </c>
      <c r="U136" s="298"/>
      <c r="V136" s="311">
        <f>SUMIFS('9. Actuals SAP Extract'!$V:$V,'9. Actuals SAP Extract'!$P:$P,$C136,'9. Actuals SAP Extract'!$O:$O,$D136,'9. Actuals SAP Extract'!$W:$W,V$11)</f>
        <v>0</v>
      </c>
      <c r="W136" s="108"/>
      <c r="X136" s="311">
        <f>SUMIFS('9. Actuals SAP Extract'!$V:$V,'9. Actuals SAP Extract'!$P:$P,$C136,'9. Actuals SAP Extract'!$O:$O,$D136,'9. Actuals SAP Extract'!$W:$W,X$11)</f>
        <v>0</v>
      </c>
      <c r="Y136" s="298"/>
      <c r="Z136" s="311">
        <f>SUMIFS('9. Actuals SAP Extract'!$V:$V,'9. Actuals SAP Extract'!$P:$P,$C136,'9. Actuals SAP Extract'!$O:$O,$D136,'9. Actuals SAP Extract'!$W:$W,Z$11)</f>
        <v>0</v>
      </c>
      <c r="AA136" s="108"/>
      <c r="AB136" s="310"/>
      <c r="AC136" s="108"/>
      <c r="AD136" s="310"/>
      <c r="AE136" s="108"/>
      <c r="AF136" s="832"/>
      <c r="AG136" s="298"/>
      <c r="AH136" s="829">
        <f>SUMIFS('9. Actuals SAP Extract'!$V:$V,'9. Actuals SAP Extract'!$P:$P,$C136,'9. Actuals SAP Extract'!$O:$O,$D136,'9. Actuals SAP Extract'!$W:$W,AH$11)</f>
        <v>0</v>
      </c>
      <c r="AI136" s="108"/>
      <c r="AJ136" s="829">
        <f>SUMIFS('9. Actuals SAP Extract'!$V:$V,'9. Actuals SAP Extract'!$P:$P,$C136,'9. Actuals SAP Extract'!$O:$O,$D136,'9. Actuals SAP Extract'!$W:$W,AJ$11)</f>
        <v>0</v>
      </c>
      <c r="AK136" s="108"/>
      <c r="AL136" s="114"/>
      <c r="AM136" s="108"/>
      <c r="AN136" s="829">
        <f>SUMIFS('9. Actuals SAP Extract'!$V:$V,'9. Actuals SAP Extract'!$P:$P,$C136,'9. Actuals SAP Extract'!$O:$O,$D136,'9. Actuals SAP Extract'!$W:$W,AN$11)</f>
        <v>0</v>
      </c>
      <c r="AO136" s="108"/>
      <c r="AP136" s="114"/>
      <c r="AQ136" s="108"/>
      <c r="AR136" s="114"/>
      <c r="AS136" s="108"/>
      <c r="AT136" s="114"/>
      <c r="AU136" s="108"/>
      <c r="AV136" s="114"/>
      <c r="AW136" s="108"/>
      <c r="AX136" s="114"/>
      <c r="AY136" s="108"/>
      <c r="AZ136" s="114"/>
      <c r="BA136" s="108"/>
      <c r="BB136" s="114"/>
      <c r="BC136" s="108"/>
      <c r="BD136" s="114"/>
    </row>
    <row r="137" spans="1:56" ht="15" thickBot="1" x14ac:dyDescent="0.4">
      <c r="A137" s="1039" t="s">
        <v>184</v>
      </c>
      <c r="B137" s="1040"/>
      <c r="C137" s="1040"/>
      <c r="D137" s="1040"/>
      <c r="E137" s="494"/>
      <c r="F137" s="256"/>
      <c r="G137" s="300">
        <f>SUM(G92:G136)</f>
        <v>0</v>
      </c>
      <c r="H137" s="812">
        <f>SUM(H92:H136)</f>
        <v>155567.67999999999</v>
      </c>
      <c r="I137" s="118">
        <f>SUM(I92:I136)</f>
        <v>0</v>
      </c>
      <c r="J137" s="120">
        <f>SUM(J92:J136)</f>
        <v>23454.600000000002</v>
      </c>
      <c r="K137" s="118">
        <f>SUM(K94:K136)</f>
        <v>0</v>
      </c>
      <c r="L137" s="120">
        <f t="shared" ref="L137:AA137" si="0">SUM(L92:L136)</f>
        <v>24726</v>
      </c>
      <c r="M137" s="300">
        <f t="shared" si="0"/>
        <v>326904</v>
      </c>
      <c r="N137" s="120">
        <f t="shared" si="0"/>
        <v>178434.26</v>
      </c>
      <c r="O137" s="300">
        <f t="shared" si="0"/>
        <v>347569</v>
      </c>
      <c r="P137" s="120">
        <f t="shared" si="0"/>
        <v>369308.80000000005</v>
      </c>
      <c r="Q137" s="300">
        <f t="shared" si="0"/>
        <v>514465</v>
      </c>
      <c r="R137" s="120">
        <f t="shared" si="0"/>
        <v>45509.549999999996</v>
      </c>
      <c r="S137" s="300">
        <f t="shared" si="0"/>
        <v>221578</v>
      </c>
      <c r="T137" s="120">
        <f t="shared" si="0"/>
        <v>223388.65999999997</v>
      </c>
      <c r="U137" s="300">
        <f t="shared" si="0"/>
        <v>67305</v>
      </c>
      <c r="V137" s="120">
        <f t="shared" si="0"/>
        <v>102858.20000000001</v>
      </c>
      <c r="W137" s="300">
        <f t="shared" si="0"/>
        <v>13608</v>
      </c>
      <c r="X137" s="120">
        <f t="shared" si="0"/>
        <v>75340.149999999994</v>
      </c>
      <c r="Y137" s="300">
        <f t="shared" si="0"/>
        <v>591455</v>
      </c>
      <c r="Z137" s="120">
        <f t="shared" si="0"/>
        <v>559713</v>
      </c>
      <c r="AA137" s="118">
        <f t="shared" si="0"/>
        <v>138859</v>
      </c>
      <c r="AB137" s="120">
        <f>SUM(AB94:AB136)</f>
        <v>773691.92</v>
      </c>
      <c r="AC137" s="118">
        <f>SUM(AC92:AC136)</f>
        <v>24771</v>
      </c>
      <c r="AD137" s="120">
        <f>SUM(AD94:AD136)</f>
        <v>5737.8699999999953</v>
      </c>
      <c r="AE137" s="118">
        <f>SUM(AE92:AE136)</f>
        <v>331168</v>
      </c>
      <c r="AF137" s="120">
        <f>SUM(AF94:AF136)</f>
        <v>262073.15</v>
      </c>
      <c r="AG137" s="300">
        <f t="shared" ref="AG137:BD137" si="1">SUM(AG92:AG136)</f>
        <v>510907</v>
      </c>
      <c r="AH137" s="120">
        <f t="shared" si="1"/>
        <v>555230.22</v>
      </c>
      <c r="AI137" s="118">
        <f t="shared" si="1"/>
        <v>381927</v>
      </c>
      <c r="AJ137" s="120">
        <f t="shared" si="1"/>
        <v>265953.2</v>
      </c>
      <c r="AK137" s="118">
        <f t="shared" si="1"/>
        <v>151510</v>
      </c>
      <c r="AL137" s="120">
        <f t="shared" si="1"/>
        <v>123367.93</v>
      </c>
      <c r="AM137" s="118">
        <f t="shared" si="1"/>
        <v>188386</v>
      </c>
      <c r="AN137" s="120">
        <f t="shared" si="1"/>
        <v>-26486.1</v>
      </c>
      <c r="AO137" s="118">
        <f t="shared" si="1"/>
        <v>88646</v>
      </c>
      <c r="AP137" s="120">
        <f t="shared" si="1"/>
        <v>-597696</v>
      </c>
      <c r="AQ137" s="118">
        <f t="shared" si="1"/>
        <v>214989</v>
      </c>
      <c r="AR137" s="120">
        <f t="shared" si="1"/>
        <v>0</v>
      </c>
      <c r="AS137" s="118">
        <f t="shared" si="1"/>
        <v>361296</v>
      </c>
      <c r="AT137" s="120">
        <f t="shared" si="1"/>
        <v>0</v>
      </c>
      <c r="AU137" s="118">
        <f t="shared" si="1"/>
        <v>58591</v>
      </c>
      <c r="AV137" s="120">
        <f t="shared" si="1"/>
        <v>0</v>
      </c>
      <c r="AW137" s="118">
        <f t="shared" si="1"/>
        <v>64251</v>
      </c>
      <c r="AX137" s="120">
        <f t="shared" si="1"/>
        <v>0</v>
      </c>
      <c r="AY137" s="118">
        <f t="shared" si="1"/>
        <v>63751</v>
      </c>
      <c r="AZ137" s="120">
        <f t="shared" si="1"/>
        <v>0</v>
      </c>
      <c r="BA137" s="118">
        <f t="shared" si="1"/>
        <v>59771</v>
      </c>
      <c r="BB137" s="120">
        <f t="shared" si="1"/>
        <v>0</v>
      </c>
      <c r="BC137" s="118">
        <f t="shared" si="1"/>
        <v>106532</v>
      </c>
      <c r="BD137" s="120">
        <f t="shared" si="1"/>
        <v>0</v>
      </c>
    </row>
    <row r="138" spans="1:56" ht="26" x14ac:dyDescent="0.35">
      <c r="A138" s="124" t="s">
        <v>188</v>
      </c>
      <c r="B138" s="125" t="s">
        <v>148</v>
      </c>
      <c r="C138" s="125" t="s">
        <v>126</v>
      </c>
      <c r="D138" s="125" t="s">
        <v>168</v>
      </c>
      <c r="E138" s="493" t="s">
        <v>643</v>
      </c>
      <c r="F138" s="254" t="s">
        <v>767</v>
      </c>
      <c r="G138" s="295" t="s">
        <v>151</v>
      </c>
      <c r="H138" s="809" t="s">
        <v>146</v>
      </c>
      <c r="I138" s="826" t="s">
        <v>152</v>
      </c>
      <c r="J138" s="827" t="s">
        <v>147</v>
      </c>
      <c r="K138" s="827" t="s">
        <v>153</v>
      </c>
      <c r="L138" s="827" t="s">
        <v>133</v>
      </c>
      <c r="M138" s="295" t="s">
        <v>369</v>
      </c>
      <c r="N138" s="827" t="s">
        <v>358</v>
      </c>
      <c r="O138" s="827" t="s">
        <v>370</v>
      </c>
      <c r="P138" s="827" t="s">
        <v>371</v>
      </c>
      <c r="Q138" s="295" t="s">
        <v>372</v>
      </c>
      <c r="R138" s="827" t="s">
        <v>367</v>
      </c>
      <c r="S138" s="827" t="s">
        <v>373</v>
      </c>
      <c r="T138" s="827" t="s">
        <v>374</v>
      </c>
      <c r="U138" s="295" t="s">
        <v>375</v>
      </c>
      <c r="V138" s="827" t="s">
        <v>376</v>
      </c>
      <c r="W138" s="827" t="s">
        <v>377</v>
      </c>
      <c r="X138" s="827" t="s">
        <v>363</v>
      </c>
      <c r="Y138" s="295" t="s">
        <v>378</v>
      </c>
      <c r="Z138" s="827" t="s">
        <v>379</v>
      </c>
      <c r="AA138" s="827" t="s">
        <v>149</v>
      </c>
      <c r="AB138" s="827" t="s">
        <v>142</v>
      </c>
      <c r="AC138" s="827" t="s">
        <v>150</v>
      </c>
      <c r="AD138" s="827" t="s">
        <v>144</v>
      </c>
      <c r="AE138" s="827" t="s">
        <v>151</v>
      </c>
      <c r="AF138" s="828" t="s">
        <v>146</v>
      </c>
      <c r="AG138" s="299" t="s">
        <v>131</v>
      </c>
      <c r="AH138" s="98" t="s">
        <v>147</v>
      </c>
      <c r="AI138" s="97" t="s">
        <v>132</v>
      </c>
      <c r="AJ138" s="98" t="s">
        <v>133</v>
      </c>
      <c r="AK138" s="97" t="s">
        <v>134</v>
      </c>
      <c r="AL138" s="98" t="s">
        <v>358</v>
      </c>
      <c r="AM138" s="97" t="s">
        <v>135</v>
      </c>
      <c r="AN138" s="98" t="s">
        <v>371</v>
      </c>
      <c r="AO138" s="97" t="s">
        <v>136</v>
      </c>
      <c r="AP138" s="98" t="s">
        <v>367</v>
      </c>
      <c r="AQ138" s="97" t="s">
        <v>137</v>
      </c>
      <c r="AR138" s="98" t="s">
        <v>365</v>
      </c>
      <c r="AS138" s="97" t="s">
        <v>138</v>
      </c>
      <c r="AT138" s="98" t="s">
        <v>364</v>
      </c>
      <c r="AU138" s="97" t="s">
        <v>139</v>
      </c>
      <c r="AV138" s="98" t="s">
        <v>363</v>
      </c>
      <c r="AW138" s="97" t="s">
        <v>140</v>
      </c>
      <c r="AX138" s="98" t="s">
        <v>362</v>
      </c>
      <c r="AY138" s="97" t="s">
        <v>141</v>
      </c>
      <c r="AZ138" s="98" t="s">
        <v>142</v>
      </c>
      <c r="BA138" s="97" t="s">
        <v>143</v>
      </c>
      <c r="BB138" s="98" t="s">
        <v>144</v>
      </c>
      <c r="BC138" s="97" t="s">
        <v>145</v>
      </c>
      <c r="BD138" s="98" t="s">
        <v>146</v>
      </c>
    </row>
    <row r="139" spans="1:56" x14ac:dyDescent="0.35">
      <c r="A139" s="258"/>
      <c r="B139" s="1022" t="s">
        <v>749</v>
      </c>
      <c r="C139" s="107" t="s">
        <v>523</v>
      </c>
      <c r="D139" s="572">
        <v>5000059268</v>
      </c>
      <c r="E139" s="576">
        <v>739034.8</v>
      </c>
      <c r="F139" s="255"/>
      <c r="G139" s="105"/>
      <c r="H139" s="813"/>
      <c r="I139" s="109"/>
      <c r="J139" s="731"/>
      <c r="K139" s="109"/>
      <c r="L139" s="731"/>
      <c r="M139" s="105"/>
      <c r="N139" s="591">
        <f>SUMIFS('9. Actuals SAP Extract'!$V:$V,'9. Actuals SAP Extract'!$P:$P,$C139,'9. Actuals SAP Extract'!$O:$O,$D139,'9. Actuals SAP Extract'!$W:$W,N$11)</f>
        <v>190575</v>
      </c>
      <c r="O139" s="109"/>
      <c r="P139" s="731"/>
      <c r="Q139" s="105"/>
      <c r="R139" s="592">
        <f>SUMIFS('9. Actuals SAP Extract'!$V:$V,'9. Actuals SAP Extract'!$P:$P,$C139,'9. Actuals SAP Extract'!$O:$O,$D139,'9. Actuals SAP Extract'!$W:$W,R$11)</f>
        <v>-190575</v>
      </c>
      <c r="S139" s="109"/>
      <c r="T139" s="311">
        <f>SUMIFS('9. Actuals SAP Extract'!$V:$V,'9. Actuals SAP Extract'!$P:$P,$C139,'9. Actuals SAP Extract'!$O:$O,$D139,'9. Actuals SAP Extract'!$W:$W,T$11)</f>
        <v>0</v>
      </c>
      <c r="U139" s="105"/>
      <c r="V139" s="311">
        <f>SUMIFS('9. Actuals SAP Extract'!$V:$V,'9. Actuals SAP Extract'!$P:$P,$C139,'9. Actuals SAP Extract'!$O:$O,$D139,'9. Actuals SAP Extract'!$W:$W,V$11)</f>
        <v>0</v>
      </c>
      <c r="W139" s="109"/>
      <c r="X139" s="311">
        <f>SUMIFS('9. Actuals SAP Extract'!$V:$V,'9. Actuals SAP Extract'!$P:$P,$C139,'9. Actuals SAP Extract'!$O:$O,$D139,'9. Actuals SAP Extract'!$W:$W,X$11)</f>
        <v>0</v>
      </c>
      <c r="Y139" s="105"/>
      <c r="Z139" s="311">
        <f>SUMIFS('9. Actuals SAP Extract'!$V:$V,'9. Actuals SAP Extract'!$P:$P,$C139,'9. Actuals SAP Extract'!$O:$O,$D139,'9. Actuals SAP Extract'!$W:$W,Z$11)</f>
        <v>0</v>
      </c>
      <c r="AA139" s="109"/>
      <c r="AB139" s="311">
        <f>SUMIFS('9. Actuals SAP Extract'!$V:$V,'9. Actuals SAP Extract'!$P:$P,$C139,'9. Actuals SAP Extract'!$O:$O,$D139,'9. Actuals SAP Extract'!$W:$W,AB$11)</f>
        <v>0</v>
      </c>
      <c r="AC139" s="109"/>
      <c r="AD139" s="311">
        <f>SUMIFS('9. Actuals SAP Extract'!$V:$V,'9. Actuals SAP Extract'!$P:$P,$C139,'9. Actuals SAP Extract'!$O:$O,$D139,'9. Actuals SAP Extract'!$W:$W,AD$11)</f>
        <v>0</v>
      </c>
      <c r="AE139" s="109"/>
      <c r="AF139" s="829">
        <f>SUMIFS('9. Actuals SAP Extract'!$V:$V,'9. Actuals SAP Extract'!$P:$P,$C139,'9. Actuals SAP Extract'!$O:$O,$D139,'9. Actuals SAP Extract'!$W:$W,AF$11)</f>
        <v>0</v>
      </c>
      <c r="AG139" s="105"/>
      <c r="AH139" s="829">
        <f>SUMIFS('9. Actuals SAP Extract'!$V:$V,'9. Actuals SAP Extract'!$P:$P,$C139,'9. Actuals SAP Extract'!$O:$O,$D139,'9. Actuals SAP Extract'!$W:$W,AH$11)</f>
        <v>0</v>
      </c>
      <c r="AI139" s="109"/>
      <c r="AJ139" s="829">
        <f>SUMIFS('9. Actuals SAP Extract'!$V:$V,'9. Actuals SAP Extract'!$P:$P,$C139,'9. Actuals SAP Extract'!$O:$O,$D139,'9. Actuals SAP Extract'!$W:$W,AJ$11)</f>
        <v>0</v>
      </c>
      <c r="AK139" s="109"/>
      <c r="AL139" s="829">
        <f>SUMIFS('9. Actuals SAP Extract'!$V:$V,'9. Actuals SAP Extract'!$P:$P,$C139,'9. Actuals SAP Extract'!$O:$O,$D139,'9. Actuals SAP Extract'!$W:$W,AL$11)</f>
        <v>0</v>
      </c>
      <c r="AM139" s="109"/>
      <c r="AN139" s="829">
        <f>SUMIFS('9. Actuals SAP Extract'!$V:$V,'9. Actuals SAP Extract'!$P:$P,$C139,'9. Actuals SAP Extract'!$O:$O,$D139,'9. Actuals SAP Extract'!$W:$W,AN$11)</f>
        <v>0</v>
      </c>
      <c r="AO139" s="109"/>
      <c r="AP139" s="829">
        <f>SUMIFS('9. Actuals SAP Extract'!$V:$V,'9. Actuals SAP Extract'!$P:$P,$C139,'9. Actuals SAP Extract'!$O:$O,$D139,'9. Actuals SAP Extract'!$W:$W,AP$11)</f>
        <v>0</v>
      </c>
      <c r="AQ139" s="109"/>
      <c r="AR139" s="247"/>
      <c r="AS139" s="109"/>
      <c r="AT139" s="247"/>
      <c r="AU139" s="109"/>
      <c r="AV139" s="247"/>
      <c r="AW139" s="109"/>
      <c r="AX139" s="247"/>
      <c r="AY139" s="109"/>
      <c r="AZ139" s="247"/>
      <c r="BA139" s="109"/>
      <c r="BB139" s="247"/>
      <c r="BC139" s="109"/>
      <c r="BD139" s="247"/>
    </row>
    <row r="140" spans="1:56" x14ac:dyDescent="0.35">
      <c r="A140" s="316"/>
      <c r="B140" s="1023"/>
      <c r="C140" s="732" t="s">
        <v>523</v>
      </c>
      <c r="D140" s="733">
        <v>7000001857</v>
      </c>
      <c r="E140" s="734">
        <v>1899030.42</v>
      </c>
      <c r="F140" s="255"/>
      <c r="G140" s="105"/>
      <c r="H140" s="813"/>
      <c r="I140" s="109"/>
      <c r="J140" s="731"/>
      <c r="K140" s="109"/>
      <c r="L140" s="731"/>
      <c r="M140" s="105"/>
      <c r="N140" s="591"/>
      <c r="O140" s="109"/>
      <c r="P140" s="731"/>
      <c r="Q140" s="105"/>
      <c r="R140" s="592"/>
      <c r="S140" s="109"/>
      <c r="T140" s="311"/>
      <c r="U140" s="105"/>
      <c r="V140" s="311"/>
      <c r="W140" s="109"/>
      <c r="X140" s="311"/>
      <c r="Y140" s="105"/>
      <c r="Z140" s="311"/>
      <c r="AA140" s="109">
        <v>379647.41</v>
      </c>
      <c r="AB140" s="311">
        <f>SUMIFS('9. Actuals SAP Extract'!$V:$V,'9. Actuals SAP Extract'!$P:$P,$C140,'9. Actuals SAP Extract'!$O:$O,$D140,'9. Actuals SAP Extract'!$W:$W,AB$11)</f>
        <v>379647.41</v>
      </c>
      <c r="AC140" s="109">
        <v>152878</v>
      </c>
      <c r="AD140" s="592">
        <f>SUMIFS('9. Actuals SAP Extract'!$V:$V,'9. Actuals SAP Extract'!$P:$P,$C140,'9. Actuals SAP Extract'!$O:$O,$D140,'9. Actuals SAP Extract'!$W:$W,AD$11)</f>
        <v>152877.87</v>
      </c>
      <c r="AE140" s="109">
        <v>0</v>
      </c>
      <c r="AF140" s="829">
        <f>SUMIFS('9. Actuals SAP Extract'!$V:$V,'9. Actuals SAP Extract'!$P:$P,$C140,'9. Actuals SAP Extract'!$O:$O,$D140,'9. Actuals SAP Extract'!$W:$W,AF$11)</f>
        <v>0</v>
      </c>
      <c r="AG140" s="105">
        <v>0</v>
      </c>
      <c r="AH140" s="829">
        <f>SUMIFS('9. Actuals SAP Extract'!$V:$V,'9. Actuals SAP Extract'!$P:$P,$C140,'9. Actuals SAP Extract'!$O:$O,$D140,'9. Actuals SAP Extract'!$W:$W,AH$11)</f>
        <v>0</v>
      </c>
      <c r="AI140" s="109">
        <v>0</v>
      </c>
      <c r="AJ140" s="829">
        <f>SUMIFS('9. Actuals SAP Extract'!$V:$V,'9. Actuals SAP Extract'!$P:$P,$C140,'9. Actuals SAP Extract'!$O:$O,$D140,'9. Actuals SAP Extract'!$W:$W,AJ$11)</f>
        <v>0</v>
      </c>
      <c r="AK140" s="865">
        <v>971373</v>
      </c>
      <c r="AL140" s="929">
        <f>SUMIFS('9. Actuals SAP Extract'!$V:$V,'9. Actuals SAP Extract'!$P:$P,$C140,'9. Actuals SAP Extract'!$O:$O,$D140,'9. Actuals SAP Extract'!$W:$W,AL$11)</f>
        <v>753373</v>
      </c>
      <c r="AM140" s="109"/>
      <c r="AN140" s="867">
        <f>SUMIFS('9. Actuals SAP Extract'!$V:$V,'9. Actuals SAP Extract'!$P:$P,$C140,'9. Actuals SAP Extract'!$O:$O,$D140,'9. Actuals SAP Extract'!$W:$W,AN$11)</f>
        <v>-20079.940000000061</v>
      </c>
      <c r="AO140" s="109">
        <v>0</v>
      </c>
      <c r="AP140" s="829">
        <f>SUMIFS('9. Actuals SAP Extract'!$V:$V,'9. Actuals SAP Extract'!$P:$P,$C140,'9. Actuals SAP Extract'!$O:$O,$D140,'9. Actuals SAP Extract'!$W:$W,AP$11)</f>
        <v>0</v>
      </c>
      <c r="AQ140" s="109">
        <v>0</v>
      </c>
      <c r="AR140" s="731"/>
      <c r="AS140" s="109">
        <v>0</v>
      </c>
      <c r="AT140" s="731"/>
      <c r="AU140" s="109">
        <v>0</v>
      </c>
      <c r="AV140" s="731"/>
      <c r="AW140" s="109">
        <v>0</v>
      </c>
      <c r="AX140" s="731"/>
      <c r="AY140" s="109">
        <v>0</v>
      </c>
      <c r="AZ140" s="731"/>
      <c r="BA140" s="109">
        <v>0</v>
      </c>
      <c r="BB140" s="731"/>
      <c r="BC140" s="109">
        <v>0</v>
      </c>
      <c r="BD140" s="731"/>
    </row>
    <row r="141" spans="1:56" s="845" customFormat="1" x14ac:dyDescent="0.35">
      <c r="A141" s="316"/>
      <c r="B141" s="1023"/>
      <c r="C141" s="1057" t="s">
        <v>972</v>
      </c>
      <c r="D141" s="1059"/>
      <c r="E141" s="863"/>
      <c r="F141" s="255"/>
      <c r="G141" s="105"/>
      <c r="H141" s="813"/>
      <c r="I141" s="109"/>
      <c r="J141" s="731"/>
      <c r="K141" s="109"/>
      <c r="L141" s="731"/>
      <c r="M141" s="105"/>
      <c r="N141" s="591"/>
      <c r="O141" s="109"/>
      <c r="P141" s="731"/>
      <c r="Q141" s="105"/>
      <c r="R141" s="592"/>
      <c r="S141" s="109"/>
      <c r="T141" s="311"/>
      <c r="U141" s="105"/>
      <c r="V141" s="311"/>
      <c r="W141" s="109"/>
      <c r="X141" s="311"/>
      <c r="Y141" s="105"/>
      <c r="Z141" s="311"/>
      <c r="AA141" s="109"/>
      <c r="AB141" s="311"/>
      <c r="AC141" s="109"/>
      <c r="AD141" s="592"/>
      <c r="AE141" s="109"/>
      <c r="AF141" s="829"/>
      <c r="AG141" s="105"/>
      <c r="AH141" s="829"/>
      <c r="AI141" s="109"/>
      <c r="AJ141" s="829">
        <f>SUMIFS('9. Actuals SAP Extract'!$V:$V,'9. Actuals SAP Extract'!$P:$P,$C141,'9. Actuals SAP Extract'!$O:$O,$D141,'9. Actuals SAP Extract'!$W:$W,AJ$11)</f>
        <v>0</v>
      </c>
      <c r="AK141" s="864">
        <v>-218000</v>
      </c>
      <c r="AL141" s="829">
        <f>SUMIFS('9. Actuals SAP Extract'!$V:$V,'9. Actuals SAP Extract'!$P:$P,$C141,'9. Actuals SAP Extract'!$O:$O,$D141,'9. Actuals SAP Extract'!$W:$W,AL$11)</f>
        <v>0</v>
      </c>
      <c r="AM141" s="109"/>
      <c r="AN141" s="829">
        <f>SUMIFS('9. Actuals SAP Extract'!$V:$V,'9. Actuals SAP Extract'!$P:$P,$C141,'9. Actuals SAP Extract'!$O:$O,$D141,'9. Actuals SAP Extract'!$W:$W,AN$11)</f>
        <v>0</v>
      </c>
      <c r="AO141" s="109"/>
      <c r="AP141" s="829">
        <f>SUMIFS('9. Actuals SAP Extract'!$V:$V,'9. Actuals SAP Extract'!$P:$P,$C141,'9. Actuals SAP Extract'!$O:$O,$D141,'9. Actuals SAP Extract'!$W:$W,AP$11)</f>
        <v>0</v>
      </c>
      <c r="AQ141" s="109"/>
      <c r="AR141" s="731"/>
      <c r="AS141" s="109"/>
      <c r="AT141" s="731"/>
      <c r="AU141" s="109"/>
      <c r="AV141" s="731"/>
      <c r="AW141" s="109"/>
      <c r="AX141" s="731"/>
      <c r="AY141" s="109"/>
      <c r="AZ141" s="731"/>
      <c r="BA141" s="109"/>
      <c r="BB141" s="731"/>
      <c r="BC141" s="109"/>
      <c r="BD141" s="731"/>
    </row>
    <row r="142" spans="1:56" s="845" customFormat="1" x14ac:dyDescent="0.35">
      <c r="A142" s="258"/>
      <c r="B142" s="1023"/>
      <c r="C142" s="107" t="s">
        <v>523</v>
      </c>
      <c r="D142" s="572">
        <v>7000001175</v>
      </c>
      <c r="E142" s="576">
        <v>190575</v>
      </c>
      <c r="F142" s="255"/>
      <c r="G142" s="105"/>
      <c r="H142" s="813"/>
      <c r="I142" s="109"/>
      <c r="J142" s="731"/>
      <c r="K142" s="109"/>
      <c r="L142" s="731"/>
      <c r="M142" s="105"/>
      <c r="N142" s="731"/>
      <c r="O142" s="109"/>
      <c r="P142" s="731"/>
      <c r="Q142" s="105"/>
      <c r="R142" s="592">
        <f>SUMIFS('9. Actuals SAP Extract'!$V:$V,'9. Actuals SAP Extract'!$P:$P,$C142,'9. Actuals SAP Extract'!$O:$O,$D142,'9. Actuals SAP Extract'!$W:$W,R$11)</f>
        <v>190575</v>
      </c>
      <c r="S142" s="109"/>
      <c r="T142" s="311">
        <f>SUMIFS('9. Actuals SAP Extract'!$V:$V,'9. Actuals SAP Extract'!$P:$P,$C142,'9. Actuals SAP Extract'!$O:$O,$D142,'9. Actuals SAP Extract'!$W:$W,T$11)</f>
        <v>381150</v>
      </c>
      <c r="U142" s="105"/>
      <c r="V142" s="311">
        <f>SUMIFS('9. Actuals SAP Extract'!$V:$V,'9. Actuals SAP Extract'!$P:$P,$C142,'9. Actuals SAP Extract'!$O:$O,$D142,'9. Actuals SAP Extract'!$W:$W,V$11)</f>
        <v>0</v>
      </c>
      <c r="W142" s="109"/>
      <c r="X142" s="311">
        <f>SUMIFS('9. Actuals SAP Extract'!$V:$V,'9. Actuals SAP Extract'!$P:$P,$C142,'9. Actuals SAP Extract'!$O:$O,$D142,'9. Actuals SAP Extract'!$W:$W,X$11)</f>
        <v>0</v>
      </c>
      <c r="Y142" s="105">
        <v>-190575</v>
      </c>
      <c r="Z142" s="311">
        <f>SUMIFS('9. Actuals SAP Extract'!$V:$V,'9. Actuals SAP Extract'!$P:$P,$C142,'9. Actuals SAP Extract'!$O:$O,$D142,'9. Actuals SAP Extract'!$W:$W,Z$11)</f>
        <v>-190575</v>
      </c>
      <c r="AA142" s="109"/>
      <c r="AB142" s="311">
        <f>SUMIFS('9. Actuals SAP Extract'!$V:$V,'9. Actuals SAP Extract'!$P:$P,$C142,'9. Actuals SAP Extract'!$O:$O,$D142,'9. Actuals SAP Extract'!$W:$W,AB$11)</f>
        <v>0</v>
      </c>
      <c r="AC142" s="109"/>
      <c r="AD142" s="311">
        <f>SUMIFS('9. Actuals SAP Extract'!$V:$V,'9. Actuals SAP Extract'!$P:$P,$C142,'9. Actuals SAP Extract'!$O:$O,$D142,'9. Actuals SAP Extract'!$W:$W,AD$11)</f>
        <v>0</v>
      </c>
      <c r="AE142" s="109"/>
      <c r="AF142" s="829">
        <f>SUMIFS('9. Actuals SAP Extract'!$V:$V,'9. Actuals SAP Extract'!$P:$P,$C142,'9. Actuals SAP Extract'!$O:$O,$D142,'9. Actuals SAP Extract'!$W:$W,AF$11)</f>
        <v>0</v>
      </c>
      <c r="AG142" s="105"/>
      <c r="AH142" s="829">
        <f>SUMIFS('9. Actuals SAP Extract'!$V:$V,'9. Actuals SAP Extract'!$P:$P,$C142,'9. Actuals SAP Extract'!$O:$O,$D142,'9. Actuals SAP Extract'!$W:$W,AH$11)</f>
        <v>0</v>
      </c>
      <c r="AI142" s="109"/>
      <c r="AJ142" s="829">
        <f>SUMIFS('9. Actuals SAP Extract'!$V:$V,'9. Actuals SAP Extract'!$P:$P,$C142,'9. Actuals SAP Extract'!$O:$O,$D142,'9. Actuals SAP Extract'!$W:$W,AJ$11)</f>
        <v>0</v>
      </c>
      <c r="AK142" s="866"/>
      <c r="AL142" s="829">
        <f>SUMIFS('9. Actuals SAP Extract'!$V:$V,'9. Actuals SAP Extract'!$P:$P,$C142,'9. Actuals SAP Extract'!$O:$O,$D142,'9. Actuals SAP Extract'!$W:$W,AL$11)</f>
        <v>0</v>
      </c>
      <c r="AM142" s="109"/>
      <c r="AN142" s="829">
        <f>SUMIFS('9. Actuals SAP Extract'!$V:$V,'9. Actuals SAP Extract'!$P:$P,$C142,'9. Actuals SAP Extract'!$O:$O,$D142,'9. Actuals SAP Extract'!$W:$W,AN$11)</f>
        <v>0</v>
      </c>
      <c r="AO142" s="109"/>
      <c r="AP142" s="829">
        <f>SUMIFS('9. Actuals SAP Extract'!$V:$V,'9. Actuals SAP Extract'!$P:$P,$C142,'9. Actuals SAP Extract'!$O:$O,$D142,'9. Actuals SAP Extract'!$W:$W,AP$11)</f>
        <v>0</v>
      </c>
      <c r="AQ142" s="109"/>
      <c r="AR142" s="247"/>
      <c r="AS142" s="109"/>
      <c r="AT142" s="247"/>
      <c r="AU142" s="109"/>
      <c r="AV142" s="247"/>
      <c r="AW142" s="109"/>
      <c r="AX142" s="247"/>
      <c r="AY142" s="109"/>
      <c r="AZ142" s="247"/>
      <c r="BA142" s="109"/>
      <c r="BB142" s="247"/>
      <c r="BC142" s="109"/>
      <c r="BD142" s="247"/>
    </row>
    <row r="143" spans="1:56" ht="39" x14ac:dyDescent="0.35">
      <c r="A143" s="258" t="s">
        <v>1040</v>
      </c>
      <c r="B143" s="1024"/>
      <c r="C143" s="107" t="s">
        <v>523</v>
      </c>
      <c r="D143" s="572">
        <v>7000002695</v>
      </c>
      <c r="E143" s="576">
        <v>52500</v>
      </c>
      <c r="F143" s="255"/>
      <c r="G143" s="105"/>
      <c r="H143" s="813"/>
      <c r="I143" s="109"/>
      <c r="J143" s="731"/>
      <c r="K143" s="109"/>
      <c r="L143" s="731"/>
      <c r="M143" s="105"/>
      <c r="N143" s="731"/>
      <c r="O143" s="109"/>
      <c r="P143" s="731"/>
      <c r="Q143" s="105"/>
      <c r="R143" s="592">
        <f>SUMIFS('9. Actuals SAP Extract'!$V:$V,'9. Actuals SAP Extract'!$P:$P,$C143,'9. Actuals SAP Extract'!$O:$O,$D143,'9. Actuals SAP Extract'!$W:$W,R$11)</f>
        <v>0</v>
      </c>
      <c r="S143" s="109"/>
      <c r="T143" s="311">
        <f>SUMIFS('9. Actuals SAP Extract'!$V:$V,'9. Actuals SAP Extract'!$P:$P,$C143,'9. Actuals SAP Extract'!$O:$O,$D143,'9. Actuals SAP Extract'!$W:$W,T$11)</f>
        <v>0</v>
      </c>
      <c r="U143" s="105"/>
      <c r="V143" s="311">
        <f>SUMIFS('9. Actuals SAP Extract'!$V:$V,'9. Actuals SAP Extract'!$P:$P,$C143,'9. Actuals SAP Extract'!$O:$O,$D143,'9. Actuals SAP Extract'!$W:$W,V$11)</f>
        <v>0</v>
      </c>
      <c r="W143" s="109"/>
      <c r="X143" s="311">
        <f>SUMIFS('9. Actuals SAP Extract'!$V:$V,'9. Actuals SAP Extract'!$P:$P,$C143,'9. Actuals SAP Extract'!$O:$O,$D143,'9. Actuals SAP Extract'!$W:$W,X$11)</f>
        <v>0</v>
      </c>
      <c r="Y143" s="105">
        <v>-190575</v>
      </c>
      <c r="Z143" s="311">
        <f>SUMIFS('9. Actuals SAP Extract'!$V:$V,'9. Actuals SAP Extract'!$P:$P,$C143,'9. Actuals SAP Extract'!$O:$O,$D143,'9. Actuals SAP Extract'!$W:$W,Z$11)</f>
        <v>0</v>
      </c>
      <c r="AA143" s="109"/>
      <c r="AB143" s="311">
        <f>SUMIFS('9. Actuals SAP Extract'!$V:$V,'9. Actuals SAP Extract'!$P:$P,$C143,'9. Actuals SAP Extract'!$O:$O,$D143,'9. Actuals SAP Extract'!$W:$W,AB$11)</f>
        <v>0</v>
      </c>
      <c r="AC143" s="109"/>
      <c r="AD143" s="311">
        <f>SUMIFS('9. Actuals SAP Extract'!$V:$V,'9. Actuals SAP Extract'!$P:$P,$C143,'9. Actuals SAP Extract'!$O:$O,$D143,'9. Actuals SAP Extract'!$W:$W,AD$11)</f>
        <v>0</v>
      </c>
      <c r="AE143" s="109"/>
      <c r="AF143" s="829">
        <f>SUMIFS('9. Actuals SAP Extract'!$V:$V,'9. Actuals SAP Extract'!$P:$P,$C143,'9. Actuals SAP Extract'!$O:$O,$D143,'9. Actuals SAP Extract'!$W:$W,AF$11)</f>
        <v>0</v>
      </c>
      <c r="AG143" s="105"/>
      <c r="AH143" s="829">
        <f>SUMIFS('9. Actuals SAP Extract'!$V:$V,'9. Actuals SAP Extract'!$P:$P,$C143,'9. Actuals SAP Extract'!$O:$O,$D143,'9. Actuals SAP Extract'!$W:$W,AH$11)</f>
        <v>0</v>
      </c>
      <c r="AI143" s="109"/>
      <c r="AJ143" s="829">
        <f>SUMIFS('9. Actuals SAP Extract'!$V:$V,'9. Actuals SAP Extract'!$P:$P,$C143,'9. Actuals SAP Extract'!$O:$O,$D143,'9. Actuals SAP Extract'!$W:$W,AJ$11)</f>
        <v>0</v>
      </c>
      <c r="AK143" s="866"/>
      <c r="AL143" s="829">
        <f>SUMIFS('9. Actuals SAP Extract'!$V:$V,'9. Actuals SAP Extract'!$P:$P,$C143,'9. Actuals SAP Extract'!$O:$O,$D143,'9. Actuals SAP Extract'!$W:$W,AL$11)</f>
        <v>0</v>
      </c>
      <c r="AM143" s="109">
        <v>52500</v>
      </c>
      <c r="AN143" s="829">
        <f>SUMIFS('9. Actuals SAP Extract'!$V:$V,'9. Actuals SAP Extract'!$P:$P,$C143,'9. Actuals SAP Extract'!$O:$O,$D143,'9. Actuals SAP Extract'!$W:$W,AN$11)</f>
        <v>52500</v>
      </c>
      <c r="AO143" s="109"/>
      <c r="AP143" s="829">
        <f>SUMIFS('9. Actuals SAP Extract'!$V:$V,'9. Actuals SAP Extract'!$P:$P,$C143,'9. Actuals SAP Extract'!$O:$O,$D143,'9. Actuals SAP Extract'!$W:$W,AP$11)</f>
        <v>-52500</v>
      </c>
      <c r="AQ143" s="109"/>
      <c r="AR143" s="247"/>
      <c r="AS143" s="109"/>
      <c r="AT143" s="247"/>
      <c r="AU143" s="109"/>
      <c r="AV143" s="247"/>
      <c r="AW143" s="109"/>
      <c r="AX143" s="247"/>
      <c r="AY143" s="109"/>
      <c r="AZ143" s="247"/>
      <c r="BA143" s="109"/>
      <c r="BB143" s="247"/>
      <c r="BC143" s="109"/>
      <c r="BD143" s="247"/>
    </row>
    <row r="144" spans="1:56" ht="39" x14ac:dyDescent="0.35">
      <c r="A144" s="107"/>
      <c r="B144" s="107" t="s">
        <v>705</v>
      </c>
      <c r="C144" s="107" t="s">
        <v>523</v>
      </c>
      <c r="D144" s="572">
        <v>7000001748</v>
      </c>
      <c r="E144" s="577">
        <v>40954.5</v>
      </c>
      <c r="F144" s="255"/>
      <c r="G144" s="105"/>
      <c r="H144" s="813"/>
      <c r="I144" s="109"/>
      <c r="J144" s="731"/>
      <c r="K144" s="109"/>
      <c r="L144" s="731"/>
      <c r="M144" s="105"/>
      <c r="N144" s="731"/>
      <c r="O144" s="109"/>
      <c r="P144" s="731"/>
      <c r="Q144" s="105"/>
      <c r="R144" s="731"/>
      <c r="S144" s="109"/>
      <c r="T144" s="731"/>
      <c r="U144" s="105"/>
      <c r="V144" s="731"/>
      <c r="W144" s="109"/>
      <c r="X144" s="792">
        <f>SUMIFS('9. Actuals SAP Extract'!$V:$V,'9. Actuals SAP Extract'!$P:$P,$C144,'9. Actuals SAP Extract'!$O:$O,$D144,'9. Actuals SAP Extract'!$W:$W,X$11)</f>
        <v>40954.5</v>
      </c>
      <c r="Y144" s="105"/>
      <c r="Z144" s="311">
        <f>SUMIFS('9. Actuals SAP Extract'!$V:$V,'9. Actuals SAP Extract'!$P:$P,$C144,'9. Actuals SAP Extract'!$O:$O,$D144,'9. Actuals SAP Extract'!$W:$W,Z$11)</f>
        <v>0</v>
      </c>
      <c r="AA144" s="109"/>
      <c r="AB144" s="311">
        <f>SUMIFS('9. Actuals SAP Extract'!$V:$V,'9. Actuals SAP Extract'!$P:$P,$C144,'9. Actuals SAP Extract'!$O:$O,$D144,'9. Actuals SAP Extract'!$W:$W,AB$11)</f>
        <v>0</v>
      </c>
      <c r="AC144" s="109"/>
      <c r="AD144" s="311">
        <f>SUMIFS('9. Actuals SAP Extract'!$V:$V,'9. Actuals SAP Extract'!$P:$P,$C144,'9. Actuals SAP Extract'!$O:$O,$D144,'9. Actuals SAP Extract'!$W:$W,AD$11)</f>
        <v>0</v>
      </c>
      <c r="AE144" s="109"/>
      <c r="AF144" s="829">
        <f>SUMIFS('9. Actuals SAP Extract'!$V:$V,'9. Actuals SAP Extract'!$P:$P,$C144,'9. Actuals SAP Extract'!$O:$O,$D144,'9. Actuals SAP Extract'!$W:$W,AF$11)</f>
        <v>0</v>
      </c>
      <c r="AG144" s="105"/>
      <c r="AH144" s="829">
        <f>SUMIFS('9. Actuals SAP Extract'!$V:$V,'9. Actuals SAP Extract'!$P:$P,$C144,'9. Actuals SAP Extract'!$O:$O,$D144,'9. Actuals SAP Extract'!$W:$W,AH$11)</f>
        <v>0</v>
      </c>
      <c r="AI144" s="109"/>
      <c r="AJ144" s="829">
        <f>SUMIFS('9. Actuals SAP Extract'!$V:$V,'9. Actuals SAP Extract'!$P:$P,$C144,'9. Actuals SAP Extract'!$O:$O,$D144,'9. Actuals SAP Extract'!$W:$W,AJ$11)</f>
        <v>0</v>
      </c>
      <c r="AK144" s="866"/>
      <c r="AL144" s="829">
        <f>SUMIFS('9. Actuals SAP Extract'!$V:$V,'9. Actuals SAP Extract'!$P:$P,$C144,'9. Actuals SAP Extract'!$O:$O,$D144,'9. Actuals SAP Extract'!$W:$W,AL$11)</f>
        <v>0</v>
      </c>
      <c r="AM144" s="109"/>
      <c r="AN144" s="829">
        <f>SUMIFS('9. Actuals SAP Extract'!$V:$V,'9. Actuals SAP Extract'!$P:$P,$C144,'9. Actuals SAP Extract'!$O:$O,$D144,'9. Actuals SAP Extract'!$W:$W,AN$11)</f>
        <v>0</v>
      </c>
      <c r="AO144" s="109"/>
      <c r="AP144" s="829">
        <f>SUMIFS('9. Actuals SAP Extract'!$V:$V,'9. Actuals SAP Extract'!$P:$P,$C144,'9. Actuals SAP Extract'!$O:$O,$D144,'9. Actuals SAP Extract'!$W:$W,AP$11)</f>
        <v>0</v>
      </c>
      <c r="AQ144" s="109"/>
      <c r="AR144" s="247"/>
      <c r="AS144" s="109"/>
      <c r="AT144" s="247"/>
      <c r="AU144" s="109"/>
      <c r="AV144" s="247"/>
      <c r="AW144" s="109"/>
      <c r="AX144" s="247"/>
      <c r="AY144" s="109"/>
      <c r="AZ144" s="247"/>
      <c r="BA144" s="109"/>
      <c r="BB144" s="247"/>
      <c r="BC144" s="109"/>
      <c r="BD144" s="247"/>
    </row>
    <row r="145" spans="1:56" x14ac:dyDescent="0.35">
      <c r="A145" s="107"/>
      <c r="B145" s="107" t="s">
        <v>766</v>
      </c>
      <c r="C145" s="107" t="s">
        <v>523</v>
      </c>
      <c r="D145" s="572">
        <v>7000001767</v>
      </c>
      <c r="E145" s="576">
        <v>24758.84</v>
      </c>
      <c r="F145" s="255"/>
      <c r="G145" s="105"/>
      <c r="H145" s="813"/>
      <c r="I145" s="109"/>
      <c r="J145" s="731"/>
      <c r="K145" s="109"/>
      <c r="L145" s="731"/>
      <c r="M145" s="105"/>
      <c r="N145" s="731"/>
      <c r="O145" s="109"/>
      <c r="P145" s="731"/>
      <c r="Q145" s="105"/>
      <c r="R145" s="731"/>
      <c r="S145" s="109"/>
      <c r="T145" s="731"/>
      <c r="U145" s="105"/>
      <c r="V145" s="731"/>
      <c r="W145" s="109"/>
      <c r="X145" s="731"/>
      <c r="Y145" s="105"/>
      <c r="Z145" s="311">
        <f>SUMIFS('9. Actuals SAP Extract'!$V:$V,'9. Actuals SAP Extract'!$P:$P,$C145,'9. Actuals SAP Extract'!$O:$O,$D145,'9. Actuals SAP Extract'!$W:$W,Z$11)</f>
        <v>7673.42</v>
      </c>
      <c r="AA145" s="109">
        <v>17085</v>
      </c>
      <c r="AB145" s="311">
        <f>SUMIFS('9. Actuals SAP Extract'!$V:$V,'9. Actuals SAP Extract'!$P:$P,$C145,'9. Actuals SAP Extract'!$O:$O,$D145,'9. Actuals SAP Extract'!$W:$W,AB$11)</f>
        <v>17085.420000000002</v>
      </c>
      <c r="AC145" s="109"/>
      <c r="AD145" s="311">
        <f>SUMIFS('9. Actuals SAP Extract'!$V:$V,'9. Actuals SAP Extract'!$P:$P,$C145,'9. Actuals SAP Extract'!$O:$O,$D145,'9. Actuals SAP Extract'!$W:$W,AD$11)</f>
        <v>0</v>
      </c>
      <c r="AE145" s="109"/>
      <c r="AF145" s="829">
        <f>SUMIFS('9. Actuals SAP Extract'!$V:$V,'9. Actuals SAP Extract'!$P:$P,$C145,'9. Actuals SAP Extract'!$O:$O,$D145,'9. Actuals SAP Extract'!$W:$W,AF$11)</f>
        <v>0</v>
      </c>
      <c r="AG145" s="105"/>
      <c r="AH145" s="829">
        <f>SUMIFS('9. Actuals SAP Extract'!$V:$V,'9. Actuals SAP Extract'!$P:$P,$C145,'9. Actuals SAP Extract'!$O:$O,$D145,'9. Actuals SAP Extract'!$W:$W,AH$11)</f>
        <v>0</v>
      </c>
      <c r="AI145" s="109"/>
      <c r="AJ145" s="829">
        <f>SUMIFS('9. Actuals SAP Extract'!$V:$V,'9. Actuals SAP Extract'!$P:$P,$C145,'9. Actuals SAP Extract'!$O:$O,$D145,'9. Actuals SAP Extract'!$W:$W,AJ$11)</f>
        <v>0</v>
      </c>
      <c r="AK145" s="866"/>
      <c r="AL145" s="829">
        <f>SUMIFS('9. Actuals SAP Extract'!$V:$V,'9. Actuals SAP Extract'!$P:$P,$C145,'9. Actuals SAP Extract'!$O:$O,$D145,'9. Actuals SAP Extract'!$W:$W,AL$11)</f>
        <v>0</v>
      </c>
      <c r="AM145" s="109"/>
      <c r="AN145" s="829">
        <f>SUMIFS('9. Actuals SAP Extract'!$V:$V,'9. Actuals SAP Extract'!$P:$P,$C145,'9. Actuals SAP Extract'!$O:$O,$D145,'9. Actuals SAP Extract'!$W:$W,AN$11)</f>
        <v>0</v>
      </c>
      <c r="AO145" s="109"/>
      <c r="AP145" s="829">
        <f>SUMIFS('9. Actuals SAP Extract'!$V:$V,'9. Actuals SAP Extract'!$P:$P,$C145,'9. Actuals SAP Extract'!$O:$O,$D145,'9. Actuals SAP Extract'!$W:$W,AP$11)</f>
        <v>0</v>
      </c>
      <c r="AQ145" s="109"/>
      <c r="AR145" s="247"/>
      <c r="AS145" s="109"/>
      <c r="AT145" s="247"/>
      <c r="AU145" s="109"/>
      <c r="AV145" s="247"/>
      <c r="AW145" s="109"/>
      <c r="AX145" s="247"/>
      <c r="AY145" s="109"/>
      <c r="AZ145" s="247"/>
      <c r="BA145" s="109"/>
      <c r="BB145" s="247"/>
      <c r="BC145" s="109"/>
      <c r="BD145" s="247"/>
    </row>
    <row r="146" spans="1:56" x14ac:dyDescent="0.35">
      <c r="A146" s="107"/>
      <c r="B146" s="107" t="s">
        <v>766</v>
      </c>
      <c r="C146" s="107" t="s">
        <v>523</v>
      </c>
      <c r="D146" s="572">
        <v>7000001811</v>
      </c>
      <c r="E146" s="576">
        <v>115004.1</v>
      </c>
      <c r="F146" s="255"/>
      <c r="G146" s="105"/>
      <c r="H146" s="813"/>
      <c r="I146" s="109"/>
      <c r="J146" s="731"/>
      <c r="K146" s="109"/>
      <c r="L146" s="731"/>
      <c r="M146" s="105"/>
      <c r="N146" s="731"/>
      <c r="O146" s="109"/>
      <c r="P146" s="731"/>
      <c r="Q146" s="105"/>
      <c r="R146" s="731"/>
      <c r="S146" s="109"/>
      <c r="T146" s="731"/>
      <c r="U146" s="105"/>
      <c r="V146" s="731"/>
      <c r="W146" s="109"/>
      <c r="X146" s="731"/>
      <c r="Y146" s="105"/>
      <c r="Z146" s="311">
        <f>SUMIFS('9. Actuals SAP Extract'!$V:$V,'9. Actuals SAP Extract'!$P:$P,$C146,'9. Actuals SAP Extract'!$O:$O,$D146,'9. Actuals SAP Extract'!$W:$W,Z$11)</f>
        <v>30820.400000000001</v>
      </c>
      <c r="AA146" s="109">
        <v>84183.7</v>
      </c>
      <c r="AB146" s="311">
        <f>SUMIFS('9. Actuals SAP Extract'!$V:$V,'9. Actuals SAP Extract'!$P:$P,$C146,'9. Actuals SAP Extract'!$O:$O,$D146,'9. Actuals SAP Extract'!$W:$W,AB$11)</f>
        <v>66134.899999999994</v>
      </c>
      <c r="AC146" s="109">
        <v>0</v>
      </c>
      <c r="AD146" s="592">
        <v>1232.5999999999999</v>
      </c>
      <c r="AE146" s="109">
        <v>16559</v>
      </c>
      <c r="AF146" s="829">
        <f>SUMIFS('9. Actuals SAP Extract'!$V:$V,'9. Actuals SAP Extract'!$P:$P,$C146,'9. Actuals SAP Extract'!$O:$O,$D146,'9. Actuals SAP Extract'!$W:$W,AF$11)</f>
        <v>16659</v>
      </c>
      <c r="AG146" s="105"/>
      <c r="AH146" s="829">
        <f>SUMIFS('9. Actuals SAP Extract'!$V:$V,'9. Actuals SAP Extract'!$P:$P,$C146,'9. Actuals SAP Extract'!$O:$O,$D146,'9. Actuals SAP Extract'!$W:$W,AH$11)</f>
        <v>0</v>
      </c>
      <c r="AI146" s="109"/>
      <c r="AJ146" s="829">
        <f>SUMIFS('9. Actuals SAP Extract'!$V:$V,'9. Actuals SAP Extract'!$P:$P,$C146,'9. Actuals SAP Extract'!$O:$O,$D146,'9. Actuals SAP Extract'!$W:$W,AJ$11)</f>
        <v>0</v>
      </c>
      <c r="AK146" s="109"/>
      <c r="AL146" s="829">
        <f>SUMIFS('9. Actuals SAP Extract'!$V:$V,'9. Actuals SAP Extract'!$P:$P,$C146,'9. Actuals SAP Extract'!$O:$O,$D146,'9. Actuals SAP Extract'!$W:$W,AL$11)</f>
        <v>0</v>
      </c>
      <c r="AM146" s="109"/>
      <c r="AN146" s="829">
        <f>SUMIFS('9. Actuals SAP Extract'!$V:$V,'9. Actuals SAP Extract'!$P:$P,$C146,'9. Actuals SAP Extract'!$O:$O,$D146,'9. Actuals SAP Extract'!$W:$W,AN$11)</f>
        <v>0</v>
      </c>
      <c r="AO146" s="109"/>
      <c r="AP146" s="829">
        <f>SUMIFS('9. Actuals SAP Extract'!$V:$V,'9. Actuals SAP Extract'!$P:$P,$C146,'9. Actuals SAP Extract'!$O:$O,$D146,'9. Actuals SAP Extract'!$W:$W,AP$11)</f>
        <v>0</v>
      </c>
      <c r="AQ146" s="109"/>
      <c r="AR146" s="247"/>
      <c r="AS146" s="109"/>
      <c r="AT146" s="247"/>
      <c r="AU146" s="109"/>
      <c r="AV146" s="247"/>
      <c r="AW146" s="109"/>
      <c r="AX146" s="247"/>
      <c r="AY146" s="109"/>
      <c r="AZ146" s="247"/>
      <c r="BA146" s="109"/>
      <c r="BB146" s="247"/>
      <c r="BC146" s="109"/>
      <c r="BD146" s="247"/>
    </row>
    <row r="147" spans="1:56" x14ac:dyDescent="0.35">
      <c r="A147" s="106"/>
      <c r="B147" s="107" t="s">
        <v>766</v>
      </c>
      <c r="C147" s="107" t="s">
        <v>523</v>
      </c>
      <c r="D147" s="572">
        <v>7000001841</v>
      </c>
      <c r="E147" s="576">
        <v>55286.98</v>
      </c>
      <c r="F147" s="255"/>
      <c r="G147" s="105"/>
      <c r="H147" s="813"/>
      <c r="I147" s="109"/>
      <c r="J147" s="731"/>
      <c r="K147" s="109"/>
      <c r="L147" s="731"/>
      <c r="M147" s="105"/>
      <c r="N147" s="731"/>
      <c r="O147" s="109"/>
      <c r="P147" s="731"/>
      <c r="Q147" s="105"/>
      <c r="R147" s="731"/>
      <c r="S147" s="109"/>
      <c r="T147" s="731"/>
      <c r="U147" s="105"/>
      <c r="V147" s="731"/>
      <c r="W147" s="109"/>
      <c r="X147" s="731"/>
      <c r="Y147" s="105"/>
      <c r="Z147" s="311">
        <f>SUMIFS('9. Actuals SAP Extract'!$V:$V,'9. Actuals SAP Extract'!$P:$P,$C147,'9. Actuals SAP Extract'!$O:$O,$D147,'9. Actuals SAP Extract'!$W:$W,Z$11)</f>
        <v>1911.82</v>
      </c>
      <c r="AA147" s="109">
        <v>6730</v>
      </c>
      <c r="AB147" s="311">
        <f>SUMIFS('9. Actuals SAP Extract'!$V:$V,'9. Actuals SAP Extract'!$P:$P,$C147,'9. Actuals SAP Extract'!$O:$O,$D147,'9. Actuals SAP Extract'!$W:$W,AB$11)</f>
        <v>52253.4</v>
      </c>
      <c r="AC147" s="109"/>
      <c r="AD147" s="592">
        <v>-560.88</v>
      </c>
      <c r="AE147" s="109"/>
      <c r="AF147" s="829">
        <f>SUMIFS('9. Actuals SAP Extract'!$V:$V,'9. Actuals SAP Extract'!$P:$P,$C147,'9. Actuals SAP Extract'!$O:$O,$D147,'9. Actuals SAP Extract'!$W:$W,AF$11)</f>
        <v>0</v>
      </c>
      <c r="AG147" s="105"/>
      <c r="AH147" s="829">
        <f>SUMIFS('9. Actuals SAP Extract'!$V:$V,'9. Actuals SAP Extract'!$P:$P,$C147,'9. Actuals SAP Extract'!$O:$O,$D147,'9. Actuals SAP Extract'!$W:$W,AH$11)</f>
        <v>1682.64</v>
      </c>
      <c r="AI147" s="109"/>
      <c r="AJ147" s="829">
        <f>SUMIFS('9. Actuals SAP Extract'!$V:$V,'9. Actuals SAP Extract'!$P:$P,$C147,'9. Actuals SAP Extract'!$O:$O,$D147,'9. Actuals SAP Extract'!$W:$W,AJ$11)</f>
        <v>0</v>
      </c>
      <c r="AK147" s="109"/>
      <c r="AL147" s="829">
        <f>SUMIFS('9. Actuals SAP Extract'!$V:$V,'9. Actuals SAP Extract'!$P:$P,$C147,'9. Actuals SAP Extract'!$O:$O,$D147,'9. Actuals SAP Extract'!$W:$W,AL$11)</f>
        <v>0</v>
      </c>
      <c r="AM147" s="109"/>
      <c r="AN147" s="829">
        <f>SUMIFS('9. Actuals SAP Extract'!$V:$V,'9. Actuals SAP Extract'!$P:$P,$C147,'9. Actuals SAP Extract'!$O:$O,$D147,'9. Actuals SAP Extract'!$W:$W,AN$11)</f>
        <v>0</v>
      </c>
      <c r="AO147" s="109"/>
      <c r="AP147" s="829">
        <f>SUMIFS('9. Actuals SAP Extract'!$V:$V,'9. Actuals SAP Extract'!$P:$P,$C147,'9. Actuals SAP Extract'!$O:$O,$D147,'9. Actuals SAP Extract'!$W:$W,AP$11)</f>
        <v>0</v>
      </c>
      <c r="AQ147" s="109"/>
      <c r="AR147" s="247"/>
      <c r="AS147" s="109"/>
      <c r="AT147" s="247"/>
      <c r="AU147" s="109"/>
      <c r="AV147" s="247"/>
      <c r="AW147" s="109"/>
      <c r="AX147" s="247"/>
      <c r="AY147" s="109"/>
      <c r="AZ147" s="247"/>
      <c r="BA147" s="109"/>
      <c r="BB147" s="247"/>
      <c r="BC147" s="109"/>
      <c r="BD147" s="247"/>
    </row>
    <row r="148" spans="1:56" ht="22" customHeight="1" x14ac:dyDescent="0.35">
      <c r="A148" s="106"/>
      <c r="B148" s="107" t="s">
        <v>766</v>
      </c>
      <c r="C148" s="107" t="s">
        <v>523</v>
      </c>
      <c r="D148" s="572">
        <v>7000002119</v>
      </c>
      <c r="E148" s="574">
        <v>46023</v>
      </c>
      <c r="F148" s="255"/>
      <c r="G148" s="296"/>
      <c r="H148" s="813"/>
      <c r="I148" s="110"/>
      <c r="J148" s="731"/>
      <c r="K148" s="110"/>
      <c r="L148" s="731"/>
      <c r="M148" s="296"/>
      <c r="N148" s="731"/>
      <c r="O148" s="110"/>
      <c r="P148" s="731"/>
      <c r="Q148" s="296"/>
      <c r="R148" s="731"/>
      <c r="S148" s="110"/>
      <c r="T148" s="731"/>
      <c r="U148" s="296"/>
      <c r="V148" s="731"/>
      <c r="W148" s="110"/>
      <c r="X148" s="731"/>
      <c r="Y148" s="296"/>
      <c r="Z148" s="731"/>
      <c r="AA148" s="110"/>
      <c r="AB148" s="731"/>
      <c r="AC148" s="110"/>
      <c r="AD148" s="731"/>
      <c r="AE148" s="110"/>
      <c r="AF148" s="829">
        <f>SUMIFS('9. Actuals SAP Extract'!$V:$V,'9. Actuals SAP Extract'!$P:$P,$C148,'9. Actuals SAP Extract'!$O:$O,$D148,'9. Actuals SAP Extract'!$W:$W,AF$11)</f>
        <v>0</v>
      </c>
      <c r="AG148" s="296"/>
      <c r="AH148" s="829">
        <f>SUMIFS('9. Actuals SAP Extract'!$V:$V,'9. Actuals SAP Extract'!$P:$P,$C148,'9. Actuals SAP Extract'!$O:$O,$D148,'9. Actuals SAP Extract'!$W:$W,AH$11)</f>
        <v>0</v>
      </c>
      <c r="AI148" s="110"/>
      <c r="AJ148" s="829">
        <f>SUMIFS('9. Actuals SAP Extract'!$V:$V,'9. Actuals SAP Extract'!$P:$P,$C148,'9. Actuals SAP Extract'!$O:$O,$D148,'9. Actuals SAP Extract'!$W:$W,AJ$11)</f>
        <v>0</v>
      </c>
      <c r="AK148" s="110"/>
      <c r="AL148" s="929">
        <f>SUMIFS('9. Actuals SAP Extract'!$V:$V,'9. Actuals SAP Extract'!$P:$P,$C148,'9. Actuals SAP Extract'!$O:$O,$D148,'9. Actuals SAP Extract'!$W:$W,AL$11)</f>
        <v>44357.4</v>
      </c>
      <c r="AM148" s="110"/>
      <c r="AN148" s="829">
        <f>SUMIFS('9. Actuals SAP Extract'!$V:$V,'9. Actuals SAP Extract'!$P:$P,$C148,'9. Actuals SAP Extract'!$O:$O,$D148,'9. Actuals SAP Extract'!$W:$W,AN$11)</f>
        <v>0</v>
      </c>
      <c r="AO148" s="110"/>
      <c r="AP148" s="829">
        <f>SUMIFS('9. Actuals SAP Extract'!$V:$V,'9. Actuals SAP Extract'!$P:$P,$C148,'9. Actuals SAP Extract'!$O:$O,$D148,'9. Actuals SAP Extract'!$W:$W,AP$11)</f>
        <v>400</v>
      </c>
      <c r="AQ148" s="110"/>
      <c r="AR148" s="115"/>
      <c r="AS148" s="110"/>
      <c r="AT148" s="115"/>
      <c r="AU148" s="110"/>
      <c r="AV148" s="115"/>
      <c r="AW148" s="110"/>
      <c r="AX148" s="115"/>
      <c r="AY148" s="110"/>
      <c r="AZ148" s="115"/>
      <c r="BA148" s="110"/>
      <c r="BB148" s="115"/>
      <c r="BC148" s="110"/>
      <c r="BD148" s="115"/>
    </row>
    <row r="149" spans="1:56" x14ac:dyDescent="0.35">
      <c r="A149" s="1057" t="s">
        <v>971</v>
      </c>
      <c r="B149" s="1058"/>
      <c r="C149" s="1058"/>
      <c r="D149" s="1058"/>
      <c r="E149" s="1059"/>
      <c r="F149" s="255"/>
      <c r="G149" s="296"/>
      <c r="H149" s="813"/>
      <c r="I149" s="110"/>
      <c r="J149" s="731"/>
      <c r="K149" s="110"/>
      <c r="L149" s="731"/>
      <c r="M149" s="296"/>
      <c r="N149" s="731"/>
      <c r="O149" s="110"/>
      <c r="P149" s="731"/>
      <c r="Q149" s="296"/>
      <c r="R149" s="731"/>
      <c r="S149" s="110"/>
      <c r="T149" s="731"/>
      <c r="U149" s="296"/>
      <c r="V149" s="731"/>
      <c r="W149" s="110"/>
      <c r="X149" s="731"/>
      <c r="Y149" s="296"/>
      <c r="Z149" s="731"/>
      <c r="AA149" s="110"/>
      <c r="AB149" s="731"/>
      <c r="AC149" s="110"/>
      <c r="AD149" s="731"/>
      <c r="AE149" s="110"/>
      <c r="AF149" s="833"/>
      <c r="AG149" s="861"/>
      <c r="AH149" s="829">
        <f>SUMIFS('9. Actuals SAP Extract'!$V:$V,'9. Actuals SAP Extract'!$P:$P,$C149,'9. Actuals SAP Extract'!$O:$O,$D149,'9. Actuals SAP Extract'!$W:$W,AH$11)</f>
        <v>0</v>
      </c>
      <c r="AI149" s="862">
        <v>0</v>
      </c>
      <c r="AJ149" s="829">
        <f>SUMIFS('9. Actuals SAP Extract'!$V:$V,'9. Actuals SAP Extract'!$P:$P,$C149,'9. Actuals SAP Extract'!$O:$O,$D149,'9. Actuals SAP Extract'!$W:$W,AJ$11)</f>
        <v>0</v>
      </c>
      <c r="AK149" s="862"/>
      <c r="AL149" s="829">
        <f>SUMIFS('9. Actuals SAP Extract'!$V:$V,'9. Actuals SAP Extract'!$P:$P,$C149,'9. Actuals SAP Extract'!$O:$O,$D149,'9. Actuals SAP Extract'!$W:$W,AL$11)</f>
        <v>0</v>
      </c>
      <c r="AM149" s="862"/>
      <c r="AN149" s="115"/>
      <c r="AO149" s="862"/>
      <c r="AP149" s="115"/>
      <c r="AQ149" s="862"/>
      <c r="AR149" s="115"/>
      <c r="AS149" s="862"/>
      <c r="AT149" s="115"/>
      <c r="AU149" s="862"/>
      <c r="AV149" s="115"/>
      <c r="AW149" s="862"/>
      <c r="AX149" s="115"/>
      <c r="AY149" s="862"/>
      <c r="AZ149" s="115"/>
      <c r="BA149" s="862"/>
      <c r="BB149" s="115"/>
      <c r="BC149" s="862"/>
      <c r="BD149" s="115"/>
    </row>
    <row r="150" spans="1:56" ht="39" x14ac:dyDescent="0.35">
      <c r="A150" s="106" t="s">
        <v>1040</v>
      </c>
      <c r="B150" s="106" t="s">
        <v>1106</v>
      </c>
      <c r="C150" s="107" t="s">
        <v>523</v>
      </c>
      <c r="D150" s="572">
        <v>7000002695</v>
      </c>
      <c r="E150" s="576">
        <v>52500</v>
      </c>
      <c r="F150" s="255"/>
      <c r="G150" s="296"/>
      <c r="H150" s="813"/>
      <c r="I150" s="110"/>
      <c r="J150" s="731"/>
      <c r="K150" s="110"/>
      <c r="L150" s="731"/>
      <c r="M150" s="296"/>
      <c r="N150" s="731"/>
      <c r="O150" s="110"/>
      <c r="P150" s="731"/>
      <c r="Q150" s="296"/>
      <c r="R150" s="731"/>
      <c r="S150" s="110"/>
      <c r="T150" s="731"/>
      <c r="U150" s="296"/>
      <c r="V150" s="731"/>
      <c r="W150" s="110"/>
      <c r="X150" s="731"/>
      <c r="Y150" s="296"/>
      <c r="Z150" s="731"/>
      <c r="AA150" s="110"/>
      <c r="AB150" s="731"/>
      <c r="AC150" s="110"/>
      <c r="AD150" s="731"/>
      <c r="AE150" s="110"/>
      <c r="AF150" s="833"/>
      <c r="AG150" s="296"/>
      <c r="AH150" s="829">
        <f>SUMIFS('9. Actuals SAP Extract'!$V:$V,'9. Actuals SAP Extract'!$P:$P,$C150,'9. Actuals SAP Extract'!$O:$O,$D150,'9. Actuals SAP Extract'!$W:$W,AH$11)</f>
        <v>0</v>
      </c>
      <c r="AI150" s="110"/>
      <c r="AJ150" s="829">
        <f>SUMIFS('9. Actuals SAP Extract'!$V:$V,'9. Actuals SAP Extract'!$P:$P,$C150,'9. Actuals SAP Extract'!$O:$O,$D150,'9. Actuals SAP Extract'!$W:$W,AJ$11)</f>
        <v>0</v>
      </c>
      <c r="AK150" s="110"/>
      <c r="AL150" s="115"/>
      <c r="AM150" s="110"/>
      <c r="AN150" s="115"/>
      <c r="AO150" s="110"/>
      <c r="AP150" s="115"/>
      <c r="AQ150" s="110">
        <v>0</v>
      </c>
      <c r="AR150" s="115"/>
      <c r="AS150" s="110"/>
      <c r="AT150" s="115"/>
      <c r="AU150" s="110"/>
      <c r="AV150" s="115"/>
      <c r="AW150" s="110"/>
      <c r="AX150" s="115"/>
      <c r="AY150" s="110"/>
      <c r="AZ150" s="115"/>
      <c r="BA150" s="110"/>
      <c r="BB150" s="115"/>
      <c r="BC150" s="110"/>
      <c r="BD150" s="115"/>
    </row>
    <row r="151" spans="1:56" x14ac:dyDescent="0.35">
      <c r="A151" s="106"/>
      <c r="B151" s="106"/>
      <c r="C151" s="106"/>
      <c r="D151" s="573"/>
      <c r="E151" s="574"/>
      <c r="F151" s="255"/>
      <c r="G151" s="296"/>
      <c r="H151" s="813"/>
      <c r="I151" s="110"/>
      <c r="J151" s="731"/>
      <c r="K151" s="110"/>
      <c r="L151" s="731"/>
      <c r="M151" s="296"/>
      <c r="N151" s="731"/>
      <c r="O151" s="110"/>
      <c r="P151" s="731"/>
      <c r="Q151" s="296"/>
      <c r="R151" s="731"/>
      <c r="S151" s="110"/>
      <c r="T151" s="731"/>
      <c r="U151" s="296"/>
      <c r="V151" s="731"/>
      <c r="W151" s="110"/>
      <c r="X151" s="731"/>
      <c r="Y151" s="296"/>
      <c r="Z151" s="731"/>
      <c r="AA151" s="110"/>
      <c r="AB151" s="731"/>
      <c r="AC151" s="110"/>
      <c r="AD151" s="731"/>
      <c r="AE151" s="110"/>
      <c r="AF151" s="833"/>
      <c r="AG151" s="296"/>
      <c r="AH151" s="829">
        <f>SUMIFS('9. Actuals SAP Extract'!$V:$V,'9. Actuals SAP Extract'!$P:$P,$C151,'9. Actuals SAP Extract'!$O:$O,$D151,'9. Actuals SAP Extract'!$W:$W,AH$11)</f>
        <v>0</v>
      </c>
      <c r="AI151" s="110"/>
      <c r="AJ151" s="829">
        <f>SUMIFS('9. Actuals SAP Extract'!$V:$V,'9. Actuals SAP Extract'!$P:$P,$C151,'9. Actuals SAP Extract'!$O:$O,$D151,'9. Actuals SAP Extract'!$W:$W,AJ$11)</f>
        <v>0</v>
      </c>
      <c r="AK151" s="110"/>
      <c r="AL151" s="115"/>
      <c r="AM151" s="110"/>
      <c r="AN151" s="115"/>
      <c r="AO151" s="110"/>
      <c r="AP151" s="115"/>
      <c r="AQ151" s="110"/>
      <c r="AR151" s="115"/>
      <c r="AS151" s="110"/>
      <c r="AT151" s="115"/>
      <c r="AU151" s="110"/>
      <c r="AV151" s="115"/>
      <c r="AW151" s="110"/>
      <c r="AX151" s="115"/>
      <c r="AY151" s="110"/>
      <c r="AZ151" s="115"/>
      <c r="BA151" s="110"/>
      <c r="BB151" s="115"/>
      <c r="BC151" s="110"/>
      <c r="BD151" s="115"/>
    </row>
    <row r="152" spans="1:56" ht="15" thickBot="1" x14ac:dyDescent="0.4">
      <c r="A152" s="106"/>
      <c r="B152" s="245"/>
      <c r="C152" s="106"/>
      <c r="D152" s="573"/>
      <c r="E152" s="574"/>
      <c r="F152" s="255"/>
      <c r="G152" s="301"/>
      <c r="H152" s="814"/>
      <c r="I152" s="116"/>
      <c r="J152" s="117"/>
      <c r="K152" s="116"/>
      <c r="L152" s="117"/>
      <c r="M152" s="301"/>
      <c r="N152" s="117"/>
      <c r="O152" s="116"/>
      <c r="P152" s="117"/>
      <c r="Q152" s="301"/>
      <c r="R152" s="117"/>
      <c r="S152" s="116"/>
      <c r="T152" s="117"/>
      <c r="U152" s="301"/>
      <c r="V152" s="117"/>
      <c r="W152" s="116"/>
      <c r="X152" s="117"/>
      <c r="Y152" s="301"/>
      <c r="Z152" s="117"/>
      <c r="AA152" s="116"/>
      <c r="AB152" s="117"/>
      <c r="AC152" s="116"/>
      <c r="AD152" s="117"/>
      <c r="AE152" s="116"/>
      <c r="AF152" s="834"/>
      <c r="AG152" s="301"/>
      <c r="AH152" s="829">
        <f>SUMIFS('9. Actuals SAP Extract'!$V:$V,'9. Actuals SAP Extract'!$P:$P,$C152,'9. Actuals SAP Extract'!$O:$O,$D152,'9. Actuals SAP Extract'!$W:$W,AH$11)</f>
        <v>0</v>
      </c>
      <c r="AI152" s="116"/>
      <c r="AJ152" s="829">
        <f>SUMIFS('9. Actuals SAP Extract'!$V:$V,'9. Actuals SAP Extract'!$P:$P,$C152,'9. Actuals SAP Extract'!$O:$O,$D152,'9. Actuals SAP Extract'!$W:$W,AJ$11)</f>
        <v>0</v>
      </c>
      <c r="AK152" s="116"/>
      <c r="AL152" s="117"/>
      <c r="AM152" s="116"/>
      <c r="AN152" s="117"/>
      <c r="AO152" s="116"/>
      <c r="AP152" s="117"/>
      <c r="AQ152" s="116"/>
      <c r="AR152" s="117"/>
      <c r="AS152" s="116"/>
      <c r="AT152" s="117"/>
      <c r="AU152" s="116"/>
      <c r="AV152" s="117"/>
      <c r="AW152" s="116"/>
      <c r="AX152" s="117"/>
      <c r="AY152" s="116"/>
      <c r="AZ152" s="117"/>
      <c r="BA152" s="116"/>
      <c r="BB152" s="117"/>
      <c r="BC152" s="116"/>
      <c r="BD152" s="117"/>
    </row>
    <row r="153" spans="1:56" ht="15" thickBot="1" x14ac:dyDescent="0.4">
      <c r="A153" s="1035" t="s">
        <v>185</v>
      </c>
      <c r="B153" s="1036"/>
      <c r="C153" s="1036"/>
      <c r="D153" s="1036"/>
      <c r="E153" s="575"/>
      <c r="F153" s="253"/>
      <c r="G153" s="300">
        <f t="shared" ref="G153:AL153" si="2">SUM(G139:G152)</f>
        <v>0</v>
      </c>
      <c r="H153" s="815">
        <f t="shared" si="2"/>
        <v>0</v>
      </c>
      <c r="I153" s="118">
        <f t="shared" si="2"/>
        <v>0</v>
      </c>
      <c r="J153" s="119">
        <f t="shared" si="2"/>
        <v>0</v>
      </c>
      <c r="K153" s="118">
        <f t="shared" si="2"/>
        <v>0</v>
      </c>
      <c r="L153" s="119">
        <f t="shared" si="2"/>
        <v>0</v>
      </c>
      <c r="M153" s="300">
        <f t="shared" si="2"/>
        <v>0</v>
      </c>
      <c r="N153" s="119">
        <f t="shared" si="2"/>
        <v>190575</v>
      </c>
      <c r="O153" s="118">
        <f t="shared" si="2"/>
        <v>0</v>
      </c>
      <c r="P153" s="119">
        <f t="shared" si="2"/>
        <v>0</v>
      </c>
      <c r="Q153" s="300">
        <f t="shared" si="2"/>
        <v>0</v>
      </c>
      <c r="R153" s="119">
        <f t="shared" si="2"/>
        <v>0</v>
      </c>
      <c r="S153" s="118">
        <f t="shared" si="2"/>
        <v>0</v>
      </c>
      <c r="T153" s="119">
        <f t="shared" si="2"/>
        <v>381150</v>
      </c>
      <c r="U153" s="300">
        <f t="shared" si="2"/>
        <v>0</v>
      </c>
      <c r="V153" s="119">
        <f t="shared" si="2"/>
        <v>0</v>
      </c>
      <c r="W153" s="118">
        <f t="shared" si="2"/>
        <v>0</v>
      </c>
      <c r="X153" s="119">
        <f t="shared" si="2"/>
        <v>40954.5</v>
      </c>
      <c r="Y153" s="300">
        <f t="shared" si="2"/>
        <v>-381150</v>
      </c>
      <c r="Z153" s="119">
        <f t="shared" si="2"/>
        <v>-150169.35999999999</v>
      </c>
      <c r="AA153" s="118">
        <f t="shared" si="2"/>
        <v>487646.11</v>
      </c>
      <c r="AB153" s="119">
        <f t="shared" si="2"/>
        <v>515121.13</v>
      </c>
      <c r="AC153" s="118">
        <f t="shared" si="2"/>
        <v>152878</v>
      </c>
      <c r="AD153" s="119">
        <f t="shared" si="2"/>
        <v>153549.59</v>
      </c>
      <c r="AE153" s="118">
        <f t="shared" si="2"/>
        <v>16559</v>
      </c>
      <c r="AF153" s="119">
        <f t="shared" si="2"/>
        <v>16659</v>
      </c>
      <c r="AG153" s="300">
        <f t="shared" si="2"/>
        <v>0</v>
      </c>
      <c r="AH153" s="119">
        <f t="shared" si="2"/>
        <v>1682.64</v>
      </c>
      <c r="AI153" s="118">
        <f t="shared" si="2"/>
        <v>0</v>
      </c>
      <c r="AJ153" s="119">
        <f t="shared" si="2"/>
        <v>0</v>
      </c>
      <c r="AK153" s="118">
        <f t="shared" si="2"/>
        <v>753373</v>
      </c>
      <c r="AL153" s="119">
        <f t="shared" si="2"/>
        <v>797730.4</v>
      </c>
      <c r="AM153" s="118">
        <f t="shared" ref="AM153:BD153" si="3">SUM(AM139:AM152)</f>
        <v>52500</v>
      </c>
      <c r="AN153" s="119">
        <f t="shared" si="3"/>
        <v>32420.059999999939</v>
      </c>
      <c r="AO153" s="118">
        <f t="shared" si="3"/>
        <v>0</v>
      </c>
      <c r="AP153" s="119">
        <f t="shared" si="3"/>
        <v>-52100</v>
      </c>
      <c r="AQ153" s="118">
        <f t="shared" si="3"/>
        <v>0</v>
      </c>
      <c r="AR153" s="119">
        <f t="shared" si="3"/>
        <v>0</v>
      </c>
      <c r="AS153" s="118">
        <f t="shared" si="3"/>
        <v>0</v>
      </c>
      <c r="AT153" s="119">
        <f t="shared" si="3"/>
        <v>0</v>
      </c>
      <c r="AU153" s="118">
        <f t="shared" si="3"/>
        <v>0</v>
      </c>
      <c r="AV153" s="119">
        <f t="shared" si="3"/>
        <v>0</v>
      </c>
      <c r="AW153" s="118">
        <f t="shared" si="3"/>
        <v>0</v>
      </c>
      <c r="AX153" s="119">
        <f t="shared" si="3"/>
        <v>0</v>
      </c>
      <c r="AY153" s="118">
        <f t="shared" si="3"/>
        <v>0</v>
      </c>
      <c r="AZ153" s="119">
        <f t="shared" si="3"/>
        <v>0</v>
      </c>
      <c r="BA153" s="118">
        <f t="shared" si="3"/>
        <v>0</v>
      </c>
      <c r="BB153" s="119">
        <f t="shared" si="3"/>
        <v>0</v>
      </c>
      <c r="BC153" s="118">
        <f t="shared" si="3"/>
        <v>0</v>
      </c>
      <c r="BD153" s="119">
        <f t="shared" si="3"/>
        <v>0</v>
      </c>
    </row>
    <row r="154" spans="1:56" ht="24" thickTop="1" thickBot="1" x14ac:dyDescent="0.4">
      <c r="A154" s="1037"/>
      <c r="B154" s="1038"/>
      <c r="C154" s="1038"/>
      <c r="D154" s="1038"/>
      <c r="E154" s="495"/>
      <c r="G154" s="295" t="s">
        <v>151</v>
      </c>
      <c r="H154" s="809" t="s">
        <v>146</v>
      </c>
      <c r="I154" s="826" t="s">
        <v>152</v>
      </c>
      <c r="J154" s="827" t="s">
        <v>147</v>
      </c>
      <c r="K154" s="827" t="s">
        <v>153</v>
      </c>
      <c r="L154" s="827" t="s">
        <v>133</v>
      </c>
      <c r="M154" s="295" t="s">
        <v>369</v>
      </c>
      <c r="N154" s="827" t="s">
        <v>358</v>
      </c>
      <c r="O154" s="827" t="s">
        <v>370</v>
      </c>
      <c r="P154" s="827" t="s">
        <v>371</v>
      </c>
      <c r="Q154" s="295" t="s">
        <v>372</v>
      </c>
      <c r="R154" s="827" t="s">
        <v>367</v>
      </c>
      <c r="S154" s="827" t="s">
        <v>373</v>
      </c>
      <c r="T154" s="827" t="s">
        <v>374</v>
      </c>
      <c r="U154" s="295" t="s">
        <v>375</v>
      </c>
      <c r="V154" s="827" t="s">
        <v>376</v>
      </c>
      <c r="W154" s="827" t="s">
        <v>377</v>
      </c>
      <c r="X154" s="827" t="s">
        <v>363</v>
      </c>
      <c r="Y154" s="295" t="s">
        <v>378</v>
      </c>
      <c r="Z154" s="827" t="s">
        <v>379</v>
      </c>
      <c r="AA154" s="827" t="s">
        <v>149</v>
      </c>
      <c r="AB154" s="827" t="s">
        <v>142</v>
      </c>
      <c r="AC154" s="827" t="s">
        <v>150</v>
      </c>
      <c r="AD154" s="827" t="s">
        <v>144</v>
      </c>
      <c r="AE154" s="827" t="s">
        <v>151</v>
      </c>
      <c r="AF154" s="828" t="s">
        <v>146</v>
      </c>
      <c r="AG154" s="299" t="s">
        <v>131</v>
      </c>
      <c r="AH154" s="98" t="s">
        <v>147</v>
      </c>
      <c r="AI154" s="97" t="s">
        <v>132</v>
      </c>
      <c r="AJ154" s="98" t="s">
        <v>133</v>
      </c>
      <c r="AK154" s="97" t="s">
        <v>134</v>
      </c>
      <c r="AL154" s="98" t="s">
        <v>358</v>
      </c>
      <c r="AM154" s="97" t="s">
        <v>135</v>
      </c>
      <c r="AN154" s="98" t="s">
        <v>371</v>
      </c>
      <c r="AO154" s="97" t="s">
        <v>136</v>
      </c>
      <c r="AP154" s="98" t="s">
        <v>367</v>
      </c>
      <c r="AQ154" s="97" t="s">
        <v>137</v>
      </c>
      <c r="AR154" s="98" t="s">
        <v>365</v>
      </c>
      <c r="AS154" s="97" t="s">
        <v>138</v>
      </c>
      <c r="AT154" s="98" t="s">
        <v>364</v>
      </c>
      <c r="AU154" s="97" t="s">
        <v>139</v>
      </c>
      <c r="AV154" s="98" t="s">
        <v>363</v>
      </c>
      <c r="AW154" s="97" t="s">
        <v>140</v>
      </c>
      <c r="AX154" s="98" t="s">
        <v>362</v>
      </c>
      <c r="AY154" s="97" t="s">
        <v>141</v>
      </c>
      <c r="AZ154" s="98" t="s">
        <v>142</v>
      </c>
      <c r="BA154" s="97" t="s">
        <v>143</v>
      </c>
      <c r="BB154" s="98" t="s">
        <v>144</v>
      </c>
      <c r="BC154" s="97" t="s">
        <v>145</v>
      </c>
      <c r="BD154" s="98" t="s">
        <v>146</v>
      </c>
    </row>
    <row r="155" spans="1:56" s="121" customFormat="1" ht="16.5" customHeight="1" thickBot="1" x14ac:dyDescent="0.4">
      <c r="A155" s="1030" t="s">
        <v>182</v>
      </c>
      <c r="B155" s="1031"/>
      <c r="C155" s="1032"/>
      <c r="D155" s="1032"/>
      <c r="E155" s="496"/>
      <c r="F155" s="257"/>
      <c r="G155" s="105"/>
      <c r="H155" s="810"/>
      <c r="I155" s="109"/>
      <c r="J155" s="311"/>
      <c r="K155" s="105"/>
      <c r="L155" s="311"/>
      <c r="M155" s="105"/>
      <c r="N155" s="311"/>
      <c r="O155" s="105"/>
      <c r="P155" s="311"/>
      <c r="Q155" s="105"/>
      <c r="R155" s="311"/>
      <c r="S155" s="105"/>
      <c r="T155" s="311"/>
      <c r="U155" s="105"/>
      <c r="V155" s="311"/>
      <c r="W155" s="105"/>
      <c r="X155" s="311"/>
      <c r="Y155" s="105"/>
      <c r="Z155" s="311"/>
      <c r="AA155" s="105"/>
      <c r="AB155" s="311"/>
      <c r="AC155" s="105"/>
      <c r="AD155" s="311"/>
      <c r="AE155" s="105"/>
      <c r="AF155" s="829"/>
      <c r="AG155" s="105"/>
      <c r="AH155" s="829"/>
      <c r="AI155" s="105"/>
      <c r="AJ155" s="133"/>
      <c r="AK155" s="105"/>
      <c r="AL155" s="133"/>
      <c r="AM155" s="105"/>
      <c r="AN155" s="133"/>
      <c r="AO155" s="105"/>
      <c r="AP155" s="133"/>
      <c r="AQ155" s="105"/>
      <c r="AR155" s="133"/>
      <c r="AS155" s="105"/>
      <c r="AT155" s="133"/>
      <c r="AU155" s="105"/>
      <c r="AV155" s="133"/>
      <c r="AW155" s="105"/>
      <c r="AX155" s="133"/>
      <c r="AY155" s="105"/>
      <c r="AZ155" s="133"/>
      <c r="BA155" s="105"/>
      <c r="BB155" s="133"/>
      <c r="BC155" s="105"/>
      <c r="BD155" s="133"/>
    </row>
    <row r="156" spans="1:56" s="121" customFormat="1" ht="16.5" customHeight="1" thickBot="1" x14ac:dyDescent="0.4">
      <c r="A156" s="1030" t="s">
        <v>183</v>
      </c>
      <c r="B156" s="1031"/>
      <c r="C156" s="1032"/>
      <c r="D156" s="1032"/>
      <c r="E156" s="496"/>
      <c r="F156" s="257"/>
      <c r="G156" s="302">
        <f t="shared" ref="G156:AL156" si="4">SUM(G153,G137,G90)</f>
        <v>0</v>
      </c>
      <c r="H156" s="816">
        <f t="shared" si="4"/>
        <v>255734.5</v>
      </c>
      <c r="I156" s="835">
        <f t="shared" si="4"/>
        <v>0</v>
      </c>
      <c r="J156" s="836">
        <f t="shared" si="4"/>
        <v>49481.440000000002</v>
      </c>
      <c r="K156" s="302">
        <f t="shared" si="4"/>
        <v>0</v>
      </c>
      <c r="L156" s="836">
        <f t="shared" si="4"/>
        <v>44153.93</v>
      </c>
      <c r="M156" s="302">
        <f t="shared" si="4"/>
        <v>326904</v>
      </c>
      <c r="N156" s="836">
        <f t="shared" si="4"/>
        <v>397692.04000000004</v>
      </c>
      <c r="O156" s="302">
        <f t="shared" si="4"/>
        <v>370652.11200000002</v>
      </c>
      <c r="P156" s="836">
        <f t="shared" si="4"/>
        <v>392656.80000000005</v>
      </c>
      <c r="Q156" s="302">
        <f t="shared" si="4"/>
        <v>538274.03200000001</v>
      </c>
      <c r="R156" s="836">
        <f t="shared" si="4"/>
        <v>49490.219999999994</v>
      </c>
      <c r="S156" s="302">
        <f t="shared" si="4"/>
        <v>237338.6</v>
      </c>
      <c r="T156" s="836">
        <f t="shared" si="4"/>
        <v>606142.85999999987</v>
      </c>
      <c r="U156" s="302">
        <f t="shared" si="4"/>
        <v>80157.399999999994</v>
      </c>
      <c r="V156" s="836">
        <f t="shared" si="4"/>
        <v>104673.64000000001</v>
      </c>
      <c r="W156" s="302">
        <f t="shared" si="4"/>
        <v>25993.040000000001</v>
      </c>
      <c r="X156" s="836">
        <f t="shared" si="4"/>
        <v>117631.90999999999</v>
      </c>
      <c r="Y156" s="302">
        <f t="shared" si="4"/>
        <v>225499.6</v>
      </c>
      <c r="Z156" s="836">
        <f t="shared" si="4"/>
        <v>429709.49</v>
      </c>
      <c r="AA156" s="302">
        <f t="shared" si="4"/>
        <v>641699.71</v>
      </c>
      <c r="AB156" s="836">
        <f t="shared" si="4"/>
        <v>1299467.8</v>
      </c>
      <c r="AC156" s="302">
        <f t="shared" si="4"/>
        <v>189649</v>
      </c>
      <c r="AD156" s="836">
        <f t="shared" si="4"/>
        <v>168749.66</v>
      </c>
      <c r="AE156" s="302">
        <f t="shared" si="4"/>
        <v>355727</v>
      </c>
      <c r="AF156" s="836">
        <f t="shared" si="4"/>
        <v>307145.15000000002</v>
      </c>
      <c r="AG156" s="302">
        <f t="shared" si="4"/>
        <v>538907</v>
      </c>
      <c r="AH156" s="836">
        <f t="shared" si="4"/>
        <v>570448.5</v>
      </c>
      <c r="AI156" s="302">
        <f t="shared" si="4"/>
        <v>391593.35</v>
      </c>
      <c r="AJ156" s="123">
        <f t="shared" si="4"/>
        <v>270147.90000000002</v>
      </c>
      <c r="AK156" s="302">
        <f t="shared" si="4"/>
        <v>919089.2</v>
      </c>
      <c r="AL156" s="123">
        <f t="shared" si="4"/>
        <v>927066.20000000007</v>
      </c>
      <c r="AM156" s="302">
        <f t="shared" ref="AM156:BD156" si="5">SUM(AM153,AM137,AM90)</f>
        <v>255092.2</v>
      </c>
      <c r="AN156" s="123">
        <f t="shared" si="5"/>
        <v>28280.809999999939</v>
      </c>
      <c r="AO156" s="302">
        <f t="shared" si="5"/>
        <v>137103.83000000002</v>
      </c>
      <c r="AP156" s="123">
        <f t="shared" si="5"/>
        <v>-635112.1</v>
      </c>
      <c r="AQ156" s="302">
        <f t="shared" si="5"/>
        <v>260619.82</v>
      </c>
      <c r="AR156" s="123">
        <f t="shared" si="5"/>
        <v>0</v>
      </c>
      <c r="AS156" s="302">
        <f t="shared" si="5"/>
        <v>406926.82</v>
      </c>
      <c r="AT156" s="123">
        <f t="shared" si="5"/>
        <v>0</v>
      </c>
      <c r="AU156" s="302">
        <f t="shared" si="5"/>
        <v>72797.2</v>
      </c>
      <c r="AV156" s="123">
        <f t="shared" si="5"/>
        <v>0</v>
      </c>
      <c r="AW156" s="302">
        <f t="shared" si="5"/>
        <v>78457.2</v>
      </c>
      <c r="AX156" s="123">
        <f t="shared" si="5"/>
        <v>0</v>
      </c>
      <c r="AY156" s="302">
        <f t="shared" si="5"/>
        <v>77957.2</v>
      </c>
      <c r="AZ156" s="123">
        <f t="shared" si="5"/>
        <v>0</v>
      </c>
      <c r="BA156" s="302">
        <f t="shared" si="5"/>
        <v>73977.2</v>
      </c>
      <c r="BB156" s="123">
        <f t="shared" si="5"/>
        <v>0</v>
      </c>
      <c r="BC156" s="302">
        <f t="shared" si="5"/>
        <v>120738.2</v>
      </c>
      <c r="BD156" s="123">
        <f t="shared" si="5"/>
        <v>0</v>
      </c>
    </row>
    <row r="157" spans="1:56" x14ac:dyDescent="0.35">
      <c r="AQ157" s="113">
        <v>484447.82</v>
      </c>
      <c r="AR157" s="113">
        <v>0</v>
      </c>
      <c r="AS157" s="113">
        <v>693526.82</v>
      </c>
      <c r="AT157" s="113">
        <v>0</v>
      </c>
      <c r="AU157" s="113">
        <v>76797.2</v>
      </c>
      <c r="AV157" s="113">
        <v>0</v>
      </c>
      <c r="AW157" s="113">
        <v>77957.2</v>
      </c>
      <c r="AX157" s="113">
        <v>0</v>
      </c>
      <c r="AY157" s="113">
        <v>77957.2</v>
      </c>
      <c r="AZ157" s="113">
        <v>0</v>
      </c>
      <c r="BA157" s="113">
        <v>74177.2</v>
      </c>
      <c r="BB157" s="113">
        <v>0</v>
      </c>
      <c r="BC157" s="113">
        <v>120738.2</v>
      </c>
    </row>
    <row r="158" spans="1:56" ht="35.5" x14ac:dyDescent="0.35">
      <c r="W158" s="595">
        <v>-148580</v>
      </c>
      <c r="Y158" s="628" t="s">
        <v>768</v>
      </c>
      <c r="Z158" s="595">
        <v>221375</v>
      </c>
      <c r="AA158" s="595"/>
      <c r="AC158" s="601"/>
      <c r="AE158" s="601"/>
      <c r="AG158" s="601"/>
      <c r="AI158" s="601"/>
      <c r="AK158" s="601"/>
      <c r="AM158" s="601"/>
      <c r="AO158" s="601"/>
      <c r="AQ158" s="601"/>
      <c r="AS158" s="601"/>
      <c r="AU158" s="601"/>
      <c r="AW158" s="601"/>
      <c r="AY158" s="601"/>
      <c r="BA158" s="601"/>
      <c r="BC158" s="601"/>
    </row>
    <row r="166" ht="14.5" customHeight="1" x14ac:dyDescent="0.35"/>
    <row r="167" ht="14.5" customHeight="1" x14ac:dyDescent="0.35"/>
    <row r="168" ht="14.5" customHeight="1" x14ac:dyDescent="0.35"/>
    <row r="169" ht="14.5" customHeight="1" x14ac:dyDescent="0.35"/>
    <row r="170" ht="15" customHeight="1" x14ac:dyDescent="0.35"/>
  </sheetData>
  <mergeCells count="752">
    <mergeCell ref="AX50:AX52"/>
    <mergeCell ref="AZ50:AZ52"/>
    <mergeCell ref="BB50:BB52"/>
    <mergeCell ref="BD50:BD52"/>
    <mergeCell ref="BD53:BD55"/>
    <mergeCell ref="A50:A52"/>
    <mergeCell ref="B50:B52"/>
    <mergeCell ref="C50:C52"/>
    <mergeCell ref="D50:D52"/>
    <mergeCell ref="E50:E52"/>
    <mergeCell ref="H50:H52"/>
    <mergeCell ref="J50:J52"/>
    <mergeCell ref="L50:L52"/>
    <mergeCell ref="N50:N52"/>
    <mergeCell ref="P50:P52"/>
    <mergeCell ref="R50:R52"/>
    <mergeCell ref="T50:T52"/>
    <mergeCell ref="V50:V52"/>
    <mergeCell ref="X50:X52"/>
    <mergeCell ref="Z50:Z52"/>
    <mergeCell ref="AB50:AB52"/>
    <mergeCell ref="AD50:AD52"/>
    <mergeCell ref="AF50:AF52"/>
    <mergeCell ref="AH50:AH52"/>
    <mergeCell ref="AJ50:AJ52"/>
    <mergeCell ref="AL50:AL52"/>
    <mergeCell ref="AN50:AN52"/>
    <mergeCell ref="AP50:AP52"/>
    <mergeCell ref="BD47:BD49"/>
    <mergeCell ref="A53:A55"/>
    <mergeCell ref="B53:B55"/>
    <mergeCell ref="C53:C55"/>
    <mergeCell ref="D53:D55"/>
    <mergeCell ref="E53:E55"/>
    <mergeCell ref="H53:H55"/>
    <mergeCell ref="J53:J55"/>
    <mergeCell ref="L53:L55"/>
    <mergeCell ref="N53:N55"/>
    <mergeCell ref="P53:P55"/>
    <mergeCell ref="R53:R55"/>
    <mergeCell ref="T53:T55"/>
    <mergeCell ref="V53:V55"/>
    <mergeCell ref="X53:X55"/>
    <mergeCell ref="Z53:Z55"/>
    <mergeCell ref="AB53:AB55"/>
    <mergeCell ref="AD53:AD55"/>
    <mergeCell ref="AF53:AF55"/>
    <mergeCell ref="AH53:AH55"/>
    <mergeCell ref="AJ53:AJ55"/>
    <mergeCell ref="AL53:AL55"/>
    <mergeCell ref="AN53:AN55"/>
    <mergeCell ref="AP53:AP55"/>
    <mergeCell ref="Z47:Z49"/>
    <mergeCell ref="AB47:AB49"/>
    <mergeCell ref="AD47:AD49"/>
    <mergeCell ref="AF47:AF49"/>
    <mergeCell ref="AH47:AH49"/>
    <mergeCell ref="AJ47:AJ49"/>
    <mergeCell ref="AL47:AL49"/>
    <mergeCell ref="AN47:AN49"/>
    <mergeCell ref="AP47:AP49"/>
    <mergeCell ref="A47:A49"/>
    <mergeCell ref="B47:B49"/>
    <mergeCell ref="C47:C49"/>
    <mergeCell ref="D47:D49"/>
    <mergeCell ref="E47:E49"/>
    <mergeCell ref="H47:H49"/>
    <mergeCell ref="J47:J49"/>
    <mergeCell ref="L47:L49"/>
    <mergeCell ref="N47:N49"/>
    <mergeCell ref="BD80:BD82"/>
    <mergeCell ref="A83:D85"/>
    <mergeCell ref="A80:A82"/>
    <mergeCell ref="B80:B82"/>
    <mergeCell ref="C80:C82"/>
    <mergeCell ref="D80:D82"/>
    <mergeCell ref="H80:H82"/>
    <mergeCell ref="J80:J82"/>
    <mergeCell ref="L80:L82"/>
    <mergeCell ref="N80:N82"/>
    <mergeCell ref="P80:P82"/>
    <mergeCell ref="R80:R82"/>
    <mergeCell ref="T80:T82"/>
    <mergeCell ref="V80:V82"/>
    <mergeCell ref="X80:X82"/>
    <mergeCell ref="Z80:Z82"/>
    <mergeCell ref="AB80:AB82"/>
    <mergeCell ref="AD80:AD82"/>
    <mergeCell ref="AF80:AF82"/>
    <mergeCell ref="AH80:AH82"/>
    <mergeCell ref="AJ80:AJ82"/>
    <mergeCell ref="AL80:AL82"/>
    <mergeCell ref="BD86:BD88"/>
    <mergeCell ref="AG8:BD9"/>
    <mergeCell ref="BD38:BD40"/>
    <mergeCell ref="BD41:BD43"/>
    <mergeCell ref="BD44:BD46"/>
    <mergeCell ref="BD59:BD61"/>
    <mergeCell ref="BD62:BD64"/>
    <mergeCell ref="BD71:BD73"/>
    <mergeCell ref="BD74:BD76"/>
    <mergeCell ref="BD77:BD79"/>
    <mergeCell ref="BD83:BD85"/>
    <mergeCell ref="BD14:BD16"/>
    <mergeCell ref="BD17:BD19"/>
    <mergeCell ref="BD20:BD22"/>
    <mergeCell ref="BD23:BD25"/>
    <mergeCell ref="BD26:BD28"/>
    <mergeCell ref="BD29:BD31"/>
    <mergeCell ref="BD32:BD34"/>
    <mergeCell ref="BD35:BD37"/>
    <mergeCell ref="AZ86:AZ88"/>
    <mergeCell ref="BB14:BB16"/>
    <mergeCell ref="BB17:BB19"/>
    <mergeCell ref="BB20:BB22"/>
    <mergeCell ref="BB23:BB25"/>
    <mergeCell ref="BB26:BB28"/>
    <mergeCell ref="BB29:BB31"/>
    <mergeCell ref="BB32:BB34"/>
    <mergeCell ref="BB35:BB37"/>
    <mergeCell ref="BB38:BB40"/>
    <mergeCell ref="BB41:BB43"/>
    <mergeCell ref="BB44:BB46"/>
    <mergeCell ref="BB59:BB61"/>
    <mergeCell ref="BB62:BB64"/>
    <mergeCell ref="BB47:BB49"/>
    <mergeCell ref="BB53:BB55"/>
    <mergeCell ref="BB71:BB73"/>
    <mergeCell ref="BB74:BB76"/>
    <mergeCell ref="BB77:BB79"/>
    <mergeCell ref="BB83:BB85"/>
    <mergeCell ref="BB86:BB88"/>
    <mergeCell ref="AZ38:AZ40"/>
    <mergeCell ref="AZ41:AZ43"/>
    <mergeCell ref="AZ44:AZ46"/>
    <mergeCell ref="AZ59:AZ61"/>
    <mergeCell ref="AZ62:AZ64"/>
    <mergeCell ref="AZ71:AZ73"/>
    <mergeCell ref="AZ74:AZ76"/>
    <mergeCell ref="AZ77:AZ79"/>
    <mergeCell ref="AZ83:AZ85"/>
    <mergeCell ref="AZ56:AZ58"/>
    <mergeCell ref="BB56:BB58"/>
    <mergeCell ref="AZ80:AZ82"/>
    <mergeCell ref="BB80:BB82"/>
    <mergeCell ref="AZ65:AZ67"/>
    <mergeCell ref="BB65:BB67"/>
    <mergeCell ref="AZ68:AZ70"/>
    <mergeCell ref="BB68:BB70"/>
    <mergeCell ref="AZ47:AZ49"/>
    <mergeCell ref="AZ53:AZ55"/>
    <mergeCell ref="AZ14:AZ16"/>
    <mergeCell ref="AZ17:AZ19"/>
    <mergeCell ref="AZ20:AZ22"/>
    <mergeCell ref="AZ23:AZ25"/>
    <mergeCell ref="AZ26:AZ28"/>
    <mergeCell ref="AZ29:AZ31"/>
    <mergeCell ref="AZ32:AZ34"/>
    <mergeCell ref="AZ35:AZ37"/>
    <mergeCell ref="AV86:AV88"/>
    <mergeCell ref="AX14:AX16"/>
    <mergeCell ref="AX17:AX19"/>
    <mergeCell ref="AX20:AX22"/>
    <mergeCell ref="AX23:AX25"/>
    <mergeCell ref="AX26:AX28"/>
    <mergeCell ref="AX29:AX31"/>
    <mergeCell ref="AX32:AX34"/>
    <mergeCell ref="AX35:AX37"/>
    <mergeCell ref="AX38:AX40"/>
    <mergeCell ref="AX41:AX43"/>
    <mergeCell ref="AX44:AX46"/>
    <mergeCell ref="AX59:AX61"/>
    <mergeCell ref="AX62:AX64"/>
    <mergeCell ref="AX71:AX73"/>
    <mergeCell ref="AX74:AX76"/>
    <mergeCell ref="AX77:AX79"/>
    <mergeCell ref="AX83:AX85"/>
    <mergeCell ref="AX86:AX88"/>
    <mergeCell ref="AV38:AV40"/>
    <mergeCell ref="AV41:AV43"/>
    <mergeCell ref="AV44:AV46"/>
    <mergeCell ref="AV59:AV61"/>
    <mergeCell ref="AV62:AV64"/>
    <mergeCell ref="AV71:AV73"/>
    <mergeCell ref="AV74:AV76"/>
    <mergeCell ref="AV77:AV79"/>
    <mergeCell ref="AV83:AV85"/>
    <mergeCell ref="AV56:AV58"/>
    <mergeCell ref="AX56:AX58"/>
    <mergeCell ref="AV80:AV82"/>
    <mergeCell ref="AX80:AX82"/>
    <mergeCell ref="AV68:AV70"/>
    <mergeCell ref="AX68:AX70"/>
    <mergeCell ref="AX65:AX67"/>
    <mergeCell ref="AV47:AV49"/>
    <mergeCell ref="AX47:AX49"/>
    <mergeCell ref="AV53:AV55"/>
    <mergeCell ref="AX53:AX55"/>
    <mergeCell ref="AV50:AV52"/>
    <mergeCell ref="AV14:AV16"/>
    <mergeCell ref="AV17:AV19"/>
    <mergeCell ref="AV20:AV22"/>
    <mergeCell ref="AV23:AV25"/>
    <mergeCell ref="AV26:AV28"/>
    <mergeCell ref="AV29:AV31"/>
    <mergeCell ref="AV32:AV34"/>
    <mergeCell ref="AV35:AV37"/>
    <mergeCell ref="AR86:AR88"/>
    <mergeCell ref="AT14:AT16"/>
    <mergeCell ref="AT17:AT19"/>
    <mergeCell ref="AT20:AT22"/>
    <mergeCell ref="AT23:AT25"/>
    <mergeCell ref="AT26:AT28"/>
    <mergeCell ref="AT29:AT31"/>
    <mergeCell ref="AT32:AT34"/>
    <mergeCell ref="AT35:AT37"/>
    <mergeCell ref="AT38:AT40"/>
    <mergeCell ref="AT41:AT43"/>
    <mergeCell ref="AT44:AT46"/>
    <mergeCell ref="AT59:AT61"/>
    <mergeCell ref="AT62:AT64"/>
    <mergeCell ref="AT71:AT73"/>
    <mergeCell ref="AT74:AT76"/>
    <mergeCell ref="AT77:AT79"/>
    <mergeCell ref="AT83:AT85"/>
    <mergeCell ref="AT86:AT88"/>
    <mergeCell ref="AR38:AR40"/>
    <mergeCell ref="AR41:AR43"/>
    <mergeCell ref="AR44:AR46"/>
    <mergeCell ref="AR59:AR61"/>
    <mergeCell ref="AR62:AR64"/>
    <mergeCell ref="AR71:AR73"/>
    <mergeCell ref="AR74:AR76"/>
    <mergeCell ref="AR77:AR79"/>
    <mergeCell ref="AR83:AR85"/>
    <mergeCell ref="AR56:AR58"/>
    <mergeCell ref="AT56:AT58"/>
    <mergeCell ref="AR80:AR82"/>
    <mergeCell ref="AT80:AT82"/>
    <mergeCell ref="AT68:AT70"/>
    <mergeCell ref="AR68:AR70"/>
    <mergeCell ref="AR47:AR49"/>
    <mergeCell ref="AT47:AT49"/>
    <mergeCell ref="AR53:AR55"/>
    <mergeCell ref="AT53:AT55"/>
    <mergeCell ref="AR50:AR52"/>
    <mergeCell ref="AT50:AT52"/>
    <mergeCell ref="AR14:AR16"/>
    <mergeCell ref="AR17:AR19"/>
    <mergeCell ref="AR20:AR22"/>
    <mergeCell ref="AR23:AR25"/>
    <mergeCell ref="AR26:AR28"/>
    <mergeCell ref="AR29:AR31"/>
    <mergeCell ref="AR32:AR34"/>
    <mergeCell ref="AR35:AR37"/>
    <mergeCell ref="AN86:AN88"/>
    <mergeCell ref="AP14:AP16"/>
    <mergeCell ref="AP17:AP19"/>
    <mergeCell ref="AP20:AP22"/>
    <mergeCell ref="AP23:AP25"/>
    <mergeCell ref="AP26:AP28"/>
    <mergeCell ref="AP29:AP31"/>
    <mergeCell ref="AP32:AP34"/>
    <mergeCell ref="AP35:AP37"/>
    <mergeCell ref="AP38:AP40"/>
    <mergeCell ref="AP41:AP43"/>
    <mergeCell ref="AP44:AP46"/>
    <mergeCell ref="AP59:AP61"/>
    <mergeCell ref="AP62:AP64"/>
    <mergeCell ref="AP71:AP73"/>
    <mergeCell ref="AP74:AP76"/>
    <mergeCell ref="AP77:AP79"/>
    <mergeCell ref="AP83:AP85"/>
    <mergeCell ref="AP86:AP88"/>
    <mergeCell ref="AN38:AN40"/>
    <mergeCell ref="AN41:AN43"/>
    <mergeCell ref="AN44:AN46"/>
    <mergeCell ref="AN59:AN61"/>
    <mergeCell ref="AN62:AN64"/>
    <mergeCell ref="AN71:AN73"/>
    <mergeCell ref="AN74:AN76"/>
    <mergeCell ref="AN77:AN79"/>
    <mergeCell ref="AN83:AN85"/>
    <mergeCell ref="AN80:AN82"/>
    <mergeCell ref="AP80:AP82"/>
    <mergeCell ref="AN14:AN16"/>
    <mergeCell ref="AN17:AN19"/>
    <mergeCell ref="AN20:AN22"/>
    <mergeCell ref="AN23:AN25"/>
    <mergeCell ref="AN26:AN28"/>
    <mergeCell ref="AN29:AN31"/>
    <mergeCell ref="AN32:AN34"/>
    <mergeCell ref="AN35:AN37"/>
    <mergeCell ref="AJ77:AJ79"/>
    <mergeCell ref="AJ44:AJ46"/>
    <mergeCell ref="AJ59:AJ61"/>
    <mergeCell ref="AJ62:AJ64"/>
    <mergeCell ref="AJ71:AJ73"/>
    <mergeCell ref="AJ74:AJ76"/>
    <mergeCell ref="AJ83:AJ85"/>
    <mergeCell ref="AJ86:AJ88"/>
    <mergeCell ref="AL14:AL16"/>
    <mergeCell ref="AL17:AL19"/>
    <mergeCell ref="AL20:AL22"/>
    <mergeCell ref="AL23:AL25"/>
    <mergeCell ref="AL26:AL28"/>
    <mergeCell ref="AL29:AL31"/>
    <mergeCell ref="AL32:AL34"/>
    <mergeCell ref="AL35:AL37"/>
    <mergeCell ref="AL38:AL40"/>
    <mergeCell ref="AL41:AL43"/>
    <mergeCell ref="AL44:AL46"/>
    <mergeCell ref="AL59:AL61"/>
    <mergeCell ref="AL62:AL64"/>
    <mergeCell ref="AL71:AL73"/>
    <mergeCell ref="AL74:AL76"/>
    <mergeCell ref="AL77:AL79"/>
    <mergeCell ref="AL83:AL85"/>
    <mergeCell ref="AL86:AL88"/>
    <mergeCell ref="AJ32:AJ34"/>
    <mergeCell ref="AJ35:AJ37"/>
    <mergeCell ref="AJ38:AJ40"/>
    <mergeCell ref="AJ41:AJ43"/>
    <mergeCell ref="AH14:AH16"/>
    <mergeCell ref="AJ14:AJ16"/>
    <mergeCell ref="AJ17:AJ19"/>
    <mergeCell ref="AJ20:AJ22"/>
    <mergeCell ref="AJ23:AJ25"/>
    <mergeCell ref="AJ26:AJ28"/>
    <mergeCell ref="AJ29:AJ31"/>
    <mergeCell ref="X77:X79"/>
    <mergeCell ref="Z77:Z79"/>
    <mergeCell ref="AB77:AB79"/>
    <mergeCell ref="AD77:AD79"/>
    <mergeCell ref="AF77:AF79"/>
    <mergeCell ref="AH77:AH79"/>
    <mergeCell ref="AF62:AF64"/>
    <mergeCell ref="AH62:AH64"/>
    <mergeCell ref="AH20:AH22"/>
    <mergeCell ref="AD17:AD19"/>
    <mergeCell ref="AF17:AF19"/>
    <mergeCell ref="AH17:AH19"/>
    <mergeCell ref="AF74:AF76"/>
    <mergeCell ref="AD74:AD76"/>
    <mergeCell ref="X14:X16"/>
    <mergeCell ref="Z14:Z16"/>
    <mergeCell ref="AB14:AB16"/>
    <mergeCell ref="AD14:AD16"/>
    <mergeCell ref="AF14:AF16"/>
    <mergeCell ref="A14:A16"/>
    <mergeCell ref="B14:B16"/>
    <mergeCell ref="C14:C16"/>
    <mergeCell ref="D14:D16"/>
    <mergeCell ref="E14:E16"/>
    <mergeCell ref="H14:H16"/>
    <mergeCell ref="J14:J16"/>
    <mergeCell ref="L14:L16"/>
    <mergeCell ref="N14:N16"/>
    <mergeCell ref="N77:N79"/>
    <mergeCell ref="P77:P79"/>
    <mergeCell ref="R77:R79"/>
    <mergeCell ref="T77:T79"/>
    <mergeCell ref="V77:V79"/>
    <mergeCell ref="P14:P16"/>
    <mergeCell ref="R14:R16"/>
    <mergeCell ref="T14:T16"/>
    <mergeCell ref="V14:V16"/>
    <mergeCell ref="P20:P22"/>
    <mergeCell ref="R20:R22"/>
    <mergeCell ref="T20:T22"/>
    <mergeCell ref="V20:V22"/>
    <mergeCell ref="T74:T76"/>
    <mergeCell ref="T44:T46"/>
    <mergeCell ref="T59:T61"/>
    <mergeCell ref="R44:R46"/>
    <mergeCell ref="R59:R61"/>
    <mergeCell ref="P44:P46"/>
    <mergeCell ref="N59:N61"/>
    <mergeCell ref="N74:N76"/>
    <mergeCell ref="P56:P58"/>
    <mergeCell ref="R56:R58"/>
    <mergeCell ref="T56:T58"/>
    <mergeCell ref="A20:A22"/>
    <mergeCell ref="B20:B22"/>
    <mergeCell ref="C20:C22"/>
    <mergeCell ref="D20:D22"/>
    <mergeCell ref="E20:E22"/>
    <mergeCell ref="H20:H22"/>
    <mergeCell ref="J20:J22"/>
    <mergeCell ref="L20:L22"/>
    <mergeCell ref="N20:N22"/>
    <mergeCell ref="X20:X22"/>
    <mergeCell ref="Z20:Z22"/>
    <mergeCell ref="AB20:AB22"/>
    <mergeCell ref="AD20:AD22"/>
    <mergeCell ref="AF20:AF22"/>
    <mergeCell ref="AH71:AH73"/>
    <mergeCell ref="A71:A73"/>
    <mergeCell ref="B71:B73"/>
    <mergeCell ref="C71:C73"/>
    <mergeCell ref="D71:D73"/>
    <mergeCell ref="H71:H73"/>
    <mergeCell ref="J71:J73"/>
    <mergeCell ref="L71:L73"/>
    <mergeCell ref="N71:N73"/>
    <mergeCell ref="P71:P73"/>
    <mergeCell ref="AD44:AD46"/>
    <mergeCell ref="AD59:AD61"/>
    <mergeCell ref="X59:X61"/>
    <mergeCell ref="P35:P37"/>
    <mergeCell ref="A62:A64"/>
    <mergeCell ref="B62:B64"/>
    <mergeCell ref="C62:C64"/>
    <mergeCell ref="D62:D64"/>
    <mergeCell ref="H62:H64"/>
    <mergeCell ref="AH74:AH76"/>
    <mergeCell ref="AH83:AH85"/>
    <mergeCell ref="AH86:AH88"/>
    <mergeCell ref="A17:A19"/>
    <mergeCell ref="B17:B19"/>
    <mergeCell ref="C17:C19"/>
    <mergeCell ref="D17:D19"/>
    <mergeCell ref="E17:E19"/>
    <mergeCell ref="H17:H19"/>
    <mergeCell ref="J17:J19"/>
    <mergeCell ref="L17:L19"/>
    <mergeCell ref="N17:N19"/>
    <mergeCell ref="P17:P19"/>
    <mergeCell ref="R17:R19"/>
    <mergeCell ref="T17:T19"/>
    <mergeCell ref="V17:V19"/>
    <mergeCell ref="X17:X19"/>
    <mergeCell ref="Z17:Z19"/>
    <mergeCell ref="AB17:AB19"/>
    <mergeCell ref="R71:R73"/>
    <mergeCell ref="T71:T73"/>
    <mergeCell ref="V71:V73"/>
    <mergeCell ref="X71:X73"/>
    <mergeCell ref="Z71:Z73"/>
    <mergeCell ref="P23:P25"/>
    <mergeCell ref="R26:R28"/>
    <mergeCell ref="R23:R25"/>
    <mergeCell ref="L62:L64"/>
    <mergeCell ref="N62:N64"/>
    <mergeCell ref="P62:P64"/>
    <mergeCell ref="R62:R64"/>
    <mergeCell ref="T62:T64"/>
    <mergeCell ref="V62:V64"/>
    <mergeCell ref="L56:L58"/>
    <mergeCell ref="N56:N58"/>
    <mergeCell ref="T41:T43"/>
    <mergeCell ref="N23:N25"/>
    <mergeCell ref="N26:N28"/>
    <mergeCell ref="N29:N31"/>
    <mergeCell ref="N32:N34"/>
    <mergeCell ref="N35:N37"/>
    <mergeCell ref="N38:N40"/>
    <mergeCell ref="N41:N43"/>
    <mergeCell ref="N44:N46"/>
    <mergeCell ref="P47:P49"/>
    <mergeCell ref="R47:R49"/>
    <mergeCell ref="T47:T49"/>
    <mergeCell ref="V47:V49"/>
    <mergeCell ref="AH23:AH25"/>
    <mergeCell ref="AH26:AH28"/>
    <mergeCell ref="AH29:AH31"/>
    <mergeCell ref="AH32:AH34"/>
    <mergeCell ref="AH35:AH37"/>
    <mergeCell ref="AH38:AH40"/>
    <mergeCell ref="AH41:AH43"/>
    <mergeCell ref="AH44:AH46"/>
    <mergeCell ref="AH59:AH61"/>
    <mergeCell ref="AF83:AF85"/>
    <mergeCell ref="AF86:AF88"/>
    <mergeCell ref="AF23:AF25"/>
    <mergeCell ref="AF26:AF28"/>
    <mergeCell ref="AF29:AF31"/>
    <mergeCell ref="AF32:AF34"/>
    <mergeCell ref="AF35:AF37"/>
    <mergeCell ref="AF38:AF40"/>
    <mergeCell ref="AF41:AF43"/>
    <mergeCell ref="AF44:AF46"/>
    <mergeCell ref="AF59:AF61"/>
    <mergeCell ref="AF71:AF73"/>
    <mergeCell ref="AF65:AF67"/>
    <mergeCell ref="AF68:AF70"/>
    <mergeCell ref="AD83:AD85"/>
    <mergeCell ref="AD86:AD88"/>
    <mergeCell ref="Z59:Z61"/>
    <mergeCell ref="AB59:AB61"/>
    <mergeCell ref="Z74:Z76"/>
    <mergeCell ref="AB74:AB76"/>
    <mergeCell ref="Z83:Z85"/>
    <mergeCell ref="AB83:AB85"/>
    <mergeCell ref="Z86:Z88"/>
    <mergeCell ref="AB86:AB88"/>
    <mergeCell ref="AD62:AD64"/>
    <mergeCell ref="AB71:AB73"/>
    <mergeCell ref="AD71:AD73"/>
    <mergeCell ref="Z62:Z64"/>
    <mergeCell ref="AB62:AB64"/>
    <mergeCell ref="AB68:AB70"/>
    <mergeCell ref="AD68:AD70"/>
    <mergeCell ref="X83:X85"/>
    <mergeCell ref="V86:V88"/>
    <mergeCell ref="X86:X88"/>
    <mergeCell ref="Z23:Z25"/>
    <mergeCell ref="AB23:AB25"/>
    <mergeCell ref="Z26:Z28"/>
    <mergeCell ref="AB26:AB28"/>
    <mergeCell ref="Z29:Z31"/>
    <mergeCell ref="AB29:AB31"/>
    <mergeCell ref="Z32:Z34"/>
    <mergeCell ref="AB32:AB34"/>
    <mergeCell ref="Z35:Z37"/>
    <mergeCell ref="AB35:AB37"/>
    <mergeCell ref="Z38:Z40"/>
    <mergeCell ref="AB38:AB40"/>
    <mergeCell ref="Z41:Z43"/>
    <mergeCell ref="AB41:AB43"/>
    <mergeCell ref="Z44:Z46"/>
    <mergeCell ref="AB44:AB46"/>
    <mergeCell ref="X38:X40"/>
    <mergeCell ref="V41:V43"/>
    <mergeCell ref="X41:X43"/>
    <mergeCell ref="V44:V46"/>
    <mergeCell ref="X44:X46"/>
    <mergeCell ref="X74:X76"/>
    <mergeCell ref="X23:X25"/>
    <mergeCell ref="V26:V28"/>
    <mergeCell ref="X26:X28"/>
    <mergeCell ref="V29:V31"/>
    <mergeCell ref="X29:X31"/>
    <mergeCell ref="V32:V34"/>
    <mergeCell ref="X32:X34"/>
    <mergeCell ref="V35:V37"/>
    <mergeCell ref="X35:X37"/>
    <mergeCell ref="V56:V58"/>
    <mergeCell ref="X56:X58"/>
    <mergeCell ref="X62:X64"/>
    <mergeCell ref="X47:X49"/>
    <mergeCell ref="A26:A28"/>
    <mergeCell ref="T83:T85"/>
    <mergeCell ref="R86:R88"/>
    <mergeCell ref="T86:T88"/>
    <mergeCell ref="V23:V25"/>
    <mergeCell ref="V38:V40"/>
    <mergeCell ref="V83:V85"/>
    <mergeCell ref="P86:P88"/>
    <mergeCell ref="R83:R85"/>
    <mergeCell ref="P83:P85"/>
    <mergeCell ref="P26:P28"/>
    <mergeCell ref="P74:P76"/>
    <mergeCell ref="V59:V61"/>
    <mergeCell ref="R74:R76"/>
    <mergeCell ref="V74:V76"/>
    <mergeCell ref="P59:P61"/>
    <mergeCell ref="T23:T25"/>
    <mergeCell ref="T26:T28"/>
    <mergeCell ref="T29:T31"/>
    <mergeCell ref="R32:R34"/>
    <mergeCell ref="T32:T34"/>
    <mergeCell ref="R35:R37"/>
    <mergeCell ref="T35:T37"/>
    <mergeCell ref="T38:T40"/>
    <mergeCell ref="C141:D141"/>
    <mergeCell ref="J77:J79"/>
    <mergeCell ref="L77:L79"/>
    <mergeCell ref="A38:A40"/>
    <mergeCell ref="A32:A34"/>
    <mergeCell ref="B32:B34"/>
    <mergeCell ref="C32:C34"/>
    <mergeCell ref="D32:D34"/>
    <mergeCell ref="B38:B40"/>
    <mergeCell ref="C38:C40"/>
    <mergeCell ref="A35:A37"/>
    <mergeCell ref="L74:L76"/>
    <mergeCell ref="J38:J40"/>
    <mergeCell ref="L38:L40"/>
    <mergeCell ref="J62:J64"/>
    <mergeCell ref="J65:J67"/>
    <mergeCell ref="L65:L67"/>
    <mergeCell ref="E68:E70"/>
    <mergeCell ref="E65:E67"/>
    <mergeCell ref="H65:H67"/>
    <mergeCell ref="B68:B70"/>
    <mergeCell ref="C68:C70"/>
    <mergeCell ref="D68:D70"/>
    <mergeCell ref="H68:H70"/>
    <mergeCell ref="A156:D156"/>
    <mergeCell ref="C44:C46"/>
    <mergeCell ref="D44:D46"/>
    <mergeCell ref="A89:D89"/>
    <mergeCell ref="A153:D153"/>
    <mergeCell ref="A154:D154"/>
    <mergeCell ref="A137:D137"/>
    <mergeCell ref="A74:A76"/>
    <mergeCell ref="B74:B76"/>
    <mergeCell ref="C74:C76"/>
    <mergeCell ref="D74:D76"/>
    <mergeCell ref="A90:D90"/>
    <mergeCell ref="A155:D155"/>
    <mergeCell ref="A86:D88"/>
    <mergeCell ref="A135:D135"/>
    <mergeCell ref="A130:D130"/>
    <mergeCell ref="A77:A79"/>
    <mergeCell ref="B77:B79"/>
    <mergeCell ref="C77:C79"/>
    <mergeCell ref="D77:D79"/>
    <mergeCell ref="A129:D129"/>
    <mergeCell ref="A134:E134"/>
    <mergeCell ref="A149:E149"/>
    <mergeCell ref="A68:A70"/>
    <mergeCell ref="N83:N85"/>
    <mergeCell ref="N86:N88"/>
    <mergeCell ref="B44:B46"/>
    <mergeCell ref="D41:D43"/>
    <mergeCell ref="J86:J88"/>
    <mergeCell ref="L86:L88"/>
    <mergeCell ref="J41:J43"/>
    <mergeCell ref="L41:L43"/>
    <mergeCell ref="J59:J61"/>
    <mergeCell ref="L59:L61"/>
    <mergeCell ref="J44:J46"/>
    <mergeCell ref="L44:L46"/>
    <mergeCell ref="J83:J85"/>
    <mergeCell ref="L83:L85"/>
    <mergeCell ref="J74:J76"/>
    <mergeCell ref="H86:H88"/>
    <mergeCell ref="H74:H76"/>
    <mergeCell ref="H83:H85"/>
    <mergeCell ref="H59:H61"/>
    <mergeCell ref="H77:H79"/>
    <mergeCell ref="H44:H46"/>
    <mergeCell ref="C59:C61"/>
    <mergeCell ref="B65:B67"/>
    <mergeCell ref="C65:C67"/>
    <mergeCell ref="J29:J31"/>
    <mergeCell ref="L29:L31"/>
    <mergeCell ref="J26:J28"/>
    <mergeCell ref="L26:L28"/>
    <mergeCell ref="J35:J37"/>
    <mergeCell ref="L35:L37"/>
    <mergeCell ref="J32:J34"/>
    <mergeCell ref="L32:L34"/>
    <mergeCell ref="B139:B143"/>
    <mergeCell ref="B26:B28"/>
    <mergeCell ref="B41:B43"/>
    <mergeCell ref="C41:C43"/>
    <mergeCell ref="D38:D40"/>
    <mergeCell ref="D59:D61"/>
    <mergeCell ref="B35:B37"/>
    <mergeCell ref="B59:B61"/>
    <mergeCell ref="A136:E136"/>
    <mergeCell ref="A59:A61"/>
    <mergeCell ref="C35:C37"/>
    <mergeCell ref="D35:D37"/>
    <mergeCell ref="A44:A46"/>
    <mergeCell ref="A41:A43"/>
    <mergeCell ref="A65:A67"/>
    <mergeCell ref="D65:D67"/>
    <mergeCell ref="H23:H25"/>
    <mergeCell ref="H26:H28"/>
    <mergeCell ref="H29:H31"/>
    <mergeCell ref="H32:H34"/>
    <mergeCell ref="H35:H37"/>
    <mergeCell ref="H38:H40"/>
    <mergeCell ref="H41:H43"/>
    <mergeCell ref="G8:H9"/>
    <mergeCell ref="AD23:AD25"/>
    <mergeCell ref="AD26:AD28"/>
    <mergeCell ref="AD29:AD31"/>
    <mergeCell ref="AD32:AD34"/>
    <mergeCell ref="AD35:AD37"/>
    <mergeCell ref="AD38:AD40"/>
    <mergeCell ref="AD41:AD43"/>
    <mergeCell ref="P32:P34"/>
    <mergeCell ref="P41:P43"/>
    <mergeCell ref="P38:P40"/>
    <mergeCell ref="R38:R40"/>
    <mergeCell ref="R41:R43"/>
    <mergeCell ref="R29:R31"/>
    <mergeCell ref="P29:P31"/>
    <mergeCell ref="J23:J25"/>
    <mergeCell ref="L23:L25"/>
    <mergeCell ref="A9:D12"/>
    <mergeCell ref="A56:A58"/>
    <mergeCell ref="B56:B58"/>
    <mergeCell ref="C56:C58"/>
    <mergeCell ref="D56:D58"/>
    <mergeCell ref="E56:E58"/>
    <mergeCell ref="H56:H58"/>
    <mergeCell ref="J56:J58"/>
    <mergeCell ref="E23:E25"/>
    <mergeCell ref="E38:E40"/>
    <mergeCell ref="E41:E43"/>
    <mergeCell ref="E44:E46"/>
    <mergeCell ref="E32:E34"/>
    <mergeCell ref="A29:A31"/>
    <mergeCell ref="B29:B31"/>
    <mergeCell ref="C29:C31"/>
    <mergeCell ref="D29:D31"/>
    <mergeCell ref="C23:C25"/>
    <mergeCell ref="D23:D25"/>
    <mergeCell ref="C26:C28"/>
    <mergeCell ref="D26:D28"/>
    <mergeCell ref="A23:A25"/>
    <mergeCell ref="B23:B25"/>
    <mergeCell ref="I8:AF9"/>
    <mergeCell ref="BD56:BD58"/>
    <mergeCell ref="Z56:Z58"/>
    <mergeCell ref="AB56:AB58"/>
    <mergeCell ref="AD56:AD58"/>
    <mergeCell ref="AF56:AF58"/>
    <mergeCell ref="AH56:AH58"/>
    <mergeCell ref="AJ56:AJ58"/>
    <mergeCell ref="AL56:AL58"/>
    <mergeCell ref="AN56:AN58"/>
    <mergeCell ref="AP56:AP58"/>
    <mergeCell ref="N65:N67"/>
    <mergeCell ref="P65:P67"/>
    <mergeCell ref="R65:R67"/>
    <mergeCell ref="T65:T67"/>
    <mergeCell ref="V65:V67"/>
    <mergeCell ref="X65:X67"/>
    <mergeCell ref="Z65:Z67"/>
    <mergeCell ref="AB65:AB67"/>
    <mergeCell ref="AD65:AD67"/>
    <mergeCell ref="AH65:AH67"/>
    <mergeCell ref="AJ65:AJ67"/>
    <mergeCell ref="AL65:AL67"/>
    <mergeCell ref="AN65:AN67"/>
    <mergeCell ref="AP65:AP67"/>
    <mergeCell ref="AR65:AR67"/>
    <mergeCell ref="AT65:AT67"/>
    <mergeCell ref="AV65:AV67"/>
    <mergeCell ref="BD68:BD70"/>
    <mergeCell ref="BD65:BD67"/>
    <mergeCell ref="AH68:AH70"/>
    <mergeCell ref="AJ68:AJ70"/>
    <mergeCell ref="AL68:AL70"/>
    <mergeCell ref="AN68:AN70"/>
    <mergeCell ref="AP68:AP70"/>
    <mergeCell ref="J68:J70"/>
    <mergeCell ref="L68:L70"/>
    <mergeCell ref="N68:N70"/>
    <mergeCell ref="P68:P70"/>
    <mergeCell ref="R68:R70"/>
    <mergeCell ref="T68:T70"/>
    <mergeCell ref="V68:V70"/>
    <mergeCell ref="X68:X70"/>
    <mergeCell ref="Z68:Z70"/>
  </mergeCells>
  <conditionalFormatting sqref="B6:E6">
    <cfRule type="cellIs" dxfId="8" priority="61" operator="greaterThan">
      <formula>1</formula>
    </cfRule>
    <cfRule type="cellIs" dxfId="7" priority="75" operator="greaterThan">
      <formula>0</formula>
    </cfRule>
  </conditionalFormatting>
  <conditionalFormatting sqref="B6:E7">
    <cfRule type="cellIs" dxfId="6" priority="8" operator="lessThan">
      <formula>0</formula>
    </cfRule>
    <cfRule type="cellIs" dxfId="5" priority="9" operator="greaterThan">
      <formula>0</formula>
    </cfRule>
  </conditionalFormatting>
  <conditionalFormatting sqref="B7:E7">
    <cfRule type="cellIs" dxfId="4" priority="29" operator="equal">
      <formula>0</formula>
    </cfRule>
    <cfRule type="cellIs" dxfId="3" priority="72" operator="lessThan">
      <formula>1</formula>
    </cfRule>
    <cfRule type="cellIs" dxfId="2" priority="73" operator="greaterThan">
      <formula>1</formula>
    </cfRule>
    <cfRule type="cellIs" dxfId="1" priority="74" operator="lessThan">
      <formula>0</formula>
    </cfRule>
    <cfRule type="cellIs" dxfId="0" priority="76" operator="greaterThan">
      <formula>0.1</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EF9E3-E916-4FB9-A815-FAA4C13789CD}">
  <dimension ref="A1:B12"/>
  <sheetViews>
    <sheetView workbookViewId="0">
      <selection activeCell="B15" sqref="B15"/>
    </sheetView>
  </sheetViews>
  <sheetFormatPr defaultRowHeight="14.5" x14ac:dyDescent="0.35"/>
  <cols>
    <col min="1" max="1" width="20.1796875" bestFit="1" customWidth="1"/>
    <col min="2" max="2" width="21.6328125" customWidth="1"/>
  </cols>
  <sheetData>
    <row r="1" spans="1:2" x14ac:dyDescent="0.35">
      <c r="A1" s="1213" t="s">
        <v>1105</v>
      </c>
      <c r="B1" s="1213"/>
    </row>
    <row r="2" spans="1:2" x14ac:dyDescent="0.35">
      <c r="A2" s="307" t="s">
        <v>713</v>
      </c>
      <c r="B2" s="562"/>
    </row>
    <row r="3" spans="1:2" x14ac:dyDescent="0.35">
      <c r="A3" s="307" t="s">
        <v>215</v>
      </c>
      <c r="B3" s="562">
        <v>52500</v>
      </c>
    </row>
    <row r="4" spans="1:2" x14ac:dyDescent="0.35">
      <c r="A4" s="307" t="s">
        <v>1104</v>
      </c>
      <c r="B4" s="562"/>
    </row>
    <row r="5" spans="1:2" x14ac:dyDescent="0.35">
      <c r="A5" s="729" t="s">
        <v>1108</v>
      </c>
      <c r="B5" s="307"/>
    </row>
    <row r="7" spans="1:2" x14ac:dyDescent="0.35">
      <c r="A7" s="307" t="s">
        <v>1086</v>
      </c>
      <c r="B7" s="307" t="s">
        <v>1110</v>
      </c>
    </row>
    <row r="8" spans="1:2" x14ac:dyDescent="0.35">
      <c r="A8" s="307" t="s">
        <v>1109</v>
      </c>
      <c r="B8" s="307" t="s">
        <v>1110</v>
      </c>
    </row>
    <row r="9" spans="1:2" x14ac:dyDescent="0.35">
      <c r="A9" s="307" t="s">
        <v>1111</v>
      </c>
      <c r="B9" s="307" t="s">
        <v>1110</v>
      </c>
    </row>
    <row r="11" spans="1:2" x14ac:dyDescent="0.35">
      <c r="A11" t="s">
        <v>1112</v>
      </c>
    </row>
    <row r="12" spans="1:2" x14ac:dyDescent="0.35">
      <c r="A12" t="s">
        <v>1113</v>
      </c>
    </row>
  </sheetData>
  <mergeCells count="1">
    <mergeCell ref="A1:B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7440D7-C167-4DE7-B097-249E1953478A}">
  <sheetPr>
    <tabColor theme="7" tint="0.59999389629810485"/>
  </sheetPr>
  <dimension ref="A1:I15"/>
  <sheetViews>
    <sheetView workbookViewId="0">
      <selection sqref="A1:I14"/>
    </sheetView>
  </sheetViews>
  <sheetFormatPr defaultRowHeight="14.5" x14ac:dyDescent="0.35"/>
  <cols>
    <col min="2" max="2" width="9.54296875" style="845" bestFit="1" customWidth="1"/>
    <col min="3" max="3" width="11.1796875" bestFit="1" customWidth="1"/>
    <col min="4" max="4" width="12.1796875" bestFit="1" customWidth="1"/>
    <col min="5" max="5" width="12.54296875" customWidth="1"/>
    <col min="6" max="6" width="11.1796875" bestFit="1" customWidth="1"/>
    <col min="8" max="8" width="16.453125" bestFit="1" customWidth="1"/>
    <col min="9" max="9" width="13.54296875" bestFit="1" customWidth="1"/>
  </cols>
  <sheetData>
    <row r="1" spans="1:9" s="845" customFormat="1" ht="15" thickBot="1" x14ac:dyDescent="0.4">
      <c r="A1" s="852" t="s">
        <v>222</v>
      </c>
      <c r="B1" s="853" t="s">
        <v>52</v>
      </c>
      <c r="C1" s="854" t="s">
        <v>215</v>
      </c>
      <c r="D1" s="854" t="s">
        <v>970</v>
      </c>
      <c r="E1" s="855" t="s">
        <v>280</v>
      </c>
      <c r="F1" s="851" t="s">
        <v>217</v>
      </c>
      <c r="H1" s="895" t="s">
        <v>163</v>
      </c>
      <c r="I1" s="706">
        <v>2600000</v>
      </c>
    </row>
    <row r="2" spans="1:9" ht="15" thickBot="1" x14ac:dyDescent="0.4">
      <c r="A2" s="890" t="s">
        <v>131</v>
      </c>
      <c r="B2" s="891">
        <v>13536.68</v>
      </c>
      <c r="C2" s="891">
        <v>1682.64</v>
      </c>
      <c r="D2" s="891">
        <v>548288.06000000006</v>
      </c>
      <c r="E2" s="891">
        <v>11695.53</v>
      </c>
      <c r="F2" s="892">
        <f>SUM(B2:E2)</f>
        <v>575202.91</v>
      </c>
      <c r="G2" s="1073" t="s">
        <v>1013</v>
      </c>
      <c r="H2" s="895" t="s">
        <v>1014</v>
      </c>
      <c r="I2" s="896">
        <f>SUM(F2:F3)</f>
        <v>851055.3</v>
      </c>
    </row>
    <row r="3" spans="1:9" ht="15" thickBot="1" x14ac:dyDescent="0.4">
      <c r="A3" s="893" t="s">
        <v>132</v>
      </c>
      <c r="B3" s="894">
        <v>6082.3</v>
      </c>
      <c r="C3" s="894">
        <v>0</v>
      </c>
      <c r="D3" s="894">
        <f>258197.89+8176</f>
        <v>266373.89</v>
      </c>
      <c r="E3" s="894">
        <v>3396.2</v>
      </c>
      <c r="F3" s="892">
        <f t="shared" ref="F3:F13" si="0">SUM(B3:E3)</f>
        <v>275852.39</v>
      </c>
      <c r="G3" s="1073"/>
      <c r="H3" s="895" t="s">
        <v>58</v>
      </c>
      <c r="I3" s="896">
        <f>SUM(F4:F13)</f>
        <v>2545726</v>
      </c>
    </row>
    <row r="4" spans="1:9" ht="15" thickBot="1" x14ac:dyDescent="0.4">
      <c r="A4" s="846" t="s">
        <v>134</v>
      </c>
      <c r="B4" s="706">
        <v>13537</v>
      </c>
      <c r="C4" s="706">
        <v>753373</v>
      </c>
      <c r="D4" s="706">
        <f>139510+669</f>
        <v>140179</v>
      </c>
      <c r="E4" s="706">
        <v>12000</v>
      </c>
      <c r="F4" s="859">
        <f t="shared" si="0"/>
        <v>919089</v>
      </c>
      <c r="G4" s="1074" t="s">
        <v>63</v>
      </c>
      <c r="H4" s="895" t="s">
        <v>59</v>
      </c>
      <c r="I4" s="896">
        <f>SUM(F2:F13)</f>
        <v>3396781.3</v>
      </c>
    </row>
    <row r="5" spans="1:9" ht="15" thickBot="1" x14ac:dyDescent="0.4">
      <c r="A5" s="846" t="s">
        <v>135</v>
      </c>
      <c r="B5" s="706">
        <v>13537</v>
      </c>
      <c r="C5" s="706">
        <v>36000</v>
      </c>
      <c r="D5" s="706">
        <v>241794</v>
      </c>
      <c r="E5" s="706">
        <f>4000-331</f>
        <v>3669</v>
      </c>
      <c r="F5" s="859">
        <f t="shared" si="0"/>
        <v>295000</v>
      </c>
      <c r="G5" s="1074"/>
      <c r="H5" s="895" t="s">
        <v>781</v>
      </c>
      <c r="I5" s="896">
        <f>I1-I4</f>
        <v>-796781.29999999981</v>
      </c>
    </row>
    <row r="6" spans="1:9" ht="15" thickBot="1" x14ac:dyDescent="0.4">
      <c r="A6" s="846" t="s">
        <v>136</v>
      </c>
      <c r="B6" s="706">
        <v>13537</v>
      </c>
      <c r="C6" s="706"/>
      <c r="D6" s="706">
        <v>226175</v>
      </c>
      <c r="E6" s="706">
        <v>6067</v>
      </c>
      <c r="F6" s="859">
        <f t="shared" si="0"/>
        <v>245779</v>
      </c>
      <c r="G6" s="1074"/>
    </row>
    <row r="7" spans="1:9" ht="15" thickBot="1" x14ac:dyDescent="0.4">
      <c r="A7" s="846" t="s">
        <v>137</v>
      </c>
      <c r="B7" s="706">
        <v>13537</v>
      </c>
      <c r="C7" s="706"/>
      <c r="D7" s="706">
        <v>437220</v>
      </c>
      <c r="E7" s="706">
        <v>7567</v>
      </c>
      <c r="F7" s="859">
        <f t="shared" si="0"/>
        <v>458324</v>
      </c>
      <c r="G7" s="1074"/>
    </row>
    <row r="8" spans="1:9" ht="15" thickBot="1" x14ac:dyDescent="0.4">
      <c r="A8" s="846" t="s">
        <v>138</v>
      </c>
      <c r="B8" s="706">
        <v>13537</v>
      </c>
      <c r="C8" s="706"/>
      <c r="D8" s="706">
        <v>154559</v>
      </c>
      <c r="E8" s="706">
        <v>5307</v>
      </c>
      <c r="F8" s="859">
        <f t="shared" si="0"/>
        <v>173403</v>
      </c>
      <c r="G8" s="1074"/>
    </row>
    <row r="9" spans="1:9" ht="15" thickBot="1" x14ac:dyDescent="0.4">
      <c r="A9" s="846" t="s">
        <v>139</v>
      </c>
      <c r="B9" s="706">
        <v>13537</v>
      </c>
      <c r="C9" s="706"/>
      <c r="D9" s="706">
        <v>63994</v>
      </c>
      <c r="E9" s="706">
        <v>4567</v>
      </c>
      <c r="F9" s="859">
        <f t="shared" si="0"/>
        <v>82098</v>
      </c>
      <c r="G9" s="1074"/>
    </row>
    <row r="10" spans="1:9" ht="15" thickBot="1" x14ac:dyDescent="0.4">
      <c r="A10" s="846" t="s">
        <v>140</v>
      </c>
      <c r="B10" s="706">
        <v>13537</v>
      </c>
      <c r="C10" s="706"/>
      <c r="D10" s="706">
        <v>65154</v>
      </c>
      <c r="E10" s="706">
        <v>4567</v>
      </c>
      <c r="F10" s="859">
        <f t="shared" si="0"/>
        <v>83258</v>
      </c>
      <c r="G10" s="1074"/>
    </row>
    <row r="11" spans="1:9" ht="15" thickBot="1" x14ac:dyDescent="0.4">
      <c r="A11" s="846" t="s">
        <v>141</v>
      </c>
      <c r="B11" s="706">
        <v>13537</v>
      </c>
      <c r="C11" s="706"/>
      <c r="D11" s="706">
        <v>65154</v>
      </c>
      <c r="E11" s="706">
        <v>4567</v>
      </c>
      <c r="F11" s="859">
        <f t="shared" si="0"/>
        <v>83258</v>
      </c>
      <c r="G11" s="1074"/>
    </row>
    <row r="12" spans="1:9" ht="15" thickBot="1" x14ac:dyDescent="0.4">
      <c r="A12" s="846" t="s">
        <v>143</v>
      </c>
      <c r="B12" s="706">
        <v>13537</v>
      </c>
      <c r="C12" s="706"/>
      <c r="D12" s="706">
        <v>61674</v>
      </c>
      <c r="E12" s="706">
        <v>4267</v>
      </c>
      <c r="F12" s="859">
        <f t="shared" si="0"/>
        <v>79478</v>
      </c>
      <c r="G12" s="1074"/>
    </row>
    <row r="13" spans="1:9" ht="15" thickBot="1" x14ac:dyDescent="0.4">
      <c r="A13" s="847" t="s">
        <v>145</v>
      </c>
      <c r="B13" s="706">
        <v>13537</v>
      </c>
      <c r="C13" s="706"/>
      <c r="D13" s="848">
        <v>107435</v>
      </c>
      <c r="E13" s="706">
        <v>5067</v>
      </c>
      <c r="F13" s="859">
        <f t="shared" si="0"/>
        <v>126039</v>
      </c>
      <c r="G13" s="1074"/>
    </row>
    <row r="14" spans="1:9" ht="15" thickBot="1" x14ac:dyDescent="0.4">
      <c r="A14" s="856" t="s">
        <v>213</v>
      </c>
      <c r="B14" s="857">
        <f>SUM(B2:B13)</f>
        <v>154988.97999999998</v>
      </c>
      <c r="C14" s="857">
        <f>SUM(C2:C13)</f>
        <v>791055.64</v>
      </c>
      <c r="D14" s="857">
        <f t="shared" ref="D14:F14" si="1">SUM(D2:D13)</f>
        <v>2377999.9500000002</v>
      </c>
      <c r="E14" s="858">
        <f t="shared" si="1"/>
        <v>72736.73</v>
      </c>
      <c r="F14" s="858">
        <f t="shared" si="1"/>
        <v>3396781.3</v>
      </c>
    </row>
    <row r="15" spans="1:9" x14ac:dyDescent="0.35">
      <c r="D15" s="556"/>
    </row>
  </sheetData>
  <mergeCells count="2">
    <mergeCell ref="G2:G3"/>
    <mergeCell ref="G4:G13"/>
  </mergeCells>
  <phoneticPr fontId="73"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5BFA4-993E-499C-BC2A-B4214BA60B42}">
  <dimension ref="A9:B15"/>
  <sheetViews>
    <sheetView topLeftCell="A2" workbookViewId="0">
      <selection activeCell="A10" sqref="A10:B15"/>
    </sheetView>
  </sheetViews>
  <sheetFormatPr defaultRowHeight="14.5" x14ac:dyDescent="0.35"/>
  <cols>
    <col min="1" max="1" width="23.453125" bestFit="1" customWidth="1"/>
    <col min="2" max="2" width="14" bestFit="1" customWidth="1"/>
  </cols>
  <sheetData>
    <row r="9" spans="1:2" ht="15" thickBot="1" x14ac:dyDescent="0.4"/>
    <row r="10" spans="1:2" x14ac:dyDescent="0.35">
      <c r="A10" s="781" t="s">
        <v>842</v>
      </c>
      <c r="B10" s="782" t="s">
        <v>843</v>
      </c>
    </row>
    <row r="11" spans="1:2" x14ac:dyDescent="0.35">
      <c r="A11" s="306" t="s">
        <v>844</v>
      </c>
      <c r="B11" s="783">
        <v>6600000</v>
      </c>
    </row>
    <row r="12" spans="1:2" x14ac:dyDescent="0.35">
      <c r="A12" s="306" t="s">
        <v>158</v>
      </c>
      <c r="B12" s="783">
        <v>4437070</v>
      </c>
    </row>
    <row r="13" spans="1:2" x14ac:dyDescent="0.35">
      <c r="A13" s="306" t="s">
        <v>58</v>
      </c>
      <c r="B13" s="784">
        <v>2162930</v>
      </c>
    </row>
    <row r="14" spans="1:2" x14ac:dyDescent="0.35">
      <c r="A14" s="306" t="s">
        <v>59</v>
      </c>
      <c r="B14" s="783">
        <f>B12+B13</f>
        <v>6600000</v>
      </c>
    </row>
    <row r="15" spans="1:2" ht="15" thickBot="1" x14ac:dyDescent="0.4">
      <c r="A15" s="308" t="s">
        <v>845</v>
      </c>
      <c r="B15" s="785">
        <f>B11-B14</f>
        <v>0</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F40C95-99C3-4DB3-9A12-FA0BC910A78D}">
  <dimension ref="A1:F7"/>
  <sheetViews>
    <sheetView workbookViewId="0">
      <selection activeCell="E7" sqref="E7"/>
    </sheetView>
  </sheetViews>
  <sheetFormatPr defaultRowHeight="14.5" x14ac:dyDescent="0.35"/>
  <cols>
    <col min="1" max="1" width="17.54296875" customWidth="1"/>
    <col min="2" max="2" width="12.1796875" bestFit="1" customWidth="1"/>
    <col min="3" max="3" width="13.81640625" customWidth="1"/>
    <col min="4" max="4" width="16.26953125" customWidth="1"/>
    <col min="5" max="5" width="13.81640625" bestFit="1" customWidth="1"/>
    <col min="6" max="6" width="13.54296875" customWidth="1"/>
  </cols>
  <sheetData>
    <row r="1" spans="1:6" x14ac:dyDescent="0.35">
      <c r="A1" s="877" t="s">
        <v>1007</v>
      </c>
      <c r="B1" s="877" t="s">
        <v>1008</v>
      </c>
      <c r="C1" s="877" t="s">
        <v>1009</v>
      </c>
      <c r="D1" s="877" t="s">
        <v>1010</v>
      </c>
      <c r="E1" s="877" t="s">
        <v>1011</v>
      </c>
      <c r="F1" s="877" t="s">
        <v>1012</v>
      </c>
    </row>
    <row r="2" spans="1:6" x14ac:dyDescent="0.35">
      <c r="A2" s="707" t="s">
        <v>713</v>
      </c>
      <c r="B2" s="562">
        <v>29357.9</v>
      </c>
      <c r="C2" s="562">
        <v>181290.67</v>
      </c>
      <c r="D2" s="562"/>
      <c r="E2" s="562">
        <f>SUM(B2:D2)</f>
        <v>210648.57</v>
      </c>
      <c r="F2" s="307"/>
    </row>
    <row r="3" spans="1:6" x14ac:dyDescent="0.35">
      <c r="A3" s="707" t="s">
        <v>215</v>
      </c>
      <c r="B3" s="562">
        <v>601379.80000000005</v>
      </c>
      <c r="C3" s="562">
        <v>371819.58</v>
      </c>
      <c r="D3" s="562"/>
      <c r="E3" s="562">
        <f t="shared" ref="E3:E5" si="0">SUM(B3:D3)</f>
        <v>973199.38000000012</v>
      </c>
      <c r="F3" s="307"/>
    </row>
    <row r="4" spans="1:6" x14ac:dyDescent="0.35">
      <c r="A4" s="707" t="s">
        <v>53</v>
      </c>
      <c r="B4" s="562">
        <v>103408.84</v>
      </c>
      <c r="C4" s="562">
        <v>2482742.2000000002</v>
      </c>
      <c r="D4" s="562"/>
      <c r="E4" s="562">
        <f t="shared" si="0"/>
        <v>2586151.04</v>
      </c>
      <c r="F4" s="307"/>
    </row>
    <row r="5" spans="1:6" x14ac:dyDescent="0.35">
      <c r="A5" s="707" t="s">
        <v>280</v>
      </c>
      <c r="B5" s="562">
        <v>7054.7</v>
      </c>
      <c r="C5" s="562">
        <v>94267.21</v>
      </c>
      <c r="D5" s="562"/>
      <c r="E5" s="562">
        <f t="shared" si="0"/>
        <v>101321.91</v>
      </c>
      <c r="F5" s="307"/>
    </row>
    <row r="6" spans="1:6" x14ac:dyDescent="0.35">
      <c r="A6" s="707" t="s">
        <v>213</v>
      </c>
      <c r="B6" s="878">
        <f>SUM(B2:B5)</f>
        <v>741201.24</v>
      </c>
      <c r="C6" s="878">
        <f t="shared" ref="C6:E6" si="1">SUM(C2:C5)</f>
        <v>3130119.66</v>
      </c>
      <c r="D6" s="878">
        <f t="shared" si="1"/>
        <v>0</v>
      </c>
      <c r="E6" s="878">
        <f t="shared" si="1"/>
        <v>3871320.9000000004</v>
      </c>
      <c r="F6" s="707"/>
    </row>
    <row r="7" spans="1:6" x14ac:dyDescent="0.35">
      <c r="E7">
        <v>3871320.9</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9944A-AF72-4410-9D6F-59FC7E783FC7}">
  <dimension ref="A1:G10"/>
  <sheetViews>
    <sheetView workbookViewId="0">
      <selection activeCell="G11" sqref="G11"/>
    </sheetView>
  </sheetViews>
  <sheetFormatPr defaultRowHeight="14.5" x14ac:dyDescent="0.35"/>
  <cols>
    <col min="1" max="2" width="10.81640625" bestFit="1" customWidth="1"/>
    <col min="3" max="3" width="14.81640625" bestFit="1" customWidth="1"/>
    <col min="4" max="4" width="13.81640625" bestFit="1" customWidth="1"/>
    <col min="5" max="5" width="19.26953125" customWidth="1"/>
    <col min="6" max="6" width="14.81640625" bestFit="1" customWidth="1"/>
    <col min="7" max="7" width="47" customWidth="1"/>
  </cols>
  <sheetData>
    <row r="1" spans="1:7" ht="15" thickBot="1" x14ac:dyDescent="0.4">
      <c r="A1" s="735" t="s">
        <v>784</v>
      </c>
      <c r="B1" s="735" t="s">
        <v>790</v>
      </c>
      <c r="C1" s="735" t="s">
        <v>643</v>
      </c>
      <c r="D1" s="735" t="s">
        <v>787</v>
      </c>
      <c r="E1" s="735" t="s">
        <v>785</v>
      </c>
      <c r="F1" s="735" t="s">
        <v>786</v>
      </c>
      <c r="G1" s="735" t="s">
        <v>770</v>
      </c>
    </row>
    <row r="2" spans="1:7" ht="15" thickBot="1" x14ac:dyDescent="0.4">
      <c r="A2" s="1075">
        <v>7000001841</v>
      </c>
      <c r="B2" s="737">
        <v>9300325597</v>
      </c>
      <c r="C2" s="1078">
        <v>55286.98</v>
      </c>
      <c r="D2" s="1078">
        <v>6730.56</v>
      </c>
      <c r="E2" s="738">
        <v>1121.76</v>
      </c>
      <c r="F2" s="739" t="s">
        <v>788</v>
      </c>
      <c r="G2" s="1081" t="s">
        <v>805</v>
      </c>
    </row>
    <row r="3" spans="1:7" ht="15" thickBot="1" x14ac:dyDescent="0.4">
      <c r="A3" s="1076"/>
      <c r="B3" s="740">
        <v>9300362997</v>
      </c>
      <c r="C3" s="1079"/>
      <c r="D3" s="1079"/>
      <c r="E3" s="741">
        <v>2084.4</v>
      </c>
      <c r="F3" s="739" t="s">
        <v>788</v>
      </c>
      <c r="G3" s="1082"/>
    </row>
    <row r="4" spans="1:7" ht="15" thickBot="1" x14ac:dyDescent="0.4">
      <c r="A4" s="1076"/>
      <c r="B4" s="740">
        <v>9300461254</v>
      </c>
      <c r="C4" s="1079"/>
      <c r="D4" s="1079"/>
      <c r="E4" s="741">
        <v>2084.4</v>
      </c>
      <c r="F4" s="739" t="s">
        <v>788</v>
      </c>
      <c r="G4" s="1082"/>
    </row>
    <row r="5" spans="1:7" ht="15" thickBot="1" x14ac:dyDescent="0.4">
      <c r="A5" s="1076"/>
      <c r="B5" s="740">
        <v>9300645956</v>
      </c>
      <c r="C5" s="1079"/>
      <c r="D5" s="1079"/>
      <c r="E5" s="741">
        <v>544.72</v>
      </c>
      <c r="F5" s="739" t="s">
        <v>788</v>
      </c>
      <c r="G5" s="1082"/>
    </row>
    <row r="6" spans="1:7" ht="15" thickBot="1" x14ac:dyDescent="0.4">
      <c r="A6" s="1077"/>
      <c r="B6" s="745">
        <v>9300796657</v>
      </c>
      <c r="C6" s="1080"/>
      <c r="D6" s="1080"/>
      <c r="E6" s="746">
        <v>46644.6</v>
      </c>
      <c r="F6" s="739" t="s">
        <v>788</v>
      </c>
      <c r="G6" s="1083"/>
    </row>
    <row r="7" spans="1:7" ht="29.15" customHeight="1" x14ac:dyDescent="0.35">
      <c r="A7" s="1084">
        <v>7000001811</v>
      </c>
      <c r="B7" s="747">
        <v>9300190409</v>
      </c>
      <c r="C7" s="1087">
        <v>115040.1</v>
      </c>
      <c r="D7" s="1087">
        <v>84183.7</v>
      </c>
      <c r="E7" s="748">
        <v>22374.9</v>
      </c>
      <c r="F7" s="749" t="s">
        <v>788</v>
      </c>
      <c r="G7" s="1090" t="s">
        <v>806</v>
      </c>
    </row>
    <row r="8" spans="1:7" ht="29" x14ac:dyDescent="0.35">
      <c r="A8" s="1085"/>
      <c r="B8" s="743" t="s">
        <v>803</v>
      </c>
      <c r="C8" s="1088"/>
      <c r="D8" s="1088"/>
      <c r="E8" s="744">
        <v>30820.400000000001</v>
      </c>
      <c r="F8" s="742" t="s">
        <v>788</v>
      </c>
      <c r="G8" s="1091"/>
    </row>
    <row r="9" spans="1:7" ht="29.5" thickBot="1" x14ac:dyDescent="0.4">
      <c r="A9" s="1086"/>
      <c r="B9" s="750" t="s">
        <v>804</v>
      </c>
      <c r="C9" s="1089"/>
      <c r="D9" s="1089"/>
      <c r="E9" s="751">
        <v>16659</v>
      </c>
      <c r="F9" s="752" t="s">
        <v>788</v>
      </c>
      <c r="G9" s="1092"/>
    </row>
    <row r="10" spans="1:7" x14ac:dyDescent="0.35">
      <c r="E10" s="736"/>
    </row>
  </sheetData>
  <mergeCells count="8">
    <mergeCell ref="A2:A6"/>
    <mergeCell ref="C2:C6"/>
    <mergeCell ref="D2:D6"/>
    <mergeCell ref="G2:G6"/>
    <mergeCell ref="A7:A9"/>
    <mergeCell ref="C7:C9"/>
    <mergeCell ref="D7:D9"/>
    <mergeCell ref="G7:G9"/>
  </mergeCells>
  <hyperlinks>
    <hyperlink ref="B3" r:id="rId1" display="https://s3.ariba.com/Buyer/Main/aw?awh=r&amp;awssk=KD1eIJ412IzVJPhA&amp;realm=744218352-CHILD1" xr:uid="{28AF9F0A-2124-44C6-9387-E444712B1016}"/>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177CAE-2B9F-42CB-832C-004754F2D467}">
  <dimension ref="A1:E19"/>
  <sheetViews>
    <sheetView workbookViewId="0">
      <selection sqref="A1:E19"/>
    </sheetView>
  </sheetViews>
  <sheetFormatPr defaultRowHeight="14.5" x14ac:dyDescent="0.35"/>
  <cols>
    <col min="1" max="1" width="14.453125" bestFit="1" customWidth="1"/>
    <col min="2" max="2" width="12.1796875" bestFit="1" customWidth="1"/>
    <col min="3" max="3" width="13.81640625" bestFit="1" customWidth="1"/>
    <col min="5" max="5" width="13.81640625" bestFit="1" customWidth="1"/>
  </cols>
  <sheetData>
    <row r="1" spans="1:5" x14ac:dyDescent="0.35">
      <c r="A1" s="772" t="s">
        <v>828</v>
      </c>
      <c r="B1" s="772">
        <v>2024</v>
      </c>
      <c r="C1" s="772">
        <v>2025</v>
      </c>
      <c r="D1" s="773"/>
      <c r="E1" s="772" t="s">
        <v>831</v>
      </c>
    </row>
    <row r="2" spans="1:5" x14ac:dyDescent="0.35">
      <c r="A2" s="774" t="s">
        <v>163</v>
      </c>
      <c r="B2" s="775">
        <v>750000</v>
      </c>
      <c r="C2" s="775">
        <v>3250000</v>
      </c>
      <c r="D2" s="773"/>
      <c r="E2" s="776">
        <v>4000000</v>
      </c>
    </row>
    <row r="3" spans="1:5" x14ac:dyDescent="0.35">
      <c r="A3" s="774" t="s">
        <v>826</v>
      </c>
      <c r="B3" s="775">
        <v>741206.8</v>
      </c>
      <c r="C3" s="775">
        <v>2617066</v>
      </c>
      <c r="D3" s="773"/>
      <c r="E3" s="776">
        <v>3358272.8</v>
      </c>
    </row>
    <row r="4" spans="1:5" x14ac:dyDescent="0.35">
      <c r="A4" s="774" t="s">
        <v>827</v>
      </c>
      <c r="B4" s="775">
        <v>36418</v>
      </c>
      <c r="C4" s="775">
        <v>166159</v>
      </c>
      <c r="D4" s="773"/>
      <c r="E4" s="776">
        <v>202577</v>
      </c>
    </row>
    <row r="5" spans="1:5" x14ac:dyDescent="0.35">
      <c r="A5" s="774" t="s">
        <v>215</v>
      </c>
      <c r="B5" s="775">
        <v>601379.80000000005</v>
      </c>
      <c r="C5" s="775">
        <v>687972</v>
      </c>
      <c r="D5" s="773"/>
      <c r="E5" s="776">
        <v>1289351.8</v>
      </c>
    </row>
    <row r="6" spans="1:5" x14ac:dyDescent="0.35">
      <c r="A6" s="774" t="s">
        <v>53</v>
      </c>
      <c r="B6" s="775">
        <v>103409</v>
      </c>
      <c r="C6" s="775">
        <v>1762935</v>
      </c>
      <c r="D6" s="773"/>
      <c r="E6" s="776">
        <v>1866344</v>
      </c>
    </row>
    <row r="7" spans="1:5" x14ac:dyDescent="0.35">
      <c r="A7" s="774" t="s">
        <v>58</v>
      </c>
      <c r="B7" s="775">
        <v>0</v>
      </c>
      <c r="C7" s="775">
        <v>563224</v>
      </c>
      <c r="D7" s="773"/>
      <c r="E7" s="776">
        <v>563224</v>
      </c>
    </row>
    <row r="8" spans="1:5" x14ac:dyDescent="0.35">
      <c r="A8" s="774" t="s">
        <v>59</v>
      </c>
      <c r="B8" s="775">
        <v>741206.8</v>
      </c>
      <c r="C8" s="775">
        <v>3180290</v>
      </c>
      <c r="D8" s="773"/>
      <c r="E8" s="776">
        <v>3921496.8</v>
      </c>
    </row>
    <row r="9" spans="1:5" x14ac:dyDescent="0.35">
      <c r="A9" s="774" t="s">
        <v>60</v>
      </c>
      <c r="B9" s="775">
        <v>8793.1999999999534</v>
      </c>
      <c r="C9" s="775">
        <v>69710</v>
      </c>
      <c r="D9" s="777" t="s">
        <v>830</v>
      </c>
      <c r="E9" s="776">
        <v>78503.199999999953</v>
      </c>
    </row>
    <row r="10" spans="1:5" x14ac:dyDescent="0.35">
      <c r="A10" s="773"/>
      <c r="B10" s="773"/>
      <c r="C10" s="773"/>
      <c r="D10" s="773"/>
      <c r="E10" s="773"/>
    </row>
    <row r="11" spans="1:5" x14ac:dyDescent="0.35">
      <c r="A11" s="778" t="s">
        <v>829</v>
      </c>
      <c r="B11" s="778">
        <v>2024</v>
      </c>
      <c r="C11" s="778">
        <v>2025</v>
      </c>
      <c r="D11" s="773"/>
      <c r="E11" s="778" t="s">
        <v>832</v>
      </c>
    </row>
    <row r="12" spans="1:5" x14ac:dyDescent="0.35">
      <c r="A12" s="779" t="s">
        <v>163</v>
      </c>
      <c r="B12" s="775">
        <v>288000</v>
      </c>
      <c r="C12" s="775">
        <v>0</v>
      </c>
      <c r="D12" s="773"/>
      <c r="E12" s="776">
        <v>288000</v>
      </c>
    </row>
    <row r="13" spans="1:5" x14ac:dyDescent="0.35">
      <c r="A13" s="779" t="s">
        <v>826</v>
      </c>
      <c r="B13" s="775">
        <v>173484</v>
      </c>
      <c r="C13" s="775">
        <v>7168</v>
      </c>
      <c r="D13" s="773"/>
      <c r="E13" s="776">
        <v>180652</v>
      </c>
    </row>
    <row r="14" spans="1:5" x14ac:dyDescent="0.35">
      <c r="A14" s="779" t="s">
        <v>827</v>
      </c>
      <c r="B14" s="775">
        <v>11284</v>
      </c>
      <c r="C14" s="775"/>
      <c r="D14" s="773"/>
      <c r="E14" s="776">
        <v>11284</v>
      </c>
    </row>
    <row r="15" spans="1:5" x14ac:dyDescent="0.35">
      <c r="A15" s="779" t="s">
        <v>215</v>
      </c>
      <c r="B15" s="775"/>
      <c r="C15" s="775"/>
      <c r="D15" s="773"/>
      <c r="E15" s="776">
        <v>0</v>
      </c>
    </row>
    <row r="16" spans="1:5" x14ac:dyDescent="0.35">
      <c r="A16" s="779" t="s">
        <v>53</v>
      </c>
      <c r="B16" s="775">
        <v>162200</v>
      </c>
      <c r="C16" s="775">
        <v>7168</v>
      </c>
      <c r="D16" s="773"/>
      <c r="E16" s="776">
        <v>169368</v>
      </c>
    </row>
    <row r="17" spans="1:5" x14ac:dyDescent="0.35">
      <c r="A17" s="779" t="s">
        <v>58</v>
      </c>
      <c r="B17" s="775">
        <v>0</v>
      </c>
      <c r="C17" s="775"/>
      <c r="D17" s="773"/>
      <c r="E17" s="776">
        <v>0</v>
      </c>
    </row>
    <row r="18" spans="1:5" x14ac:dyDescent="0.35">
      <c r="A18" s="779" t="s">
        <v>59</v>
      </c>
      <c r="B18" s="775">
        <v>173484</v>
      </c>
      <c r="C18" s="775">
        <v>7168</v>
      </c>
      <c r="D18" s="773"/>
      <c r="E18" s="776">
        <v>180652</v>
      </c>
    </row>
    <row r="19" spans="1:5" x14ac:dyDescent="0.35">
      <c r="A19" s="779" t="s">
        <v>60</v>
      </c>
      <c r="B19" s="775">
        <v>114516</v>
      </c>
      <c r="C19" s="775">
        <v>-7168</v>
      </c>
      <c r="D19" s="773"/>
      <c r="E19" s="776">
        <v>107348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1EBA52-25CC-4FDC-A148-5A421CF8DE14}">
  <sheetPr filterMode="1"/>
  <dimension ref="A1:I85"/>
  <sheetViews>
    <sheetView topLeftCell="A14" workbookViewId="0">
      <selection activeCell="D17" sqref="D17:D86"/>
    </sheetView>
  </sheetViews>
  <sheetFormatPr defaultRowHeight="14.5" x14ac:dyDescent="0.35"/>
  <cols>
    <col min="1" max="1" width="35.81640625" bestFit="1" customWidth="1"/>
    <col min="2" max="3" width="14.7265625" customWidth="1"/>
    <col min="4" max="4" width="16" customWidth="1"/>
    <col min="5" max="5" width="42.81640625" bestFit="1" customWidth="1"/>
    <col min="6" max="6" width="10.453125" bestFit="1" customWidth="1"/>
    <col min="8" max="8" width="22.453125" bestFit="1" customWidth="1"/>
    <col min="9" max="9" width="18.81640625" customWidth="1"/>
  </cols>
  <sheetData>
    <row r="1" spans="1:9" ht="15" thickBot="1" x14ac:dyDescent="0.4">
      <c r="A1" s="1116" t="s">
        <v>714</v>
      </c>
      <c r="B1" s="1117"/>
      <c r="C1" s="616"/>
      <c r="D1" s="609" t="s">
        <v>715</v>
      </c>
      <c r="E1" s="610" t="s">
        <v>718</v>
      </c>
      <c r="H1" s="1114" t="s">
        <v>711</v>
      </c>
      <c r="I1" s="1115"/>
    </row>
    <row r="2" spans="1:9" x14ac:dyDescent="0.35">
      <c r="A2" s="306" t="s">
        <v>713</v>
      </c>
      <c r="B2" s="562">
        <v>93702.04</v>
      </c>
      <c r="C2" s="562"/>
      <c r="D2" s="562"/>
      <c r="E2" s="611">
        <f>SUM(B2:D2)</f>
        <v>93702.04</v>
      </c>
      <c r="H2" s="602" t="s">
        <v>126</v>
      </c>
      <c r="I2" s="604" t="s">
        <v>712</v>
      </c>
    </row>
    <row r="3" spans="1:9" x14ac:dyDescent="0.35">
      <c r="A3" s="306" t="s">
        <v>215</v>
      </c>
      <c r="B3" s="562"/>
      <c r="C3" s="562"/>
      <c r="D3" s="562"/>
      <c r="E3" s="611">
        <f t="shared" ref="E3:E5" si="0">SUM(B3:D3)</f>
        <v>0</v>
      </c>
      <c r="H3" s="602" t="s">
        <v>708</v>
      </c>
      <c r="I3" s="605">
        <v>4288000</v>
      </c>
    </row>
    <row r="4" spans="1:9" x14ac:dyDescent="0.35">
      <c r="A4" s="306" t="s">
        <v>53</v>
      </c>
      <c r="B4" s="562">
        <v>162200</v>
      </c>
      <c r="C4" s="562"/>
      <c r="D4" s="562">
        <v>16500</v>
      </c>
      <c r="E4" s="611">
        <f t="shared" si="0"/>
        <v>178700</v>
      </c>
      <c r="H4" s="602" t="s">
        <v>709</v>
      </c>
      <c r="I4" s="605">
        <v>2484795.62</v>
      </c>
    </row>
    <row r="5" spans="1:9" ht="15" thickBot="1" x14ac:dyDescent="0.4">
      <c r="A5" s="308" t="s">
        <v>280</v>
      </c>
      <c r="B5" s="608">
        <v>19171.54</v>
      </c>
      <c r="C5" s="608"/>
      <c r="D5" s="608"/>
      <c r="E5" s="612">
        <f t="shared" si="0"/>
        <v>19171.54</v>
      </c>
      <c r="H5" s="602" t="s">
        <v>58</v>
      </c>
      <c r="I5" s="605">
        <v>1781484</v>
      </c>
    </row>
    <row r="6" spans="1:9" x14ac:dyDescent="0.35">
      <c r="B6" s="290">
        <f>SUM(B2:B5)</f>
        <v>275073.57999999996</v>
      </c>
      <c r="C6" s="290"/>
      <c r="D6" s="290">
        <f t="shared" ref="D6:E6" si="1">SUM(D2:D5)</f>
        <v>16500</v>
      </c>
      <c r="E6" s="290">
        <f t="shared" si="1"/>
        <v>291573.57999999996</v>
      </c>
      <c r="H6" s="602" t="s">
        <v>59</v>
      </c>
      <c r="I6" s="605">
        <f>SUM(I4:I5)</f>
        <v>4266279.62</v>
      </c>
    </row>
    <row r="7" spans="1:9" ht="15" thickBot="1" x14ac:dyDescent="0.4">
      <c r="H7" s="603" t="s">
        <v>710</v>
      </c>
      <c r="I7" s="606">
        <f>I3-I6</f>
        <v>21720.379999999888</v>
      </c>
    </row>
    <row r="8" spans="1:9" x14ac:dyDescent="0.35">
      <c r="A8" s="1118" t="s">
        <v>716</v>
      </c>
      <c r="B8" s="1119"/>
      <c r="C8" s="617"/>
      <c r="D8" s="609" t="s">
        <v>717</v>
      </c>
      <c r="E8" s="610" t="s">
        <v>719</v>
      </c>
      <c r="I8" s="607">
        <f>I7/I3</f>
        <v>5.0653871268656458E-3</v>
      </c>
    </row>
    <row r="9" spans="1:9" x14ac:dyDescent="0.35">
      <c r="A9" s="306" t="s">
        <v>713</v>
      </c>
      <c r="B9" s="562">
        <v>29357.9</v>
      </c>
      <c r="C9" s="562"/>
      <c r="D9" s="562">
        <v>95958.65</v>
      </c>
      <c r="E9" s="611">
        <f>SUM(B9:D9)</f>
        <v>125316.54999999999</v>
      </c>
    </row>
    <row r="10" spans="1:9" x14ac:dyDescent="0.35">
      <c r="A10" s="306" t="s">
        <v>215</v>
      </c>
      <c r="B10" s="562">
        <v>601379.80000000005</v>
      </c>
      <c r="C10" s="562"/>
      <c r="D10" s="562">
        <v>328230</v>
      </c>
      <c r="E10" s="611">
        <f t="shared" ref="E10:E12" si="2">SUM(B10:D10)</f>
        <v>929609.8</v>
      </c>
    </row>
    <row r="11" spans="1:9" x14ac:dyDescent="0.35">
      <c r="A11" s="306" t="s">
        <v>53</v>
      </c>
      <c r="B11" s="562">
        <v>103408.84</v>
      </c>
      <c r="C11" s="562"/>
      <c r="D11" s="562">
        <v>985757.27</v>
      </c>
      <c r="E11" s="611">
        <f t="shared" si="2"/>
        <v>1089166.1100000001</v>
      </c>
    </row>
    <row r="12" spans="1:9" ht="15" thickBot="1" x14ac:dyDescent="0.4">
      <c r="A12" s="308" t="s">
        <v>280</v>
      </c>
      <c r="B12" s="608">
        <v>7059.7</v>
      </c>
      <c r="C12" s="608"/>
      <c r="D12" s="608">
        <v>42069.88</v>
      </c>
      <c r="E12" s="612">
        <f t="shared" si="2"/>
        <v>49129.579999999994</v>
      </c>
    </row>
    <row r="13" spans="1:9" x14ac:dyDescent="0.35">
      <c r="B13" s="290">
        <f>SUM(B9:B12)</f>
        <v>741206.24</v>
      </c>
      <c r="C13" s="290"/>
      <c r="D13" s="290">
        <f t="shared" ref="D13:E13" si="3">SUM(D9:D12)</f>
        <v>1452015.7999999998</v>
      </c>
      <c r="E13" s="290">
        <f t="shared" si="3"/>
        <v>2193222.04</v>
      </c>
    </row>
    <row r="14" spans="1:9" ht="15" thickBot="1" x14ac:dyDescent="0.4">
      <c r="B14" s="593"/>
      <c r="C14" s="593"/>
    </row>
    <row r="15" spans="1:9" ht="15" thickBot="1" x14ac:dyDescent="0.4">
      <c r="A15" s="689" t="s">
        <v>102</v>
      </c>
      <c r="B15" s="690" t="s">
        <v>168</v>
      </c>
      <c r="C15" s="690" t="s">
        <v>643</v>
      </c>
      <c r="D15" s="690" t="s">
        <v>769</v>
      </c>
      <c r="E15" s="690" t="s">
        <v>770</v>
      </c>
      <c r="F15" s="691" t="s">
        <v>772</v>
      </c>
    </row>
    <row r="16" spans="1:9" ht="15" hidden="1" thickBot="1" x14ac:dyDescent="0.4">
      <c r="A16" s="678" t="s">
        <v>723</v>
      </c>
      <c r="B16" s="672">
        <v>5000055093</v>
      </c>
      <c r="C16" s="673">
        <v>282880</v>
      </c>
      <c r="D16" s="674">
        <v>320</v>
      </c>
      <c r="E16" s="651" t="s">
        <v>610</v>
      </c>
      <c r="F16" s="652">
        <v>45658</v>
      </c>
    </row>
    <row r="17" spans="1:6" x14ac:dyDescent="0.35">
      <c r="A17" s="1120" t="s">
        <v>766</v>
      </c>
      <c r="B17" s="1093">
        <v>7000001767</v>
      </c>
      <c r="C17" s="1096">
        <v>24758.84</v>
      </c>
      <c r="D17" s="682">
        <v>4111.92</v>
      </c>
      <c r="E17" s="660" t="s">
        <v>750</v>
      </c>
      <c r="F17" s="655">
        <v>45901</v>
      </c>
    </row>
    <row r="18" spans="1:6" x14ac:dyDescent="0.35">
      <c r="A18" s="1100"/>
      <c r="B18" s="1094"/>
      <c r="C18" s="1097"/>
      <c r="D18" s="636">
        <v>201.76</v>
      </c>
      <c r="E18" s="637" t="s">
        <v>752</v>
      </c>
      <c r="F18" s="630">
        <v>45901</v>
      </c>
    </row>
    <row r="19" spans="1:6" x14ac:dyDescent="0.35">
      <c r="A19" s="1100"/>
      <c r="B19" s="1094"/>
      <c r="C19" s="1097"/>
      <c r="D19" s="636">
        <v>833.68</v>
      </c>
      <c r="E19" s="637" t="s">
        <v>753</v>
      </c>
      <c r="F19" s="630">
        <v>45901</v>
      </c>
    </row>
    <row r="20" spans="1:6" ht="15" thickBot="1" x14ac:dyDescent="0.4">
      <c r="A20" s="1101"/>
      <c r="B20" s="1095"/>
      <c r="C20" s="1098"/>
      <c r="D20" s="683">
        <v>2526.06</v>
      </c>
      <c r="E20" s="662" t="s">
        <v>754</v>
      </c>
      <c r="F20" s="646">
        <v>45901</v>
      </c>
    </row>
    <row r="21" spans="1:6" ht="15" hidden="1" thickBot="1" x14ac:dyDescent="0.4">
      <c r="A21" s="678" t="s">
        <v>776</v>
      </c>
      <c r="B21" s="672">
        <v>7000001998</v>
      </c>
      <c r="C21" s="673">
        <v>178848</v>
      </c>
      <c r="D21" s="680">
        <v>769.8</v>
      </c>
      <c r="E21" s="681" t="s">
        <v>732</v>
      </c>
      <c r="F21" s="652">
        <v>45870</v>
      </c>
    </row>
    <row r="22" spans="1:6" ht="15" hidden="1" thickBot="1" x14ac:dyDescent="0.4">
      <c r="A22" s="1099" t="s">
        <v>721</v>
      </c>
      <c r="B22" s="1093">
        <v>5000055979</v>
      </c>
      <c r="C22" s="1121">
        <v>316200</v>
      </c>
      <c r="D22" s="687">
        <v>36250</v>
      </c>
      <c r="E22" s="670" t="s">
        <v>598</v>
      </c>
      <c r="F22" s="655">
        <v>45536</v>
      </c>
    </row>
    <row r="23" spans="1:6" ht="15" hidden="1" thickBot="1" x14ac:dyDescent="0.4">
      <c r="A23" s="1100"/>
      <c r="B23" s="1094"/>
      <c r="C23" s="1122"/>
      <c r="D23" s="631">
        <v>109700</v>
      </c>
      <c r="E23" s="632" t="s">
        <v>612</v>
      </c>
      <c r="F23" s="630">
        <v>45689</v>
      </c>
    </row>
    <row r="24" spans="1:6" ht="15" hidden="1" thickBot="1" x14ac:dyDescent="0.4">
      <c r="A24" s="1100"/>
      <c r="B24" s="1094"/>
      <c r="C24" s="1122"/>
      <c r="D24" s="631">
        <v>16500</v>
      </c>
      <c r="E24" s="644" t="s">
        <v>613</v>
      </c>
      <c r="F24" s="630">
        <v>45689</v>
      </c>
    </row>
    <row r="25" spans="1:6" ht="15" hidden="1" thickBot="1" x14ac:dyDescent="0.4">
      <c r="A25" s="1101"/>
      <c r="B25" s="1095"/>
      <c r="C25" s="1123"/>
      <c r="D25" s="688">
        <v>16250</v>
      </c>
      <c r="E25" s="676" t="s">
        <v>614</v>
      </c>
      <c r="F25" s="646">
        <v>45689</v>
      </c>
    </row>
    <row r="26" spans="1:6" ht="15" hidden="1" thickBot="1" x14ac:dyDescent="0.4">
      <c r="A26" s="678" t="s">
        <v>777</v>
      </c>
      <c r="B26" s="672">
        <v>5000060473</v>
      </c>
      <c r="C26" s="684">
        <v>296520</v>
      </c>
      <c r="D26" s="685">
        <v>4620</v>
      </c>
      <c r="E26" s="686" t="s">
        <v>747</v>
      </c>
      <c r="F26" s="652">
        <v>45870</v>
      </c>
    </row>
    <row r="27" spans="1:6" ht="15" thickBot="1" x14ac:dyDescent="0.4">
      <c r="A27" s="678" t="s">
        <v>776</v>
      </c>
      <c r="B27" s="672">
        <v>7000002000</v>
      </c>
      <c r="C27" s="684">
        <v>301600</v>
      </c>
      <c r="D27" s="685">
        <v>18270</v>
      </c>
      <c r="E27" s="686" t="s">
        <v>764</v>
      </c>
      <c r="F27" s="652">
        <v>45901</v>
      </c>
    </row>
    <row r="28" spans="1:6" x14ac:dyDescent="0.35">
      <c r="A28" s="1120" t="s">
        <v>766</v>
      </c>
      <c r="B28" s="1093">
        <v>7000001811</v>
      </c>
      <c r="C28" s="1096">
        <v>115004.1</v>
      </c>
      <c r="D28" s="682">
        <v>17647.2</v>
      </c>
      <c r="E28" s="660" t="s">
        <v>755</v>
      </c>
      <c r="F28" s="655">
        <v>45901</v>
      </c>
    </row>
    <row r="29" spans="1:6" x14ac:dyDescent="0.35">
      <c r="A29" s="1100"/>
      <c r="B29" s="1094"/>
      <c r="C29" s="1097"/>
      <c r="D29" s="636">
        <v>10267.200000000001</v>
      </c>
      <c r="E29" s="637" t="s">
        <v>757</v>
      </c>
      <c r="F29" s="630">
        <v>45901</v>
      </c>
    </row>
    <row r="30" spans="1:6" x14ac:dyDescent="0.35">
      <c r="A30" s="1100"/>
      <c r="B30" s="1094"/>
      <c r="C30" s="1097"/>
      <c r="D30" s="636">
        <v>1607.6</v>
      </c>
      <c r="E30" s="637" t="s">
        <v>758</v>
      </c>
      <c r="F30" s="630">
        <v>45901</v>
      </c>
    </row>
    <row r="31" spans="1:6" x14ac:dyDescent="0.35">
      <c r="A31" s="1100"/>
      <c r="B31" s="1094"/>
      <c r="C31" s="1097"/>
      <c r="D31" s="636">
        <v>1141.2</v>
      </c>
      <c r="E31" s="637" t="s">
        <v>759</v>
      </c>
      <c r="F31" s="630">
        <v>45901</v>
      </c>
    </row>
    <row r="32" spans="1:6" ht="15" thickBot="1" x14ac:dyDescent="0.4">
      <c r="A32" s="1101"/>
      <c r="B32" s="1095"/>
      <c r="C32" s="1098"/>
      <c r="D32" s="683">
        <v>157.19999999999999</v>
      </c>
      <c r="E32" s="662" t="s">
        <v>760</v>
      </c>
      <c r="F32" s="646">
        <v>45901</v>
      </c>
    </row>
    <row r="33" spans="1:6" ht="15" hidden="1" thickBot="1" x14ac:dyDescent="0.4">
      <c r="A33" s="678" t="s">
        <v>777</v>
      </c>
      <c r="B33" s="679">
        <v>7000001145</v>
      </c>
      <c r="C33" s="673">
        <v>214154</v>
      </c>
      <c r="D33" s="680">
        <v>1792</v>
      </c>
      <c r="E33" s="681" t="s">
        <v>733</v>
      </c>
      <c r="F33" s="652">
        <v>45870</v>
      </c>
    </row>
    <row r="34" spans="1:6" ht="15" hidden="1" thickBot="1" x14ac:dyDescent="0.4">
      <c r="A34" s="671"/>
      <c r="B34" s="672">
        <v>4501316055</v>
      </c>
      <c r="C34" s="677"/>
      <c r="D34" s="674">
        <v>439.65</v>
      </c>
      <c r="E34" s="651" t="s">
        <v>742</v>
      </c>
      <c r="F34" s="652">
        <v>45870</v>
      </c>
    </row>
    <row r="35" spans="1:6" hidden="1" x14ac:dyDescent="0.35">
      <c r="A35" s="1099" t="s">
        <v>720</v>
      </c>
      <c r="B35" s="1093">
        <v>5000057290</v>
      </c>
      <c r="C35" s="1096">
        <v>800832</v>
      </c>
      <c r="D35" s="669">
        <v>909.42</v>
      </c>
      <c r="E35" s="670" t="s">
        <v>605</v>
      </c>
      <c r="F35" s="655">
        <v>45627</v>
      </c>
    </row>
    <row r="36" spans="1:6" hidden="1" x14ac:dyDescent="0.35">
      <c r="A36" s="1100"/>
      <c r="B36" s="1094"/>
      <c r="C36" s="1097"/>
      <c r="D36" s="638">
        <v>909.42</v>
      </c>
      <c r="E36" s="632" t="s">
        <v>607</v>
      </c>
      <c r="F36" s="630">
        <v>45627</v>
      </c>
    </row>
    <row r="37" spans="1:6" hidden="1" x14ac:dyDescent="0.35">
      <c r="A37" s="1100"/>
      <c r="B37" s="1094"/>
      <c r="C37" s="1097"/>
      <c r="D37" s="638">
        <v>2950.3</v>
      </c>
      <c r="E37" s="632" t="s">
        <v>609</v>
      </c>
      <c r="F37" s="630">
        <v>45658</v>
      </c>
    </row>
    <row r="38" spans="1:6" hidden="1" x14ac:dyDescent="0.35">
      <c r="A38" s="1100"/>
      <c r="B38" s="1094"/>
      <c r="C38" s="1097"/>
      <c r="D38" s="638">
        <v>2950.3</v>
      </c>
      <c r="E38" s="632" t="s">
        <v>609</v>
      </c>
      <c r="F38" s="630">
        <v>45658</v>
      </c>
    </row>
    <row r="39" spans="1:6" hidden="1" x14ac:dyDescent="0.35">
      <c r="A39" s="1100"/>
      <c r="B39" s="1094"/>
      <c r="C39" s="1097"/>
      <c r="D39" s="638">
        <v>2950.3</v>
      </c>
      <c r="E39" s="632" t="s">
        <v>611</v>
      </c>
      <c r="F39" s="630">
        <v>45658</v>
      </c>
    </row>
    <row r="40" spans="1:6" ht="15" hidden="1" thickBot="1" x14ac:dyDescent="0.4">
      <c r="A40" s="1101"/>
      <c r="B40" s="1095"/>
      <c r="C40" s="1098"/>
      <c r="D40" s="675">
        <v>-2950.3</v>
      </c>
      <c r="E40" s="676" t="s">
        <v>609</v>
      </c>
      <c r="F40" s="646">
        <v>45658</v>
      </c>
    </row>
    <row r="41" spans="1:6" hidden="1" x14ac:dyDescent="0.35">
      <c r="A41" s="1099" t="s">
        <v>721</v>
      </c>
      <c r="B41" s="1093">
        <v>5000058992</v>
      </c>
      <c r="C41" s="1096">
        <v>998020</v>
      </c>
      <c r="D41" s="669">
        <v>29875</v>
      </c>
      <c r="E41" s="670" t="s">
        <v>638</v>
      </c>
      <c r="F41" s="655">
        <v>45713</v>
      </c>
    </row>
    <row r="42" spans="1:6" hidden="1" x14ac:dyDescent="0.35">
      <c r="A42" s="1100"/>
      <c r="B42" s="1094"/>
      <c r="C42" s="1097"/>
      <c r="D42" s="638">
        <v>18950</v>
      </c>
      <c r="E42" s="632" t="s">
        <v>639</v>
      </c>
      <c r="F42" s="630">
        <v>45713</v>
      </c>
    </row>
    <row r="43" spans="1:6" hidden="1" x14ac:dyDescent="0.35">
      <c r="A43" s="1100"/>
      <c r="B43" s="1094"/>
      <c r="C43" s="1097"/>
      <c r="D43" s="639">
        <v>29875</v>
      </c>
      <c r="E43" s="633" t="s">
        <v>638</v>
      </c>
      <c r="F43" s="630">
        <v>45741</v>
      </c>
    </row>
    <row r="44" spans="1:6" ht="15" hidden="1" thickBot="1" x14ac:dyDescent="0.4">
      <c r="A44" s="1101"/>
      <c r="B44" s="1095"/>
      <c r="C44" s="1098"/>
      <c r="D44" s="667">
        <v>50085</v>
      </c>
      <c r="E44" s="668" t="s">
        <v>665</v>
      </c>
      <c r="F44" s="646">
        <v>45741</v>
      </c>
    </row>
    <row r="45" spans="1:6" ht="15" hidden="1" thickBot="1" x14ac:dyDescent="0.4">
      <c r="A45" s="671" t="s">
        <v>722</v>
      </c>
      <c r="B45" s="672">
        <v>5000059268</v>
      </c>
      <c r="C45" s="673">
        <v>739034.8</v>
      </c>
      <c r="D45" s="674">
        <v>548459.80000000005</v>
      </c>
      <c r="E45" s="651" t="s">
        <v>771</v>
      </c>
      <c r="F45" s="652">
        <v>45713</v>
      </c>
    </row>
    <row r="46" spans="1:6" hidden="1" x14ac:dyDescent="0.35">
      <c r="A46" s="1099" t="s">
        <v>723</v>
      </c>
      <c r="B46" s="1093">
        <v>5000060399</v>
      </c>
      <c r="C46" s="1096">
        <v>329600</v>
      </c>
      <c r="D46" s="669">
        <v>164.8</v>
      </c>
      <c r="E46" s="670" t="s">
        <v>637</v>
      </c>
      <c r="F46" s="655">
        <v>45689</v>
      </c>
    </row>
    <row r="47" spans="1:6" ht="15" hidden="1" thickBot="1" x14ac:dyDescent="0.4">
      <c r="A47" s="1101"/>
      <c r="B47" s="1095"/>
      <c r="C47" s="1098"/>
      <c r="D47" s="667">
        <v>3131.2</v>
      </c>
      <c r="E47" s="668" t="s">
        <v>637</v>
      </c>
      <c r="F47" s="646">
        <v>45717</v>
      </c>
    </row>
    <row r="48" spans="1:6" hidden="1" x14ac:dyDescent="0.35">
      <c r="A48" s="1099" t="s">
        <v>724</v>
      </c>
      <c r="B48" s="1093">
        <v>5000060402</v>
      </c>
      <c r="C48" s="1096">
        <v>821652</v>
      </c>
      <c r="D48" s="666">
        <v>1319.75</v>
      </c>
      <c r="E48" s="665" t="s">
        <v>661</v>
      </c>
      <c r="F48" s="655">
        <v>45717</v>
      </c>
    </row>
    <row r="49" spans="1:6" hidden="1" x14ac:dyDescent="0.35">
      <c r="A49" s="1100"/>
      <c r="B49" s="1094"/>
      <c r="C49" s="1097"/>
      <c r="D49" s="639">
        <v>1319.75</v>
      </c>
      <c r="E49" s="633" t="s">
        <v>663</v>
      </c>
      <c r="F49" s="630">
        <v>45717</v>
      </c>
    </row>
    <row r="50" spans="1:6" ht="15" hidden="1" thickBot="1" x14ac:dyDescent="0.4">
      <c r="A50" s="1101"/>
      <c r="B50" s="1095"/>
      <c r="C50" s="1098"/>
      <c r="D50" s="667">
        <v>1319.75</v>
      </c>
      <c r="E50" s="668" t="s">
        <v>664</v>
      </c>
      <c r="F50" s="646">
        <v>45717</v>
      </c>
    </row>
    <row r="51" spans="1:6" hidden="1" x14ac:dyDescent="0.35">
      <c r="A51" s="1099" t="s">
        <v>725</v>
      </c>
      <c r="B51" s="1093">
        <v>5000060468</v>
      </c>
      <c r="C51" s="1096">
        <v>165600</v>
      </c>
      <c r="D51" s="666">
        <v>510.7</v>
      </c>
      <c r="E51" s="665" t="s">
        <v>659</v>
      </c>
      <c r="F51" s="655">
        <v>45717</v>
      </c>
    </row>
    <row r="52" spans="1:6" ht="15" hidden="1" thickBot="1" x14ac:dyDescent="0.4">
      <c r="A52" s="1101"/>
      <c r="B52" s="1095"/>
      <c r="C52" s="1098"/>
      <c r="D52" s="667">
        <v>587.30999999999995</v>
      </c>
      <c r="E52" s="668" t="s">
        <v>659</v>
      </c>
      <c r="F52" s="646">
        <v>45717</v>
      </c>
    </row>
    <row r="53" spans="1:6" hidden="1" x14ac:dyDescent="0.35">
      <c r="A53" s="1105" t="s">
        <v>726</v>
      </c>
      <c r="B53" s="1093">
        <v>7000000729</v>
      </c>
      <c r="C53" s="1096">
        <v>344025.59999999998</v>
      </c>
      <c r="D53" s="653">
        <v>25801.919999999998</v>
      </c>
      <c r="E53" s="665" t="s">
        <v>773</v>
      </c>
      <c r="F53" s="655">
        <v>45870</v>
      </c>
    </row>
    <row r="54" spans="1:6" ht="15" hidden="1" thickBot="1" x14ac:dyDescent="0.4">
      <c r="A54" s="1107"/>
      <c r="B54" s="1095"/>
      <c r="C54" s="1098"/>
      <c r="D54" s="656">
        <v>28668.799999999999</v>
      </c>
      <c r="E54" s="309" t="s">
        <v>773</v>
      </c>
      <c r="F54" s="646">
        <v>45870</v>
      </c>
    </row>
    <row r="55" spans="1:6" hidden="1" x14ac:dyDescent="0.35">
      <c r="A55" s="1099" t="s">
        <v>722</v>
      </c>
      <c r="B55" s="1093">
        <v>7000001175</v>
      </c>
      <c r="C55" s="1096">
        <v>190575</v>
      </c>
      <c r="D55" s="657">
        <v>142884</v>
      </c>
      <c r="E55" s="658" t="s">
        <v>690</v>
      </c>
      <c r="F55" s="655">
        <v>45809</v>
      </c>
    </row>
    <row r="56" spans="1:6" ht="15" hidden="1" thickBot="1" x14ac:dyDescent="0.4">
      <c r="A56" s="1101"/>
      <c r="B56" s="1095"/>
      <c r="C56" s="1098"/>
      <c r="D56" s="663">
        <v>47691</v>
      </c>
      <c r="E56" s="664" t="s">
        <v>635</v>
      </c>
      <c r="F56" s="646">
        <v>45809</v>
      </c>
    </row>
    <row r="57" spans="1:6" hidden="1" x14ac:dyDescent="0.35">
      <c r="A57" s="1099" t="s">
        <v>727</v>
      </c>
      <c r="B57" s="1093">
        <v>7000001237</v>
      </c>
      <c r="C57" s="1096">
        <v>284774.40000000002</v>
      </c>
      <c r="D57" s="657">
        <v>164.8</v>
      </c>
      <c r="E57" s="658" t="s">
        <v>610</v>
      </c>
      <c r="F57" s="655">
        <v>45778</v>
      </c>
    </row>
    <row r="58" spans="1:6" hidden="1" x14ac:dyDescent="0.35">
      <c r="A58" s="1100"/>
      <c r="B58" s="1094"/>
      <c r="C58" s="1097"/>
      <c r="D58" s="641">
        <v>5273.6</v>
      </c>
      <c r="E58" s="635" t="s">
        <v>610</v>
      </c>
      <c r="F58" s="630">
        <v>45778</v>
      </c>
    </row>
    <row r="59" spans="1:6" hidden="1" x14ac:dyDescent="0.35">
      <c r="A59" s="1100"/>
      <c r="B59" s="1094"/>
      <c r="C59" s="1097"/>
      <c r="D59" s="641">
        <v>329.6</v>
      </c>
      <c r="E59" s="635" t="s">
        <v>610</v>
      </c>
      <c r="F59" s="630">
        <v>45839</v>
      </c>
    </row>
    <row r="60" spans="1:6" ht="15" hidden="1" thickBot="1" x14ac:dyDescent="0.4">
      <c r="A60" s="1101"/>
      <c r="B60" s="1095"/>
      <c r="C60" s="1098"/>
      <c r="D60" s="656">
        <v>494.4</v>
      </c>
      <c r="E60" s="309" t="s">
        <v>610</v>
      </c>
      <c r="F60" s="646">
        <v>45870</v>
      </c>
    </row>
    <row r="61" spans="1:6" hidden="1" x14ac:dyDescent="0.35">
      <c r="A61" s="1099" t="s">
        <v>725</v>
      </c>
      <c r="B61" s="1093">
        <v>7000001262</v>
      </c>
      <c r="C61" s="1096">
        <v>108633.60000000001</v>
      </c>
      <c r="D61" s="657">
        <v>1170.6099999999999</v>
      </c>
      <c r="E61" s="629" t="s">
        <v>659</v>
      </c>
      <c r="F61" s="655">
        <v>45778</v>
      </c>
    </row>
    <row r="62" spans="1:6" hidden="1" x14ac:dyDescent="0.35">
      <c r="A62" s="1100"/>
      <c r="B62" s="1094"/>
      <c r="C62" s="1097"/>
      <c r="D62" s="641">
        <v>667.3</v>
      </c>
      <c r="E62" s="307" t="s">
        <v>659</v>
      </c>
      <c r="F62" s="630">
        <v>45778</v>
      </c>
    </row>
    <row r="63" spans="1:6" hidden="1" x14ac:dyDescent="0.35">
      <c r="A63" s="1100"/>
      <c r="B63" s="1094"/>
      <c r="C63" s="1097"/>
      <c r="D63" s="641">
        <v>89.33</v>
      </c>
      <c r="E63" s="307" t="s">
        <v>659</v>
      </c>
      <c r="F63" s="630">
        <v>45809</v>
      </c>
    </row>
    <row r="64" spans="1:6" ht="15" hidden="1" thickBot="1" x14ac:dyDescent="0.4">
      <c r="A64" s="1101"/>
      <c r="B64" s="1095"/>
      <c r="C64" s="1098"/>
      <c r="D64" s="656">
        <v>568.99</v>
      </c>
      <c r="E64" s="309" t="s">
        <v>659</v>
      </c>
      <c r="F64" s="646">
        <v>45870</v>
      </c>
    </row>
    <row r="65" spans="1:6" hidden="1" x14ac:dyDescent="0.35">
      <c r="A65" s="1099" t="s">
        <v>728</v>
      </c>
      <c r="B65" s="1093">
        <v>7000001415</v>
      </c>
      <c r="C65" s="1096">
        <v>869235</v>
      </c>
      <c r="D65" s="657">
        <v>14750</v>
      </c>
      <c r="E65" s="658" t="s">
        <v>696</v>
      </c>
      <c r="F65" s="655">
        <v>45809</v>
      </c>
    </row>
    <row r="66" spans="1:6" hidden="1" x14ac:dyDescent="0.35">
      <c r="A66" s="1100"/>
      <c r="B66" s="1094"/>
      <c r="C66" s="1097"/>
      <c r="D66" s="641">
        <v>15750</v>
      </c>
      <c r="E66" s="635" t="s">
        <v>665</v>
      </c>
      <c r="F66" s="630">
        <v>45809</v>
      </c>
    </row>
    <row r="67" spans="1:6" x14ac:dyDescent="0.35">
      <c r="A67" s="1100"/>
      <c r="B67" s="1094"/>
      <c r="C67" s="1097"/>
      <c r="D67" s="642">
        <v>149068</v>
      </c>
      <c r="E67" s="637" t="s">
        <v>665</v>
      </c>
      <c r="F67" s="630">
        <v>45901</v>
      </c>
    </row>
    <row r="68" spans="1:6" x14ac:dyDescent="0.35">
      <c r="A68" s="1100"/>
      <c r="B68" s="1094"/>
      <c r="C68" s="1097"/>
      <c r="D68" s="642">
        <v>100170</v>
      </c>
      <c r="E68" s="637" t="s">
        <v>665</v>
      </c>
      <c r="F68" s="630">
        <v>45901</v>
      </c>
    </row>
    <row r="69" spans="1:6" x14ac:dyDescent="0.35">
      <c r="A69" s="1100"/>
      <c r="B69" s="1094"/>
      <c r="C69" s="1097"/>
      <c r="D69" s="642">
        <v>12750</v>
      </c>
      <c r="E69" s="637" t="s">
        <v>761</v>
      </c>
      <c r="F69" s="630">
        <v>45901</v>
      </c>
    </row>
    <row r="70" spans="1:6" ht="15" thickBot="1" x14ac:dyDescent="0.4">
      <c r="A70" s="1101"/>
      <c r="B70" s="1095"/>
      <c r="C70" s="1098"/>
      <c r="D70" s="661">
        <v>126447</v>
      </c>
      <c r="E70" s="662" t="s">
        <v>665</v>
      </c>
      <c r="F70" s="646">
        <v>45901</v>
      </c>
    </row>
    <row r="71" spans="1:6" hidden="1" x14ac:dyDescent="0.35">
      <c r="A71" s="1105" t="s">
        <v>729</v>
      </c>
      <c r="B71" s="1093">
        <v>7000001429</v>
      </c>
      <c r="C71" s="1096">
        <v>137500</v>
      </c>
      <c r="D71" s="657">
        <v>5500</v>
      </c>
      <c r="E71" s="660" t="s">
        <v>774</v>
      </c>
      <c r="F71" s="655">
        <v>45809</v>
      </c>
    </row>
    <row r="72" spans="1:6" hidden="1" x14ac:dyDescent="0.35">
      <c r="A72" s="1106"/>
      <c r="B72" s="1094"/>
      <c r="C72" s="1097"/>
      <c r="D72" s="641">
        <v>16500</v>
      </c>
      <c r="E72" s="637" t="s">
        <v>774</v>
      </c>
      <c r="F72" s="630">
        <v>45809</v>
      </c>
    </row>
    <row r="73" spans="1:6" x14ac:dyDescent="0.35">
      <c r="A73" s="1106"/>
      <c r="B73" s="1094"/>
      <c r="C73" s="1097"/>
      <c r="D73" s="642">
        <v>5500</v>
      </c>
      <c r="E73" s="637" t="s">
        <v>774</v>
      </c>
      <c r="F73" s="630">
        <v>45901</v>
      </c>
    </row>
    <row r="74" spans="1:6" ht="15" thickBot="1" x14ac:dyDescent="0.4">
      <c r="A74" s="1107"/>
      <c r="B74" s="1095"/>
      <c r="C74" s="1098"/>
      <c r="D74" s="661">
        <v>5500</v>
      </c>
      <c r="E74" s="309" t="s">
        <v>774</v>
      </c>
      <c r="F74" s="646">
        <v>45901</v>
      </c>
    </row>
    <row r="75" spans="1:6" hidden="1" x14ac:dyDescent="0.35">
      <c r="A75" s="1099" t="s">
        <v>720</v>
      </c>
      <c r="B75" s="1093">
        <v>7000001527</v>
      </c>
      <c r="C75" s="1102">
        <v>821652</v>
      </c>
      <c r="D75" s="657">
        <v>5762.09</v>
      </c>
      <c r="E75" s="658" t="s">
        <v>605</v>
      </c>
      <c r="F75" s="655">
        <v>45778</v>
      </c>
    </row>
    <row r="76" spans="1:6" hidden="1" x14ac:dyDescent="0.35">
      <c r="A76" s="1100"/>
      <c r="B76" s="1094"/>
      <c r="C76" s="1103"/>
      <c r="D76" s="641">
        <v>3135.35</v>
      </c>
      <c r="E76" s="635" t="s">
        <v>679</v>
      </c>
      <c r="F76" s="630">
        <v>45778</v>
      </c>
    </row>
    <row r="77" spans="1:6" hidden="1" x14ac:dyDescent="0.35">
      <c r="A77" s="1100"/>
      <c r="B77" s="1094"/>
      <c r="C77" s="1103"/>
      <c r="D77" s="641">
        <v>419.73</v>
      </c>
      <c r="E77" s="635" t="s">
        <v>692</v>
      </c>
      <c r="F77" s="630">
        <v>45809</v>
      </c>
    </row>
    <row r="78" spans="1:6" hidden="1" x14ac:dyDescent="0.35">
      <c r="A78" s="1100"/>
      <c r="B78" s="1094"/>
      <c r="C78" s="1103"/>
      <c r="D78" s="640">
        <v>7166.7</v>
      </c>
      <c r="E78" s="643" t="s">
        <v>701</v>
      </c>
      <c r="F78" s="630">
        <v>45870</v>
      </c>
    </row>
    <row r="79" spans="1:6" hidden="1" x14ac:dyDescent="0.35">
      <c r="A79" s="1100"/>
      <c r="B79" s="1094"/>
      <c r="C79" s="1103"/>
      <c r="D79" s="640">
        <v>7166.7</v>
      </c>
      <c r="E79" s="643" t="s">
        <v>702</v>
      </c>
      <c r="F79" s="630">
        <v>45870</v>
      </c>
    </row>
    <row r="80" spans="1:6" ht="15" hidden="1" thickBot="1" x14ac:dyDescent="0.4">
      <c r="A80" s="1101"/>
      <c r="B80" s="1095"/>
      <c r="C80" s="1104"/>
      <c r="D80" s="656">
        <v>3459.7</v>
      </c>
      <c r="E80" s="659" t="s">
        <v>731</v>
      </c>
      <c r="F80" s="646">
        <v>45870</v>
      </c>
    </row>
    <row r="81" spans="1:6" hidden="1" x14ac:dyDescent="0.35">
      <c r="A81" s="1105" t="s">
        <v>730</v>
      </c>
      <c r="B81" s="1108">
        <v>7000001734</v>
      </c>
      <c r="C81" s="1111">
        <v>197200</v>
      </c>
      <c r="D81" s="653">
        <v>8700</v>
      </c>
      <c r="E81" s="654" t="s">
        <v>775</v>
      </c>
      <c r="F81" s="655">
        <v>45870</v>
      </c>
    </row>
    <row r="82" spans="1:6" hidden="1" x14ac:dyDescent="0.35">
      <c r="A82" s="1106"/>
      <c r="B82" s="1109"/>
      <c r="C82" s="1112"/>
      <c r="D82" s="640">
        <v>11020</v>
      </c>
      <c r="E82" s="643" t="s">
        <v>775</v>
      </c>
      <c r="F82" s="630">
        <v>45870</v>
      </c>
    </row>
    <row r="83" spans="1:6" ht="15" hidden="1" thickBot="1" x14ac:dyDescent="0.4">
      <c r="A83" s="1107"/>
      <c r="B83" s="1110"/>
      <c r="C83" s="1113"/>
      <c r="D83" s="656">
        <v>11600</v>
      </c>
      <c r="E83" s="309" t="s">
        <v>775</v>
      </c>
      <c r="F83" s="646">
        <v>45870</v>
      </c>
    </row>
    <row r="84" spans="1:6" ht="15" hidden="1" thickBot="1" x14ac:dyDescent="0.4">
      <c r="A84" s="647" t="s">
        <v>705</v>
      </c>
      <c r="B84" s="648">
        <v>7000001748</v>
      </c>
      <c r="C84" s="649">
        <v>40954.5</v>
      </c>
      <c r="D84" s="650">
        <v>40955</v>
      </c>
      <c r="E84" s="651" t="s">
        <v>699</v>
      </c>
      <c r="F84" s="652">
        <v>45870</v>
      </c>
    </row>
    <row r="85" spans="1:6" hidden="1" x14ac:dyDescent="0.35">
      <c r="A85" s="613"/>
      <c r="B85" s="613"/>
      <c r="C85" s="613"/>
      <c r="D85" s="614">
        <f>SUM(D16:D84)</f>
        <v>1741847.3900000006</v>
      </c>
    </row>
  </sheetData>
  <autoFilter ref="A15:F85" xr:uid="{751EBA52-25CC-4FDC-A148-5A421CF8DE14}">
    <filterColumn colId="5">
      <filters>
        <dateGroupItem year="2025" month="9" dateTimeGrouping="month"/>
      </filters>
    </filterColumn>
  </autoFilter>
  <mergeCells count="51">
    <mergeCell ref="H1:I1"/>
    <mergeCell ref="A1:B1"/>
    <mergeCell ref="A8:B8"/>
    <mergeCell ref="A41:A44"/>
    <mergeCell ref="B41:B44"/>
    <mergeCell ref="A35:A40"/>
    <mergeCell ref="B35:B40"/>
    <mergeCell ref="C35:C40"/>
    <mergeCell ref="C41:C44"/>
    <mergeCell ref="A17:A20"/>
    <mergeCell ref="B17:B20"/>
    <mergeCell ref="C17:C20"/>
    <mergeCell ref="A22:A25"/>
    <mergeCell ref="B22:B25"/>
    <mergeCell ref="C22:C25"/>
    <mergeCell ref="A28:A32"/>
    <mergeCell ref="A65:A70"/>
    <mergeCell ref="B65:B70"/>
    <mergeCell ref="A71:A74"/>
    <mergeCell ref="B71:B74"/>
    <mergeCell ref="A53:A54"/>
    <mergeCell ref="B53:B54"/>
    <mergeCell ref="A55:A56"/>
    <mergeCell ref="B55:B56"/>
    <mergeCell ref="A57:A60"/>
    <mergeCell ref="B57:B60"/>
    <mergeCell ref="A75:A80"/>
    <mergeCell ref="B75:B80"/>
    <mergeCell ref="A81:A83"/>
    <mergeCell ref="B81:B83"/>
    <mergeCell ref="C81:C83"/>
    <mergeCell ref="C65:C70"/>
    <mergeCell ref="C71:C74"/>
    <mergeCell ref="C75:C80"/>
    <mergeCell ref="C46:C47"/>
    <mergeCell ref="C48:C50"/>
    <mergeCell ref="C51:C52"/>
    <mergeCell ref="C53:C54"/>
    <mergeCell ref="C55:C56"/>
    <mergeCell ref="B28:B32"/>
    <mergeCell ref="C28:C32"/>
    <mergeCell ref="C57:C60"/>
    <mergeCell ref="C61:C64"/>
    <mergeCell ref="A61:A64"/>
    <mergeCell ref="B61:B64"/>
    <mergeCell ref="A46:A47"/>
    <mergeCell ref="B46:B47"/>
    <mergeCell ref="A48:A50"/>
    <mergeCell ref="B48:B50"/>
    <mergeCell ref="A51:A52"/>
    <mergeCell ref="B51:B52"/>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8A632E-C67D-4EFD-B370-FA79E6DFA9B5}">
  <dimension ref="A1:H16"/>
  <sheetViews>
    <sheetView workbookViewId="0">
      <selection activeCell="E1" sqref="E1:H13"/>
    </sheetView>
  </sheetViews>
  <sheetFormatPr defaultRowHeight="14.5" x14ac:dyDescent="0.35"/>
  <cols>
    <col min="1" max="1" width="19.1796875" customWidth="1"/>
    <col min="2" max="2" width="15" customWidth="1"/>
    <col min="3" max="3" width="17.1796875" bestFit="1" customWidth="1"/>
    <col min="5" max="5" width="15.1796875" customWidth="1"/>
    <col min="6" max="6" width="16.1796875" customWidth="1"/>
    <col min="7" max="8" width="15.7265625" bestFit="1" customWidth="1"/>
    <col min="9" max="9" width="13.453125" bestFit="1" customWidth="1"/>
  </cols>
  <sheetData>
    <row r="1" spans="1:8" ht="16.5" thickBot="1" x14ac:dyDescent="0.4">
      <c r="A1" s="695" t="s">
        <v>222</v>
      </c>
      <c r="B1" s="695" t="s">
        <v>778</v>
      </c>
      <c r="E1" s="710"/>
      <c r="F1" s="709" t="s">
        <v>714</v>
      </c>
      <c r="G1" s="709" t="s">
        <v>715</v>
      </c>
      <c r="H1" s="709" t="s">
        <v>783</v>
      </c>
    </row>
    <row r="2" spans="1:8" ht="16.5" thickBot="1" x14ac:dyDescent="0.4">
      <c r="A2" s="701" t="s">
        <v>131</v>
      </c>
      <c r="B2" s="702">
        <v>61482.96</v>
      </c>
      <c r="C2" s="1124" t="s">
        <v>57</v>
      </c>
      <c r="E2" s="711" t="s">
        <v>713</v>
      </c>
      <c r="F2" s="713">
        <v>93702.04</v>
      </c>
      <c r="G2" s="713"/>
      <c r="H2" s="713">
        <f>SUM(F2:G2)</f>
        <v>93702.04</v>
      </c>
    </row>
    <row r="3" spans="1:8" ht="16.5" thickBot="1" x14ac:dyDescent="0.4">
      <c r="A3" s="692" t="s">
        <v>132</v>
      </c>
      <c r="B3" s="696">
        <v>117484.52</v>
      </c>
      <c r="C3" s="1125"/>
      <c r="E3" s="711" t="s">
        <v>215</v>
      </c>
      <c r="F3" s="713"/>
      <c r="G3" s="713"/>
      <c r="H3" s="713">
        <f t="shared" ref="H3:H6" si="0">SUM(F3:G3)</f>
        <v>0</v>
      </c>
    </row>
    <row r="4" spans="1:8" ht="32.5" thickBot="1" x14ac:dyDescent="0.4">
      <c r="A4" s="692" t="s">
        <v>134</v>
      </c>
      <c r="B4" s="696">
        <v>273633.56</v>
      </c>
      <c r="C4" s="1125"/>
      <c r="E4" s="711" t="s">
        <v>53</v>
      </c>
      <c r="F4" s="713">
        <v>162200</v>
      </c>
      <c r="G4" s="713">
        <v>1792</v>
      </c>
      <c r="H4" s="713">
        <f>SUM(F4:G4)</f>
        <v>163992</v>
      </c>
    </row>
    <row r="5" spans="1:8" ht="16.5" thickBot="1" x14ac:dyDescent="0.4">
      <c r="A5" s="692" t="s">
        <v>135</v>
      </c>
      <c r="B5" s="696">
        <v>229580.7</v>
      </c>
      <c r="C5" s="1125"/>
      <c r="E5" s="712" t="s">
        <v>280</v>
      </c>
      <c r="F5" s="716">
        <v>19171.54</v>
      </c>
      <c r="G5" s="716"/>
      <c r="H5" s="716">
        <f t="shared" si="0"/>
        <v>19171.54</v>
      </c>
    </row>
    <row r="6" spans="1:8" ht="16.5" thickBot="1" x14ac:dyDescent="0.4">
      <c r="A6" s="692" t="s">
        <v>136</v>
      </c>
      <c r="B6" s="696">
        <v>31610.31</v>
      </c>
      <c r="C6" s="1125"/>
      <c r="E6" s="717" t="s">
        <v>217</v>
      </c>
      <c r="F6" s="718">
        <f>SUM(F2:F5)</f>
        <v>275073.57999999996</v>
      </c>
      <c r="G6" s="718">
        <f>SUM(G2:G5)</f>
        <v>1792</v>
      </c>
      <c r="H6" s="718">
        <f t="shared" si="0"/>
        <v>276865.57999999996</v>
      </c>
    </row>
    <row r="7" spans="1:8" ht="16.5" thickBot="1" x14ac:dyDescent="0.4">
      <c r="A7" s="692" t="s">
        <v>137</v>
      </c>
      <c r="B7" s="696">
        <v>462065.01</v>
      </c>
      <c r="C7" s="1125"/>
      <c r="E7" s="712"/>
      <c r="F7" s="714"/>
      <c r="G7" s="714"/>
      <c r="H7" s="714"/>
    </row>
    <row r="8" spans="1:8" ht="16.5" thickBot="1" x14ac:dyDescent="0.4">
      <c r="A8" s="692" t="s">
        <v>138</v>
      </c>
      <c r="B8" s="696">
        <v>276158.74</v>
      </c>
      <c r="C8" s="1125"/>
      <c r="E8" s="709"/>
      <c r="F8" s="709" t="s">
        <v>716</v>
      </c>
      <c r="G8" s="709" t="s">
        <v>717</v>
      </c>
      <c r="H8" s="709" t="s">
        <v>783</v>
      </c>
    </row>
    <row r="9" spans="1:8" ht="30.65" customHeight="1" thickBot="1" x14ac:dyDescent="0.4">
      <c r="A9" s="703" t="s">
        <v>139</v>
      </c>
      <c r="B9" s="704">
        <v>-56749</v>
      </c>
      <c r="C9" s="1126"/>
      <c r="E9" s="715" t="s">
        <v>713</v>
      </c>
      <c r="F9" s="713">
        <v>29357.9</v>
      </c>
      <c r="G9" s="713">
        <v>113902.6</v>
      </c>
      <c r="H9" s="713">
        <f>SUM(F9:G9)</f>
        <v>143260.5</v>
      </c>
    </row>
    <row r="10" spans="1:8" ht="31.5" customHeight="1" thickBot="1" x14ac:dyDescent="0.4">
      <c r="A10" s="699" t="s">
        <v>140</v>
      </c>
      <c r="B10" s="700">
        <v>545975</v>
      </c>
      <c r="C10" s="1125" t="s">
        <v>155</v>
      </c>
      <c r="E10" s="715" t="s">
        <v>215</v>
      </c>
      <c r="F10" s="713">
        <v>601379.80000000005</v>
      </c>
      <c r="G10" s="713">
        <v>750683.5</v>
      </c>
      <c r="H10" s="713">
        <f>SUM(F10:G10)</f>
        <v>1352063.3</v>
      </c>
    </row>
    <row r="11" spans="1:8" ht="32.5" thickBot="1" x14ac:dyDescent="0.4">
      <c r="A11" s="693" t="s">
        <v>141</v>
      </c>
      <c r="B11" s="697">
        <v>182039</v>
      </c>
      <c r="C11" s="1125"/>
      <c r="E11" s="715" t="s">
        <v>53</v>
      </c>
      <c r="F11" s="713">
        <v>103408.84</v>
      </c>
      <c r="G11" s="713">
        <v>485664.93</v>
      </c>
      <c r="H11" s="713">
        <f t="shared" ref="H11:H12" si="1">SUM(F11:G11)</f>
        <v>589073.77</v>
      </c>
    </row>
    <row r="12" spans="1:8" ht="16.5" thickBot="1" x14ac:dyDescent="0.4">
      <c r="A12" s="693" t="s">
        <v>143</v>
      </c>
      <c r="B12" s="697">
        <v>272051</v>
      </c>
      <c r="C12" s="1125"/>
      <c r="E12" s="719" t="s">
        <v>280</v>
      </c>
      <c r="F12" s="716">
        <v>7059.7</v>
      </c>
      <c r="G12" s="716">
        <v>45015.77</v>
      </c>
      <c r="H12" s="716">
        <f t="shared" si="1"/>
        <v>52075.469999999994</v>
      </c>
    </row>
    <row r="13" spans="1:8" ht="16.5" thickBot="1" x14ac:dyDescent="0.4">
      <c r="A13" s="694" t="s">
        <v>145</v>
      </c>
      <c r="B13" s="698">
        <v>184315</v>
      </c>
      <c r="C13" s="1126"/>
      <c r="E13" s="720" t="s">
        <v>217</v>
      </c>
      <c r="F13" s="718">
        <f>SUM(F9:F12)</f>
        <v>741206.24</v>
      </c>
      <c r="G13" s="718">
        <f t="shared" ref="G13:H13" si="2">SUM(G9:G12)</f>
        <v>1395266.8</v>
      </c>
      <c r="H13" s="718">
        <f t="shared" si="2"/>
        <v>2136473.04</v>
      </c>
    </row>
    <row r="14" spans="1:8" x14ac:dyDescent="0.35">
      <c r="B14" s="556"/>
    </row>
    <row r="15" spans="1:8" x14ac:dyDescent="0.35">
      <c r="A15" s="705" t="s">
        <v>779</v>
      </c>
      <c r="B15" s="705" t="s">
        <v>780</v>
      </c>
      <c r="C15" s="707" t="s">
        <v>781</v>
      </c>
    </row>
    <row r="16" spans="1:8" x14ac:dyDescent="0.35">
      <c r="A16" s="706">
        <v>3250000</v>
      </c>
      <c r="B16" s="706">
        <f>SUM(B2:B13)</f>
        <v>2579646.7999999998</v>
      </c>
      <c r="C16" s="708">
        <f>A16-B16</f>
        <v>670353.20000000019</v>
      </c>
    </row>
  </sheetData>
  <mergeCells count="2">
    <mergeCell ref="C2:C9"/>
    <mergeCell ref="C10:C13"/>
  </mergeCells>
  <phoneticPr fontId="7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2BAB1-8B2E-47C6-991F-D2BEC5635B22}">
  <dimension ref="A1:F11"/>
  <sheetViews>
    <sheetView workbookViewId="0">
      <selection activeCell="A16" sqref="A16:XFD18"/>
    </sheetView>
  </sheetViews>
  <sheetFormatPr defaultRowHeight="14.5" x14ac:dyDescent="0.35"/>
  <cols>
    <col min="1" max="1" width="14.54296875" customWidth="1"/>
    <col min="2" max="2" width="18.7265625" customWidth="1"/>
    <col min="3" max="3" width="15.26953125" customWidth="1"/>
    <col min="4" max="4" width="14" bestFit="1" customWidth="1"/>
    <col min="5" max="5" width="13.1796875" customWidth="1"/>
    <col min="6" max="6" width="16.81640625" customWidth="1"/>
  </cols>
  <sheetData>
    <row r="1" spans="1:6" x14ac:dyDescent="0.35">
      <c r="A1" s="721" t="s">
        <v>784</v>
      </c>
      <c r="B1" s="724" t="s">
        <v>790</v>
      </c>
      <c r="C1" s="722" t="s">
        <v>643</v>
      </c>
      <c r="D1" s="722" t="s">
        <v>787</v>
      </c>
      <c r="E1" s="722" t="s">
        <v>785</v>
      </c>
      <c r="F1" s="723" t="s">
        <v>786</v>
      </c>
    </row>
    <row r="2" spans="1:6" x14ac:dyDescent="0.35">
      <c r="A2" s="1127">
        <v>7000001841</v>
      </c>
      <c r="B2" s="307">
        <v>9300325597</v>
      </c>
      <c r="C2" s="1128">
        <v>55286.98</v>
      </c>
      <c r="D2" s="1128">
        <v>6730.56</v>
      </c>
      <c r="E2" s="562">
        <v>1121.76</v>
      </c>
      <c r="F2" s="307" t="s">
        <v>789</v>
      </c>
    </row>
    <row r="3" spans="1:6" x14ac:dyDescent="0.35">
      <c r="A3" s="1127"/>
      <c r="B3" s="307">
        <v>9300362997</v>
      </c>
      <c r="C3" s="1129"/>
      <c r="D3" s="1129"/>
      <c r="E3" s="562">
        <v>2084.4</v>
      </c>
      <c r="F3" s="307" t="s">
        <v>789</v>
      </c>
    </row>
    <row r="4" spans="1:6" x14ac:dyDescent="0.35">
      <c r="A4" s="1127"/>
      <c r="B4" s="307">
        <v>9300461254</v>
      </c>
      <c r="C4" s="1129"/>
      <c r="D4" s="1129"/>
      <c r="E4" s="562">
        <v>2084.4</v>
      </c>
      <c r="F4" s="307" t="s">
        <v>789</v>
      </c>
    </row>
    <row r="5" spans="1:6" x14ac:dyDescent="0.35">
      <c r="A5" s="1127"/>
      <c r="B5" s="307">
        <v>9300190409</v>
      </c>
      <c r="C5" s="1129"/>
      <c r="D5" s="1129"/>
      <c r="E5" s="562">
        <v>22374.9</v>
      </c>
      <c r="F5" s="307" t="s">
        <v>791</v>
      </c>
    </row>
    <row r="6" spans="1:6" x14ac:dyDescent="0.35">
      <c r="A6" s="1127"/>
      <c r="B6" s="307">
        <v>9300645956</v>
      </c>
      <c r="C6" s="1129"/>
      <c r="D6" s="1129"/>
      <c r="E6" s="730">
        <v>544.72</v>
      </c>
      <c r="F6" s="307" t="s">
        <v>789</v>
      </c>
    </row>
    <row r="7" spans="1:6" x14ac:dyDescent="0.35">
      <c r="A7" s="1127"/>
      <c r="B7" s="729">
        <v>9300796657</v>
      </c>
      <c r="C7" s="1130"/>
      <c r="D7" s="1130"/>
      <c r="E7" s="562">
        <v>46644.6</v>
      </c>
      <c r="F7" s="307" t="s">
        <v>789</v>
      </c>
    </row>
    <row r="8" spans="1:6" x14ac:dyDescent="0.35">
      <c r="C8" s="725">
        <v>55286.98</v>
      </c>
      <c r="D8" s="725">
        <v>6730.56</v>
      </c>
      <c r="E8" s="726">
        <f>SUM(E2:E7)</f>
        <v>74854.78</v>
      </c>
    </row>
    <row r="10" spans="1:6" x14ac:dyDescent="0.35">
      <c r="C10" s="727" t="s">
        <v>792</v>
      </c>
      <c r="D10" s="728">
        <f>E8-D8</f>
        <v>68124.22</v>
      </c>
    </row>
    <row r="11" spans="1:6" x14ac:dyDescent="0.35">
      <c r="D11" s="556">
        <v>68124.22</v>
      </c>
    </row>
  </sheetData>
  <mergeCells count="3">
    <mergeCell ref="A2:A7"/>
    <mergeCell ref="C2:C7"/>
    <mergeCell ref="D2:D7"/>
  </mergeCells>
  <hyperlinks>
    <hyperlink ref="B3" r:id="rId1" display="https://s3.ariba.com/Buyer/Main/aw?awh=r&amp;awssk=KD1eIJ412IzVJPhA&amp;realm=744218352-CHILD1" xr:uid="{F743E1DF-B887-4295-8468-4221642E6C83}"/>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CB488C-FA56-415A-831D-F5EBD328539D}">
  <sheetPr>
    <tabColor theme="4"/>
  </sheetPr>
  <dimension ref="A2:CC140"/>
  <sheetViews>
    <sheetView topLeftCell="U9" workbookViewId="0">
      <selection activeCell="AJ61" sqref="Z61:AJ61"/>
    </sheetView>
  </sheetViews>
  <sheetFormatPr defaultColWidth="25.54296875" defaultRowHeight="14.5" x14ac:dyDescent="0.35"/>
  <cols>
    <col min="1" max="1" width="27.453125" customWidth="1"/>
    <col min="2" max="2" width="35.54296875" customWidth="1"/>
    <col min="3" max="3" width="32" customWidth="1"/>
    <col min="4" max="4" width="22.54296875" customWidth="1"/>
    <col min="5" max="5" width="16" customWidth="1"/>
    <col min="6" max="6" width="16.453125" customWidth="1"/>
    <col min="7" max="7" width="21.26953125" customWidth="1"/>
    <col min="8" max="8" width="25.26953125" customWidth="1"/>
    <col min="9" max="9" width="20.1796875" customWidth="1"/>
    <col min="10" max="10" width="12.54296875" customWidth="1"/>
    <col min="11" max="11" width="23.453125" customWidth="1"/>
    <col min="12" max="12" width="20.81640625" customWidth="1"/>
    <col min="13" max="16" width="12.54296875" customWidth="1"/>
    <col min="17" max="17" width="19.54296875" customWidth="1"/>
    <col min="18" max="18" width="24.7265625" customWidth="1"/>
    <col min="21" max="21" width="35.54296875" customWidth="1"/>
    <col min="23" max="23" width="22.54296875" customWidth="1"/>
    <col min="24" max="36" width="12.54296875" customWidth="1"/>
    <col min="37" max="37" width="15.7265625" customWidth="1"/>
    <col min="40" max="40" width="35.54296875" customWidth="1"/>
    <col min="42" max="42" width="22.54296875" customWidth="1"/>
    <col min="43" max="55" width="12.54296875" customWidth="1"/>
    <col min="56" max="56" width="17.453125" customWidth="1"/>
    <col min="59" max="59" width="35.54296875" customWidth="1"/>
    <col min="61" max="61" width="22.54296875" customWidth="1"/>
    <col min="62" max="74" width="12.54296875" customWidth="1"/>
    <col min="75" max="75" width="17.453125" customWidth="1"/>
  </cols>
  <sheetData>
    <row r="2" spans="1:81" ht="15.5" x14ac:dyDescent="0.35">
      <c r="B2" s="1171" t="s">
        <v>401</v>
      </c>
      <c r="C2" s="1171"/>
    </row>
    <row r="3" spans="1:81" ht="29" x14ac:dyDescent="0.35">
      <c r="B3" s="500" t="s">
        <v>402</v>
      </c>
      <c r="C3" s="501">
        <v>1</v>
      </c>
      <c r="G3" s="502"/>
      <c r="J3" s="502"/>
    </row>
    <row r="8" spans="1:81" x14ac:dyDescent="0.35">
      <c r="B8" s="303"/>
    </row>
    <row r="9" spans="1:81" ht="15" thickBot="1" x14ac:dyDescent="0.4">
      <c r="B9" s="303"/>
      <c r="AM9" t="s">
        <v>383</v>
      </c>
      <c r="BY9" s="303" t="s">
        <v>403</v>
      </c>
    </row>
    <row r="10" spans="1:81" ht="15.5" thickTop="1" thickBot="1" x14ac:dyDescent="0.4">
      <c r="B10" s="303"/>
      <c r="C10" s="303">
        <v>2024</v>
      </c>
      <c r="H10" s="1172" t="s">
        <v>404</v>
      </c>
      <c r="I10" s="1172"/>
      <c r="J10" s="1172"/>
      <c r="K10" s="1172"/>
      <c r="L10" s="1172"/>
      <c r="M10" s="1172"/>
      <c r="N10" s="1172"/>
      <c r="O10" s="1172"/>
      <c r="P10" s="1173" t="s">
        <v>405</v>
      </c>
      <c r="Q10" s="1174"/>
      <c r="S10" s="1173" t="s">
        <v>406</v>
      </c>
      <c r="T10" s="1174"/>
      <c r="V10" s="303">
        <v>2025</v>
      </c>
      <c r="AL10" s="503"/>
      <c r="AN10" s="303"/>
      <c r="AO10" s="303">
        <v>2026</v>
      </c>
      <c r="BG10" s="303"/>
      <c r="BH10" s="303">
        <v>2027</v>
      </c>
    </row>
    <row r="11" spans="1:81" ht="18" thickTop="1" thickBot="1" x14ac:dyDescent="0.45">
      <c r="A11" s="320" t="s">
        <v>221</v>
      </c>
      <c r="B11" s="303"/>
      <c r="C11" s="1175" t="s">
        <v>222</v>
      </c>
      <c r="D11" s="1176"/>
      <c r="E11" s="321"/>
      <c r="F11" s="321" t="s">
        <v>131</v>
      </c>
      <c r="G11" s="321" t="s">
        <v>132</v>
      </c>
      <c r="H11" s="321" t="s">
        <v>134</v>
      </c>
      <c r="I11" s="321" t="s">
        <v>135</v>
      </c>
      <c r="J11" s="321" t="s">
        <v>136</v>
      </c>
      <c r="K11" s="321" t="s">
        <v>137</v>
      </c>
      <c r="L11" s="321" t="s">
        <v>138</v>
      </c>
      <c r="M11" s="321" t="s">
        <v>139</v>
      </c>
      <c r="N11" s="321" t="s">
        <v>140</v>
      </c>
      <c r="O11" s="485" t="s">
        <v>141</v>
      </c>
      <c r="P11" s="504" t="s">
        <v>143</v>
      </c>
      <c r="Q11" s="505" t="s">
        <v>145</v>
      </c>
      <c r="R11" s="486" t="s">
        <v>217</v>
      </c>
      <c r="V11" s="1175" t="s">
        <v>222</v>
      </c>
      <c r="W11" s="1176"/>
      <c r="X11" s="506"/>
      <c r="Y11" s="321" t="s">
        <v>131</v>
      </c>
      <c r="Z11" s="321" t="s">
        <v>132</v>
      </c>
      <c r="AA11" s="321" t="s">
        <v>134</v>
      </c>
      <c r="AB11" s="321" t="s">
        <v>135</v>
      </c>
      <c r="AC11" s="321" t="s">
        <v>136</v>
      </c>
      <c r="AD11" s="321" t="s">
        <v>137</v>
      </c>
      <c r="AE11" s="321" t="s">
        <v>138</v>
      </c>
      <c r="AF11" s="321" t="s">
        <v>139</v>
      </c>
      <c r="AG11" s="321" t="s">
        <v>140</v>
      </c>
      <c r="AH11" s="321" t="s">
        <v>141</v>
      </c>
      <c r="AI11" s="321" t="s">
        <v>143</v>
      </c>
      <c r="AJ11" s="321" t="s">
        <v>145</v>
      </c>
      <c r="AK11" s="485" t="s">
        <v>217</v>
      </c>
      <c r="AL11" s="507" t="s">
        <v>407</v>
      </c>
      <c r="AO11" s="1175" t="s">
        <v>222</v>
      </c>
      <c r="AP11" s="1176"/>
      <c r="AQ11" s="506"/>
      <c r="AR11" s="321" t="s">
        <v>131</v>
      </c>
      <c r="AS11" s="321" t="s">
        <v>132</v>
      </c>
      <c r="AT11" s="321" t="s">
        <v>134</v>
      </c>
      <c r="AU11" s="321" t="s">
        <v>135</v>
      </c>
      <c r="AV11" s="321" t="s">
        <v>136</v>
      </c>
      <c r="AW11" s="321" t="s">
        <v>137</v>
      </c>
      <c r="AX11" s="321" t="s">
        <v>138</v>
      </c>
      <c r="AY11" s="321" t="s">
        <v>139</v>
      </c>
      <c r="AZ11" s="321" t="s">
        <v>140</v>
      </c>
      <c r="BA11" s="321" t="s">
        <v>141</v>
      </c>
      <c r="BB11" s="321" t="s">
        <v>143</v>
      </c>
      <c r="BC11" s="321" t="s">
        <v>145</v>
      </c>
      <c r="BD11" s="321" t="s">
        <v>217</v>
      </c>
      <c r="BH11" s="1175" t="s">
        <v>222</v>
      </c>
      <c r="BI11" s="1176"/>
      <c r="BJ11" s="506"/>
      <c r="BK11" s="321" t="s">
        <v>131</v>
      </c>
      <c r="BL11" s="321" t="s">
        <v>132</v>
      </c>
      <c r="BM11" s="321" t="s">
        <v>134</v>
      </c>
      <c r="BN11" s="321" t="s">
        <v>135</v>
      </c>
      <c r="BO11" s="321" t="s">
        <v>136</v>
      </c>
      <c r="BP11" s="321" t="s">
        <v>137</v>
      </c>
      <c r="BQ11" s="321" t="s">
        <v>138</v>
      </c>
      <c r="BR11" s="321" t="s">
        <v>139</v>
      </c>
      <c r="BS11" s="321" t="s">
        <v>140</v>
      </c>
      <c r="BT11" s="321" t="s">
        <v>141</v>
      </c>
      <c r="BU11" s="321" t="s">
        <v>143</v>
      </c>
      <c r="BV11" s="321" t="s">
        <v>145</v>
      </c>
      <c r="BW11" s="321" t="s">
        <v>217</v>
      </c>
      <c r="BY11" s="508">
        <v>2024</v>
      </c>
      <c r="BZ11" s="508">
        <v>2025</v>
      </c>
      <c r="CA11" s="508">
        <v>2026</v>
      </c>
      <c r="CB11" s="508">
        <v>2027</v>
      </c>
      <c r="CC11" s="508" t="s">
        <v>408</v>
      </c>
    </row>
    <row r="12" spans="1:81" ht="15" thickTop="1" x14ac:dyDescent="0.35">
      <c r="B12" s="303"/>
      <c r="C12" s="1167" t="s">
        <v>409</v>
      </c>
      <c r="D12" s="1168"/>
      <c r="E12" s="322"/>
      <c r="F12" s="322">
        <f t="shared" ref="F12:Q12" si="0">F50+F71+F91+F111</f>
        <v>0</v>
      </c>
      <c r="G12" s="322">
        <f t="shared" si="0"/>
        <v>0</v>
      </c>
      <c r="H12" s="322">
        <f t="shared" si="0"/>
        <v>4997.8600000000006</v>
      </c>
      <c r="I12" s="322">
        <f t="shared" si="0"/>
        <v>5955.76</v>
      </c>
      <c r="J12" s="322">
        <f t="shared" si="0"/>
        <v>91934.2</v>
      </c>
      <c r="K12" s="322">
        <f t="shared" si="0"/>
        <v>15502.400000000001</v>
      </c>
      <c r="L12" s="322">
        <f t="shared" si="0"/>
        <v>97461.2</v>
      </c>
      <c r="M12" s="322">
        <f t="shared" si="0"/>
        <v>7663.2000000000007</v>
      </c>
      <c r="N12" s="322">
        <f t="shared" si="0"/>
        <v>39974.300000000003</v>
      </c>
      <c r="O12" s="509">
        <f t="shared" si="0"/>
        <v>8994.3000000000011</v>
      </c>
      <c r="P12" s="510">
        <f>P50+P71+P91+P111</f>
        <v>357284.2</v>
      </c>
      <c r="Q12" s="511">
        <f t="shared" si="0"/>
        <v>357284.2</v>
      </c>
      <c r="R12" s="512">
        <f>SUM(F12:Q12)</f>
        <v>987051.61999999988</v>
      </c>
      <c r="S12" s="510">
        <f>SUM(P12:Q12)</f>
        <v>714568.4</v>
      </c>
      <c r="V12" s="1169" t="s">
        <v>409</v>
      </c>
      <c r="W12" s="1170"/>
      <c r="X12" s="513"/>
      <c r="Y12" s="322">
        <f t="shared" ref="Y12:AJ12" si="1">Y50+Y71+Y91+Y111</f>
        <v>88585.5</v>
      </c>
      <c r="Z12" s="322">
        <f t="shared" si="1"/>
        <v>237441.50000000003</v>
      </c>
      <c r="AA12" s="322">
        <f t="shared" si="1"/>
        <v>319041.5</v>
      </c>
      <c r="AB12" s="322">
        <f t="shared" si="1"/>
        <v>319041.5</v>
      </c>
      <c r="AC12" s="322">
        <f t="shared" si="1"/>
        <v>319041.5</v>
      </c>
      <c r="AD12" s="322">
        <f t="shared" si="1"/>
        <v>319041.5</v>
      </c>
      <c r="AE12" s="322">
        <f t="shared" si="1"/>
        <v>319041.5</v>
      </c>
      <c r="AF12" s="322">
        <f t="shared" si="1"/>
        <v>285191.5</v>
      </c>
      <c r="AG12" s="322">
        <f t="shared" si="1"/>
        <v>285191.5</v>
      </c>
      <c r="AH12" s="322">
        <f t="shared" si="1"/>
        <v>285191.5</v>
      </c>
      <c r="AI12" s="322">
        <f t="shared" si="1"/>
        <v>285191.5</v>
      </c>
      <c r="AJ12" s="322">
        <f t="shared" si="1"/>
        <v>285191.5</v>
      </c>
      <c r="AK12" s="509">
        <f>SUM(Y12:AJ12)</f>
        <v>3347192</v>
      </c>
      <c r="AL12" s="514">
        <f>SUM(P12:Q12)+AK12</f>
        <v>4061760.4</v>
      </c>
      <c r="AN12" s="244"/>
      <c r="AO12" s="1167" t="s">
        <v>409</v>
      </c>
      <c r="AP12" s="1168"/>
      <c r="AQ12" s="513"/>
      <c r="AR12" s="322">
        <f t="shared" ref="AR12:BC12" si="2">AR50+AR71+AR91+AR111</f>
        <v>6053.9</v>
      </c>
      <c r="AS12" s="322">
        <f t="shared" si="2"/>
        <v>145959.9</v>
      </c>
      <c r="AT12" s="322">
        <f t="shared" si="2"/>
        <v>325209.90000000002</v>
      </c>
      <c r="AU12" s="322">
        <f t="shared" si="2"/>
        <v>325209.90000000002</v>
      </c>
      <c r="AV12" s="322">
        <f t="shared" si="2"/>
        <v>325209.90000000002</v>
      </c>
      <c r="AW12" s="322">
        <f t="shared" si="2"/>
        <v>325209.90000000002</v>
      </c>
      <c r="AX12" s="322">
        <f t="shared" si="2"/>
        <v>301359.90000000002</v>
      </c>
      <c r="AY12" s="322">
        <f t="shared" si="2"/>
        <v>301359.90000000002</v>
      </c>
      <c r="AZ12" s="322">
        <f t="shared" si="2"/>
        <v>172959.9</v>
      </c>
      <c r="BA12" s="322">
        <f t="shared" si="2"/>
        <v>172959.9</v>
      </c>
      <c r="BB12" s="322">
        <f t="shared" si="2"/>
        <v>172959.9</v>
      </c>
      <c r="BC12" s="322">
        <f t="shared" si="2"/>
        <v>172959.9</v>
      </c>
      <c r="BD12" s="322">
        <f>SUM(AR12:BC12)</f>
        <v>2747412.7999999993</v>
      </c>
      <c r="BG12" s="244"/>
      <c r="BH12" s="1167" t="s">
        <v>409</v>
      </c>
      <c r="BI12" s="1168"/>
      <c r="BJ12" s="513"/>
      <c r="BK12" s="322">
        <f t="shared" ref="BK12:BV12" si="3">BK50+BK71+BK91+BK111</f>
        <v>6053.9</v>
      </c>
      <c r="BL12" s="322">
        <f t="shared" si="3"/>
        <v>413259.9</v>
      </c>
      <c r="BM12" s="322">
        <f t="shared" si="3"/>
        <v>413259.9</v>
      </c>
      <c r="BN12" s="322">
        <f t="shared" si="3"/>
        <v>413259.9</v>
      </c>
      <c r="BO12" s="322">
        <f t="shared" si="3"/>
        <v>349059.9</v>
      </c>
      <c r="BP12" s="322">
        <f t="shared" si="3"/>
        <v>349059.9</v>
      </c>
      <c r="BQ12" s="322">
        <f t="shared" si="3"/>
        <v>281359.90000000002</v>
      </c>
      <c r="BR12" s="322">
        <f t="shared" si="3"/>
        <v>281359.90000000002</v>
      </c>
      <c r="BS12" s="322">
        <f t="shared" si="3"/>
        <v>17559.900000000001</v>
      </c>
      <c r="BT12" s="322">
        <f t="shared" si="3"/>
        <v>17559.900000000001</v>
      </c>
      <c r="BU12" s="322">
        <f t="shared" si="3"/>
        <v>17559.900000000001</v>
      </c>
      <c r="BV12" s="322">
        <f t="shared" si="3"/>
        <v>17559.900000000001</v>
      </c>
      <c r="BW12" s="322">
        <f>SUM(BK12:BV12)</f>
        <v>2576912.7999999993</v>
      </c>
      <c r="BX12" s="515" t="s">
        <v>410</v>
      </c>
      <c r="BY12" s="241">
        <f>SUM(P12:Q12)</f>
        <v>714568.4</v>
      </c>
      <c r="BZ12" s="516">
        <f>AK12</f>
        <v>3347192</v>
      </c>
      <c r="CA12" s="516">
        <f>BD12</f>
        <v>2747412.7999999993</v>
      </c>
      <c r="CB12" s="241">
        <f>BW12</f>
        <v>2576912.7999999993</v>
      </c>
      <c r="CC12" s="241">
        <f>SUM(BY12:CB12)</f>
        <v>9386085.9999999981</v>
      </c>
    </row>
    <row r="13" spans="1:81" x14ac:dyDescent="0.35">
      <c r="B13" s="303"/>
      <c r="C13" s="1163" t="s">
        <v>411</v>
      </c>
      <c r="D13" s="1164"/>
      <c r="E13" s="517"/>
      <c r="F13" s="518">
        <f>IF($C$3=1,(F12*0.075),0)</f>
        <v>0</v>
      </c>
      <c r="G13" s="518">
        <f t="shared" ref="G13:R13" si="4">IF($C$3=1,(G12*0.075),0)</f>
        <v>0</v>
      </c>
      <c r="H13" s="518">
        <f t="shared" si="4"/>
        <v>374.83950000000004</v>
      </c>
      <c r="I13" s="518">
        <f t="shared" si="4"/>
        <v>446.68200000000002</v>
      </c>
      <c r="J13" s="518">
        <f t="shared" si="4"/>
        <v>6895.0649999999996</v>
      </c>
      <c r="K13" s="518">
        <f t="shared" si="4"/>
        <v>1162.68</v>
      </c>
      <c r="L13" s="518">
        <f t="shared" si="4"/>
        <v>7309.5899999999992</v>
      </c>
      <c r="M13" s="518">
        <f t="shared" si="4"/>
        <v>574.74</v>
      </c>
      <c r="N13" s="518">
        <f t="shared" si="4"/>
        <v>2998.0725000000002</v>
      </c>
      <c r="O13" s="519">
        <f t="shared" si="4"/>
        <v>674.5725000000001</v>
      </c>
      <c r="P13" s="520">
        <f>IF($C$3=1,(P12*0.05),0)</f>
        <v>17864.210000000003</v>
      </c>
      <c r="Q13" s="521">
        <f>IF($C$3=1,(Q12*0.05),0)</f>
        <v>17864.210000000003</v>
      </c>
      <c r="R13" s="522">
        <f t="shared" si="4"/>
        <v>74028.871499999994</v>
      </c>
      <c r="S13" s="520">
        <f>SUM(P13:Q13)</f>
        <v>35728.420000000006</v>
      </c>
      <c r="V13" s="1165" t="s">
        <v>411</v>
      </c>
      <c r="W13" s="1166"/>
      <c r="X13" s="517"/>
      <c r="Y13" s="518">
        <f t="shared" ref="Y13:AK13" si="5">IF($C$3=1,(Y12*0.075),0)</f>
        <v>6643.9124999999995</v>
      </c>
      <c r="Z13" s="518">
        <f t="shared" si="5"/>
        <v>17808.112500000003</v>
      </c>
      <c r="AA13" s="518">
        <f t="shared" si="5"/>
        <v>23928.112499999999</v>
      </c>
      <c r="AB13" s="518">
        <f t="shared" si="5"/>
        <v>23928.112499999999</v>
      </c>
      <c r="AC13" s="518">
        <f t="shared" si="5"/>
        <v>23928.112499999999</v>
      </c>
      <c r="AD13" s="518">
        <f t="shared" si="5"/>
        <v>23928.112499999999</v>
      </c>
      <c r="AE13" s="518">
        <f t="shared" si="5"/>
        <v>23928.112499999999</v>
      </c>
      <c r="AF13" s="518">
        <f t="shared" si="5"/>
        <v>21389.362499999999</v>
      </c>
      <c r="AG13" s="518">
        <f t="shared" si="5"/>
        <v>21389.362499999999</v>
      </c>
      <c r="AH13" s="518">
        <f t="shared" si="5"/>
        <v>21389.362499999999</v>
      </c>
      <c r="AI13" s="518">
        <f t="shared" si="5"/>
        <v>21389.362499999999</v>
      </c>
      <c r="AJ13" s="518">
        <f t="shared" si="5"/>
        <v>21389.362499999999</v>
      </c>
      <c r="AK13" s="519">
        <f t="shared" si="5"/>
        <v>251039.4</v>
      </c>
      <c r="AL13" s="514">
        <f>SUM(P13:Q13)+AK13</f>
        <v>286767.82</v>
      </c>
      <c r="AN13" s="523"/>
      <c r="AO13" s="1163" t="s">
        <v>411</v>
      </c>
      <c r="AP13" s="1164"/>
      <c r="AQ13" s="517"/>
      <c r="AR13" s="518">
        <f t="shared" ref="AR13:BD13" si="6">IF($C$3=1,(AR12*0.075),0)</f>
        <v>454.04249999999996</v>
      </c>
      <c r="AS13" s="518">
        <f t="shared" si="6"/>
        <v>10946.992499999998</v>
      </c>
      <c r="AT13" s="518">
        <f t="shared" si="6"/>
        <v>24390.7425</v>
      </c>
      <c r="AU13" s="518">
        <f t="shared" si="6"/>
        <v>24390.7425</v>
      </c>
      <c r="AV13" s="518">
        <f t="shared" si="6"/>
        <v>24390.7425</v>
      </c>
      <c r="AW13" s="518">
        <f t="shared" si="6"/>
        <v>24390.7425</v>
      </c>
      <c r="AX13" s="518">
        <f t="shared" si="6"/>
        <v>22601.9925</v>
      </c>
      <c r="AY13" s="518">
        <f t="shared" si="6"/>
        <v>22601.9925</v>
      </c>
      <c r="AZ13" s="518">
        <f t="shared" si="6"/>
        <v>12971.992499999998</v>
      </c>
      <c r="BA13" s="518">
        <f t="shared" si="6"/>
        <v>12971.992499999998</v>
      </c>
      <c r="BB13" s="518">
        <f t="shared" si="6"/>
        <v>12971.992499999998</v>
      </c>
      <c r="BC13" s="518">
        <f t="shared" si="6"/>
        <v>12971.992499999998</v>
      </c>
      <c r="BD13" s="518">
        <f t="shared" si="6"/>
        <v>206055.95999999993</v>
      </c>
      <c r="BG13" s="523"/>
      <c r="BH13" s="1163" t="s">
        <v>411</v>
      </c>
      <c r="BI13" s="1164"/>
      <c r="BJ13" s="517"/>
      <c r="BK13" s="518">
        <f t="shared" ref="BK13:BW13" si="7">IF($C$3=1,(BK12*0.075),0)</f>
        <v>454.04249999999996</v>
      </c>
      <c r="BL13" s="518">
        <f t="shared" si="7"/>
        <v>30994.4925</v>
      </c>
      <c r="BM13" s="518">
        <f t="shared" si="7"/>
        <v>30994.4925</v>
      </c>
      <c r="BN13" s="518">
        <f t="shared" si="7"/>
        <v>30994.4925</v>
      </c>
      <c r="BO13" s="518">
        <f t="shared" si="7"/>
        <v>26179.4925</v>
      </c>
      <c r="BP13" s="518">
        <f t="shared" si="7"/>
        <v>26179.4925</v>
      </c>
      <c r="BQ13" s="518">
        <f t="shared" si="7"/>
        <v>21101.9925</v>
      </c>
      <c r="BR13" s="518">
        <f t="shared" si="7"/>
        <v>21101.9925</v>
      </c>
      <c r="BS13" s="518">
        <f t="shared" si="7"/>
        <v>1316.9925000000001</v>
      </c>
      <c r="BT13" s="518">
        <f t="shared" si="7"/>
        <v>1316.9925000000001</v>
      </c>
      <c r="BU13" s="518">
        <f t="shared" si="7"/>
        <v>1316.9925000000001</v>
      </c>
      <c r="BV13" s="518">
        <f t="shared" si="7"/>
        <v>1316.9925000000001</v>
      </c>
      <c r="BW13" s="518">
        <f t="shared" si="7"/>
        <v>193268.45999999993</v>
      </c>
      <c r="BX13" s="515" t="s">
        <v>412</v>
      </c>
      <c r="BY13" s="241">
        <f>SUM(P13:Q13)</f>
        <v>35728.420000000006</v>
      </c>
      <c r="BZ13" s="241">
        <f>AK13</f>
        <v>251039.4</v>
      </c>
      <c r="CA13" s="241">
        <f>BD13</f>
        <v>206055.95999999993</v>
      </c>
      <c r="CB13" s="241">
        <f>BW13</f>
        <v>193268.45999999993</v>
      </c>
      <c r="CC13" s="241">
        <f t="shared" ref="CC13:CC14" si="8">SUM(BY13:CB13)</f>
        <v>686092.23999999987</v>
      </c>
    </row>
    <row r="14" spans="1:81" x14ac:dyDescent="0.35">
      <c r="B14" s="303"/>
      <c r="C14" s="1163" t="s">
        <v>413</v>
      </c>
      <c r="D14" s="1164"/>
      <c r="E14" s="517">
        <v>0</v>
      </c>
      <c r="F14" s="518">
        <f t="shared" ref="F14:R14" si="9">$E$14*(F12+F13)</f>
        <v>0</v>
      </c>
      <c r="G14" s="518">
        <f t="shared" si="9"/>
        <v>0</v>
      </c>
      <c r="H14" s="518">
        <f t="shared" si="9"/>
        <v>0</v>
      </c>
      <c r="I14" s="518">
        <f t="shared" si="9"/>
        <v>0</v>
      </c>
      <c r="J14" s="518">
        <f t="shared" si="9"/>
        <v>0</v>
      </c>
      <c r="K14" s="518">
        <f t="shared" si="9"/>
        <v>0</v>
      </c>
      <c r="L14" s="518">
        <f t="shared" si="9"/>
        <v>0</v>
      </c>
      <c r="M14" s="518">
        <f t="shared" si="9"/>
        <v>0</v>
      </c>
      <c r="N14" s="518">
        <f t="shared" si="9"/>
        <v>0</v>
      </c>
      <c r="O14" s="519">
        <f t="shared" si="9"/>
        <v>0</v>
      </c>
      <c r="P14" s="520">
        <f t="shared" si="9"/>
        <v>0</v>
      </c>
      <c r="Q14" s="521">
        <f t="shared" si="9"/>
        <v>0</v>
      </c>
      <c r="R14" s="522">
        <f t="shared" si="9"/>
        <v>0</v>
      </c>
      <c r="S14" s="520">
        <f>SUM(P14:Q14)</f>
        <v>0</v>
      </c>
      <c r="V14" s="1165" t="s">
        <v>414</v>
      </c>
      <c r="W14" s="1166"/>
      <c r="X14" s="517">
        <v>0</v>
      </c>
      <c r="Y14" s="518">
        <f t="shared" ref="Y14:AK14" si="10">$X$14*(Y12+Y13)</f>
        <v>0</v>
      </c>
      <c r="Z14" s="518">
        <f t="shared" si="10"/>
        <v>0</v>
      </c>
      <c r="AA14" s="518">
        <f t="shared" si="10"/>
        <v>0</v>
      </c>
      <c r="AB14" s="518">
        <f t="shared" si="10"/>
        <v>0</v>
      </c>
      <c r="AC14" s="518">
        <f t="shared" si="10"/>
        <v>0</v>
      </c>
      <c r="AD14" s="518">
        <f t="shared" si="10"/>
        <v>0</v>
      </c>
      <c r="AE14" s="518">
        <f t="shared" si="10"/>
        <v>0</v>
      </c>
      <c r="AF14" s="518">
        <f t="shared" si="10"/>
        <v>0</v>
      </c>
      <c r="AG14" s="518">
        <f t="shared" si="10"/>
        <v>0</v>
      </c>
      <c r="AH14" s="518">
        <f t="shared" si="10"/>
        <v>0</v>
      </c>
      <c r="AI14" s="518">
        <f t="shared" si="10"/>
        <v>0</v>
      </c>
      <c r="AJ14" s="518">
        <f t="shared" si="10"/>
        <v>0</v>
      </c>
      <c r="AK14" s="519">
        <f t="shared" si="10"/>
        <v>0</v>
      </c>
      <c r="AL14" s="514">
        <f>SUM(P14:Q14)+AK14</f>
        <v>0</v>
      </c>
      <c r="AN14" s="244"/>
      <c r="AO14" s="1163" t="s">
        <v>414</v>
      </c>
      <c r="AP14" s="1164"/>
      <c r="AQ14" s="517">
        <v>0</v>
      </c>
      <c r="AR14" s="518">
        <f t="shared" ref="AR14:BD14" si="11">$AQ$14*(AR12+AR13)</f>
        <v>0</v>
      </c>
      <c r="AS14" s="518">
        <f t="shared" si="11"/>
        <v>0</v>
      </c>
      <c r="AT14" s="518">
        <f t="shared" si="11"/>
        <v>0</v>
      </c>
      <c r="AU14" s="518">
        <f t="shared" si="11"/>
        <v>0</v>
      </c>
      <c r="AV14" s="518">
        <f t="shared" si="11"/>
        <v>0</v>
      </c>
      <c r="AW14" s="518">
        <f t="shared" si="11"/>
        <v>0</v>
      </c>
      <c r="AX14" s="518">
        <f t="shared" si="11"/>
        <v>0</v>
      </c>
      <c r="AY14" s="518">
        <f t="shared" si="11"/>
        <v>0</v>
      </c>
      <c r="AZ14" s="518">
        <f t="shared" si="11"/>
        <v>0</v>
      </c>
      <c r="BA14" s="518">
        <f t="shared" si="11"/>
        <v>0</v>
      </c>
      <c r="BB14" s="518">
        <f t="shared" si="11"/>
        <v>0</v>
      </c>
      <c r="BC14" s="518">
        <f t="shared" si="11"/>
        <v>0</v>
      </c>
      <c r="BD14" s="518">
        <f t="shared" si="11"/>
        <v>0</v>
      </c>
      <c r="BG14" s="244"/>
      <c r="BH14" s="1163" t="s">
        <v>414</v>
      </c>
      <c r="BI14" s="1164"/>
      <c r="BJ14" s="517">
        <v>0</v>
      </c>
      <c r="BK14" s="518">
        <f t="shared" ref="BK14:BW14" si="12">$AQ$14*(BK12+BK13)</f>
        <v>0</v>
      </c>
      <c r="BL14" s="518">
        <f t="shared" si="12"/>
        <v>0</v>
      </c>
      <c r="BM14" s="518">
        <f t="shared" si="12"/>
        <v>0</v>
      </c>
      <c r="BN14" s="518">
        <f t="shared" si="12"/>
        <v>0</v>
      </c>
      <c r="BO14" s="518">
        <f t="shared" si="12"/>
        <v>0</v>
      </c>
      <c r="BP14" s="518">
        <f t="shared" si="12"/>
        <v>0</v>
      </c>
      <c r="BQ14" s="518">
        <f t="shared" si="12"/>
        <v>0</v>
      </c>
      <c r="BR14" s="518">
        <f t="shared" si="12"/>
        <v>0</v>
      </c>
      <c r="BS14" s="518">
        <f t="shared" si="12"/>
        <v>0</v>
      </c>
      <c r="BT14" s="518">
        <f t="shared" si="12"/>
        <v>0</v>
      </c>
      <c r="BU14" s="518">
        <f t="shared" si="12"/>
        <v>0</v>
      </c>
      <c r="BV14" s="518">
        <f t="shared" si="12"/>
        <v>0</v>
      </c>
      <c r="BW14" s="518">
        <f t="shared" si="12"/>
        <v>0</v>
      </c>
      <c r="BX14" s="515" t="s">
        <v>55</v>
      </c>
      <c r="BY14" s="241">
        <f>SUM(P14:Q14)</f>
        <v>0</v>
      </c>
      <c r="BZ14" s="241">
        <f>AK14</f>
        <v>0</v>
      </c>
      <c r="CA14" s="241">
        <f>BD14</f>
        <v>0</v>
      </c>
      <c r="CB14" s="241">
        <f>BW14</f>
        <v>0</v>
      </c>
      <c r="CC14" s="241">
        <f t="shared" si="8"/>
        <v>0</v>
      </c>
    </row>
    <row r="15" spans="1:81" ht="15" thickBot="1" x14ac:dyDescent="0.4">
      <c r="B15" s="303"/>
      <c r="C15" s="1167" t="s">
        <v>223</v>
      </c>
      <c r="D15" s="1168"/>
      <c r="E15" s="322"/>
      <c r="F15" s="322">
        <f t="shared" ref="F15:R15" si="13">SUM(F12:F14)</f>
        <v>0</v>
      </c>
      <c r="G15" s="322">
        <f t="shared" si="13"/>
        <v>0</v>
      </c>
      <c r="H15" s="322">
        <f t="shared" si="13"/>
        <v>5372.6995000000006</v>
      </c>
      <c r="I15" s="322">
        <f t="shared" si="13"/>
        <v>6402.442</v>
      </c>
      <c r="J15" s="322">
        <f t="shared" si="13"/>
        <v>98829.264999999999</v>
      </c>
      <c r="K15" s="322">
        <f t="shared" si="13"/>
        <v>16665.080000000002</v>
      </c>
      <c r="L15" s="322">
        <f t="shared" si="13"/>
        <v>104770.79</v>
      </c>
      <c r="M15" s="322">
        <f t="shared" si="13"/>
        <v>8237.94</v>
      </c>
      <c r="N15" s="322">
        <f t="shared" si="13"/>
        <v>42972.372500000005</v>
      </c>
      <c r="O15" s="509">
        <f t="shared" si="13"/>
        <v>9668.8725000000013</v>
      </c>
      <c r="P15" s="510">
        <f t="shared" si="13"/>
        <v>375148.41000000003</v>
      </c>
      <c r="Q15" s="511">
        <f t="shared" si="13"/>
        <v>375148.41000000003</v>
      </c>
      <c r="R15" s="512">
        <f t="shared" si="13"/>
        <v>1061080.4914999998</v>
      </c>
      <c r="S15" s="524">
        <f>SUM(S12:S14)</f>
        <v>750296.82000000007</v>
      </c>
      <c r="V15" s="1169" t="s">
        <v>223</v>
      </c>
      <c r="W15" s="1170"/>
      <c r="X15" s="513"/>
      <c r="Y15" s="322">
        <f t="shared" ref="Y15:AK15" si="14">SUM(Y12:Y14)</f>
        <v>95229.412500000006</v>
      </c>
      <c r="Z15" s="322">
        <f t="shared" si="14"/>
        <v>255249.61250000005</v>
      </c>
      <c r="AA15" s="322">
        <f t="shared" si="14"/>
        <v>342969.61249999999</v>
      </c>
      <c r="AB15" s="322">
        <f t="shared" si="14"/>
        <v>342969.61249999999</v>
      </c>
      <c r="AC15" s="322">
        <f t="shared" si="14"/>
        <v>342969.61249999999</v>
      </c>
      <c r="AD15" s="322">
        <f t="shared" si="14"/>
        <v>342969.61249999999</v>
      </c>
      <c r="AE15" s="322">
        <f t="shared" si="14"/>
        <v>342969.61249999999</v>
      </c>
      <c r="AF15" s="322">
        <f t="shared" si="14"/>
        <v>306580.86249999999</v>
      </c>
      <c r="AG15" s="322">
        <f t="shared" si="14"/>
        <v>306580.86249999999</v>
      </c>
      <c r="AH15" s="322">
        <f t="shared" si="14"/>
        <v>306580.86249999999</v>
      </c>
      <c r="AI15" s="322">
        <f t="shared" si="14"/>
        <v>306580.86249999999</v>
      </c>
      <c r="AJ15" s="322">
        <f t="shared" si="14"/>
        <v>306580.86249999999</v>
      </c>
      <c r="AK15" s="509">
        <f t="shared" si="14"/>
        <v>3598231.4</v>
      </c>
      <c r="AL15" s="525">
        <f>SUM(AL12:AL14)</f>
        <v>4348528.22</v>
      </c>
      <c r="AO15" s="1167" t="s">
        <v>223</v>
      </c>
      <c r="AP15" s="1168"/>
      <c r="AQ15" s="513"/>
      <c r="AR15" s="322">
        <f t="shared" ref="AR15:BD15" si="15">SUM(AR12:AR14)</f>
        <v>6507.9424999999992</v>
      </c>
      <c r="AS15" s="322">
        <f t="shared" si="15"/>
        <v>156906.89249999999</v>
      </c>
      <c r="AT15" s="322">
        <f t="shared" si="15"/>
        <v>349600.64250000002</v>
      </c>
      <c r="AU15" s="322">
        <f t="shared" si="15"/>
        <v>349600.64250000002</v>
      </c>
      <c r="AV15" s="322">
        <f t="shared" si="15"/>
        <v>349600.64250000002</v>
      </c>
      <c r="AW15" s="322">
        <f t="shared" si="15"/>
        <v>349600.64250000002</v>
      </c>
      <c r="AX15" s="322">
        <f t="shared" si="15"/>
        <v>323961.89250000002</v>
      </c>
      <c r="AY15" s="322">
        <f t="shared" si="15"/>
        <v>323961.89250000002</v>
      </c>
      <c r="AZ15" s="322">
        <f t="shared" si="15"/>
        <v>185931.89249999999</v>
      </c>
      <c r="BA15" s="322">
        <f t="shared" si="15"/>
        <v>185931.89249999999</v>
      </c>
      <c r="BB15" s="322">
        <f t="shared" si="15"/>
        <v>185931.89249999999</v>
      </c>
      <c r="BC15" s="322">
        <f t="shared" si="15"/>
        <v>185931.89249999999</v>
      </c>
      <c r="BD15" s="322">
        <f t="shared" si="15"/>
        <v>2953468.7599999993</v>
      </c>
      <c r="BH15" s="1167" t="s">
        <v>223</v>
      </c>
      <c r="BI15" s="1168"/>
      <c r="BJ15" s="513"/>
      <c r="BK15" s="322">
        <f t="shared" ref="BK15:BW15" si="16">SUM(BK12:BK14)</f>
        <v>6507.9424999999992</v>
      </c>
      <c r="BL15" s="322">
        <f t="shared" si="16"/>
        <v>444254.39250000002</v>
      </c>
      <c r="BM15" s="322">
        <f t="shared" si="16"/>
        <v>444254.39250000002</v>
      </c>
      <c r="BN15" s="322">
        <f t="shared" si="16"/>
        <v>444254.39250000002</v>
      </c>
      <c r="BO15" s="322">
        <f t="shared" si="16"/>
        <v>375239.39250000002</v>
      </c>
      <c r="BP15" s="322">
        <f t="shared" si="16"/>
        <v>375239.39250000002</v>
      </c>
      <c r="BQ15" s="322">
        <f t="shared" si="16"/>
        <v>302461.89250000002</v>
      </c>
      <c r="BR15" s="322">
        <f t="shared" si="16"/>
        <v>302461.89250000002</v>
      </c>
      <c r="BS15" s="322">
        <f t="shared" si="16"/>
        <v>18876.892500000002</v>
      </c>
      <c r="BT15" s="322">
        <f t="shared" si="16"/>
        <v>18876.892500000002</v>
      </c>
      <c r="BU15" s="322">
        <f t="shared" si="16"/>
        <v>18876.892500000002</v>
      </c>
      <c r="BV15" s="322">
        <f t="shared" si="16"/>
        <v>18876.892500000002</v>
      </c>
      <c r="BW15" s="322">
        <f t="shared" si="16"/>
        <v>2770181.2599999993</v>
      </c>
      <c r="BX15" s="303" t="s">
        <v>408</v>
      </c>
      <c r="BY15" s="526">
        <f>SUM(BY12:BY14)</f>
        <v>750296.82000000007</v>
      </c>
      <c r="BZ15" s="526">
        <f>SUM(BZ12:BZ14)</f>
        <v>3598231.4</v>
      </c>
      <c r="CA15" s="526">
        <f>SUM(CA12:CA14)</f>
        <v>2953468.7599999993</v>
      </c>
      <c r="CB15" s="526">
        <f>SUM(CB12:CB14)</f>
        <v>2770181.2599999993</v>
      </c>
      <c r="CC15" s="526">
        <f>SUM(CC12:CC14)</f>
        <v>10072178.239999998</v>
      </c>
    </row>
    <row r="16" spans="1:81" ht="15.5" thickTop="1" thickBot="1" x14ac:dyDescent="0.4">
      <c r="B16" s="303"/>
      <c r="N16" s="527" t="s">
        <v>415</v>
      </c>
      <c r="O16" s="526">
        <f>SUM(I15:O15)</f>
        <v>287546.76199999999</v>
      </c>
      <c r="P16" s="528" t="s">
        <v>416</v>
      </c>
      <c r="Q16" s="524">
        <f>SUM(P15:Q15)</f>
        <v>750296.82000000007</v>
      </c>
      <c r="BX16" s="515" t="s">
        <v>163</v>
      </c>
      <c r="BY16" s="516">
        <v>750000</v>
      </c>
      <c r="BZ16" s="516">
        <v>3250000</v>
      </c>
      <c r="CA16" s="516">
        <v>2000000</v>
      </c>
      <c r="CB16" s="516">
        <v>1000000</v>
      </c>
      <c r="CC16" s="516">
        <f>SUM(BY16:CB16)</f>
        <v>7000000</v>
      </c>
    </row>
    <row r="17" spans="1:81" ht="15.5" thickTop="1" thickBot="1" x14ac:dyDescent="0.4">
      <c r="BX17" s="529" t="s">
        <v>230</v>
      </c>
      <c r="BY17" s="530">
        <f>BY15-BY16</f>
        <v>296.82000000006519</v>
      </c>
      <c r="BZ17" s="530">
        <f t="shared" ref="BZ17:CB17" si="17">BZ15-BZ16</f>
        <v>348231.39999999991</v>
      </c>
      <c r="CA17" s="530">
        <f t="shared" si="17"/>
        <v>953468.75999999931</v>
      </c>
      <c r="CB17" s="530">
        <f t="shared" si="17"/>
        <v>1770181.2599999993</v>
      </c>
      <c r="CC17" s="526">
        <f>SUM(BY17:CB17)</f>
        <v>3072178.2399999984</v>
      </c>
    </row>
    <row r="18" spans="1:81" ht="15" thickTop="1" x14ac:dyDescent="0.35"/>
    <row r="21" spans="1:81" x14ac:dyDescent="0.35">
      <c r="CC21" s="529" t="s">
        <v>417</v>
      </c>
    </row>
    <row r="22" spans="1:81" ht="15" thickBot="1" x14ac:dyDescent="0.4">
      <c r="A22" s="320" t="s">
        <v>224</v>
      </c>
      <c r="C22" s="1162" t="s">
        <v>225</v>
      </c>
      <c r="D22" s="1162"/>
      <c r="F22" s="323"/>
      <c r="G22" s="483" t="s">
        <v>226</v>
      </c>
      <c r="H22" s="324"/>
      <c r="V22" s="1162" t="s">
        <v>418</v>
      </c>
      <c r="W22" s="1162"/>
      <c r="AO22" s="1162" t="s">
        <v>227</v>
      </c>
      <c r="AP22" s="1162"/>
      <c r="BH22" s="1162" t="s">
        <v>419</v>
      </c>
      <c r="BI22" s="1162"/>
      <c r="BX22" s="515" t="s">
        <v>420</v>
      </c>
      <c r="BY22">
        <v>20</v>
      </c>
      <c r="BZ22">
        <v>48</v>
      </c>
      <c r="CA22">
        <v>28</v>
      </c>
      <c r="CB22">
        <v>38</v>
      </c>
      <c r="CC22" s="531">
        <f>SUM(BY22:CB22)</f>
        <v>134</v>
      </c>
    </row>
    <row r="23" spans="1:81" ht="15.5" thickTop="1" thickBot="1" x14ac:dyDescent="0.4">
      <c r="C23" s="484" t="s">
        <v>218</v>
      </c>
      <c r="D23" s="484" t="s">
        <v>219</v>
      </c>
      <c r="F23" s="484" t="s">
        <v>228</v>
      </c>
      <c r="G23" s="484" t="s">
        <v>229</v>
      </c>
      <c r="H23" s="484" t="s">
        <v>230</v>
      </c>
      <c r="V23" s="484" t="s">
        <v>218</v>
      </c>
      <c r="W23" s="484" t="s">
        <v>219</v>
      </c>
      <c r="AO23" s="484" t="s">
        <v>218</v>
      </c>
      <c r="AP23" s="484" t="s">
        <v>219</v>
      </c>
      <c r="BH23" s="484" t="s">
        <v>218</v>
      </c>
      <c r="BI23" s="484" t="s">
        <v>219</v>
      </c>
      <c r="BX23" s="515" t="s">
        <v>421</v>
      </c>
      <c r="BY23">
        <v>0</v>
      </c>
      <c r="BZ23">
        <v>45</v>
      </c>
      <c r="CA23">
        <v>45</v>
      </c>
      <c r="CB23">
        <v>44</v>
      </c>
      <c r="CC23" s="531">
        <f>SUM(BY23:CB23)</f>
        <v>134</v>
      </c>
    </row>
    <row r="24" spans="1:81" ht="15" thickTop="1" x14ac:dyDescent="0.35">
      <c r="C24" s="325">
        <f>SUMIF(D28:D49,"Capital",R28:R49)</f>
        <v>10318.400000000001</v>
      </c>
      <c r="D24" s="325">
        <f>SUMIF(D28:D49,"O&amp;M",R28:R49)</f>
        <v>72103.219999999987</v>
      </c>
      <c r="F24" s="326">
        <f>IF([2]Detailed_Estimate!B1="Waterfall",[2]Detailed_Estimate!J7,IF([2]Detailed_Estimate!B1="Agile",[2]Detailed_Estimate!J245))</f>
        <v>0</v>
      </c>
      <c r="G24" s="326">
        <f>R52+AK52+BD52</f>
        <v>5349</v>
      </c>
      <c r="H24" s="326">
        <f>G24-F24</f>
        <v>5349</v>
      </c>
      <c r="V24" s="325">
        <f>SUMIF(W28:W49,"Capital",AK28:AK49)</f>
        <v>245191.99999999997</v>
      </c>
      <c r="W24" s="325">
        <f>SUMIF(W28:W49,"O&amp;M",AK28:AK49)</f>
        <v>0</v>
      </c>
      <c r="AO24" s="325">
        <f>SUMIF(AP28:AP49,"Capital",BD28:BD49)</f>
        <v>199212.79999999996</v>
      </c>
      <c r="AP24" s="325">
        <f>SUMIF(AP28:AP49,"O&amp;M",BD28:BD49)</f>
        <v>0</v>
      </c>
      <c r="BH24" s="325">
        <f>SUMIF(BI28:BI49,"Capital",BW28:BW49)</f>
        <v>199212.79999999996</v>
      </c>
      <c r="BI24" s="325">
        <f>SUMIF(BI28:BI49,"O&amp;M",BW28:BW49)</f>
        <v>0</v>
      </c>
    </row>
    <row r="25" spans="1:81" x14ac:dyDescent="0.35">
      <c r="C25" s="327"/>
      <c r="D25" s="327"/>
      <c r="V25" s="327"/>
      <c r="W25" s="327"/>
      <c r="AO25" s="327"/>
      <c r="AP25" s="327"/>
      <c r="BH25" s="327"/>
      <c r="BI25" s="327"/>
    </row>
    <row r="26" spans="1:81" ht="20.149999999999999" customHeight="1" x14ac:dyDescent="0.35">
      <c r="B26" s="328"/>
      <c r="C26" s="329"/>
      <c r="D26" s="329"/>
      <c r="E26" s="329"/>
      <c r="F26" s="329" t="s">
        <v>231</v>
      </c>
      <c r="G26" s="329"/>
      <c r="H26" s="329"/>
      <c r="I26" s="329"/>
      <c r="J26" s="329"/>
      <c r="K26" s="329"/>
      <c r="L26" s="329"/>
      <c r="M26" s="329"/>
      <c r="N26" s="329"/>
      <c r="O26" s="329"/>
      <c r="P26" s="329"/>
      <c r="Q26" s="329"/>
      <c r="R26" s="330"/>
      <c r="U26" s="328"/>
      <c r="V26" s="329"/>
      <c r="W26" s="329"/>
      <c r="X26" s="329"/>
      <c r="Y26" s="329" t="s">
        <v>232</v>
      </c>
      <c r="Z26" s="329"/>
      <c r="AA26" s="329"/>
      <c r="AB26" s="329"/>
      <c r="AC26" s="329"/>
      <c r="AD26" s="329"/>
      <c r="AE26" s="329"/>
      <c r="AF26" s="329"/>
      <c r="AG26" s="329"/>
      <c r="AH26" s="329"/>
      <c r="AI26" s="329"/>
      <c r="AJ26" s="329"/>
      <c r="AK26" s="330"/>
      <c r="AN26" s="328"/>
      <c r="AO26" s="329"/>
      <c r="AP26" s="329"/>
      <c r="AQ26" s="329"/>
      <c r="AR26" s="329" t="s">
        <v>233</v>
      </c>
      <c r="AS26" s="329"/>
      <c r="AT26" s="329"/>
      <c r="AU26" s="329"/>
      <c r="AV26" s="329"/>
      <c r="AW26" s="329"/>
      <c r="AX26" s="329"/>
      <c r="AY26" s="329"/>
      <c r="AZ26" s="329"/>
      <c r="BA26" s="329"/>
      <c r="BB26" s="329"/>
      <c r="BC26" s="329"/>
      <c r="BD26" s="330"/>
      <c r="BG26" s="328"/>
      <c r="BH26" s="329"/>
      <c r="BI26" s="329"/>
      <c r="BJ26" s="329"/>
      <c r="BK26" s="329" t="s">
        <v>233</v>
      </c>
      <c r="BL26" s="329"/>
      <c r="BM26" s="329"/>
      <c r="BN26" s="329"/>
      <c r="BO26" s="329"/>
      <c r="BP26" s="329"/>
      <c r="BQ26" s="329"/>
      <c r="BR26" s="329"/>
      <c r="BS26" s="329"/>
      <c r="BT26" s="329"/>
      <c r="BU26" s="329"/>
      <c r="BV26" s="329"/>
      <c r="BW26" s="330"/>
    </row>
    <row r="27" spans="1:81" ht="20.149999999999999" customHeight="1" thickBot="1" x14ac:dyDescent="0.4">
      <c r="B27" s="331" t="s">
        <v>234</v>
      </c>
      <c r="C27" s="331" t="s">
        <v>235</v>
      </c>
      <c r="D27" s="331" t="s">
        <v>236</v>
      </c>
      <c r="E27" s="331" t="s">
        <v>52</v>
      </c>
      <c r="F27" s="331" t="s">
        <v>131</v>
      </c>
      <c r="G27" s="331" t="s">
        <v>132</v>
      </c>
      <c r="H27" s="331" t="s">
        <v>134</v>
      </c>
      <c r="I27" s="331" t="s">
        <v>135</v>
      </c>
      <c r="J27" s="331" t="s">
        <v>136</v>
      </c>
      <c r="K27" s="331" t="s">
        <v>137</v>
      </c>
      <c r="L27" s="331" t="s">
        <v>138</v>
      </c>
      <c r="M27" s="331" t="s">
        <v>139</v>
      </c>
      <c r="N27" s="331" t="s">
        <v>140</v>
      </c>
      <c r="O27" s="331" t="s">
        <v>141</v>
      </c>
      <c r="P27" s="331" t="s">
        <v>143</v>
      </c>
      <c r="Q27" s="331" t="s">
        <v>145</v>
      </c>
      <c r="R27" s="332" t="s">
        <v>217</v>
      </c>
      <c r="S27" s="532" t="s">
        <v>404</v>
      </c>
      <c r="T27" s="532" t="s">
        <v>405</v>
      </c>
      <c r="U27" s="331" t="s">
        <v>234</v>
      </c>
      <c r="V27" s="331" t="s">
        <v>235</v>
      </c>
      <c r="W27" s="331" t="s">
        <v>236</v>
      </c>
      <c r="X27" s="331" t="s">
        <v>52</v>
      </c>
      <c r="Y27" s="331" t="s">
        <v>131</v>
      </c>
      <c r="Z27" s="331" t="s">
        <v>132</v>
      </c>
      <c r="AA27" s="331" t="s">
        <v>134</v>
      </c>
      <c r="AB27" s="331" t="s">
        <v>135</v>
      </c>
      <c r="AC27" s="331" t="s">
        <v>136</v>
      </c>
      <c r="AD27" s="331" t="s">
        <v>137</v>
      </c>
      <c r="AE27" s="331" t="s">
        <v>138</v>
      </c>
      <c r="AF27" s="331" t="s">
        <v>139</v>
      </c>
      <c r="AG27" s="331" t="s">
        <v>140</v>
      </c>
      <c r="AH27" s="331" t="s">
        <v>141</v>
      </c>
      <c r="AI27" s="331" t="s">
        <v>143</v>
      </c>
      <c r="AJ27" s="331" t="s">
        <v>145</v>
      </c>
      <c r="AK27" s="332" t="s">
        <v>217</v>
      </c>
      <c r="AL27" s="334"/>
      <c r="AM27" s="334"/>
      <c r="AN27" s="331" t="s">
        <v>234</v>
      </c>
      <c r="AO27" s="331" t="s">
        <v>235</v>
      </c>
      <c r="AP27" s="331" t="s">
        <v>236</v>
      </c>
      <c r="AQ27" s="331" t="s">
        <v>52</v>
      </c>
      <c r="AR27" s="331" t="s">
        <v>131</v>
      </c>
      <c r="AS27" s="331" t="s">
        <v>132</v>
      </c>
      <c r="AT27" s="331" t="s">
        <v>134</v>
      </c>
      <c r="AU27" s="331" t="s">
        <v>135</v>
      </c>
      <c r="AV27" s="331" t="s">
        <v>136</v>
      </c>
      <c r="AW27" s="331" t="s">
        <v>137</v>
      </c>
      <c r="AX27" s="331" t="s">
        <v>138</v>
      </c>
      <c r="AY27" s="331" t="s">
        <v>139</v>
      </c>
      <c r="AZ27" s="331" t="s">
        <v>140</v>
      </c>
      <c r="BA27" s="331" t="s">
        <v>141</v>
      </c>
      <c r="BB27" s="331" t="s">
        <v>143</v>
      </c>
      <c r="BC27" s="331" t="s">
        <v>145</v>
      </c>
      <c r="BD27" s="332" t="s">
        <v>217</v>
      </c>
      <c r="BG27" s="331" t="s">
        <v>234</v>
      </c>
      <c r="BH27" s="331" t="s">
        <v>235</v>
      </c>
      <c r="BI27" s="331" t="s">
        <v>236</v>
      </c>
      <c r="BJ27" s="331" t="s">
        <v>52</v>
      </c>
      <c r="BK27" s="331" t="s">
        <v>131</v>
      </c>
      <c r="BL27" s="331" t="s">
        <v>132</v>
      </c>
      <c r="BM27" s="331" t="s">
        <v>134</v>
      </c>
      <c r="BN27" s="331" t="s">
        <v>135</v>
      </c>
      <c r="BO27" s="331" t="s">
        <v>136</v>
      </c>
      <c r="BP27" s="331" t="s">
        <v>137</v>
      </c>
      <c r="BQ27" s="331" t="s">
        <v>138</v>
      </c>
      <c r="BR27" s="331" t="s">
        <v>139</v>
      </c>
      <c r="BS27" s="331" t="s">
        <v>140</v>
      </c>
      <c r="BT27" s="331" t="s">
        <v>141</v>
      </c>
      <c r="BU27" s="331" t="s">
        <v>143</v>
      </c>
      <c r="BV27" s="331" t="s">
        <v>145</v>
      </c>
      <c r="BW27" s="332" t="s">
        <v>217</v>
      </c>
    </row>
    <row r="28" spans="1:81" ht="15" thickTop="1" x14ac:dyDescent="0.35">
      <c r="B28" s="1154" t="s">
        <v>422</v>
      </c>
      <c r="C28" s="1156" t="s">
        <v>423</v>
      </c>
      <c r="D28" s="337"/>
      <c r="E28" s="338"/>
      <c r="F28" s="335"/>
      <c r="G28" s="335"/>
      <c r="H28" s="335">
        <v>15</v>
      </c>
      <c r="I28" s="335">
        <v>20</v>
      </c>
      <c r="J28" s="335">
        <v>30</v>
      </c>
      <c r="K28" s="335">
        <v>40</v>
      </c>
      <c r="L28" s="335">
        <v>40</v>
      </c>
      <c r="M28" s="335">
        <v>40</v>
      </c>
      <c r="N28" s="335">
        <v>40</v>
      </c>
      <c r="O28" s="335">
        <v>40</v>
      </c>
      <c r="P28" s="335">
        <v>0</v>
      </c>
      <c r="Q28" s="335">
        <v>0</v>
      </c>
      <c r="R28" s="336">
        <f t="shared" ref="R28:R48" si="18">SUM(F28:Q28)</f>
        <v>265</v>
      </c>
      <c r="S28" s="333"/>
      <c r="U28" s="1160" t="s">
        <v>422</v>
      </c>
      <c r="V28" s="1161" t="s">
        <v>423</v>
      </c>
      <c r="W28" s="533"/>
      <c r="X28" s="338" t="s">
        <v>237</v>
      </c>
      <c r="Y28" s="335">
        <v>40</v>
      </c>
      <c r="Z28" s="335">
        <v>40</v>
      </c>
      <c r="AA28" s="335">
        <v>40</v>
      </c>
      <c r="AB28" s="335">
        <v>40</v>
      </c>
      <c r="AC28" s="335">
        <v>40</v>
      </c>
      <c r="AD28" s="335">
        <v>40</v>
      </c>
      <c r="AE28" s="335">
        <v>40</v>
      </c>
      <c r="AF28" s="335">
        <v>40</v>
      </c>
      <c r="AG28" s="335">
        <v>40</v>
      </c>
      <c r="AH28" s="335">
        <v>40</v>
      </c>
      <c r="AI28" s="335">
        <v>40</v>
      </c>
      <c r="AJ28" s="335">
        <v>40</v>
      </c>
      <c r="AK28" s="336">
        <f t="shared" ref="AK28" si="19">SUM(Y28:AJ28)</f>
        <v>480</v>
      </c>
      <c r="AL28" s="339"/>
      <c r="AM28" s="339"/>
      <c r="AN28" s="1160" t="s">
        <v>422</v>
      </c>
      <c r="AO28" s="1161" t="s">
        <v>423</v>
      </c>
      <c r="AP28" s="533"/>
      <c r="AQ28" s="338" t="s">
        <v>237</v>
      </c>
      <c r="AR28" s="335">
        <v>20</v>
      </c>
      <c r="AS28" s="335">
        <v>20</v>
      </c>
      <c r="AT28" s="335">
        <v>20</v>
      </c>
      <c r="AU28" s="335">
        <v>20</v>
      </c>
      <c r="AV28" s="335">
        <v>20</v>
      </c>
      <c r="AW28" s="335">
        <v>20</v>
      </c>
      <c r="AX28" s="335">
        <v>20</v>
      </c>
      <c r="AY28" s="335">
        <v>20</v>
      </c>
      <c r="AZ28" s="335">
        <v>20</v>
      </c>
      <c r="BA28" s="335">
        <v>20</v>
      </c>
      <c r="BB28" s="335">
        <v>20</v>
      </c>
      <c r="BC28" s="335">
        <v>20</v>
      </c>
      <c r="BD28" s="336">
        <f t="shared" ref="BD28" si="20">SUM(AR28:BC28)</f>
        <v>240</v>
      </c>
      <c r="BG28" s="1160" t="s">
        <v>422</v>
      </c>
      <c r="BH28" s="1161" t="s">
        <v>423</v>
      </c>
      <c r="BI28" s="533"/>
      <c r="BJ28" s="338" t="s">
        <v>237</v>
      </c>
      <c r="BK28" s="335">
        <v>20</v>
      </c>
      <c r="BL28" s="335">
        <v>20</v>
      </c>
      <c r="BM28" s="335">
        <v>20</v>
      </c>
      <c r="BN28" s="335">
        <v>20</v>
      </c>
      <c r="BO28" s="335">
        <v>20</v>
      </c>
      <c r="BP28" s="335">
        <v>20</v>
      </c>
      <c r="BQ28" s="335">
        <v>20</v>
      </c>
      <c r="BR28" s="335">
        <v>20</v>
      </c>
      <c r="BS28" s="335">
        <v>20</v>
      </c>
      <c r="BT28" s="335">
        <v>20</v>
      </c>
      <c r="BU28" s="335">
        <v>20</v>
      </c>
      <c r="BV28" s="335">
        <v>20</v>
      </c>
      <c r="BW28" s="336">
        <f t="shared" ref="BW28" si="21">SUM(BK28:BV28)</f>
        <v>240</v>
      </c>
    </row>
    <row r="29" spans="1:81" x14ac:dyDescent="0.35">
      <c r="B29" s="1155"/>
      <c r="C29" s="1157"/>
      <c r="D29" s="341" t="s">
        <v>70</v>
      </c>
      <c r="E29" s="340">
        <f>IFERROR(VLOOKUP(C28,[2]Rates!$A$2:$B$158,2,),0)</f>
        <v>191.58</v>
      </c>
      <c r="F29" s="340">
        <f>F28*$E$29</f>
        <v>0</v>
      </c>
      <c r="G29" s="340">
        <f t="shared" ref="G29:Q29" si="22">G28*$E$29</f>
        <v>0</v>
      </c>
      <c r="H29" s="340">
        <f t="shared" si="22"/>
        <v>2873.7000000000003</v>
      </c>
      <c r="I29" s="340">
        <f t="shared" si="22"/>
        <v>3831.6000000000004</v>
      </c>
      <c r="J29" s="340">
        <f t="shared" si="22"/>
        <v>5747.4000000000005</v>
      </c>
      <c r="K29" s="340">
        <f t="shared" si="22"/>
        <v>7663.2000000000007</v>
      </c>
      <c r="L29" s="340">
        <f t="shared" si="22"/>
        <v>7663.2000000000007</v>
      </c>
      <c r="M29" s="340">
        <f t="shared" si="22"/>
        <v>7663.2000000000007</v>
      </c>
      <c r="N29" s="340">
        <f t="shared" si="22"/>
        <v>7663.2000000000007</v>
      </c>
      <c r="O29" s="340">
        <f t="shared" si="22"/>
        <v>7663.2000000000007</v>
      </c>
      <c r="P29" s="340">
        <f t="shared" si="22"/>
        <v>0</v>
      </c>
      <c r="Q29" s="340">
        <f t="shared" si="22"/>
        <v>0</v>
      </c>
      <c r="R29" s="340">
        <f>SUM(F29:Q29)</f>
        <v>50768.7</v>
      </c>
      <c r="S29" s="333"/>
      <c r="U29" s="1155"/>
      <c r="V29" s="1157"/>
      <c r="W29" s="350" t="s">
        <v>54</v>
      </c>
      <c r="X29" s="340">
        <f>IFERROR(VLOOKUP(V28,[2]Rates!$A$2:$B$158,2,),0)</f>
        <v>191.58</v>
      </c>
      <c r="Y29" s="340">
        <f>Y28*$X$29</f>
        <v>7663.2000000000007</v>
      </c>
      <c r="Z29" s="340">
        <f t="shared" ref="Z29:AJ29" si="23">Z28*$X$29</f>
        <v>7663.2000000000007</v>
      </c>
      <c r="AA29" s="340">
        <f t="shared" si="23"/>
        <v>7663.2000000000007</v>
      </c>
      <c r="AB29" s="340">
        <f t="shared" si="23"/>
        <v>7663.2000000000007</v>
      </c>
      <c r="AC29" s="340">
        <f t="shared" si="23"/>
        <v>7663.2000000000007</v>
      </c>
      <c r="AD29" s="340">
        <f t="shared" si="23"/>
        <v>7663.2000000000007</v>
      </c>
      <c r="AE29" s="340">
        <f t="shared" si="23"/>
        <v>7663.2000000000007</v>
      </c>
      <c r="AF29" s="340">
        <f t="shared" si="23"/>
        <v>7663.2000000000007</v>
      </c>
      <c r="AG29" s="340">
        <f t="shared" si="23"/>
        <v>7663.2000000000007</v>
      </c>
      <c r="AH29" s="340">
        <f t="shared" si="23"/>
        <v>7663.2000000000007</v>
      </c>
      <c r="AI29" s="340">
        <f t="shared" si="23"/>
        <v>7663.2000000000007</v>
      </c>
      <c r="AJ29" s="340">
        <f t="shared" si="23"/>
        <v>7663.2000000000007</v>
      </c>
      <c r="AK29" s="340">
        <f>SUM(Y29:AJ29)</f>
        <v>91958.39999999998</v>
      </c>
      <c r="AL29" s="342"/>
      <c r="AM29" s="342"/>
      <c r="AN29" s="1155"/>
      <c r="AO29" s="1157"/>
      <c r="AP29" s="350" t="s">
        <v>54</v>
      </c>
      <c r="AQ29" s="340">
        <f>IFERROR(VLOOKUP(AO28,[2]Rates!$A$2:$B$158,2,),0)</f>
        <v>191.58</v>
      </c>
      <c r="AR29" s="340">
        <f>AR28*$X$29</f>
        <v>3831.6000000000004</v>
      </c>
      <c r="AS29" s="340">
        <f t="shared" ref="AS29:BC29" si="24">AS28*$X$29</f>
        <v>3831.6000000000004</v>
      </c>
      <c r="AT29" s="340">
        <f t="shared" si="24"/>
        <v>3831.6000000000004</v>
      </c>
      <c r="AU29" s="340">
        <f t="shared" si="24"/>
        <v>3831.6000000000004</v>
      </c>
      <c r="AV29" s="340">
        <f t="shared" si="24"/>
        <v>3831.6000000000004</v>
      </c>
      <c r="AW29" s="340">
        <f t="shared" si="24"/>
        <v>3831.6000000000004</v>
      </c>
      <c r="AX29" s="340">
        <f t="shared" si="24"/>
        <v>3831.6000000000004</v>
      </c>
      <c r="AY29" s="340">
        <f t="shared" si="24"/>
        <v>3831.6000000000004</v>
      </c>
      <c r="AZ29" s="340">
        <f t="shared" si="24"/>
        <v>3831.6000000000004</v>
      </c>
      <c r="BA29" s="340">
        <f t="shared" si="24"/>
        <v>3831.6000000000004</v>
      </c>
      <c r="BB29" s="340">
        <f t="shared" si="24"/>
        <v>3831.6000000000004</v>
      </c>
      <c r="BC29" s="340">
        <f t="shared" si="24"/>
        <v>3831.6000000000004</v>
      </c>
      <c r="BD29" s="340">
        <f>SUM(AR29:BC29)</f>
        <v>45979.19999999999</v>
      </c>
      <c r="BG29" s="1155"/>
      <c r="BH29" s="1157"/>
      <c r="BI29" s="350" t="s">
        <v>54</v>
      </c>
      <c r="BJ29" s="340">
        <f>IFERROR(VLOOKUP(BH28,[2]Rates!$A$2:$B$158,2,),0)</f>
        <v>191.58</v>
      </c>
      <c r="BK29" s="340">
        <f>BK28*$X$29</f>
        <v>3831.6000000000004</v>
      </c>
      <c r="BL29" s="340">
        <f t="shared" ref="BL29:BV29" si="25">BL28*$X$29</f>
        <v>3831.6000000000004</v>
      </c>
      <c r="BM29" s="340">
        <f t="shared" si="25"/>
        <v>3831.6000000000004</v>
      </c>
      <c r="BN29" s="340">
        <f t="shared" si="25"/>
        <v>3831.6000000000004</v>
      </c>
      <c r="BO29" s="340">
        <f t="shared" si="25"/>
        <v>3831.6000000000004</v>
      </c>
      <c r="BP29" s="340">
        <f t="shared" si="25"/>
        <v>3831.6000000000004</v>
      </c>
      <c r="BQ29" s="340">
        <f t="shared" si="25"/>
        <v>3831.6000000000004</v>
      </c>
      <c r="BR29" s="340">
        <f t="shared" si="25"/>
        <v>3831.6000000000004</v>
      </c>
      <c r="BS29" s="340">
        <f t="shared" si="25"/>
        <v>3831.6000000000004</v>
      </c>
      <c r="BT29" s="340">
        <f t="shared" si="25"/>
        <v>3831.6000000000004</v>
      </c>
      <c r="BU29" s="340">
        <f t="shared" si="25"/>
        <v>3831.6000000000004</v>
      </c>
      <c r="BV29" s="340">
        <f t="shared" si="25"/>
        <v>3831.6000000000004</v>
      </c>
      <c r="BW29" s="340">
        <f>SUM(BK29:BV29)</f>
        <v>45979.19999999999</v>
      </c>
    </row>
    <row r="30" spans="1:81" x14ac:dyDescent="0.35">
      <c r="B30" s="1150" t="s">
        <v>424</v>
      </c>
      <c r="C30" s="1152" t="s">
        <v>425</v>
      </c>
      <c r="D30" s="346"/>
      <c r="E30" s="343" t="s">
        <v>237</v>
      </c>
      <c r="F30" s="344"/>
      <c r="G30" s="344"/>
      <c r="H30" s="344">
        <v>16</v>
      </c>
      <c r="I30" s="344">
        <v>16</v>
      </c>
      <c r="J30" s="344">
        <v>2</v>
      </c>
      <c r="K30" s="344">
        <v>0</v>
      </c>
      <c r="L30" s="344">
        <v>0</v>
      </c>
      <c r="M30" s="344">
        <v>0</v>
      </c>
      <c r="N30" s="344">
        <v>0</v>
      </c>
      <c r="O30" s="344">
        <v>0</v>
      </c>
      <c r="P30" s="344">
        <v>0</v>
      </c>
      <c r="Q30" s="344">
        <v>0</v>
      </c>
      <c r="R30" s="345">
        <f t="shared" si="18"/>
        <v>34</v>
      </c>
      <c r="S30" s="333"/>
      <c r="T30" s="333"/>
      <c r="U30" s="1150" t="s">
        <v>426</v>
      </c>
      <c r="V30" s="1152" t="s">
        <v>425</v>
      </c>
      <c r="W30" s="346"/>
      <c r="X30" s="343" t="s">
        <v>237</v>
      </c>
      <c r="Y30" s="344">
        <v>0</v>
      </c>
      <c r="Z30" s="344">
        <v>10</v>
      </c>
      <c r="AA30" s="344">
        <v>10</v>
      </c>
      <c r="AB30" s="344">
        <v>10</v>
      </c>
      <c r="AC30" s="344">
        <v>10</v>
      </c>
      <c r="AD30" s="344">
        <v>10</v>
      </c>
      <c r="AE30" s="344">
        <v>10</v>
      </c>
      <c r="AF30" s="344">
        <v>10</v>
      </c>
      <c r="AG30" s="344">
        <v>10</v>
      </c>
      <c r="AH30" s="344">
        <v>10</v>
      </c>
      <c r="AI30" s="344">
        <v>10</v>
      </c>
      <c r="AJ30" s="344">
        <v>10</v>
      </c>
      <c r="AK30" s="345">
        <f t="shared" ref="AK30" si="26">SUM(Y30:AJ30)</f>
        <v>110</v>
      </c>
      <c r="AL30" s="339"/>
      <c r="AM30" s="339"/>
      <c r="AN30" s="1150" t="s">
        <v>426</v>
      </c>
      <c r="AO30" s="1152" t="s">
        <v>425</v>
      </c>
      <c r="AP30" s="346"/>
      <c r="AQ30" s="343" t="s">
        <v>237</v>
      </c>
      <c r="AR30" s="344">
        <v>0</v>
      </c>
      <c r="AS30" s="344">
        <v>10</v>
      </c>
      <c r="AT30" s="344">
        <v>10</v>
      </c>
      <c r="AU30" s="344">
        <v>10</v>
      </c>
      <c r="AV30" s="344">
        <v>10</v>
      </c>
      <c r="AW30" s="344">
        <v>10</v>
      </c>
      <c r="AX30" s="344">
        <v>10</v>
      </c>
      <c r="AY30" s="344">
        <v>10</v>
      </c>
      <c r="AZ30" s="344">
        <v>10</v>
      </c>
      <c r="BA30" s="344">
        <v>10</v>
      </c>
      <c r="BB30" s="344">
        <v>10</v>
      </c>
      <c r="BC30" s="344">
        <v>10</v>
      </c>
      <c r="BD30" s="345">
        <f t="shared" ref="BD30" si="27">SUM(AR30:BC30)</f>
        <v>110</v>
      </c>
      <c r="BG30" s="1150" t="s">
        <v>426</v>
      </c>
      <c r="BH30" s="1152" t="s">
        <v>425</v>
      </c>
      <c r="BI30" s="346"/>
      <c r="BJ30" s="343" t="s">
        <v>237</v>
      </c>
      <c r="BK30" s="344">
        <v>0</v>
      </c>
      <c r="BL30" s="344">
        <v>10</v>
      </c>
      <c r="BM30" s="344">
        <v>10</v>
      </c>
      <c r="BN30" s="344">
        <v>10</v>
      </c>
      <c r="BO30" s="344">
        <v>10</v>
      </c>
      <c r="BP30" s="344">
        <v>10</v>
      </c>
      <c r="BQ30" s="344">
        <v>10</v>
      </c>
      <c r="BR30" s="344">
        <v>10</v>
      </c>
      <c r="BS30" s="344">
        <v>10</v>
      </c>
      <c r="BT30" s="344">
        <v>10</v>
      </c>
      <c r="BU30" s="344">
        <v>10</v>
      </c>
      <c r="BV30" s="344">
        <v>10</v>
      </c>
      <c r="BW30" s="345">
        <f t="shared" ref="BW30" si="28">SUM(BK30:BV30)</f>
        <v>110</v>
      </c>
    </row>
    <row r="31" spans="1:81" x14ac:dyDescent="0.35">
      <c r="B31" s="1151"/>
      <c r="C31" s="1153"/>
      <c r="D31" s="348" t="s">
        <v>70</v>
      </c>
      <c r="E31" s="347">
        <f>IFERROR(VLOOKUP(C30,[2]Rates!$A$2:$B$158,2,),0)</f>
        <v>132.76</v>
      </c>
      <c r="F31" s="347">
        <f t="shared" ref="F31:Q31" si="29">F30*$E$31</f>
        <v>0</v>
      </c>
      <c r="G31" s="347">
        <f t="shared" si="29"/>
        <v>0</v>
      </c>
      <c r="H31" s="347">
        <f t="shared" si="29"/>
        <v>2124.16</v>
      </c>
      <c r="I31" s="347">
        <f t="shared" si="29"/>
        <v>2124.16</v>
      </c>
      <c r="J31" s="347">
        <v>10</v>
      </c>
      <c r="K31" s="347">
        <f t="shared" si="29"/>
        <v>0</v>
      </c>
      <c r="L31" s="347">
        <f t="shared" si="29"/>
        <v>0</v>
      </c>
      <c r="M31" s="347">
        <f t="shared" si="29"/>
        <v>0</v>
      </c>
      <c r="N31" s="347">
        <f t="shared" si="29"/>
        <v>0</v>
      </c>
      <c r="O31" s="347">
        <f t="shared" si="29"/>
        <v>0</v>
      </c>
      <c r="P31" s="347">
        <f t="shared" si="29"/>
        <v>0</v>
      </c>
      <c r="Q31" s="347">
        <f t="shared" si="29"/>
        <v>0</v>
      </c>
      <c r="R31" s="347">
        <f>SUM(F31:Q31)</f>
        <v>4258.32</v>
      </c>
      <c r="S31" s="333"/>
      <c r="T31" s="333"/>
      <c r="U31" s="1151"/>
      <c r="V31" s="1153"/>
      <c r="W31" s="348" t="s">
        <v>54</v>
      </c>
      <c r="X31" s="347">
        <f>IFERROR(VLOOKUP(V30,[2]Rates!$A$2:$B$158,2,),0)</f>
        <v>132.76</v>
      </c>
      <c r="Y31" s="347">
        <f>Y30*$X$31</f>
        <v>0</v>
      </c>
      <c r="Z31" s="347">
        <f t="shared" ref="Z31:AJ31" si="30">Z30*$X$31</f>
        <v>1327.6</v>
      </c>
      <c r="AA31" s="347">
        <f t="shared" si="30"/>
        <v>1327.6</v>
      </c>
      <c r="AB31" s="347">
        <f t="shared" si="30"/>
        <v>1327.6</v>
      </c>
      <c r="AC31" s="347">
        <f t="shared" si="30"/>
        <v>1327.6</v>
      </c>
      <c r="AD31" s="347">
        <f t="shared" si="30"/>
        <v>1327.6</v>
      </c>
      <c r="AE31" s="347">
        <f t="shared" si="30"/>
        <v>1327.6</v>
      </c>
      <c r="AF31" s="347">
        <f t="shared" si="30"/>
        <v>1327.6</v>
      </c>
      <c r="AG31" s="347">
        <f t="shared" si="30"/>
        <v>1327.6</v>
      </c>
      <c r="AH31" s="347">
        <f t="shared" si="30"/>
        <v>1327.6</v>
      </c>
      <c r="AI31" s="347">
        <f t="shared" si="30"/>
        <v>1327.6</v>
      </c>
      <c r="AJ31" s="347">
        <f t="shared" si="30"/>
        <v>1327.6</v>
      </c>
      <c r="AK31" s="347">
        <f>SUM(Y31:AJ31)</f>
        <v>14603.600000000002</v>
      </c>
      <c r="AL31" s="342"/>
      <c r="AM31" s="342"/>
      <c r="AN31" s="1151"/>
      <c r="AO31" s="1153"/>
      <c r="AP31" s="348" t="s">
        <v>54</v>
      </c>
      <c r="AQ31" s="347">
        <f>IFERROR(VLOOKUP(AO30,[2]Rates!$A$2:$B$158,2,),0)</f>
        <v>132.76</v>
      </c>
      <c r="AR31" s="347">
        <f>AR30*$X$31</f>
        <v>0</v>
      </c>
      <c r="AS31" s="347">
        <f t="shared" ref="AS31:BC31" si="31">AS30*$X$31</f>
        <v>1327.6</v>
      </c>
      <c r="AT31" s="347">
        <f t="shared" si="31"/>
        <v>1327.6</v>
      </c>
      <c r="AU31" s="347">
        <f t="shared" si="31"/>
        <v>1327.6</v>
      </c>
      <c r="AV31" s="347">
        <f t="shared" si="31"/>
        <v>1327.6</v>
      </c>
      <c r="AW31" s="347">
        <f t="shared" si="31"/>
        <v>1327.6</v>
      </c>
      <c r="AX31" s="347">
        <f t="shared" si="31"/>
        <v>1327.6</v>
      </c>
      <c r="AY31" s="347">
        <f t="shared" si="31"/>
        <v>1327.6</v>
      </c>
      <c r="AZ31" s="347">
        <f t="shared" si="31"/>
        <v>1327.6</v>
      </c>
      <c r="BA31" s="347">
        <f t="shared" si="31"/>
        <v>1327.6</v>
      </c>
      <c r="BB31" s="347">
        <f t="shared" si="31"/>
        <v>1327.6</v>
      </c>
      <c r="BC31" s="347">
        <f t="shared" si="31"/>
        <v>1327.6</v>
      </c>
      <c r="BD31" s="347">
        <f>SUM(AR31:BC31)</f>
        <v>14603.600000000002</v>
      </c>
      <c r="BG31" s="1151"/>
      <c r="BH31" s="1153"/>
      <c r="BI31" s="348" t="s">
        <v>54</v>
      </c>
      <c r="BJ31" s="347">
        <f>IFERROR(VLOOKUP(BH30,[2]Rates!$A$2:$B$158,2,),0)</f>
        <v>132.76</v>
      </c>
      <c r="BK31" s="347">
        <f>BK30*$X$31</f>
        <v>0</v>
      </c>
      <c r="BL31" s="347">
        <f t="shared" ref="BL31:BV31" si="32">BL30*$X$31</f>
        <v>1327.6</v>
      </c>
      <c r="BM31" s="347">
        <f t="shared" si="32"/>
        <v>1327.6</v>
      </c>
      <c r="BN31" s="347">
        <f t="shared" si="32"/>
        <v>1327.6</v>
      </c>
      <c r="BO31" s="347">
        <f t="shared" si="32"/>
        <v>1327.6</v>
      </c>
      <c r="BP31" s="347">
        <f t="shared" si="32"/>
        <v>1327.6</v>
      </c>
      <c r="BQ31" s="347">
        <f t="shared" si="32"/>
        <v>1327.6</v>
      </c>
      <c r="BR31" s="347">
        <f t="shared" si="32"/>
        <v>1327.6</v>
      </c>
      <c r="BS31" s="347">
        <f t="shared" si="32"/>
        <v>1327.6</v>
      </c>
      <c r="BT31" s="347">
        <f t="shared" si="32"/>
        <v>1327.6</v>
      </c>
      <c r="BU31" s="347">
        <f t="shared" si="32"/>
        <v>1327.6</v>
      </c>
      <c r="BV31" s="347">
        <f t="shared" si="32"/>
        <v>1327.6</v>
      </c>
      <c r="BW31" s="347">
        <f>SUM(BK31:BV31)</f>
        <v>14603.600000000002</v>
      </c>
    </row>
    <row r="32" spans="1:81" x14ac:dyDescent="0.35">
      <c r="B32" s="1154" t="s">
        <v>427</v>
      </c>
      <c r="C32" s="1156" t="s">
        <v>425</v>
      </c>
      <c r="D32" s="349"/>
      <c r="E32" s="338" t="s">
        <v>237</v>
      </c>
      <c r="F32" s="335"/>
      <c r="G32" s="335"/>
      <c r="H32" s="335">
        <v>0</v>
      </c>
      <c r="I32" s="335">
        <v>0</v>
      </c>
      <c r="J32" s="335">
        <v>0</v>
      </c>
      <c r="K32" s="335">
        <v>0</v>
      </c>
      <c r="L32" s="335">
        <v>0</v>
      </c>
      <c r="M32" s="335">
        <v>0</v>
      </c>
      <c r="N32" s="335">
        <v>0</v>
      </c>
      <c r="O32" s="335">
        <v>0</v>
      </c>
      <c r="P32" s="335">
        <v>0</v>
      </c>
      <c r="Q32" s="335">
        <v>0</v>
      </c>
      <c r="R32" s="336">
        <f t="shared" ref="R32:R37" si="33">SUM(F32:Q32)</f>
        <v>0</v>
      </c>
      <c r="S32" s="333"/>
      <c r="T32" s="333"/>
      <c r="U32" s="1154" t="s">
        <v>428</v>
      </c>
      <c r="V32" s="1156" t="s">
        <v>425</v>
      </c>
      <c r="W32" s="349"/>
      <c r="X32" s="338" t="s">
        <v>237</v>
      </c>
      <c r="Y32" s="335">
        <v>0</v>
      </c>
      <c r="Z32" s="335">
        <v>10</v>
      </c>
      <c r="AA32" s="335">
        <v>10</v>
      </c>
      <c r="AB32" s="335">
        <v>10</v>
      </c>
      <c r="AC32" s="335">
        <v>10</v>
      </c>
      <c r="AD32" s="335">
        <v>10</v>
      </c>
      <c r="AE32" s="335">
        <v>10</v>
      </c>
      <c r="AF32" s="335">
        <v>10</v>
      </c>
      <c r="AG32" s="335">
        <v>10</v>
      </c>
      <c r="AH32" s="335">
        <v>10</v>
      </c>
      <c r="AI32" s="335">
        <v>10</v>
      </c>
      <c r="AJ32" s="335">
        <v>10</v>
      </c>
      <c r="AK32" s="336">
        <f t="shared" ref="AK32:AK38" si="34">SUM(Y32:AJ32)</f>
        <v>110</v>
      </c>
      <c r="AL32" s="339"/>
      <c r="AM32" s="339"/>
      <c r="AN32" s="1154" t="s">
        <v>428</v>
      </c>
      <c r="AO32" s="1156" t="s">
        <v>425</v>
      </c>
      <c r="AP32" s="349"/>
      <c r="AQ32" s="338" t="s">
        <v>237</v>
      </c>
      <c r="AR32" s="335">
        <v>0</v>
      </c>
      <c r="AS32" s="335">
        <v>10</v>
      </c>
      <c r="AT32" s="335">
        <v>10</v>
      </c>
      <c r="AU32" s="335">
        <v>10</v>
      </c>
      <c r="AV32" s="335">
        <v>10</v>
      </c>
      <c r="AW32" s="335">
        <v>10</v>
      </c>
      <c r="AX32" s="335">
        <v>10</v>
      </c>
      <c r="AY32" s="335">
        <v>10</v>
      </c>
      <c r="AZ32" s="335">
        <v>10</v>
      </c>
      <c r="BA32" s="335">
        <v>10</v>
      </c>
      <c r="BB32" s="335">
        <v>10</v>
      </c>
      <c r="BC32" s="335">
        <v>10</v>
      </c>
      <c r="BD32" s="336">
        <f t="shared" ref="BD32:BD34" si="35">SUM(AR32:BC32)</f>
        <v>110</v>
      </c>
      <c r="BG32" s="1154" t="s">
        <v>428</v>
      </c>
      <c r="BH32" s="1156" t="s">
        <v>425</v>
      </c>
      <c r="BI32" s="349"/>
      <c r="BJ32" s="338" t="s">
        <v>237</v>
      </c>
      <c r="BK32" s="335">
        <v>0</v>
      </c>
      <c r="BL32" s="335">
        <v>10</v>
      </c>
      <c r="BM32" s="335">
        <v>10</v>
      </c>
      <c r="BN32" s="335">
        <v>10</v>
      </c>
      <c r="BO32" s="335">
        <v>10</v>
      </c>
      <c r="BP32" s="335">
        <v>10</v>
      </c>
      <c r="BQ32" s="335">
        <v>10</v>
      </c>
      <c r="BR32" s="335">
        <v>10</v>
      </c>
      <c r="BS32" s="335">
        <v>10</v>
      </c>
      <c r="BT32" s="335">
        <v>10</v>
      </c>
      <c r="BU32" s="335">
        <v>10</v>
      </c>
      <c r="BV32" s="335">
        <v>10</v>
      </c>
      <c r="BW32" s="336">
        <f t="shared" ref="BW32:BW34" si="36">SUM(BK32:BV32)</f>
        <v>110</v>
      </c>
    </row>
    <row r="33" spans="2:75" x14ac:dyDescent="0.35">
      <c r="B33" s="1155"/>
      <c r="C33" s="1157"/>
      <c r="D33" s="350" t="s">
        <v>70</v>
      </c>
      <c r="E33" s="340">
        <f>IFERROR(VLOOKUP(C32,[2]Rates!$A$2:$B$158,2,),0)</f>
        <v>132.76</v>
      </c>
      <c r="F33" s="340">
        <f>F32*$E$33</f>
        <v>0</v>
      </c>
      <c r="G33" s="340">
        <f t="shared" ref="G33:Q33" si="37">G32*$E$33</f>
        <v>0</v>
      </c>
      <c r="H33" s="340">
        <f t="shared" si="37"/>
        <v>0</v>
      </c>
      <c r="I33" s="340">
        <f t="shared" si="37"/>
        <v>0</v>
      </c>
      <c r="J33" s="340">
        <f t="shared" si="37"/>
        <v>0</v>
      </c>
      <c r="K33" s="340">
        <f t="shared" si="37"/>
        <v>0</v>
      </c>
      <c r="L33" s="340">
        <f t="shared" si="37"/>
        <v>0</v>
      </c>
      <c r="M33" s="340">
        <f t="shared" si="37"/>
        <v>0</v>
      </c>
      <c r="N33" s="340">
        <f t="shared" si="37"/>
        <v>0</v>
      </c>
      <c r="O33" s="340">
        <f t="shared" si="37"/>
        <v>0</v>
      </c>
      <c r="P33" s="340">
        <f t="shared" si="37"/>
        <v>0</v>
      </c>
      <c r="Q33" s="340">
        <f t="shared" si="37"/>
        <v>0</v>
      </c>
      <c r="R33" s="340">
        <f t="shared" si="33"/>
        <v>0</v>
      </c>
      <c r="S33" s="333"/>
      <c r="U33" s="1155"/>
      <c r="V33" s="1157"/>
      <c r="W33" s="350" t="s">
        <v>54</v>
      </c>
      <c r="X33" s="340">
        <f>IFERROR(VLOOKUP(V32,[2]Rates!$A$2:$B$158,2,),0)</f>
        <v>132.76</v>
      </c>
      <c r="Y33" s="340">
        <f>Y32*$X$33</f>
        <v>0</v>
      </c>
      <c r="Z33" s="340">
        <f t="shared" ref="Z33:AJ33" si="38">Z32*$X$33</f>
        <v>1327.6</v>
      </c>
      <c r="AA33" s="340">
        <f t="shared" si="38"/>
        <v>1327.6</v>
      </c>
      <c r="AB33" s="340">
        <f t="shared" si="38"/>
        <v>1327.6</v>
      </c>
      <c r="AC33" s="340">
        <f t="shared" si="38"/>
        <v>1327.6</v>
      </c>
      <c r="AD33" s="340">
        <f t="shared" si="38"/>
        <v>1327.6</v>
      </c>
      <c r="AE33" s="340">
        <f t="shared" si="38"/>
        <v>1327.6</v>
      </c>
      <c r="AF33" s="340">
        <f t="shared" si="38"/>
        <v>1327.6</v>
      </c>
      <c r="AG33" s="340">
        <f t="shared" si="38"/>
        <v>1327.6</v>
      </c>
      <c r="AH33" s="340">
        <f t="shared" si="38"/>
        <v>1327.6</v>
      </c>
      <c r="AI33" s="340">
        <f t="shared" si="38"/>
        <v>1327.6</v>
      </c>
      <c r="AJ33" s="340">
        <f t="shared" si="38"/>
        <v>1327.6</v>
      </c>
      <c r="AK33" s="340">
        <f t="shared" si="34"/>
        <v>14603.600000000002</v>
      </c>
      <c r="AL33" s="342"/>
      <c r="AM33" s="342"/>
      <c r="AN33" s="1155"/>
      <c r="AO33" s="1157"/>
      <c r="AP33" s="350" t="s">
        <v>54</v>
      </c>
      <c r="AQ33" s="340">
        <f>IFERROR(VLOOKUP(AO32,[2]Rates!$A$2:$B$158,2,),0)</f>
        <v>132.76</v>
      </c>
      <c r="AR33" s="340">
        <f>AR32*$X$33</f>
        <v>0</v>
      </c>
      <c r="AS33" s="340">
        <f t="shared" ref="AS33:BC33" si="39">AS32*$X$33</f>
        <v>1327.6</v>
      </c>
      <c r="AT33" s="340">
        <f t="shared" si="39"/>
        <v>1327.6</v>
      </c>
      <c r="AU33" s="340">
        <f t="shared" si="39"/>
        <v>1327.6</v>
      </c>
      <c r="AV33" s="340">
        <f t="shared" si="39"/>
        <v>1327.6</v>
      </c>
      <c r="AW33" s="340">
        <f t="shared" si="39"/>
        <v>1327.6</v>
      </c>
      <c r="AX33" s="340">
        <f t="shared" si="39"/>
        <v>1327.6</v>
      </c>
      <c r="AY33" s="340">
        <f t="shared" si="39"/>
        <v>1327.6</v>
      </c>
      <c r="AZ33" s="340">
        <f t="shared" si="39"/>
        <v>1327.6</v>
      </c>
      <c r="BA33" s="340">
        <f t="shared" si="39"/>
        <v>1327.6</v>
      </c>
      <c r="BB33" s="340">
        <f t="shared" si="39"/>
        <v>1327.6</v>
      </c>
      <c r="BC33" s="340">
        <f t="shared" si="39"/>
        <v>1327.6</v>
      </c>
      <c r="BD33" s="340">
        <f t="shared" si="35"/>
        <v>14603.600000000002</v>
      </c>
      <c r="BG33" s="1155"/>
      <c r="BH33" s="1157"/>
      <c r="BI33" s="350" t="s">
        <v>54</v>
      </c>
      <c r="BJ33" s="340">
        <f>IFERROR(VLOOKUP(BH32,[2]Rates!$A$2:$B$158,2,),0)</f>
        <v>132.76</v>
      </c>
      <c r="BK33" s="340">
        <f>BK32*$X$33</f>
        <v>0</v>
      </c>
      <c r="BL33" s="340">
        <f t="shared" ref="BL33:BV33" si="40">BL32*$X$33</f>
        <v>1327.6</v>
      </c>
      <c r="BM33" s="340">
        <f t="shared" si="40"/>
        <v>1327.6</v>
      </c>
      <c r="BN33" s="340">
        <f t="shared" si="40"/>
        <v>1327.6</v>
      </c>
      <c r="BO33" s="340">
        <f t="shared" si="40"/>
        <v>1327.6</v>
      </c>
      <c r="BP33" s="340">
        <f t="shared" si="40"/>
        <v>1327.6</v>
      </c>
      <c r="BQ33" s="340">
        <f t="shared" si="40"/>
        <v>1327.6</v>
      </c>
      <c r="BR33" s="340">
        <f t="shared" si="40"/>
        <v>1327.6</v>
      </c>
      <c r="BS33" s="340">
        <f t="shared" si="40"/>
        <v>1327.6</v>
      </c>
      <c r="BT33" s="340">
        <f t="shared" si="40"/>
        <v>1327.6</v>
      </c>
      <c r="BU33" s="340">
        <f t="shared" si="40"/>
        <v>1327.6</v>
      </c>
      <c r="BV33" s="340">
        <f t="shared" si="40"/>
        <v>1327.6</v>
      </c>
      <c r="BW33" s="340">
        <f t="shared" si="36"/>
        <v>14603.600000000002</v>
      </c>
    </row>
    <row r="34" spans="2:75" x14ac:dyDescent="0.35">
      <c r="B34" s="1150" t="s">
        <v>429</v>
      </c>
      <c r="C34" s="1152" t="s">
        <v>425</v>
      </c>
      <c r="D34" s="346"/>
      <c r="E34" s="343" t="s">
        <v>237</v>
      </c>
      <c r="F34" s="344"/>
      <c r="G34" s="344"/>
      <c r="H34" s="344"/>
      <c r="I34" s="344"/>
      <c r="J34" s="344">
        <v>40</v>
      </c>
      <c r="K34" s="344">
        <v>40</v>
      </c>
      <c r="L34" s="344">
        <v>0</v>
      </c>
      <c r="M34" s="344">
        <v>0</v>
      </c>
      <c r="N34" s="344">
        <v>0</v>
      </c>
      <c r="O34" s="344">
        <v>0</v>
      </c>
      <c r="P34" s="344">
        <v>0</v>
      </c>
      <c r="Q34" s="344">
        <v>0</v>
      </c>
      <c r="R34" s="345">
        <f t="shared" si="33"/>
        <v>80</v>
      </c>
      <c r="S34" s="333"/>
      <c r="T34" s="333"/>
      <c r="U34" s="1150" t="s">
        <v>430</v>
      </c>
      <c r="V34" s="1152" t="s">
        <v>381</v>
      </c>
      <c r="W34" s="346"/>
      <c r="X34" s="343" t="s">
        <v>237</v>
      </c>
      <c r="Y34" s="344">
        <v>0</v>
      </c>
      <c r="Z34" s="344">
        <v>80</v>
      </c>
      <c r="AA34" s="344">
        <v>80</v>
      </c>
      <c r="AB34" s="344">
        <v>80</v>
      </c>
      <c r="AC34" s="344">
        <v>80</v>
      </c>
      <c r="AD34" s="344">
        <v>80</v>
      </c>
      <c r="AE34" s="344">
        <v>80</v>
      </c>
      <c r="AF34" s="344">
        <v>80</v>
      </c>
      <c r="AG34" s="344">
        <v>80</v>
      </c>
      <c r="AH34" s="344">
        <v>80</v>
      </c>
      <c r="AI34" s="344">
        <v>80</v>
      </c>
      <c r="AJ34" s="344">
        <v>80</v>
      </c>
      <c r="AK34" s="345">
        <f t="shared" si="34"/>
        <v>880</v>
      </c>
      <c r="AL34" s="339"/>
      <c r="AM34" s="339"/>
      <c r="AN34" s="1150" t="s">
        <v>430</v>
      </c>
      <c r="AO34" s="1152" t="s">
        <v>381</v>
      </c>
      <c r="AP34" s="346"/>
      <c r="AQ34" s="343" t="s">
        <v>237</v>
      </c>
      <c r="AR34" s="344">
        <v>0</v>
      </c>
      <c r="AS34" s="344">
        <v>80</v>
      </c>
      <c r="AT34" s="344">
        <v>80</v>
      </c>
      <c r="AU34" s="344">
        <v>80</v>
      </c>
      <c r="AV34" s="344">
        <v>80</v>
      </c>
      <c r="AW34" s="344">
        <v>80</v>
      </c>
      <c r="AX34" s="344">
        <v>80</v>
      </c>
      <c r="AY34" s="344">
        <v>80</v>
      </c>
      <c r="AZ34" s="344">
        <v>80</v>
      </c>
      <c r="BA34" s="344">
        <v>80</v>
      </c>
      <c r="BB34" s="344">
        <v>80</v>
      </c>
      <c r="BC34" s="344">
        <v>80</v>
      </c>
      <c r="BD34" s="345">
        <f t="shared" si="35"/>
        <v>880</v>
      </c>
      <c r="BG34" s="1150" t="s">
        <v>430</v>
      </c>
      <c r="BH34" s="1152" t="s">
        <v>381</v>
      </c>
      <c r="BI34" s="346"/>
      <c r="BJ34" s="343" t="s">
        <v>237</v>
      </c>
      <c r="BK34" s="344">
        <v>0</v>
      </c>
      <c r="BL34" s="344">
        <v>80</v>
      </c>
      <c r="BM34" s="344">
        <v>80</v>
      </c>
      <c r="BN34" s="344">
        <v>80</v>
      </c>
      <c r="BO34" s="344">
        <v>80</v>
      </c>
      <c r="BP34" s="344">
        <v>80</v>
      </c>
      <c r="BQ34" s="344">
        <v>80</v>
      </c>
      <c r="BR34" s="344">
        <v>80</v>
      </c>
      <c r="BS34" s="344">
        <v>80</v>
      </c>
      <c r="BT34" s="344">
        <v>80</v>
      </c>
      <c r="BU34" s="344">
        <v>80</v>
      </c>
      <c r="BV34" s="344">
        <v>80</v>
      </c>
      <c r="BW34" s="345">
        <f t="shared" si="36"/>
        <v>880</v>
      </c>
    </row>
    <row r="35" spans="2:75" x14ac:dyDescent="0.35">
      <c r="B35" s="1151"/>
      <c r="C35" s="1153"/>
      <c r="D35" s="348" t="s">
        <v>70</v>
      </c>
      <c r="E35" s="347">
        <f>IFERROR(VLOOKUP(C34,[2]Rates!$A$2:$B$158,2,),0)</f>
        <v>132.76</v>
      </c>
      <c r="F35" s="347">
        <f>F34*$E$35</f>
        <v>0</v>
      </c>
      <c r="G35" s="347">
        <f t="shared" ref="G35:Q35" si="41">G34*$E$35</f>
        <v>0</v>
      </c>
      <c r="H35" s="347">
        <f t="shared" si="41"/>
        <v>0</v>
      </c>
      <c r="I35" s="347">
        <f t="shared" si="41"/>
        <v>0</v>
      </c>
      <c r="J35" s="347">
        <f t="shared" si="41"/>
        <v>5310.4</v>
      </c>
      <c r="K35" s="347">
        <f t="shared" si="41"/>
        <v>5310.4</v>
      </c>
      <c r="L35" s="347">
        <f t="shared" si="41"/>
        <v>0</v>
      </c>
      <c r="M35" s="347">
        <f t="shared" si="41"/>
        <v>0</v>
      </c>
      <c r="N35" s="347">
        <f t="shared" si="41"/>
        <v>0</v>
      </c>
      <c r="O35" s="347">
        <f t="shared" si="41"/>
        <v>0</v>
      </c>
      <c r="P35" s="347">
        <f t="shared" si="41"/>
        <v>0</v>
      </c>
      <c r="Q35" s="347">
        <f t="shared" si="41"/>
        <v>0</v>
      </c>
      <c r="R35" s="347">
        <f>SUM(F35:Q35)</f>
        <v>10620.8</v>
      </c>
      <c r="S35" s="333"/>
      <c r="T35" s="333"/>
      <c r="U35" s="1151"/>
      <c r="V35" s="1153"/>
      <c r="W35" s="348" t="s">
        <v>54</v>
      </c>
      <c r="X35" s="347">
        <f>IFERROR(VLOOKUP(V34,[2]Rates!$A$2:$B$158,2,),0)</f>
        <v>63.22</v>
      </c>
      <c r="Y35" s="347">
        <f>Y34*$X$35</f>
        <v>0</v>
      </c>
      <c r="Z35" s="347">
        <f t="shared" ref="Z35:AJ35" si="42">Z34*$X$35</f>
        <v>5057.6000000000004</v>
      </c>
      <c r="AA35" s="347">
        <f t="shared" si="42"/>
        <v>5057.6000000000004</v>
      </c>
      <c r="AB35" s="347">
        <f t="shared" si="42"/>
        <v>5057.6000000000004</v>
      </c>
      <c r="AC35" s="347">
        <f t="shared" si="42"/>
        <v>5057.6000000000004</v>
      </c>
      <c r="AD35" s="347">
        <f t="shared" si="42"/>
        <v>5057.6000000000004</v>
      </c>
      <c r="AE35" s="347">
        <f t="shared" si="42"/>
        <v>5057.6000000000004</v>
      </c>
      <c r="AF35" s="347">
        <f t="shared" si="42"/>
        <v>5057.6000000000004</v>
      </c>
      <c r="AG35" s="347">
        <f t="shared" si="42"/>
        <v>5057.6000000000004</v>
      </c>
      <c r="AH35" s="347">
        <f t="shared" si="42"/>
        <v>5057.6000000000004</v>
      </c>
      <c r="AI35" s="347">
        <f t="shared" si="42"/>
        <v>5057.6000000000004</v>
      </c>
      <c r="AJ35" s="347">
        <f t="shared" si="42"/>
        <v>5057.6000000000004</v>
      </c>
      <c r="AK35" s="347">
        <f>SUM(Y35:AJ35)</f>
        <v>55633.599999999991</v>
      </c>
      <c r="AL35" s="342"/>
      <c r="AM35" s="342"/>
      <c r="AN35" s="1151"/>
      <c r="AO35" s="1153"/>
      <c r="AP35" s="348" t="s">
        <v>54</v>
      </c>
      <c r="AQ35" s="347">
        <f>IFERROR(VLOOKUP(AO34,[2]Rates!$A$2:$B$158,2,),0)</f>
        <v>63.22</v>
      </c>
      <c r="AR35" s="347">
        <f>AR34*$X$35</f>
        <v>0</v>
      </c>
      <c r="AS35" s="347">
        <f t="shared" ref="AS35:BC35" si="43">AS34*$X$35</f>
        <v>5057.6000000000004</v>
      </c>
      <c r="AT35" s="347">
        <f t="shared" si="43"/>
        <v>5057.6000000000004</v>
      </c>
      <c r="AU35" s="347">
        <f t="shared" si="43"/>
        <v>5057.6000000000004</v>
      </c>
      <c r="AV35" s="347">
        <f t="shared" si="43"/>
        <v>5057.6000000000004</v>
      </c>
      <c r="AW35" s="347">
        <f t="shared" si="43"/>
        <v>5057.6000000000004</v>
      </c>
      <c r="AX35" s="347">
        <f t="shared" si="43"/>
        <v>5057.6000000000004</v>
      </c>
      <c r="AY35" s="347">
        <f t="shared" si="43"/>
        <v>5057.6000000000004</v>
      </c>
      <c r="AZ35" s="347">
        <f t="shared" si="43"/>
        <v>5057.6000000000004</v>
      </c>
      <c r="BA35" s="347">
        <f t="shared" si="43"/>
        <v>5057.6000000000004</v>
      </c>
      <c r="BB35" s="347">
        <f t="shared" si="43"/>
        <v>5057.6000000000004</v>
      </c>
      <c r="BC35" s="347">
        <f t="shared" si="43"/>
        <v>5057.6000000000004</v>
      </c>
      <c r="BD35" s="347">
        <f>SUM(AR35:BC35)</f>
        <v>55633.599999999991</v>
      </c>
      <c r="BG35" s="1151"/>
      <c r="BH35" s="1153"/>
      <c r="BI35" s="348" t="s">
        <v>54</v>
      </c>
      <c r="BJ35" s="347">
        <f>IFERROR(VLOOKUP(BH34,[2]Rates!$A$2:$B$158,2,),0)</f>
        <v>63.22</v>
      </c>
      <c r="BK35" s="347">
        <f>BK34*$X$35</f>
        <v>0</v>
      </c>
      <c r="BL35" s="347">
        <f t="shared" ref="BL35:BV35" si="44">BL34*$X$35</f>
        <v>5057.6000000000004</v>
      </c>
      <c r="BM35" s="347">
        <f t="shared" si="44"/>
        <v>5057.6000000000004</v>
      </c>
      <c r="BN35" s="347">
        <f t="shared" si="44"/>
        <v>5057.6000000000004</v>
      </c>
      <c r="BO35" s="347">
        <f t="shared" si="44"/>
        <v>5057.6000000000004</v>
      </c>
      <c r="BP35" s="347">
        <f t="shared" si="44"/>
        <v>5057.6000000000004</v>
      </c>
      <c r="BQ35" s="347">
        <f t="shared" si="44"/>
        <v>5057.6000000000004</v>
      </c>
      <c r="BR35" s="347">
        <f t="shared" si="44"/>
        <v>5057.6000000000004</v>
      </c>
      <c r="BS35" s="347">
        <f t="shared" si="44"/>
        <v>5057.6000000000004</v>
      </c>
      <c r="BT35" s="347">
        <f t="shared" si="44"/>
        <v>5057.6000000000004</v>
      </c>
      <c r="BU35" s="347">
        <f t="shared" si="44"/>
        <v>5057.6000000000004</v>
      </c>
      <c r="BV35" s="347">
        <f t="shared" si="44"/>
        <v>5057.6000000000004</v>
      </c>
      <c r="BW35" s="347">
        <f>SUM(BK35:BV35)</f>
        <v>55633.599999999991</v>
      </c>
    </row>
    <row r="36" spans="2:75" x14ac:dyDescent="0.35">
      <c r="B36" s="1154" t="s">
        <v>431</v>
      </c>
      <c r="C36" s="1156" t="s">
        <v>380</v>
      </c>
      <c r="D36" s="349"/>
      <c r="E36" s="338" t="s">
        <v>237</v>
      </c>
      <c r="F36" s="335"/>
      <c r="G36" s="335"/>
      <c r="H36" s="335"/>
      <c r="I36" s="335"/>
      <c r="J36" s="335">
        <v>0</v>
      </c>
      <c r="K36" s="335">
        <v>0</v>
      </c>
      <c r="L36" s="335">
        <v>0</v>
      </c>
      <c r="M36" s="335">
        <v>0</v>
      </c>
      <c r="N36" s="335">
        <v>5</v>
      </c>
      <c r="O36" s="335">
        <v>5</v>
      </c>
      <c r="P36" s="335">
        <v>0</v>
      </c>
      <c r="Q36" s="335">
        <v>0</v>
      </c>
      <c r="R36" s="336">
        <f t="shared" si="33"/>
        <v>10</v>
      </c>
      <c r="S36" s="333"/>
      <c r="T36" s="333"/>
      <c r="U36" s="1150" t="s">
        <v>432</v>
      </c>
      <c r="V36" s="1152" t="s">
        <v>381</v>
      </c>
      <c r="W36" s="346"/>
      <c r="X36" s="338" t="s">
        <v>237</v>
      </c>
      <c r="Y36" s="335">
        <v>20</v>
      </c>
      <c r="Z36" s="335">
        <v>80</v>
      </c>
      <c r="AA36" s="335">
        <v>80</v>
      </c>
      <c r="AB36" s="335">
        <v>80</v>
      </c>
      <c r="AC36" s="335">
        <v>80</v>
      </c>
      <c r="AD36" s="335">
        <v>80</v>
      </c>
      <c r="AE36" s="335">
        <v>80</v>
      </c>
      <c r="AF36" s="335">
        <v>80</v>
      </c>
      <c r="AG36" s="335">
        <v>80</v>
      </c>
      <c r="AH36" s="335">
        <v>80</v>
      </c>
      <c r="AI36" s="335">
        <v>80</v>
      </c>
      <c r="AJ36" s="335">
        <v>80</v>
      </c>
      <c r="AK36" s="336">
        <f t="shared" si="34"/>
        <v>900</v>
      </c>
      <c r="AL36" s="339"/>
      <c r="AM36" s="339"/>
      <c r="AN36" s="1150" t="s">
        <v>432</v>
      </c>
      <c r="AO36" s="1152" t="s">
        <v>381</v>
      </c>
      <c r="AP36" s="346"/>
      <c r="AQ36" s="338" t="s">
        <v>237</v>
      </c>
      <c r="AR36" s="335">
        <v>20</v>
      </c>
      <c r="AS36" s="335">
        <v>80</v>
      </c>
      <c r="AT36" s="335">
        <v>80</v>
      </c>
      <c r="AU36" s="335">
        <v>80</v>
      </c>
      <c r="AV36" s="335">
        <v>80</v>
      </c>
      <c r="AW36" s="335">
        <v>80</v>
      </c>
      <c r="AX36" s="335">
        <v>80</v>
      </c>
      <c r="AY36" s="335">
        <v>80</v>
      </c>
      <c r="AZ36" s="335">
        <v>80</v>
      </c>
      <c r="BA36" s="335">
        <v>80</v>
      </c>
      <c r="BB36" s="335">
        <v>80</v>
      </c>
      <c r="BC36" s="335">
        <v>80</v>
      </c>
      <c r="BD36" s="336">
        <f t="shared" ref="BD36:BD38" si="45">SUM(AR36:BC36)</f>
        <v>900</v>
      </c>
      <c r="BG36" s="1150" t="s">
        <v>432</v>
      </c>
      <c r="BH36" s="1152" t="s">
        <v>381</v>
      </c>
      <c r="BI36" s="346"/>
      <c r="BJ36" s="338" t="s">
        <v>237</v>
      </c>
      <c r="BK36" s="335">
        <v>20</v>
      </c>
      <c r="BL36" s="335">
        <v>80</v>
      </c>
      <c r="BM36" s="335">
        <v>80</v>
      </c>
      <c r="BN36" s="335">
        <v>80</v>
      </c>
      <c r="BO36" s="335">
        <v>80</v>
      </c>
      <c r="BP36" s="335">
        <v>80</v>
      </c>
      <c r="BQ36" s="335">
        <v>80</v>
      </c>
      <c r="BR36" s="335">
        <v>80</v>
      </c>
      <c r="BS36" s="335">
        <v>80</v>
      </c>
      <c r="BT36" s="335">
        <v>80</v>
      </c>
      <c r="BU36" s="335">
        <v>80</v>
      </c>
      <c r="BV36" s="335">
        <v>80</v>
      </c>
      <c r="BW36" s="336">
        <f t="shared" ref="BW36:BW38" si="46">SUM(BK36:BV36)</f>
        <v>900</v>
      </c>
    </row>
    <row r="37" spans="2:75" x14ac:dyDescent="0.35">
      <c r="B37" s="1155"/>
      <c r="C37" s="1157"/>
      <c r="D37" s="350" t="s">
        <v>70</v>
      </c>
      <c r="E37" s="340">
        <f>IFERROR(VLOOKUP(C36,[2]Rates!$A$2:$B$158,2,),0)</f>
        <v>266.22000000000003</v>
      </c>
      <c r="F37" s="340">
        <f>F36*$E$37</f>
        <v>0</v>
      </c>
      <c r="G37" s="340">
        <f t="shared" ref="G37:Q37" si="47">G36*$E$37</f>
        <v>0</v>
      </c>
      <c r="H37" s="340">
        <f t="shared" si="47"/>
        <v>0</v>
      </c>
      <c r="I37" s="340">
        <f t="shared" si="47"/>
        <v>0</v>
      </c>
      <c r="J37" s="340">
        <f t="shared" si="47"/>
        <v>0</v>
      </c>
      <c r="K37" s="340">
        <f t="shared" si="47"/>
        <v>0</v>
      </c>
      <c r="L37" s="340">
        <f t="shared" si="47"/>
        <v>0</v>
      </c>
      <c r="M37" s="340">
        <f t="shared" si="47"/>
        <v>0</v>
      </c>
      <c r="N37" s="340">
        <f t="shared" si="47"/>
        <v>1331.1000000000001</v>
      </c>
      <c r="O37" s="340">
        <f t="shared" si="47"/>
        <v>1331.1000000000001</v>
      </c>
      <c r="P37" s="340">
        <f t="shared" si="47"/>
        <v>0</v>
      </c>
      <c r="Q37" s="340">
        <f t="shared" si="47"/>
        <v>0</v>
      </c>
      <c r="R37" s="340">
        <f t="shared" si="33"/>
        <v>2662.2000000000003</v>
      </c>
      <c r="S37" s="333"/>
      <c r="U37" s="1151"/>
      <c r="V37" s="1153"/>
      <c r="W37" s="348" t="s">
        <v>54</v>
      </c>
      <c r="X37" s="347">
        <f>IFERROR(VLOOKUP(V36,[2]Rates!$A$2:$B$158,2,),0)</f>
        <v>63.22</v>
      </c>
      <c r="Y37" s="340">
        <f>Y36*$X$37</f>
        <v>1264.4000000000001</v>
      </c>
      <c r="Z37" s="340">
        <f t="shared" ref="Z37:AJ37" si="48">Z36*$X$37</f>
        <v>5057.6000000000004</v>
      </c>
      <c r="AA37" s="340">
        <f t="shared" si="48"/>
        <v>5057.6000000000004</v>
      </c>
      <c r="AB37" s="340">
        <f t="shared" si="48"/>
        <v>5057.6000000000004</v>
      </c>
      <c r="AC37" s="340">
        <f t="shared" si="48"/>
        <v>5057.6000000000004</v>
      </c>
      <c r="AD37" s="340">
        <f t="shared" si="48"/>
        <v>5057.6000000000004</v>
      </c>
      <c r="AE37" s="340">
        <f t="shared" si="48"/>
        <v>5057.6000000000004</v>
      </c>
      <c r="AF37" s="340">
        <f t="shared" si="48"/>
        <v>5057.6000000000004</v>
      </c>
      <c r="AG37" s="340">
        <f t="shared" si="48"/>
        <v>5057.6000000000004</v>
      </c>
      <c r="AH37" s="340">
        <f t="shared" si="48"/>
        <v>5057.6000000000004</v>
      </c>
      <c r="AI37" s="340">
        <f t="shared" si="48"/>
        <v>5057.6000000000004</v>
      </c>
      <c r="AJ37" s="340">
        <f t="shared" si="48"/>
        <v>5057.6000000000004</v>
      </c>
      <c r="AK37" s="340">
        <f t="shared" si="34"/>
        <v>56897.999999999993</v>
      </c>
      <c r="AL37" s="342"/>
      <c r="AM37" s="342"/>
      <c r="AN37" s="1151"/>
      <c r="AO37" s="1153"/>
      <c r="AP37" s="348" t="s">
        <v>54</v>
      </c>
      <c r="AQ37" s="347">
        <f>IFERROR(VLOOKUP(AO36,[2]Rates!$A$2:$B$158,2,),0)</f>
        <v>63.22</v>
      </c>
      <c r="AR37" s="340">
        <f>AR36*$X$37</f>
        <v>1264.4000000000001</v>
      </c>
      <c r="AS37" s="340">
        <f t="shared" ref="AS37:BC37" si="49">AS36*$X$37</f>
        <v>5057.6000000000004</v>
      </c>
      <c r="AT37" s="340">
        <f t="shared" si="49"/>
        <v>5057.6000000000004</v>
      </c>
      <c r="AU37" s="340">
        <f t="shared" si="49"/>
        <v>5057.6000000000004</v>
      </c>
      <c r="AV37" s="340">
        <f t="shared" si="49"/>
        <v>5057.6000000000004</v>
      </c>
      <c r="AW37" s="340">
        <f t="shared" si="49"/>
        <v>5057.6000000000004</v>
      </c>
      <c r="AX37" s="340">
        <f t="shared" si="49"/>
        <v>5057.6000000000004</v>
      </c>
      <c r="AY37" s="340">
        <f t="shared" si="49"/>
        <v>5057.6000000000004</v>
      </c>
      <c r="AZ37" s="340">
        <f t="shared" si="49"/>
        <v>5057.6000000000004</v>
      </c>
      <c r="BA37" s="340">
        <f t="shared" si="49"/>
        <v>5057.6000000000004</v>
      </c>
      <c r="BB37" s="340">
        <f t="shared" si="49"/>
        <v>5057.6000000000004</v>
      </c>
      <c r="BC37" s="340">
        <f t="shared" si="49"/>
        <v>5057.6000000000004</v>
      </c>
      <c r="BD37" s="340">
        <f t="shared" si="45"/>
        <v>56897.999999999993</v>
      </c>
      <c r="BG37" s="1151"/>
      <c r="BH37" s="1153"/>
      <c r="BI37" s="348" t="s">
        <v>54</v>
      </c>
      <c r="BJ37" s="347">
        <f>IFERROR(VLOOKUP(BH36,[2]Rates!$A$2:$B$158,2,),0)</f>
        <v>63.22</v>
      </c>
      <c r="BK37" s="340">
        <f>BK36*$X$37</f>
        <v>1264.4000000000001</v>
      </c>
      <c r="BL37" s="340">
        <f t="shared" ref="BL37:BV37" si="50">BL36*$X$37</f>
        <v>5057.6000000000004</v>
      </c>
      <c r="BM37" s="340">
        <f t="shared" si="50"/>
        <v>5057.6000000000004</v>
      </c>
      <c r="BN37" s="340">
        <f t="shared" si="50"/>
        <v>5057.6000000000004</v>
      </c>
      <c r="BO37" s="340">
        <f t="shared" si="50"/>
        <v>5057.6000000000004</v>
      </c>
      <c r="BP37" s="340">
        <f t="shared" si="50"/>
        <v>5057.6000000000004</v>
      </c>
      <c r="BQ37" s="340">
        <f t="shared" si="50"/>
        <v>5057.6000000000004</v>
      </c>
      <c r="BR37" s="340">
        <f t="shared" si="50"/>
        <v>5057.6000000000004</v>
      </c>
      <c r="BS37" s="340">
        <f t="shared" si="50"/>
        <v>5057.6000000000004</v>
      </c>
      <c r="BT37" s="340">
        <f t="shared" si="50"/>
        <v>5057.6000000000004</v>
      </c>
      <c r="BU37" s="340">
        <f t="shared" si="50"/>
        <v>5057.6000000000004</v>
      </c>
      <c r="BV37" s="340">
        <f t="shared" si="50"/>
        <v>5057.6000000000004</v>
      </c>
      <c r="BW37" s="340">
        <f t="shared" si="46"/>
        <v>56897.999999999993</v>
      </c>
    </row>
    <row r="38" spans="2:75" x14ac:dyDescent="0.35">
      <c r="B38" s="1150" t="s">
        <v>433</v>
      </c>
      <c r="C38" s="1152" t="s">
        <v>381</v>
      </c>
      <c r="D38" s="346"/>
      <c r="E38" s="343" t="s">
        <v>237</v>
      </c>
      <c r="F38" s="344"/>
      <c r="G38" s="344"/>
      <c r="H38" s="344"/>
      <c r="I38" s="344"/>
      <c r="J38" s="344">
        <v>20</v>
      </c>
      <c r="K38" s="344">
        <v>40</v>
      </c>
      <c r="L38" s="344"/>
      <c r="M38" s="344"/>
      <c r="N38" s="344"/>
      <c r="O38" s="344"/>
      <c r="P38" s="344"/>
      <c r="Q38" s="344"/>
      <c r="R38" s="345">
        <f>SUM(F38:Q38)</f>
        <v>60</v>
      </c>
      <c r="S38" s="333"/>
      <c r="T38" s="333"/>
      <c r="U38" s="1154" t="s">
        <v>431</v>
      </c>
      <c r="V38" s="1156" t="s">
        <v>423</v>
      </c>
      <c r="W38" s="349"/>
      <c r="X38" s="343" t="s">
        <v>237</v>
      </c>
      <c r="Y38" s="344">
        <v>5</v>
      </c>
      <c r="Z38" s="344">
        <v>5</v>
      </c>
      <c r="AA38" s="344">
        <v>5</v>
      </c>
      <c r="AB38" s="344">
        <v>5</v>
      </c>
      <c r="AC38" s="344">
        <v>5</v>
      </c>
      <c r="AD38" s="344">
        <v>5</v>
      </c>
      <c r="AE38" s="344">
        <v>5</v>
      </c>
      <c r="AF38" s="344">
        <v>5</v>
      </c>
      <c r="AG38" s="344">
        <v>5</v>
      </c>
      <c r="AH38" s="344">
        <v>5</v>
      </c>
      <c r="AI38" s="344">
        <v>5</v>
      </c>
      <c r="AJ38" s="344">
        <v>5</v>
      </c>
      <c r="AK38" s="345">
        <f t="shared" si="34"/>
        <v>60</v>
      </c>
      <c r="AL38" s="339"/>
      <c r="AM38" s="339"/>
      <c r="AN38" s="1154" t="s">
        <v>431</v>
      </c>
      <c r="AO38" s="1156" t="s">
        <v>423</v>
      </c>
      <c r="AP38" s="349"/>
      <c r="AQ38" s="343" t="s">
        <v>237</v>
      </c>
      <c r="AR38" s="344">
        <v>5</v>
      </c>
      <c r="AS38" s="344">
        <v>5</v>
      </c>
      <c r="AT38" s="344">
        <v>5</v>
      </c>
      <c r="AU38" s="344">
        <v>5</v>
      </c>
      <c r="AV38" s="344">
        <v>5</v>
      </c>
      <c r="AW38" s="344">
        <v>5</v>
      </c>
      <c r="AX38" s="344">
        <v>5</v>
      </c>
      <c r="AY38" s="344">
        <v>5</v>
      </c>
      <c r="AZ38" s="344">
        <v>5</v>
      </c>
      <c r="BA38" s="344">
        <v>5</v>
      </c>
      <c r="BB38" s="344">
        <v>5</v>
      </c>
      <c r="BC38" s="344">
        <v>5</v>
      </c>
      <c r="BD38" s="345">
        <f t="shared" si="45"/>
        <v>60</v>
      </c>
      <c r="BG38" s="1154" t="s">
        <v>431</v>
      </c>
      <c r="BH38" s="1156" t="s">
        <v>423</v>
      </c>
      <c r="BI38" s="349"/>
      <c r="BJ38" s="343" t="s">
        <v>237</v>
      </c>
      <c r="BK38" s="344">
        <v>5</v>
      </c>
      <c r="BL38" s="344">
        <v>5</v>
      </c>
      <c r="BM38" s="344">
        <v>5</v>
      </c>
      <c r="BN38" s="344">
        <v>5</v>
      </c>
      <c r="BO38" s="344">
        <v>5</v>
      </c>
      <c r="BP38" s="344">
        <v>5</v>
      </c>
      <c r="BQ38" s="344">
        <v>5</v>
      </c>
      <c r="BR38" s="344">
        <v>5</v>
      </c>
      <c r="BS38" s="344">
        <v>5</v>
      </c>
      <c r="BT38" s="344">
        <v>5</v>
      </c>
      <c r="BU38" s="344">
        <v>5</v>
      </c>
      <c r="BV38" s="344">
        <v>5</v>
      </c>
      <c r="BW38" s="345">
        <f t="shared" si="46"/>
        <v>60</v>
      </c>
    </row>
    <row r="39" spans="2:75" ht="15" thickBot="1" x14ac:dyDescent="0.4">
      <c r="B39" s="1158"/>
      <c r="C39" s="1159"/>
      <c r="D39" s="348" t="s">
        <v>70</v>
      </c>
      <c r="E39" s="347">
        <f>IFERROR(VLOOKUP(C38,[2]Rates!$A$2:$B$158,2,),0)</f>
        <v>63.22</v>
      </c>
      <c r="F39" s="347">
        <f>F38*$E$39</f>
        <v>0</v>
      </c>
      <c r="G39" s="347">
        <f t="shared" ref="G39:Q39" si="51">G38*$E$39</f>
        <v>0</v>
      </c>
      <c r="H39" s="347">
        <f t="shared" si="51"/>
        <v>0</v>
      </c>
      <c r="I39" s="347">
        <f t="shared" si="51"/>
        <v>0</v>
      </c>
      <c r="J39" s="347">
        <f t="shared" si="51"/>
        <v>1264.4000000000001</v>
      </c>
      <c r="K39" s="347">
        <f t="shared" si="51"/>
        <v>2528.8000000000002</v>
      </c>
      <c r="L39" s="347">
        <f t="shared" si="51"/>
        <v>0</v>
      </c>
      <c r="M39" s="347">
        <f t="shared" si="51"/>
        <v>0</v>
      </c>
      <c r="N39" s="347">
        <f t="shared" si="51"/>
        <v>0</v>
      </c>
      <c r="O39" s="347">
        <f t="shared" si="51"/>
        <v>0</v>
      </c>
      <c r="P39" s="347">
        <f t="shared" si="51"/>
        <v>0</v>
      </c>
      <c r="Q39" s="347">
        <f t="shared" si="51"/>
        <v>0</v>
      </c>
      <c r="R39" s="347">
        <f>SUM(F39:Q39)</f>
        <v>3793.2000000000003</v>
      </c>
      <c r="S39" s="333"/>
      <c r="T39" s="333"/>
      <c r="U39" s="1155"/>
      <c r="V39" s="1157"/>
      <c r="W39" s="350" t="s">
        <v>54</v>
      </c>
      <c r="X39" s="340">
        <f>IFERROR(VLOOKUP(V38,[2]Rates!$A$2:$B$158,2,),0)</f>
        <v>191.58</v>
      </c>
      <c r="Y39" s="347">
        <f>Y38*$X$39</f>
        <v>957.90000000000009</v>
      </c>
      <c r="Z39" s="347">
        <f t="shared" ref="Z39:AJ39" si="52">Z38*$X$39</f>
        <v>957.90000000000009</v>
      </c>
      <c r="AA39" s="347">
        <f t="shared" si="52"/>
        <v>957.90000000000009</v>
      </c>
      <c r="AB39" s="347">
        <f t="shared" si="52"/>
        <v>957.90000000000009</v>
      </c>
      <c r="AC39" s="347">
        <f t="shared" si="52"/>
        <v>957.90000000000009</v>
      </c>
      <c r="AD39" s="347">
        <f t="shared" si="52"/>
        <v>957.90000000000009</v>
      </c>
      <c r="AE39" s="347">
        <f t="shared" si="52"/>
        <v>957.90000000000009</v>
      </c>
      <c r="AF39" s="347">
        <f t="shared" si="52"/>
        <v>957.90000000000009</v>
      </c>
      <c r="AG39" s="347">
        <f t="shared" si="52"/>
        <v>957.90000000000009</v>
      </c>
      <c r="AH39" s="347">
        <f t="shared" si="52"/>
        <v>957.90000000000009</v>
      </c>
      <c r="AI39" s="347">
        <f t="shared" si="52"/>
        <v>957.90000000000009</v>
      </c>
      <c r="AJ39" s="347">
        <f t="shared" si="52"/>
        <v>957.90000000000009</v>
      </c>
      <c r="AK39" s="347">
        <f>SUM(Y39:AJ39)</f>
        <v>11494.799999999997</v>
      </c>
      <c r="AL39" s="342"/>
      <c r="AM39" s="342"/>
      <c r="AN39" s="1155"/>
      <c r="AO39" s="1157"/>
      <c r="AP39" s="350" t="s">
        <v>54</v>
      </c>
      <c r="AQ39" s="340">
        <f>IFERROR(VLOOKUP(AO38,[2]Rates!$A$2:$B$158,2,),0)</f>
        <v>191.58</v>
      </c>
      <c r="AR39" s="347">
        <f>AR38*$X$39</f>
        <v>957.90000000000009</v>
      </c>
      <c r="AS39" s="347">
        <f t="shared" ref="AS39:BC39" si="53">AS38*$X$39</f>
        <v>957.90000000000009</v>
      </c>
      <c r="AT39" s="347">
        <f t="shared" si="53"/>
        <v>957.90000000000009</v>
      </c>
      <c r="AU39" s="347">
        <f t="shared" si="53"/>
        <v>957.90000000000009</v>
      </c>
      <c r="AV39" s="347">
        <f t="shared" si="53"/>
        <v>957.90000000000009</v>
      </c>
      <c r="AW39" s="347">
        <f t="shared" si="53"/>
        <v>957.90000000000009</v>
      </c>
      <c r="AX39" s="347">
        <f t="shared" si="53"/>
        <v>957.90000000000009</v>
      </c>
      <c r="AY39" s="347">
        <f t="shared" si="53"/>
        <v>957.90000000000009</v>
      </c>
      <c r="AZ39" s="347">
        <f t="shared" si="53"/>
        <v>957.90000000000009</v>
      </c>
      <c r="BA39" s="347">
        <f t="shared" si="53"/>
        <v>957.90000000000009</v>
      </c>
      <c r="BB39" s="347">
        <f t="shared" si="53"/>
        <v>957.90000000000009</v>
      </c>
      <c r="BC39" s="347">
        <f t="shared" si="53"/>
        <v>957.90000000000009</v>
      </c>
      <c r="BD39" s="347">
        <f>SUM(AR39:BC39)</f>
        <v>11494.799999999997</v>
      </c>
      <c r="BG39" s="1155"/>
      <c r="BH39" s="1157"/>
      <c r="BI39" s="350" t="s">
        <v>54</v>
      </c>
      <c r="BJ39" s="340">
        <f>IFERROR(VLOOKUP(BH38,[2]Rates!$A$2:$B$158,2,),0)</f>
        <v>191.58</v>
      </c>
      <c r="BK39" s="347">
        <f>BK38*$X$39</f>
        <v>957.90000000000009</v>
      </c>
      <c r="BL39" s="347">
        <f t="shared" ref="BL39:BV39" si="54">BL38*$X$39</f>
        <v>957.90000000000009</v>
      </c>
      <c r="BM39" s="347">
        <f t="shared" si="54"/>
        <v>957.90000000000009</v>
      </c>
      <c r="BN39" s="347">
        <f t="shared" si="54"/>
        <v>957.90000000000009</v>
      </c>
      <c r="BO39" s="347">
        <f t="shared" si="54"/>
        <v>957.90000000000009</v>
      </c>
      <c r="BP39" s="347">
        <f t="shared" si="54"/>
        <v>957.90000000000009</v>
      </c>
      <c r="BQ39" s="347">
        <f t="shared" si="54"/>
        <v>957.90000000000009</v>
      </c>
      <c r="BR39" s="347">
        <f t="shared" si="54"/>
        <v>957.90000000000009</v>
      </c>
      <c r="BS39" s="347">
        <f t="shared" si="54"/>
        <v>957.90000000000009</v>
      </c>
      <c r="BT39" s="347">
        <f t="shared" si="54"/>
        <v>957.90000000000009</v>
      </c>
      <c r="BU39" s="347">
        <f t="shared" si="54"/>
        <v>957.90000000000009</v>
      </c>
      <c r="BV39" s="347">
        <f t="shared" si="54"/>
        <v>957.90000000000009</v>
      </c>
      <c r="BW39" s="347">
        <f>SUM(BK39:BV39)</f>
        <v>11494.799999999997</v>
      </c>
    </row>
    <row r="40" spans="2:75" ht="15" thickTop="1" x14ac:dyDescent="0.35">
      <c r="B40" s="1160" t="s">
        <v>422</v>
      </c>
      <c r="C40" s="1161" t="s">
        <v>423</v>
      </c>
      <c r="D40" s="533"/>
      <c r="E40" s="338" t="s">
        <v>237</v>
      </c>
      <c r="F40" s="335"/>
      <c r="G40" s="335"/>
      <c r="H40" s="335"/>
      <c r="I40" s="335"/>
      <c r="J40" s="335"/>
      <c r="K40" s="335"/>
      <c r="L40" s="335"/>
      <c r="M40" s="335"/>
      <c r="N40" s="335"/>
      <c r="O40" s="335"/>
      <c r="P40" s="335">
        <v>20</v>
      </c>
      <c r="Q40" s="335">
        <v>20</v>
      </c>
      <c r="R40" s="336">
        <f t="shared" ref="R40:R42" si="55">SUM(F40:Q40)</f>
        <v>40</v>
      </c>
      <c r="S40" s="333"/>
      <c r="T40" s="333"/>
      <c r="U40" s="1154"/>
      <c r="V40" s="1156"/>
      <c r="W40" s="349"/>
      <c r="X40" s="338" t="s">
        <v>237</v>
      </c>
      <c r="Y40" s="335"/>
      <c r="Z40" s="335"/>
      <c r="AA40" s="335"/>
      <c r="AB40" s="335"/>
      <c r="AC40" s="335"/>
      <c r="AD40" s="335"/>
      <c r="AE40" s="335"/>
      <c r="AF40" s="335"/>
      <c r="AG40" s="335"/>
      <c r="AH40" s="335"/>
      <c r="AI40" s="335"/>
      <c r="AJ40" s="335"/>
      <c r="AK40" s="336">
        <f t="shared" ref="AK40:AK42" si="56">SUM(Y40:AJ40)</f>
        <v>0</v>
      </c>
      <c r="AL40" s="339"/>
      <c r="AM40" s="339"/>
      <c r="AN40" s="1154"/>
      <c r="AO40" s="1156"/>
      <c r="AP40" s="349"/>
      <c r="AQ40" s="338" t="s">
        <v>237</v>
      </c>
      <c r="AR40" s="335"/>
      <c r="AS40" s="335"/>
      <c r="AT40" s="335"/>
      <c r="AU40" s="335"/>
      <c r="AV40" s="335"/>
      <c r="AW40" s="335"/>
      <c r="AX40" s="335"/>
      <c r="AY40" s="335"/>
      <c r="AZ40" s="335"/>
      <c r="BA40" s="335"/>
      <c r="BB40" s="335"/>
      <c r="BC40" s="335"/>
      <c r="BD40" s="336">
        <f t="shared" ref="BD40:BD42" si="57">SUM(AR40:BC40)</f>
        <v>0</v>
      </c>
      <c r="BG40" s="1154"/>
      <c r="BH40" s="1156"/>
      <c r="BI40" s="349"/>
      <c r="BJ40" s="338" t="s">
        <v>237</v>
      </c>
      <c r="BK40" s="335"/>
      <c r="BL40" s="335"/>
      <c r="BM40" s="335"/>
      <c r="BN40" s="335"/>
      <c r="BO40" s="335"/>
      <c r="BP40" s="335"/>
      <c r="BQ40" s="335"/>
      <c r="BR40" s="335"/>
      <c r="BS40" s="335"/>
      <c r="BT40" s="335"/>
      <c r="BU40" s="335"/>
      <c r="BV40" s="335"/>
      <c r="BW40" s="336">
        <f t="shared" ref="BW40:BW42" si="58">SUM(BK40:BV40)</f>
        <v>0</v>
      </c>
    </row>
    <row r="41" spans="2:75" x14ac:dyDescent="0.35">
      <c r="B41" s="1155"/>
      <c r="C41" s="1157"/>
      <c r="D41" s="350" t="s">
        <v>54</v>
      </c>
      <c r="E41" s="340">
        <f>IFERROR(VLOOKUP(C40,[2]Rates!$A$2:$B$158,2,),0)</f>
        <v>191.58</v>
      </c>
      <c r="F41" s="340">
        <f>F40*$E$41</f>
        <v>0</v>
      </c>
      <c r="G41" s="340">
        <f t="shared" ref="G41:O41" si="59">G40*$E$41</f>
        <v>0</v>
      </c>
      <c r="H41" s="340">
        <f t="shared" si="59"/>
        <v>0</v>
      </c>
      <c r="I41" s="340">
        <f t="shared" si="59"/>
        <v>0</v>
      </c>
      <c r="J41" s="340">
        <f t="shared" si="59"/>
        <v>0</v>
      </c>
      <c r="K41" s="340">
        <f t="shared" si="59"/>
        <v>0</v>
      </c>
      <c r="L41" s="340">
        <f t="shared" si="59"/>
        <v>0</v>
      </c>
      <c r="M41" s="340">
        <f t="shared" si="59"/>
        <v>0</v>
      </c>
      <c r="N41" s="340">
        <f t="shared" si="59"/>
        <v>0</v>
      </c>
      <c r="O41" s="340">
        <f t="shared" si="59"/>
        <v>0</v>
      </c>
      <c r="P41" s="340">
        <f t="shared" ref="P41:Q41" si="60">P40*$E$29</f>
        <v>3831.6000000000004</v>
      </c>
      <c r="Q41" s="340">
        <f t="shared" si="60"/>
        <v>3831.6000000000004</v>
      </c>
      <c r="R41" s="340">
        <f t="shared" si="55"/>
        <v>7663.2000000000007</v>
      </c>
      <c r="S41" s="333"/>
      <c r="U41" s="1155"/>
      <c r="V41" s="1157"/>
      <c r="W41" s="350"/>
      <c r="X41" s="340">
        <f>IFERROR(VLOOKUP(V40,[2]Rates!$A$2:$B$158,2,),0)</f>
        <v>0</v>
      </c>
      <c r="Y41" s="340">
        <f>Y40*$X$41</f>
        <v>0</v>
      </c>
      <c r="Z41" s="340">
        <f t="shared" ref="Z41:AJ41" si="61">Z40*$X$41</f>
        <v>0</v>
      </c>
      <c r="AA41" s="340">
        <f t="shared" si="61"/>
        <v>0</v>
      </c>
      <c r="AB41" s="340">
        <f t="shared" si="61"/>
        <v>0</v>
      </c>
      <c r="AC41" s="340">
        <f t="shared" si="61"/>
        <v>0</v>
      </c>
      <c r="AD41" s="340">
        <f t="shared" si="61"/>
        <v>0</v>
      </c>
      <c r="AE41" s="340">
        <f t="shared" si="61"/>
        <v>0</v>
      </c>
      <c r="AF41" s="340">
        <f t="shared" si="61"/>
        <v>0</v>
      </c>
      <c r="AG41" s="340">
        <f t="shared" si="61"/>
        <v>0</v>
      </c>
      <c r="AH41" s="340">
        <f t="shared" si="61"/>
        <v>0</v>
      </c>
      <c r="AI41" s="340">
        <f t="shared" si="61"/>
        <v>0</v>
      </c>
      <c r="AJ41" s="340">
        <f t="shared" si="61"/>
        <v>0</v>
      </c>
      <c r="AK41" s="340">
        <f t="shared" si="56"/>
        <v>0</v>
      </c>
      <c r="AL41" s="342"/>
      <c r="AM41" s="342"/>
      <c r="AN41" s="1155"/>
      <c r="AO41" s="1157"/>
      <c r="AP41" s="350"/>
      <c r="AQ41" s="340">
        <f>IFERROR(VLOOKUP(AO40,[2]Rates!$A$2:$B$158,2,),0)</f>
        <v>0</v>
      </c>
      <c r="AR41" s="340">
        <f>AR40*$X$41</f>
        <v>0</v>
      </c>
      <c r="AS41" s="340">
        <f t="shared" ref="AS41:BC41" si="62">AS40*$X$41</f>
        <v>0</v>
      </c>
      <c r="AT41" s="340">
        <f t="shared" si="62"/>
        <v>0</v>
      </c>
      <c r="AU41" s="340">
        <f t="shared" si="62"/>
        <v>0</v>
      </c>
      <c r="AV41" s="340">
        <f t="shared" si="62"/>
        <v>0</v>
      </c>
      <c r="AW41" s="340">
        <f t="shared" si="62"/>
        <v>0</v>
      </c>
      <c r="AX41" s="340">
        <f t="shared" si="62"/>
        <v>0</v>
      </c>
      <c r="AY41" s="340">
        <f t="shared" si="62"/>
        <v>0</v>
      </c>
      <c r="AZ41" s="340">
        <f t="shared" si="62"/>
        <v>0</v>
      </c>
      <c r="BA41" s="340">
        <f t="shared" si="62"/>
        <v>0</v>
      </c>
      <c r="BB41" s="340">
        <f t="shared" si="62"/>
        <v>0</v>
      </c>
      <c r="BC41" s="340">
        <f t="shared" si="62"/>
        <v>0</v>
      </c>
      <c r="BD41" s="340">
        <f t="shared" si="57"/>
        <v>0</v>
      </c>
      <c r="BG41" s="1155"/>
      <c r="BH41" s="1157"/>
      <c r="BI41" s="350"/>
      <c r="BJ41" s="340">
        <f>IFERROR(VLOOKUP(BH40,[2]Rates!$A$2:$B$158,2,),0)</f>
        <v>0</v>
      </c>
      <c r="BK41" s="340">
        <f>BK40*$X$41</f>
        <v>0</v>
      </c>
      <c r="BL41" s="340">
        <f t="shared" ref="BL41:BV41" si="63">BL40*$X$41</f>
        <v>0</v>
      </c>
      <c r="BM41" s="340">
        <f t="shared" si="63"/>
        <v>0</v>
      </c>
      <c r="BN41" s="340">
        <f t="shared" si="63"/>
        <v>0</v>
      </c>
      <c r="BO41" s="340">
        <f t="shared" si="63"/>
        <v>0</v>
      </c>
      <c r="BP41" s="340">
        <f t="shared" si="63"/>
        <v>0</v>
      </c>
      <c r="BQ41" s="340">
        <f t="shared" si="63"/>
        <v>0</v>
      </c>
      <c r="BR41" s="340">
        <f t="shared" si="63"/>
        <v>0</v>
      </c>
      <c r="BS41" s="340">
        <f t="shared" si="63"/>
        <v>0</v>
      </c>
      <c r="BT41" s="340">
        <f t="shared" si="63"/>
        <v>0</v>
      </c>
      <c r="BU41" s="340">
        <f t="shared" si="63"/>
        <v>0</v>
      </c>
      <c r="BV41" s="340">
        <f t="shared" si="63"/>
        <v>0</v>
      </c>
      <c r="BW41" s="340">
        <f t="shared" si="58"/>
        <v>0</v>
      </c>
    </row>
    <row r="42" spans="2:75" x14ac:dyDescent="0.35">
      <c r="B42" s="1150" t="s">
        <v>426</v>
      </c>
      <c r="C42" s="1152" t="s">
        <v>425</v>
      </c>
      <c r="D42" s="346"/>
      <c r="E42" s="343" t="s">
        <v>237</v>
      </c>
      <c r="F42" s="344"/>
      <c r="G42" s="344"/>
      <c r="H42" s="344"/>
      <c r="I42" s="344"/>
      <c r="J42" s="344"/>
      <c r="K42" s="344"/>
      <c r="L42" s="344"/>
      <c r="M42" s="344"/>
      <c r="N42" s="344"/>
      <c r="O42" s="344"/>
      <c r="P42" s="344">
        <v>10</v>
      </c>
      <c r="Q42" s="344">
        <v>10</v>
      </c>
      <c r="R42" s="345">
        <f t="shared" si="55"/>
        <v>20</v>
      </c>
      <c r="S42" s="333"/>
      <c r="T42" s="333"/>
      <c r="U42" s="1150"/>
      <c r="V42" s="1152"/>
      <c r="W42" s="346"/>
      <c r="X42" s="343" t="s">
        <v>237</v>
      </c>
      <c r="Y42" s="344"/>
      <c r="Z42" s="344"/>
      <c r="AA42" s="344"/>
      <c r="AB42" s="344"/>
      <c r="AC42" s="344"/>
      <c r="AD42" s="344"/>
      <c r="AE42" s="344"/>
      <c r="AF42" s="344"/>
      <c r="AG42" s="344"/>
      <c r="AH42" s="344"/>
      <c r="AI42" s="344"/>
      <c r="AJ42" s="344"/>
      <c r="AK42" s="345">
        <f t="shared" si="56"/>
        <v>0</v>
      </c>
      <c r="AL42" s="339"/>
      <c r="AM42" s="339"/>
      <c r="AN42" s="1150"/>
      <c r="AO42" s="1152"/>
      <c r="AP42" s="346"/>
      <c r="AQ42" s="343" t="s">
        <v>237</v>
      </c>
      <c r="AR42" s="344"/>
      <c r="AS42" s="344"/>
      <c r="AT42" s="344"/>
      <c r="AU42" s="344"/>
      <c r="AV42" s="344"/>
      <c r="AW42" s="344"/>
      <c r="AX42" s="344"/>
      <c r="AY42" s="344"/>
      <c r="AZ42" s="344"/>
      <c r="BA42" s="344"/>
      <c r="BB42" s="344"/>
      <c r="BC42" s="344"/>
      <c r="BD42" s="345">
        <f t="shared" si="57"/>
        <v>0</v>
      </c>
      <c r="BG42" s="1150"/>
      <c r="BH42" s="1152"/>
      <c r="BI42" s="346"/>
      <c r="BJ42" s="343" t="s">
        <v>237</v>
      </c>
      <c r="BK42" s="344"/>
      <c r="BL42" s="344"/>
      <c r="BM42" s="344"/>
      <c r="BN42" s="344"/>
      <c r="BO42" s="344"/>
      <c r="BP42" s="344"/>
      <c r="BQ42" s="344"/>
      <c r="BR42" s="344"/>
      <c r="BS42" s="344"/>
      <c r="BT42" s="344"/>
      <c r="BU42" s="344"/>
      <c r="BV42" s="344"/>
      <c r="BW42" s="345">
        <f t="shared" si="58"/>
        <v>0</v>
      </c>
    </row>
    <row r="43" spans="2:75" x14ac:dyDescent="0.35">
      <c r="B43" s="1151"/>
      <c r="C43" s="1153"/>
      <c r="D43" s="348" t="s">
        <v>54</v>
      </c>
      <c r="E43" s="347">
        <f>IFERROR(VLOOKUP(C42,[2]Rates!$A$2:$B$158,2,),0)</f>
        <v>132.76</v>
      </c>
      <c r="F43" s="347">
        <f>F42*$E$43</f>
        <v>0</v>
      </c>
      <c r="G43" s="347">
        <f t="shared" ref="G43:O43" si="64">G42*$E$43</f>
        <v>0</v>
      </c>
      <c r="H43" s="347">
        <f t="shared" si="64"/>
        <v>0</v>
      </c>
      <c r="I43" s="347">
        <f t="shared" si="64"/>
        <v>0</v>
      </c>
      <c r="J43" s="347">
        <f t="shared" si="64"/>
        <v>0</v>
      </c>
      <c r="K43" s="347">
        <f t="shared" si="64"/>
        <v>0</v>
      </c>
      <c r="L43" s="347">
        <f t="shared" si="64"/>
        <v>0</v>
      </c>
      <c r="M43" s="347">
        <f t="shared" si="64"/>
        <v>0</v>
      </c>
      <c r="N43" s="347">
        <f t="shared" si="64"/>
        <v>0</v>
      </c>
      <c r="O43" s="347">
        <f t="shared" si="64"/>
        <v>0</v>
      </c>
      <c r="P43" s="347">
        <f t="shared" ref="P43:Q43" si="65">P42*$E$31</f>
        <v>1327.6</v>
      </c>
      <c r="Q43" s="347">
        <f t="shared" si="65"/>
        <v>1327.6</v>
      </c>
      <c r="R43" s="347">
        <f>SUM(F43:Q43)</f>
        <v>2655.2</v>
      </c>
      <c r="S43" s="333"/>
      <c r="T43" s="333"/>
      <c r="U43" s="1151"/>
      <c r="V43" s="1153"/>
      <c r="W43" s="348"/>
      <c r="X43" s="347">
        <f>IFERROR(VLOOKUP(V42,[2]Rates!$A$2:$B$158,2,),0)</f>
        <v>0</v>
      </c>
      <c r="Y43" s="347">
        <f>Y42*$X$43</f>
        <v>0</v>
      </c>
      <c r="Z43" s="347">
        <f t="shared" ref="Z43:AJ43" si="66">Z42*$X$43</f>
        <v>0</v>
      </c>
      <c r="AA43" s="347">
        <f t="shared" si="66"/>
        <v>0</v>
      </c>
      <c r="AB43" s="347">
        <f t="shared" si="66"/>
        <v>0</v>
      </c>
      <c r="AC43" s="347">
        <f t="shared" si="66"/>
        <v>0</v>
      </c>
      <c r="AD43" s="347">
        <f t="shared" si="66"/>
        <v>0</v>
      </c>
      <c r="AE43" s="347">
        <f t="shared" si="66"/>
        <v>0</v>
      </c>
      <c r="AF43" s="347">
        <f t="shared" si="66"/>
        <v>0</v>
      </c>
      <c r="AG43" s="347">
        <f t="shared" si="66"/>
        <v>0</v>
      </c>
      <c r="AH43" s="347">
        <f t="shared" si="66"/>
        <v>0</v>
      </c>
      <c r="AI43" s="347">
        <f t="shared" si="66"/>
        <v>0</v>
      </c>
      <c r="AJ43" s="347">
        <f t="shared" si="66"/>
        <v>0</v>
      </c>
      <c r="AK43" s="347">
        <f>SUM(Y43:AJ43)</f>
        <v>0</v>
      </c>
      <c r="AL43" s="342"/>
      <c r="AM43" s="342"/>
      <c r="AN43" s="1151"/>
      <c r="AO43" s="1153"/>
      <c r="AP43" s="348"/>
      <c r="AQ43" s="347">
        <f>IFERROR(VLOOKUP(AO42,[2]Rates!$A$2:$B$158,2,),0)</f>
        <v>0</v>
      </c>
      <c r="AR43" s="347">
        <f>AR42*$X$43</f>
        <v>0</v>
      </c>
      <c r="AS43" s="347">
        <f t="shared" ref="AS43:BC43" si="67">AS42*$X$43</f>
        <v>0</v>
      </c>
      <c r="AT43" s="347">
        <f t="shared" si="67"/>
        <v>0</v>
      </c>
      <c r="AU43" s="347">
        <f t="shared" si="67"/>
        <v>0</v>
      </c>
      <c r="AV43" s="347">
        <f t="shared" si="67"/>
        <v>0</v>
      </c>
      <c r="AW43" s="347">
        <f t="shared" si="67"/>
        <v>0</v>
      </c>
      <c r="AX43" s="347">
        <f t="shared" si="67"/>
        <v>0</v>
      </c>
      <c r="AY43" s="347">
        <f t="shared" si="67"/>
        <v>0</v>
      </c>
      <c r="AZ43" s="347">
        <f t="shared" si="67"/>
        <v>0</v>
      </c>
      <c r="BA43" s="347">
        <f t="shared" si="67"/>
        <v>0</v>
      </c>
      <c r="BB43" s="347">
        <f t="shared" si="67"/>
        <v>0</v>
      </c>
      <c r="BC43" s="347">
        <f t="shared" si="67"/>
        <v>0</v>
      </c>
      <c r="BD43" s="347">
        <f>SUM(AR43:BC43)</f>
        <v>0</v>
      </c>
      <c r="BG43" s="1151"/>
      <c r="BH43" s="1153"/>
      <c r="BI43" s="348"/>
      <c r="BJ43" s="347">
        <f>IFERROR(VLOOKUP(BH42,[2]Rates!$A$2:$B$158,2,),0)</f>
        <v>0</v>
      </c>
      <c r="BK43" s="347">
        <f>BK42*$X$43</f>
        <v>0</v>
      </c>
      <c r="BL43" s="347">
        <f t="shared" ref="BL43:BV43" si="68">BL42*$X$43</f>
        <v>0</v>
      </c>
      <c r="BM43" s="347">
        <f t="shared" si="68"/>
        <v>0</v>
      </c>
      <c r="BN43" s="347">
        <f t="shared" si="68"/>
        <v>0</v>
      </c>
      <c r="BO43" s="347">
        <f t="shared" si="68"/>
        <v>0</v>
      </c>
      <c r="BP43" s="347">
        <f t="shared" si="68"/>
        <v>0</v>
      </c>
      <c r="BQ43" s="347">
        <f t="shared" si="68"/>
        <v>0</v>
      </c>
      <c r="BR43" s="347">
        <f t="shared" si="68"/>
        <v>0</v>
      </c>
      <c r="BS43" s="347">
        <f t="shared" si="68"/>
        <v>0</v>
      </c>
      <c r="BT43" s="347">
        <f t="shared" si="68"/>
        <v>0</v>
      </c>
      <c r="BU43" s="347">
        <f t="shared" si="68"/>
        <v>0</v>
      </c>
      <c r="BV43" s="347">
        <f t="shared" si="68"/>
        <v>0</v>
      </c>
      <c r="BW43" s="347">
        <f>SUM(BK43:BV43)</f>
        <v>0</v>
      </c>
    </row>
    <row r="44" spans="2:75" x14ac:dyDescent="0.35">
      <c r="B44" s="1154" t="s">
        <v>428</v>
      </c>
      <c r="C44" s="1156" t="s">
        <v>425</v>
      </c>
      <c r="D44" s="349"/>
      <c r="E44" s="338" t="s">
        <v>237</v>
      </c>
      <c r="F44" s="335"/>
      <c r="G44" s="335"/>
      <c r="H44" s="335"/>
      <c r="I44" s="335"/>
      <c r="J44" s="335"/>
      <c r="K44" s="335"/>
      <c r="L44" s="335"/>
      <c r="M44" s="335"/>
      <c r="N44" s="335"/>
      <c r="O44" s="335"/>
      <c r="P44" s="335">
        <v>0</v>
      </c>
      <c r="Q44" s="335">
        <v>0</v>
      </c>
      <c r="R44" s="336">
        <f t="shared" si="18"/>
        <v>0</v>
      </c>
      <c r="S44" s="333"/>
      <c r="T44" s="333"/>
      <c r="U44" s="1154"/>
      <c r="V44" s="1156"/>
      <c r="W44" s="349"/>
      <c r="X44" s="338" t="s">
        <v>237</v>
      </c>
      <c r="Y44" s="335"/>
      <c r="Z44" s="335"/>
      <c r="AA44" s="335"/>
      <c r="AB44" s="335"/>
      <c r="AC44" s="335"/>
      <c r="AD44" s="335"/>
      <c r="AE44" s="335"/>
      <c r="AF44" s="335"/>
      <c r="AG44" s="335"/>
      <c r="AH44" s="335"/>
      <c r="AI44" s="335"/>
      <c r="AJ44" s="335"/>
      <c r="AK44" s="336">
        <f t="shared" ref="AK44:AK48" si="69">SUM(Y44:AJ44)</f>
        <v>0</v>
      </c>
      <c r="AL44" s="339"/>
      <c r="AM44" s="339"/>
      <c r="AN44" s="1154"/>
      <c r="AO44" s="1156"/>
      <c r="AP44" s="349"/>
      <c r="AQ44" s="338" t="s">
        <v>237</v>
      </c>
      <c r="AR44" s="335"/>
      <c r="AS44" s="335"/>
      <c r="AT44" s="335"/>
      <c r="AU44" s="335"/>
      <c r="AV44" s="335"/>
      <c r="AW44" s="335"/>
      <c r="AX44" s="335"/>
      <c r="AY44" s="335"/>
      <c r="AZ44" s="335"/>
      <c r="BA44" s="335"/>
      <c r="BB44" s="335"/>
      <c r="BC44" s="335"/>
      <c r="BD44" s="336">
        <f t="shared" ref="BD44:BD45" si="70">SUM(AR44:BC44)</f>
        <v>0</v>
      </c>
      <c r="BG44" s="1154"/>
      <c r="BH44" s="1156"/>
      <c r="BI44" s="349"/>
      <c r="BJ44" s="338" t="s">
        <v>237</v>
      </c>
      <c r="BK44" s="335"/>
      <c r="BL44" s="335"/>
      <c r="BM44" s="335"/>
      <c r="BN44" s="335"/>
      <c r="BO44" s="335"/>
      <c r="BP44" s="335"/>
      <c r="BQ44" s="335"/>
      <c r="BR44" s="335"/>
      <c r="BS44" s="335"/>
      <c r="BT44" s="335"/>
      <c r="BU44" s="335"/>
      <c r="BV44" s="335"/>
      <c r="BW44" s="336">
        <f t="shared" ref="BW44:BW45" si="71">SUM(BK44:BV44)</f>
        <v>0</v>
      </c>
    </row>
    <row r="45" spans="2:75" x14ac:dyDescent="0.35">
      <c r="B45" s="1155"/>
      <c r="C45" s="1157"/>
      <c r="D45" s="350" t="s">
        <v>54</v>
      </c>
      <c r="E45" s="340">
        <f>IFERROR(VLOOKUP(C44,[2]Rates!$A$2:$B$158,2,),0)</f>
        <v>132.76</v>
      </c>
      <c r="F45" s="340">
        <f>F44*$E$45</f>
        <v>0</v>
      </c>
      <c r="G45" s="340">
        <f t="shared" ref="G45:O45" si="72">G44*$E$45</f>
        <v>0</v>
      </c>
      <c r="H45" s="340">
        <f t="shared" si="72"/>
        <v>0</v>
      </c>
      <c r="I45" s="340">
        <f t="shared" si="72"/>
        <v>0</v>
      </c>
      <c r="J45" s="340">
        <f t="shared" si="72"/>
        <v>0</v>
      </c>
      <c r="K45" s="340">
        <f t="shared" si="72"/>
        <v>0</v>
      </c>
      <c r="L45" s="340">
        <f t="shared" si="72"/>
        <v>0</v>
      </c>
      <c r="M45" s="340">
        <f t="shared" si="72"/>
        <v>0</v>
      </c>
      <c r="N45" s="340">
        <f t="shared" si="72"/>
        <v>0</v>
      </c>
      <c r="O45" s="340">
        <f t="shared" si="72"/>
        <v>0</v>
      </c>
      <c r="P45" s="340">
        <f t="shared" ref="P45:Q45" si="73">P44*$E$33</f>
        <v>0</v>
      </c>
      <c r="Q45" s="340">
        <f t="shared" si="73"/>
        <v>0</v>
      </c>
      <c r="R45" s="340">
        <f>SUM(F45:Q45)</f>
        <v>0</v>
      </c>
      <c r="S45" s="333"/>
      <c r="U45" s="1155"/>
      <c r="V45" s="1157"/>
      <c r="W45" s="350"/>
      <c r="X45" s="340">
        <f>IFERROR(VLOOKUP(V44,[2]Rates!$A$2:$B$158,2,),0)</f>
        <v>0</v>
      </c>
      <c r="Y45" s="340">
        <f>Y44*$X$45</f>
        <v>0</v>
      </c>
      <c r="Z45" s="340">
        <f t="shared" ref="Z45:AJ45" si="74">Z44*$X$45</f>
        <v>0</v>
      </c>
      <c r="AA45" s="340">
        <f t="shared" si="74"/>
        <v>0</v>
      </c>
      <c r="AB45" s="340">
        <f t="shared" si="74"/>
        <v>0</v>
      </c>
      <c r="AC45" s="340">
        <f t="shared" si="74"/>
        <v>0</v>
      </c>
      <c r="AD45" s="340">
        <f t="shared" si="74"/>
        <v>0</v>
      </c>
      <c r="AE45" s="340">
        <f t="shared" si="74"/>
        <v>0</v>
      </c>
      <c r="AF45" s="340">
        <f t="shared" si="74"/>
        <v>0</v>
      </c>
      <c r="AG45" s="340">
        <f t="shared" si="74"/>
        <v>0</v>
      </c>
      <c r="AH45" s="340">
        <f t="shared" si="74"/>
        <v>0</v>
      </c>
      <c r="AI45" s="340">
        <f t="shared" si="74"/>
        <v>0</v>
      </c>
      <c r="AJ45" s="340">
        <f t="shared" si="74"/>
        <v>0</v>
      </c>
      <c r="AK45" s="340">
        <f t="shared" si="69"/>
        <v>0</v>
      </c>
      <c r="AL45" s="342"/>
      <c r="AM45" s="342"/>
      <c r="AN45" s="1155"/>
      <c r="AO45" s="1157"/>
      <c r="AP45" s="350"/>
      <c r="AQ45" s="340">
        <f>IFERROR(VLOOKUP(AO44,[2]Rates!$A$2:$B$158,2,),0)</f>
        <v>0</v>
      </c>
      <c r="AR45" s="340">
        <f>AR44*$X$45</f>
        <v>0</v>
      </c>
      <c r="AS45" s="340">
        <f t="shared" ref="AS45:BC45" si="75">AS44*$X$45</f>
        <v>0</v>
      </c>
      <c r="AT45" s="340">
        <f t="shared" si="75"/>
        <v>0</v>
      </c>
      <c r="AU45" s="340">
        <f t="shared" si="75"/>
        <v>0</v>
      </c>
      <c r="AV45" s="340">
        <f t="shared" si="75"/>
        <v>0</v>
      </c>
      <c r="AW45" s="340">
        <f t="shared" si="75"/>
        <v>0</v>
      </c>
      <c r="AX45" s="340">
        <f t="shared" si="75"/>
        <v>0</v>
      </c>
      <c r="AY45" s="340">
        <f t="shared" si="75"/>
        <v>0</v>
      </c>
      <c r="AZ45" s="340">
        <f t="shared" si="75"/>
        <v>0</v>
      </c>
      <c r="BA45" s="340">
        <f t="shared" si="75"/>
        <v>0</v>
      </c>
      <c r="BB45" s="340">
        <f t="shared" si="75"/>
        <v>0</v>
      </c>
      <c r="BC45" s="340">
        <f t="shared" si="75"/>
        <v>0</v>
      </c>
      <c r="BD45" s="340">
        <f t="shared" si="70"/>
        <v>0</v>
      </c>
      <c r="BG45" s="1155"/>
      <c r="BH45" s="1157"/>
      <c r="BI45" s="350"/>
      <c r="BJ45" s="340">
        <f>IFERROR(VLOOKUP(BH44,[2]Rates!$A$2:$B$158,2,),0)</f>
        <v>0</v>
      </c>
      <c r="BK45" s="340">
        <f>BK44*$X$45</f>
        <v>0</v>
      </c>
      <c r="BL45" s="340">
        <f t="shared" ref="BL45:BV45" si="76">BL44*$X$45</f>
        <v>0</v>
      </c>
      <c r="BM45" s="340">
        <f t="shared" si="76"/>
        <v>0</v>
      </c>
      <c r="BN45" s="340">
        <f t="shared" si="76"/>
        <v>0</v>
      </c>
      <c r="BO45" s="340">
        <f t="shared" si="76"/>
        <v>0</v>
      </c>
      <c r="BP45" s="340">
        <f t="shared" si="76"/>
        <v>0</v>
      </c>
      <c r="BQ45" s="340">
        <f t="shared" si="76"/>
        <v>0</v>
      </c>
      <c r="BR45" s="340">
        <f t="shared" si="76"/>
        <v>0</v>
      </c>
      <c r="BS45" s="340">
        <f t="shared" si="76"/>
        <v>0</v>
      </c>
      <c r="BT45" s="340">
        <f t="shared" si="76"/>
        <v>0</v>
      </c>
      <c r="BU45" s="340">
        <f t="shared" si="76"/>
        <v>0</v>
      </c>
      <c r="BV45" s="340">
        <f t="shared" si="76"/>
        <v>0</v>
      </c>
      <c r="BW45" s="340">
        <f t="shared" si="71"/>
        <v>0</v>
      </c>
    </row>
    <row r="46" spans="2:75" x14ac:dyDescent="0.35">
      <c r="B46" s="1150" t="s">
        <v>433</v>
      </c>
      <c r="C46" s="1152" t="s">
        <v>381</v>
      </c>
      <c r="D46" s="346"/>
      <c r="E46" s="343" t="s">
        <v>237</v>
      </c>
      <c r="F46" s="344"/>
      <c r="G46" s="344"/>
      <c r="H46" s="344"/>
      <c r="I46" s="344"/>
      <c r="J46" s="344"/>
      <c r="K46" s="344"/>
      <c r="L46" s="344"/>
      <c r="M46" s="344"/>
      <c r="N46" s="344"/>
      <c r="O46" s="344"/>
      <c r="P46" s="344">
        <v>0</v>
      </c>
      <c r="Q46" s="344">
        <v>0</v>
      </c>
      <c r="R46" s="345">
        <f t="shared" ref="R46" si="77">SUM(F46:Q46)</f>
        <v>0</v>
      </c>
      <c r="S46" s="333"/>
      <c r="T46" s="333"/>
      <c r="U46" s="1150"/>
      <c r="V46" s="1152"/>
      <c r="W46" s="346"/>
      <c r="X46" s="343"/>
      <c r="Y46" s="344"/>
      <c r="Z46" s="344"/>
      <c r="AA46" s="344"/>
      <c r="AB46" s="344"/>
      <c r="AC46" s="344"/>
      <c r="AD46" s="344"/>
      <c r="AE46" s="344"/>
      <c r="AF46" s="344"/>
      <c r="AG46" s="344"/>
      <c r="AH46" s="344"/>
      <c r="AI46" s="344"/>
      <c r="AJ46" s="344"/>
      <c r="AK46" s="345"/>
      <c r="AL46" s="339"/>
      <c r="AM46" s="339"/>
      <c r="AN46" s="1150"/>
      <c r="AO46" s="1152"/>
      <c r="AP46" s="346"/>
      <c r="AQ46" s="343"/>
      <c r="AR46" s="344"/>
      <c r="AS46" s="344"/>
      <c r="AT46" s="344"/>
      <c r="AU46" s="344"/>
      <c r="AV46" s="344"/>
      <c r="AW46" s="344"/>
      <c r="AX46" s="344"/>
      <c r="AY46" s="344"/>
      <c r="AZ46" s="344"/>
      <c r="BA46" s="344"/>
      <c r="BB46" s="344"/>
      <c r="BC46" s="344"/>
      <c r="BD46" s="345"/>
      <c r="BG46" s="1150"/>
      <c r="BH46" s="1152"/>
      <c r="BI46" s="346"/>
      <c r="BJ46" s="343"/>
      <c r="BK46" s="344"/>
      <c r="BL46" s="344"/>
      <c r="BM46" s="344"/>
      <c r="BN46" s="344"/>
      <c r="BO46" s="344"/>
      <c r="BP46" s="344"/>
      <c r="BQ46" s="344"/>
      <c r="BR46" s="344"/>
      <c r="BS46" s="344"/>
      <c r="BT46" s="344"/>
      <c r="BU46" s="344"/>
      <c r="BV46" s="344"/>
      <c r="BW46" s="345"/>
    </row>
    <row r="47" spans="2:75" x14ac:dyDescent="0.35">
      <c r="B47" s="1151"/>
      <c r="C47" s="1153"/>
      <c r="D47" s="348" t="s">
        <v>54</v>
      </c>
      <c r="E47" s="347">
        <f>IFERROR(VLOOKUP(C46,[2]Rates!$A$2:$B$158,2,),0)</f>
        <v>63.22</v>
      </c>
      <c r="F47" s="347">
        <f>F46*$E$43</f>
        <v>0</v>
      </c>
      <c r="G47" s="347">
        <f t="shared" ref="G47:O47" si="78">G46*$E$43</f>
        <v>0</v>
      </c>
      <c r="H47" s="347">
        <f t="shared" si="78"/>
        <v>0</v>
      </c>
      <c r="I47" s="347">
        <f t="shared" si="78"/>
        <v>0</v>
      </c>
      <c r="J47" s="347">
        <f t="shared" si="78"/>
        <v>0</v>
      </c>
      <c r="K47" s="347">
        <f t="shared" si="78"/>
        <v>0</v>
      </c>
      <c r="L47" s="347">
        <f t="shared" si="78"/>
        <v>0</v>
      </c>
      <c r="M47" s="347">
        <f t="shared" si="78"/>
        <v>0</v>
      </c>
      <c r="N47" s="347">
        <f t="shared" si="78"/>
        <v>0</v>
      </c>
      <c r="O47" s="347">
        <f t="shared" si="78"/>
        <v>0</v>
      </c>
      <c r="P47" s="347">
        <f t="shared" ref="P47:Q47" si="79">P46*$E$35</f>
        <v>0</v>
      </c>
      <c r="Q47" s="347">
        <f t="shared" si="79"/>
        <v>0</v>
      </c>
      <c r="R47" s="347">
        <f>SUM(F47:Q47)</f>
        <v>0</v>
      </c>
      <c r="S47" s="333"/>
      <c r="T47" s="333"/>
      <c r="U47" s="1151"/>
      <c r="V47" s="1153"/>
      <c r="W47" s="348"/>
      <c r="X47" s="347"/>
      <c r="Y47" s="347"/>
      <c r="Z47" s="347"/>
      <c r="AA47" s="347"/>
      <c r="AB47" s="347"/>
      <c r="AC47" s="347"/>
      <c r="AD47" s="347"/>
      <c r="AE47" s="347"/>
      <c r="AF47" s="347"/>
      <c r="AG47" s="347"/>
      <c r="AH47" s="347"/>
      <c r="AI47" s="347"/>
      <c r="AJ47" s="347"/>
      <c r="AK47" s="347"/>
      <c r="AL47" s="342"/>
      <c r="AM47" s="342"/>
      <c r="AN47" s="1151"/>
      <c r="AO47" s="1153"/>
      <c r="AP47" s="348"/>
      <c r="AQ47" s="347"/>
      <c r="AR47" s="347"/>
      <c r="AS47" s="347"/>
      <c r="AT47" s="347"/>
      <c r="AU47" s="347"/>
      <c r="AV47" s="347"/>
      <c r="AW47" s="347"/>
      <c r="AX47" s="347"/>
      <c r="AY47" s="347"/>
      <c r="AZ47" s="347"/>
      <c r="BA47" s="347"/>
      <c r="BB47" s="347"/>
      <c r="BC47" s="347"/>
      <c r="BD47" s="347"/>
      <c r="BG47" s="1151"/>
      <c r="BH47" s="1153"/>
      <c r="BI47" s="348"/>
      <c r="BJ47" s="347"/>
      <c r="BK47" s="347"/>
      <c r="BL47" s="347"/>
      <c r="BM47" s="347"/>
      <c r="BN47" s="347"/>
      <c r="BO47" s="347"/>
      <c r="BP47" s="347"/>
      <c r="BQ47" s="347"/>
      <c r="BR47" s="347"/>
      <c r="BS47" s="347"/>
      <c r="BT47" s="347"/>
      <c r="BU47" s="347"/>
      <c r="BV47" s="347"/>
      <c r="BW47" s="347"/>
    </row>
    <row r="48" spans="2:75" x14ac:dyDescent="0.35">
      <c r="B48" s="1154" t="s">
        <v>431</v>
      </c>
      <c r="C48" s="1156" t="s">
        <v>434</v>
      </c>
      <c r="D48" s="349"/>
      <c r="E48" s="338" t="s">
        <v>237</v>
      </c>
      <c r="F48" s="335"/>
      <c r="G48" s="335"/>
      <c r="H48" s="335"/>
      <c r="I48" s="335"/>
      <c r="J48" s="335"/>
      <c r="K48" s="335"/>
      <c r="L48" s="335"/>
      <c r="M48" s="335"/>
      <c r="N48" s="335"/>
      <c r="O48" s="335"/>
      <c r="P48" s="335">
        <v>0</v>
      </c>
      <c r="Q48" s="335">
        <v>0</v>
      </c>
      <c r="R48" s="336">
        <f t="shared" si="18"/>
        <v>0</v>
      </c>
      <c r="S48" s="333"/>
      <c r="T48" s="333"/>
      <c r="U48" s="1154"/>
      <c r="V48" s="1156"/>
      <c r="W48" s="349"/>
      <c r="X48" s="338" t="s">
        <v>237</v>
      </c>
      <c r="Y48" s="335"/>
      <c r="Z48" s="335"/>
      <c r="AA48" s="335"/>
      <c r="AB48" s="335"/>
      <c r="AC48" s="335"/>
      <c r="AD48" s="335"/>
      <c r="AE48" s="335"/>
      <c r="AF48" s="335"/>
      <c r="AG48" s="335"/>
      <c r="AH48" s="335"/>
      <c r="AI48" s="335"/>
      <c r="AJ48" s="335"/>
      <c r="AK48" s="336">
        <f t="shared" si="69"/>
        <v>0</v>
      </c>
      <c r="AL48" s="339"/>
      <c r="AM48" s="339"/>
      <c r="AN48" s="1154"/>
      <c r="AO48" s="1156"/>
      <c r="AP48" s="349"/>
      <c r="AQ48" s="338" t="s">
        <v>237</v>
      </c>
      <c r="AR48" s="335"/>
      <c r="AS48" s="335"/>
      <c r="AT48" s="335"/>
      <c r="AU48" s="335"/>
      <c r="AV48" s="335"/>
      <c r="AW48" s="335"/>
      <c r="AX48" s="335"/>
      <c r="AY48" s="335"/>
      <c r="AZ48" s="335"/>
      <c r="BA48" s="335"/>
      <c r="BB48" s="335"/>
      <c r="BC48" s="335"/>
      <c r="BD48" s="336">
        <f t="shared" ref="BD48" si="80">SUM(AR48:BC48)</f>
        <v>0</v>
      </c>
      <c r="BG48" s="1154"/>
      <c r="BH48" s="1156"/>
      <c r="BI48" s="349"/>
      <c r="BJ48" s="338" t="s">
        <v>237</v>
      </c>
      <c r="BK48" s="335"/>
      <c r="BL48" s="335"/>
      <c r="BM48" s="335"/>
      <c r="BN48" s="335"/>
      <c r="BO48" s="335"/>
      <c r="BP48" s="335"/>
      <c r="BQ48" s="335"/>
      <c r="BR48" s="335"/>
      <c r="BS48" s="335"/>
      <c r="BT48" s="335"/>
      <c r="BU48" s="335"/>
      <c r="BV48" s="335"/>
      <c r="BW48" s="336">
        <f t="shared" ref="BW48" si="81">SUM(BK48:BV48)</f>
        <v>0</v>
      </c>
    </row>
    <row r="49" spans="1:77" x14ac:dyDescent="0.35">
      <c r="B49" s="1155"/>
      <c r="C49" s="1157"/>
      <c r="D49" s="350" t="s">
        <v>54</v>
      </c>
      <c r="E49" s="340">
        <f>IFERROR(VLOOKUP(C48,[2]Rates!$A$2:$B$158,2,),0)</f>
        <v>318.16000000000003</v>
      </c>
      <c r="F49" s="340">
        <f>F48*$E$49</f>
        <v>0</v>
      </c>
      <c r="G49" s="340">
        <f t="shared" ref="G49:O49" si="82">G48*$E$49</f>
        <v>0</v>
      </c>
      <c r="H49" s="340">
        <f t="shared" si="82"/>
        <v>0</v>
      </c>
      <c r="I49" s="340">
        <f t="shared" si="82"/>
        <v>0</v>
      </c>
      <c r="J49" s="340">
        <f t="shared" si="82"/>
        <v>0</v>
      </c>
      <c r="K49" s="340">
        <f t="shared" si="82"/>
        <v>0</v>
      </c>
      <c r="L49" s="340">
        <f t="shared" si="82"/>
        <v>0</v>
      </c>
      <c r="M49" s="340">
        <f t="shared" si="82"/>
        <v>0</v>
      </c>
      <c r="N49" s="340">
        <f t="shared" si="82"/>
        <v>0</v>
      </c>
      <c r="O49" s="340">
        <f t="shared" si="82"/>
        <v>0</v>
      </c>
      <c r="P49" s="340">
        <f t="shared" ref="P49:Q49" si="83">P48*$E$37</f>
        <v>0</v>
      </c>
      <c r="Q49" s="340">
        <f t="shared" si="83"/>
        <v>0</v>
      </c>
      <c r="R49" s="340">
        <f>SUM(F49:Q49)</f>
        <v>0</v>
      </c>
      <c r="S49" s="333"/>
      <c r="U49" s="1155"/>
      <c r="V49" s="1157"/>
      <c r="W49" s="350"/>
      <c r="X49" s="340">
        <f>IFERROR(VLOOKUP(V48,[2]Rates!$A$2:$B$158,2,),0)</f>
        <v>0</v>
      </c>
      <c r="Y49" s="340">
        <f>Y48*$X$49</f>
        <v>0</v>
      </c>
      <c r="Z49" s="340">
        <f t="shared" ref="Z49:AJ49" si="84">Z48*$X$49</f>
        <v>0</v>
      </c>
      <c r="AA49" s="340">
        <f t="shared" si="84"/>
        <v>0</v>
      </c>
      <c r="AB49" s="340">
        <f t="shared" si="84"/>
        <v>0</v>
      </c>
      <c r="AC49" s="340">
        <f t="shared" si="84"/>
        <v>0</v>
      </c>
      <c r="AD49" s="340">
        <f t="shared" si="84"/>
        <v>0</v>
      </c>
      <c r="AE49" s="340">
        <f t="shared" si="84"/>
        <v>0</v>
      </c>
      <c r="AF49" s="340">
        <f t="shared" si="84"/>
        <v>0</v>
      </c>
      <c r="AG49" s="340">
        <f t="shared" si="84"/>
        <v>0</v>
      </c>
      <c r="AH49" s="340">
        <f t="shared" si="84"/>
        <v>0</v>
      </c>
      <c r="AI49" s="340">
        <f t="shared" si="84"/>
        <v>0</v>
      </c>
      <c r="AJ49" s="340">
        <f t="shared" si="84"/>
        <v>0</v>
      </c>
      <c r="AK49" s="340">
        <f>SUM(Y49:AJ49)</f>
        <v>0</v>
      </c>
      <c r="AL49" s="342"/>
      <c r="AM49" s="342"/>
      <c r="AN49" s="1155"/>
      <c r="AO49" s="1157"/>
      <c r="AP49" s="350"/>
      <c r="AQ49" s="340">
        <f>IFERROR(VLOOKUP(AO48,[2]Rates!$A$2:$B$158,2,),0)</f>
        <v>0</v>
      </c>
      <c r="AR49" s="340">
        <f>AR48*$X$49</f>
        <v>0</v>
      </c>
      <c r="AS49" s="340">
        <f t="shared" ref="AS49:BC49" si="85">AS48*$X$49</f>
        <v>0</v>
      </c>
      <c r="AT49" s="340">
        <f t="shared" si="85"/>
        <v>0</v>
      </c>
      <c r="AU49" s="340">
        <f t="shared" si="85"/>
        <v>0</v>
      </c>
      <c r="AV49" s="340">
        <f t="shared" si="85"/>
        <v>0</v>
      </c>
      <c r="AW49" s="340">
        <f t="shared" si="85"/>
        <v>0</v>
      </c>
      <c r="AX49" s="340">
        <f t="shared" si="85"/>
        <v>0</v>
      </c>
      <c r="AY49" s="340">
        <f t="shared" si="85"/>
        <v>0</v>
      </c>
      <c r="AZ49" s="340">
        <f t="shared" si="85"/>
        <v>0</v>
      </c>
      <c r="BA49" s="340">
        <f t="shared" si="85"/>
        <v>0</v>
      </c>
      <c r="BB49" s="340">
        <f t="shared" si="85"/>
        <v>0</v>
      </c>
      <c r="BC49" s="340">
        <f t="shared" si="85"/>
        <v>0</v>
      </c>
      <c r="BD49" s="340">
        <f>SUM(AR49:BC49)</f>
        <v>0</v>
      </c>
      <c r="BG49" s="1155"/>
      <c r="BH49" s="1157"/>
      <c r="BI49" s="350"/>
      <c r="BJ49" s="340">
        <f>IFERROR(VLOOKUP(BH48,[2]Rates!$A$2:$B$158,2,),0)</f>
        <v>0</v>
      </c>
      <c r="BK49" s="340">
        <f>BK48*$X$49</f>
        <v>0</v>
      </c>
      <c r="BL49" s="340">
        <f t="shared" ref="BL49:BV49" si="86">BL48*$X$49</f>
        <v>0</v>
      </c>
      <c r="BM49" s="340">
        <f t="shared" si="86"/>
        <v>0</v>
      </c>
      <c r="BN49" s="340">
        <f t="shared" si="86"/>
        <v>0</v>
      </c>
      <c r="BO49" s="340">
        <f t="shared" si="86"/>
        <v>0</v>
      </c>
      <c r="BP49" s="340">
        <f t="shared" si="86"/>
        <v>0</v>
      </c>
      <c r="BQ49" s="340">
        <f t="shared" si="86"/>
        <v>0</v>
      </c>
      <c r="BR49" s="340">
        <f t="shared" si="86"/>
        <v>0</v>
      </c>
      <c r="BS49" s="340">
        <f t="shared" si="86"/>
        <v>0</v>
      </c>
      <c r="BT49" s="340">
        <f t="shared" si="86"/>
        <v>0</v>
      </c>
      <c r="BU49" s="340">
        <f t="shared" si="86"/>
        <v>0</v>
      </c>
      <c r="BV49" s="340">
        <f t="shared" si="86"/>
        <v>0</v>
      </c>
      <c r="BW49" s="340">
        <f>SUM(BK49:BV49)</f>
        <v>0</v>
      </c>
    </row>
    <row r="50" spans="1:77" s="303" customFormat="1" ht="20.149999999999999" customHeight="1" x14ac:dyDescent="0.35">
      <c r="B50" s="351"/>
      <c r="C50" s="352"/>
      <c r="D50" s="353" t="s">
        <v>238</v>
      </c>
      <c r="E50" s="354"/>
      <c r="F50" s="355">
        <f t="shared" ref="F50:R50" si="87">F29+F31+F33+F35+F37+F39+F41+F43+F45+F49</f>
        <v>0</v>
      </c>
      <c r="G50" s="355">
        <f t="shared" si="87"/>
        <v>0</v>
      </c>
      <c r="H50" s="355">
        <f t="shared" si="87"/>
        <v>4997.8600000000006</v>
      </c>
      <c r="I50" s="355">
        <f t="shared" si="87"/>
        <v>5955.76</v>
      </c>
      <c r="J50" s="355">
        <f t="shared" si="87"/>
        <v>12332.199999999999</v>
      </c>
      <c r="K50" s="355">
        <f t="shared" si="87"/>
        <v>15502.400000000001</v>
      </c>
      <c r="L50" s="355">
        <f t="shared" si="87"/>
        <v>7663.2000000000007</v>
      </c>
      <c r="M50" s="355">
        <f t="shared" si="87"/>
        <v>7663.2000000000007</v>
      </c>
      <c r="N50" s="355">
        <f t="shared" si="87"/>
        <v>8994.3000000000011</v>
      </c>
      <c r="O50" s="355">
        <f t="shared" si="87"/>
        <v>8994.3000000000011</v>
      </c>
      <c r="P50" s="355">
        <f t="shared" si="87"/>
        <v>5159.2000000000007</v>
      </c>
      <c r="Q50" s="355">
        <f t="shared" si="87"/>
        <v>5159.2000000000007</v>
      </c>
      <c r="R50" s="355">
        <f t="shared" si="87"/>
        <v>82421.619999999981</v>
      </c>
      <c r="S50" s="477">
        <f>SUM(R29,R31,R33,R35,R37)</f>
        <v>68310.01999999999</v>
      </c>
      <c r="T50" s="534">
        <f>SUM(R41,R43,R45,R47,R49)</f>
        <v>10318.400000000001</v>
      </c>
      <c r="U50" s="351"/>
      <c r="V50" s="352"/>
      <c r="W50" s="356" t="s">
        <v>238</v>
      </c>
      <c r="X50" s="354"/>
      <c r="Y50" s="355">
        <f t="shared" ref="Y50:AK50" si="88">Y29+Y31+Y33+Y35+Y37+Y39+Y41+Y43+Y45+Y49</f>
        <v>9885.5</v>
      </c>
      <c r="Z50" s="355">
        <f t="shared" si="88"/>
        <v>21391.500000000004</v>
      </c>
      <c r="AA50" s="355">
        <f t="shared" si="88"/>
        <v>21391.500000000004</v>
      </c>
      <c r="AB50" s="355">
        <f t="shared" si="88"/>
        <v>21391.500000000004</v>
      </c>
      <c r="AC50" s="355">
        <f t="shared" si="88"/>
        <v>21391.500000000004</v>
      </c>
      <c r="AD50" s="355">
        <f t="shared" si="88"/>
        <v>21391.500000000004</v>
      </c>
      <c r="AE50" s="355">
        <f t="shared" si="88"/>
        <v>21391.500000000004</v>
      </c>
      <c r="AF50" s="355">
        <f t="shared" si="88"/>
        <v>21391.500000000004</v>
      </c>
      <c r="AG50" s="355">
        <f t="shared" si="88"/>
        <v>21391.500000000004</v>
      </c>
      <c r="AH50" s="355">
        <f t="shared" si="88"/>
        <v>21391.500000000004</v>
      </c>
      <c r="AI50" s="355">
        <f t="shared" si="88"/>
        <v>21391.500000000004</v>
      </c>
      <c r="AJ50" s="355">
        <f t="shared" si="88"/>
        <v>21391.500000000004</v>
      </c>
      <c r="AK50" s="355">
        <f t="shared" si="88"/>
        <v>245191.99999999997</v>
      </c>
      <c r="AL50" s="357"/>
      <c r="AM50" s="357"/>
      <c r="AN50" s="351"/>
      <c r="AO50" s="352"/>
      <c r="AP50" s="356" t="s">
        <v>238</v>
      </c>
      <c r="AQ50" s="354"/>
      <c r="AR50" s="355">
        <f t="shared" ref="AR50:BD50" si="89">AR29+AR31+AR33+AR35+AR37+AR39+AR41+AR43+AR45+AR49</f>
        <v>6053.9</v>
      </c>
      <c r="AS50" s="355">
        <f t="shared" si="89"/>
        <v>17559.900000000001</v>
      </c>
      <c r="AT50" s="355">
        <f t="shared" si="89"/>
        <v>17559.900000000001</v>
      </c>
      <c r="AU50" s="355">
        <f t="shared" si="89"/>
        <v>17559.900000000001</v>
      </c>
      <c r="AV50" s="355">
        <f t="shared" si="89"/>
        <v>17559.900000000001</v>
      </c>
      <c r="AW50" s="355">
        <f t="shared" si="89"/>
        <v>17559.900000000001</v>
      </c>
      <c r="AX50" s="355">
        <f t="shared" si="89"/>
        <v>17559.900000000001</v>
      </c>
      <c r="AY50" s="355">
        <f t="shared" si="89"/>
        <v>17559.900000000001</v>
      </c>
      <c r="AZ50" s="355">
        <f t="shared" si="89"/>
        <v>17559.900000000001</v>
      </c>
      <c r="BA50" s="355">
        <f t="shared" si="89"/>
        <v>17559.900000000001</v>
      </c>
      <c r="BB50" s="355">
        <f t="shared" si="89"/>
        <v>17559.900000000001</v>
      </c>
      <c r="BC50" s="355">
        <f t="shared" si="89"/>
        <v>17559.900000000001</v>
      </c>
      <c r="BD50" s="355">
        <f t="shared" si="89"/>
        <v>199212.79999999996</v>
      </c>
      <c r="BE50" s="357"/>
      <c r="BF50" s="357"/>
      <c r="BG50" s="351"/>
      <c r="BH50" s="352"/>
      <c r="BI50" s="356" t="s">
        <v>238</v>
      </c>
      <c r="BJ50" s="354"/>
      <c r="BK50" s="355">
        <f t="shared" ref="BK50:BW50" si="90">BK29+BK31+BK33+BK35+BK37+BK39+BK41+BK43+BK45+BK49</f>
        <v>6053.9</v>
      </c>
      <c r="BL50" s="355">
        <f t="shared" si="90"/>
        <v>17559.900000000001</v>
      </c>
      <c r="BM50" s="355">
        <f t="shared" si="90"/>
        <v>17559.900000000001</v>
      </c>
      <c r="BN50" s="355">
        <f t="shared" si="90"/>
        <v>17559.900000000001</v>
      </c>
      <c r="BO50" s="355">
        <f t="shared" si="90"/>
        <v>17559.900000000001</v>
      </c>
      <c r="BP50" s="355">
        <f t="shared" si="90"/>
        <v>17559.900000000001</v>
      </c>
      <c r="BQ50" s="355">
        <f t="shared" si="90"/>
        <v>17559.900000000001</v>
      </c>
      <c r="BR50" s="355">
        <f t="shared" si="90"/>
        <v>17559.900000000001</v>
      </c>
      <c r="BS50" s="355">
        <f t="shared" si="90"/>
        <v>17559.900000000001</v>
      </c>
      <c r="BT50" s="355">
        <f t="shared" si="90"/>
        <v>17559.900000000001</v>
      </c>
      <c r="BU50" s="355">
        <f t="shared" si="90"/>
        <v>17559.900000000001</v>
      </c>
      <c r="BV50" s="355">
        <f t="shared" si="90"/>
        <v>17559.900000000001</v>
      </c>
      <c r="BW50" s="355">
        <f t="shared" si="90"/>
        <v>199212.79999999996</v>
      </c>
    </row>
    <row r="51" spans="1:77" x14ac:dyDescent="0.35">
      <c r="B51" s="358"/>
      <c r="C51" s="359"/>
      <c r="D51" s="360"/>
      <c r="E51" s="360"/>
      <c r="F51" s="360"/>
      <c r="G51" s="360"/>
      <c r="H51" s="360"/>
      <c r="I51" s="360"/>
      <c r="J51" s="360"/>
      <c r="K51" s="360"/>
      <c r="L51" s="360"/>
      <c r="M51" s="360"/>
      <c r="N51" s="360"/>
      <c r="O51" s="360"/>
      <c r="P51" s="360"/>
      <c r="Q51" s="360"/>
      <c r="R51" s="360"/>
      <c r="S51" s="359"/>
      <c r="T51" s="359"/>
      <c r="U51" s="358"/>
      <c r="V51" s="359"/>
      <c r="W51" s="360"/>
      <c r="X51" s="360"/>
      <c r="Y51" s="360"/>
      <c r="Z51" s="360"/>
      <c r="AA51" s="360"/>
      <c r="AB51" s="360"/>
      <c r="AC51" s="360"/>
      <c r="AD51" s="360"/>
      <c r="AE51" s="360"/>
      <c r="AF51" s="360"/>
      <c r="AG51" s="360"/>
      <c r="AH51" s="360"/>
      <c r="AI51" s="360"/>
      <c r="AJ51" s="360"/>
      <c r="AK51" s="360"/>
      <c r="AL51" s="360"/>
      <c r="AM51" s="360"/>
      <c r="AN51" s="358"/>
      <c r="AO51" s="359"/>
      <c r="AP51" s="360"/>
      <c r="AQ51" s="360"/>
      <c r="AR51" s="360"/>
      <c r="AS51" s="360"/>
      <c r="AT51" s="360"/>
      <c r="AU51" s="360"/>
      <c r="AV51" s="360"/>
      <c r="AW51" s="360"/>
      <c r="AX51" s="360"/>
      <c r="AY51" s="360"/>
      <c r="AZ51" s="360"/>
      <c r="BA51" s="360"/>
      <c r="BB51" s="360"/>
      <c r="BC51" s="360"/>
      <c r="BD51" s="360"/>
      <c r="BG51" s="358"/>
      <c r="BH51" s="359"/>
      <c r="BI51" s="360"/>
      <c r="BJ51" s="360"/>
      <c r="BK51" s="360"/>
      <c r="BL51" s="360"/>
      <c r="BM51" s="360"/>
      <c r="BN51" s="360"/>
      <c r="BO51" s="360"/>
      <c r="BP51" s="360"/>
      <c r="BQ51" s="360"/>
      <c r="BR51" s="360"/>
      <c r="BS51" s="360"/>
      <c r="BT51" s="360"/>
      <c r="BU51" s="360"/>
      <c r="BV51" s="360"/>
      <c r="BW51" s="360"/>
    </row>
    <row r="52" spans="1:77" s="303" customFormat="1" ht="20.149999999999999" customHeight="1" x14ac:dyDescent="0.35">
      <c r="B52" s="361" t="s">
        <v>435</v>
      </c>
      <c r="C52" s="362"/>
      <c r="D52" s="361"/>
      <c r="E52" s="363"/>
      <c r="F52" s="364">
        <f t="shared" ref="F52:R52" si="91">F28+F30+F32+F34+F36+F38+F40+F42+F44+F48</f>
        <v>0</v>
      </c>
      <c r="G52" s="364">
        <f t="shared" si="91"/>
        <v>0</v>
      </c>
      <c r="H52" s="364">
        <f t="shared" si="91"/>
        <v>31</v>
      </c>
      <c r="I52" s="364">
        <f t="shared" si="91"/>
        <v>36</v>
      </c>
      <c r="J52" s="364">
        <f t="shared" si="91"/>
        <v>92</v>
      </c>
      <c r="K52" s="364">
        <f t="shared" si="91"/>
        <v>120</v>
      </c>
      <c r="L52" s="364">
        <f t="shared" si="91"/>
        <v>40</v>
      </c>
      <c r="M52" s="364">
        <f t="shared" si="91"/>
        <v>40</v>
      </c>
      <c r="N52" s="364">
        <f t="shared" si="91"/>
        <v>45</v>
      </c>
      <c r="O52" s="364">
        <f t="shared" si="91"/>
        <v>45</v>
      </c>
      <c r="P52" s="364">
        <f t="shared" si="91"/>
        <v>30</v>
      </c>
      <c r="Q52" s="364">
        <f t="shared" si="91"/>
        <v>30</v>
      </c>
      <c r="R52" s="364">
        <f t="shared" si="91"/>
        <v>509</v>
      </c>
      <c r="S52" s="315"/>
      <c r="T52" s="315"/>
      <c r="U52" s="361" t="s">
        <v>436</v>
      </c>
      <c r="V52" s="361"/>
      <c r="W52" s="363"/>
      <c r="X52" s="363"/>
      <c r="Y52" s="364">
        <f t="shared" ref="Y52:AK52" si="92">Y28+Y30+Y32+Y34+Y36+Y38+Y40+Y42+Y44+Y48</f>
        <v>65</v>
      </c>
      <c r="Z52" s="364">
        <f t="shared" si="92"/>
        <v>225</v>
      </c>
      <c r="AA52" s="364">
        <f t="shared" si="92"/>
        <v>225</v>
      </c>
      <c r="AB52" s="364">
        <f t="shared" si="92"/>
        <v>225</v>
      </c>
      <c r="AC52" s="364">
        <f t="shared" si="92"/>
        <v>225</v>
      </c>
      <c r="AD52" s="364">
        <f t="shared" si="92"/>
        <v>225</v>
      </c>
      <c r="AE52" s="364">
        <f t="shared" si="92"/>
        <v>225</v>
      </c>
      <c r="AF52" s="364">
        <f t="shared" si="92"/>
        <v>225</v>
      </c>
      <c r="AG52" s="364">
        <f t="shared" si="92"/>
        <v>225</v>
      </c>
      <c r="AH52" s="364">
        <f t="shared" si="92"/>
        <v>225</v>
      </c>
      <c r="AI52" s="364">
        <f t="shared" si="92"/>
        <v>225</v>
      </c>
      <c r="AJ52" s="364">
        <f t="shared" si="92"/>
        <v>225</v>
      </c>
      <c r="AK52" s="364">
        <f t="shared" si="92"/>
        <v>2540</v>
      </c>
      <c r="AL52" s="365"/>
      <c r="AM52" s="365"/>
      <c r="AN52" s="361" t="s">
        <v>437</v>
      </c>
      <c r="AO52" s="362"/>
      <c r="AP52" s="363"/>
      <c r="AQ52" s="363"/>
      <c r="AR52" s="364">
        <f t="shared" ref="AR52:BD52" si="93">AR28+AR30+AR32+AR34+AR36+AR38+AR40+AR42+AR44+AR48</f>
        <v>45</v>
      </c>
      <c r="AS52" s="364">
        <f t="shared" si="93"/>
        <v>205</v>
      </c>
      <c r="AT52" s="364">
        <f t="shared" si="93"/>
        <v>205</v>
      </c>
      <c r="AU52" s="364">
        <f t="shared" si="93"/>
        <v>205</v>
      </c>
      <c r="AV52" s="364">
        <f t="shared" si="93"/>
        <v>205</v>
      </c>
      <c r="AW52" s="364">
        <f t="shared" si="93"/>
        <v>205</v>
      </c>
      <c r="AX52" s="364">
        <f t="shared" si="93"/>
        <v>205</v>
      </c>
      <c r="AY52" s="364">
        <f t="shared" si="93"/>
        <v>205</v>
      </c>
      <c r="AZ52" s="364">
        <f t="shared" si="93"/>
        <v>205</v>
      </c>
      <c r="BA52" s="364">
        <f t="shared" si="93"/>
        <v>205</v>
      </c>
      <c r="BB52" s="364">
        <f t="shared" si="93"/>
        <v>205</v>
      </c>
      <c r="BC52" s="364">
        <f t="shared" si="93"/>
        <v>205</v>
      </c>
      <c r="BD52" s="364">
        <f t="shared" si="93"/>
        <v>2300</v>
      </c>
      <c r="BG52" s="361" t="s">
        <v>437</v>
      </c>
      <c r="BH52" s="362"/>
      <c r="BI52" s="363"/>
      <c r="BJ52" s="363"/>
      <c r="BK52" s="364">
        <f t="shared" ref="BK52:BW52" si="94">BK28+BK30+BK32+BK34+BK36+BK38+BK40+BK42+BK44+BK48</f>
        <v>45</v>
      </c>
      <c r="BL52" s="364">
        <f t="shared" si="94"/>
        <v>205</v>
      </c>
      <c r="BM52" s="364">
        <f t="shared" si="94"/>
        <v>205</v>
      </c>
      <c r="BN52" s="364">
        <f t="shared" si="94"/>
        <v>205</v>
      </c>
      <c r="BO52" s="364">
        <f t="shared" si="94"/>
        <v>205</v>
      </c>
      <c r="BP52" s="364">
        <f t="shared" si="94"/>
        <v>205</v>
      </c>
      <c r="BQ52" s="364">
        <f t="shared" si="94"/>
        <v>205</v>
      </c>
      <c r="BR52" s="364">
        <f t="shared" si="94"/>
        <v>205</v>
      </c>
      <c r="BS52" s="364">
        <f t="shared" si="94"/>
        <v>205</v>
      </c>
      <c r="BT52" s="364">
        <f t="shared" si="94"/>
        <v>205</v>
      </c>
      <c r="BU52" s="364">
        <f t="shared" si="94"/>
        <v>205</v>
      </c>
      <c r="BV52" s="364">
        <f t="shared" si="94"/>
        <v>205</v>
      </c>
      <c r="BW52" s="364">
        <f t="shared" si="94"/>
        <v>2300</v>
      </c>
    </row>
    <row r="55" spans="1:77" x14ac:dyDescent="0.35">
      <c r="A55" s="320" t="s">
        <v>239</v>
      </c>
      <c r="C55" s="1145" t="s">
        <v>215</v>
      </c>
      <c r="D55" s="1146"/>
      <c r="V55" s="1145" t="s">
        <v>215</v>
      </c>
      <c r="W55" s="1146"/>
      <c r="AO55" s="1145" t="s">
        <v>215</v>
      </c>
      <c r="AP55" s="1146"/>
      <c r="BH55" s="1145" t="s">
        <v>215</v>
      </c>
      <c r="BI55" s="1146"/>
    </row>
    <row r="56" spans="1:77" x14ac:dyDescent="0.35">
      <c r="A56" s="303"/>
      <c r="C56" s="366" t="s">
        <v>218</v>
      </c>
      <c r="D56" s="366" t="s">
        <v>219</v>
      </c>
      <c r="V56" s="366" t="s">
        <v>218</v>
      </c>
      <c r="W56" s="366" t="s">
        <v>219</v>
      </c>
      <c r="AO56" s="366" t="s">
        <v>218</v>
      </c>
      <c r="AP56" s="366" t="s">
        <v>219</v>
      </c>
      <c r="BH56" s="366" t="s">
        <v>218</v>
      </c>
      <c r="BI56" s="366" t="s">
        <v>219</v>
      </c>
    </row>
    <row r="57" spans="1:77" x14ac:dyDescent="0.35">
      <c r="C57" s="367">
        <f>SUMIF(D61:D70,"Capital",R61:R70)*1.07</f>
        <v>642000</v>
      </c>
      <c r="D57" s="367">
        <f>SUMIF(D61:D70,"O&amp;M",R61:R70)*1.07</f>
        <v>0</v>
      </c>
      <c r="V57" s="367">
        <f>SUMIF(W61:W70,"Capital",AK61:AK70)*1.07</f>
        <v>1412400</v>
      </c>
      <c r="W57" s="367">
        <f>SUMIF(W61:W70,"O&amp;M",AK61:AK70)*1.07</f>
        <v>0</v>
      </c>
      <c r="AO57" s="367">
        <f>SUMIF(AP61:AP70,"Capital",BD61:BD70)*1.07</f>
        <v>770400</v>
      </c>
      <c r="AP57" s="367">
        <f>SUMIF(AP61:AP70,"O&amp;M",BD61:BD70)*1.07</f>
        <v>0</v>
      </c>
      <c r="BH57" s="367">
        <f>SUMIF(BI61:BI70,"Capital",BW61:BW70)*1.07</f>
        <v>963000</v>
      </c>
      <c r="BI57" s="367">
        <f>SUMIF(BI61:BI70,"O&amp;M",BW61:BW70)*1.07</f>
        <v>0</v>
      </c>
    </row>
    <row r="58" spans="1:77" x14ac:dyDescent="0.35">
      <c r="C58" s="368"/>
      <c r="D58" s="368"/>
      <c r="V58" s="368"/>
      <c r="W58" s="368"/>
      <c r="AO58" s="368"/>
      <c r="AP58" s="368"/>
      <c r="BH58" s="368"/>
      <c r="BI58" s="368"/>
    </row>
    <row r="59" spans="1:77" ht="20.149999999999999" customHeight="1" x14ac:dyDescent="0.35">
      <c r="B59" s="369"/>
      <c r="C59" s="370"/>
      <c r="D59" s="370"/>
      <c r="E59" s="370"/>
      <c r="F59" s="370" t="s">
        <v>240</v>
      </c>
      <c r="G59" s="370"/>
      <c r="H59" s="370"/>
      <c r="I59" s="370"/>
      <c r="J59" s="370"/>
      <c r="K59" s="370"/>
      <c r="L59" s="370"/>
      <c r="M59" s="370"/>
      <c r="N59" s="370"/>
      <c r="O59" s="370"/>
      <c r="P59" s="370"/>
      <c r="Q59" s="370"/>
      <c r="R59" s="371"/>
      <c r="S59" s="303" t="s">
        <v>438</v>
      </c>
      <c r="U59" s="369"/>
      <c r="V59" s="372"/>
      <c r="W59" s="372"/>
      <c r="X59" s="372"/>
      <c r="Y59" s="370" t="s">
        <v>241</v>
      </c>
      <c r="Z59" s="372"/>
      <c r="AA59" s="372"/>
      <c r="AB59" s="372"/>
      <c r="AC59" s="372"/>
      <c r="AD59" s="372"/>
      <c r="AE59" s="372"/>
      <c r="AF59" s="372"/>
      <c r="AG59" s="372"/>
      <c r="AH59" s="372"/>
      <c r="AI59" s="372"/>
      <c r="AJ59" s="372"/>
      <c r="AK59" s="373"/>
      <c r="AL59" s="305"/>
      <c r="AM59" s="305"/>
      <c r="AN59" s="1147" t="s">
        <v>242</v>
      </c>
      <c r="AO59" s="1147"/>
      <c r="AP59" s="1147"/>
      <c r="AQ59" s="1147"/>
      <c r="AR59" s="1147"/>
      <c r="AS59" s="1147"/>
      <c r="AT59" s="1147"/>
      <c r="AU59" s="1147"/>
      <c r="AV59" s="1147"/>
      <c r="AW59" s="1147"/>
      <c r="AX59" s="1147"/>
      <c r="AY59" s="1147"/>
      <c r="AZ59" s="1147"/>
      <c r="BA59" s="1147"/>
      <c r="BB59" s="1147"/>
      <c r="BC59" s="1147"/>
      <c r="BD59" s="1147"/>
      <c r="BG59" s="1147" t="s">
        <v>242</v>
      </c>
      <c r="BH59" s="1147"/>
      <c r="BI59" s="1147"/>
      <c r="BJ59" s="1147"/>
      <c r="BK59" s="1147"/>
      <c r="BL59" s="1147"/>
      <c r="BM59" s="1147"/>
      <c r="BN59" s="1147"/>
      <c r="BO59" s="1147"/>
      <c r="BP59" s="1147"/>
      <c r="BQ59" s="1147"/>
      <c r="BR59" s="1147"/>
      <c r="BS59" s="1147"/>
      <c r="BT59" s="1147"/>
      <c r="BU59" s="1147"/>
      <c r="BV59" s="1147"/>
      <c r="BW59" s="1147"/>
      <c r="BX59" s="303" t="s">
        <v>438</v>
      </c>
    </row>
    <row r="60" spans="1:77" ht="20.149999999999999" customHeight="1" x14ac:dyDescent="0.35">
      <c r="B60" s="374" t="s">
        <v>243</v>
      </c>
      <c r="C60" s="375" t="s">
        <v>244</v>
      </c>
      <c r="D60" s="375" t="s">
        <v>236</v>
      </c>
      <c r="E60" s="375" t="s">
        <v>245</v>
      </c>
      <c r="F60" s="375" t="s">
        <v>131</v>
      </c>
      <c r="G60" s="375" t="s">
        <v>132</v>
      </c>
      <c r="H60" s="375" t="s">
        <v>134</v>
      </c>
      <c r="I60" s="375" t="s">
        <v>135</v>
      </c>
      <c r="J60" s="375" t="s">
        <v>136</v>
      </c>
      <c r="K60" s="375" t="s">
        <v>137</v>
      </c>
      <c r="L60" s="375" t="s">
        <v>138</v>
      </c>
      <c r="M60" s="375" t="s">
        <v>139</v>
      </c>
      <c r="N60" s="375" t="s">
        <v>140</v>
      </c>
      <c r="O60" s="375" t="s">
        <v>141</v>
      </c>
      <c r="P60" s="375" t="s">
        <v>143</v>
      </c>
      <c r="Q60" s="375" t="s">
        <v>145</v>
      </c>
      <c r="R60" s="376" t="s">
        <v>217</v>
      </c>
      <c r="U60" s="377" t="s">
        <v>243</v>
      </c>
      <c r="V60" s="378" t="s">
        <v>244</v>
      </c>
      <c r="W60" s="378" t="s">
        <v>236</v>
      </c>
      <c r="X60" s="378" t="s">
        <v>245</v>
      </c>
      <c r="Y60" s="378" t="s">
        <v>131</v>
      </c>
      <c r="Z60" s="378" t="s">
        <v>132</v>
      </c>
      <c r="AA60" s="378" t="s">
        <v>134</v>
      </c>
      <c r="AB60" s="378" t="s">
        <v>135</v>
      </c>
      <c r="AC60" s="378" t="s">
        <v>136</v>
      </c>
      <c r="AD60" s="378" t="s">
        <v>137</v>
      </c>
      <c r="AE60" s="378" t="s">
        <v>138</v>
      </c>
      <c r="AF60" s="378" t="s">
        <v>139</v>
      </c>
      <c r="AG60" s="378" t="s">
        <v>140</v>
      </c>
      <c r="AH60" s="378" t="s">
        <v>141</v>
      </c>
      <c r="AI60" s="378" t="s">
        <v>143</v>
      </c>
      <c r="AJ60" s="378" t="s">
        <v>145</v>
      </c>
      <c r="AK60" s="379" t="s">
        <v>217</v>
      </c>
      <c r="AL60" s="303" t="s">
        <v>438</v>
      </c>
      <c r="AM60" s="334"/>
      <c r="AN60" s="380" t="s">
        <v>243</v>
      </c>
      <c r="AO60" s="378" t="s">
        <v>244</v>
      </c>
      <c r="AP60" s="378" t="s">
        <v>236</v>
      </c>
      <c r="AQ60" s="378" t="s">
        <v>245</v>
      </c>
      <c r="AR60" s="378" t="s">
        <v>131</v>
      </c>
      <c r="AS60" s="378" t="s">
        <v>132</v>
      </c>
      <c r="AT60" s="378" t="s">
        <v>134</v>
      </c>
      <c r="AU60" s="378" t="s">
        <v>135</v>
      </c>
      <c r="AV60" s="378" t="s">
        <v>136</v>
      </c>
      <c r="AW60" s="378" t="s">
        <v>137</v>
      </c>
      <c r="AX60" s="378" t="s">
        <v>138</v>
      </c>
      <c r="AY60" s="378" t="s">
        <v>139</v>
      </c>
      <c r="AZ60" s="378" t="s">
        <v>140</v>
      </c>
      <c r="BA60" s="378" t="s">
        <v>141</v>
      </c>
      <c r="BB60" s="378" t="s">
        <v>143</v>
      </c>
      <c r="BC60" s="378" t="s">
        <v>145</v>
      </c>
      <c r="BD60" s="378" t="s">
        <v>217</v>
      </c>
      <c r="BE60" s="303" t="s">
        <v>438</v>
      </c>
      <c r="BG60" s="380" t="s">
        <v>243</v>
      </c>
      <c r="BH60" s="378" t="s">
        <v>244</v>
      </c>
      <c r="BI60" s="378" t="s">
        <v>236</v>
      </c>
      <c r="BJ60" s="378" t="s">
        <v>245</v>
      </c>
      <c r="BK60" s="378" t="s">
        <v>131</v>
      </c>
      <c r="BL60" s="378" t="s">
        <v>132</v>
      </c>
      <c r="BM60" s="378" t="s">
        <v>134</v>
      </c>
      <c r="BN60" s="378" t="s">
        <v>135</v>
      </c>
      <c r="BO60" s="378" t="s">
        <v>136</v>
      </c>
      <c r="BP60" s="378" t="s">
        <v>137</v>
      </c>
      <c r="BQ60" s="378" t="s">
        <v>138</v>
      </c>
      <c r="BR60" s="378" t="s">
        <v>139</v>
      </c>
      <c r="BS60" s="378" t="s">
        <v>140</v>
      </c>
      <c r="BT60" s="378" t="s">
        <v>141</v>
      </c>
      <c r="BU60" s="378" t="s">
        <v>143</v>
      </c>
      <c r="BV60" s="378" t="s">
        <v>145</v>
      </c>
      <c r="BW60" s="378" t="s">
        <v>217</v>
      </c>
    </row>
    <row r="61" spans="1:77" x14ac:dyDescent="0.35">
      <c r="B61" s="381" t="s">
        <v>439</v>
      </c>
      <c r="C61" s="381" t="s">
        <v>440</v>
      </c>
      <c r="D61" s="382" t="s">
        <v>54</v>
      </c>
      <c r="E61" s="382"/>
      <c r="F61" s="383"/>
      <c r="G61" s="383"/>
      <c r="H61" s="383"/>
      <c r="I61" s="383"/>
      <c r="J61" s="383"/>
      <c r="K61" s="383"/>
      <c r="L61" s="383"/>
      <c r="M61" s="383"/>
      <c r="N61" s="383"/>
      <c r="O61" s="383"/>
      <c r="P61" s="383">
        <f>30000*10</f>
        <v>300000</v>
      </c>
      <c r="Q61" s="383">
        <f>30000*10</f>
        <v>300000</v>
      </c>
      <c r="R61" s="384">
        <f>SUM(P61:Q61)</f>
        <v>600000</v>
      </c>
      <c r="S61">
        <v>20</v>
      </c>
      <c r="U61" s="385" t="s">
        <v>439</v>
      </c>
      <c r="V61" s="386" t="s">
        <v>441</v>
      </c>
      <c r="W61" s="387" t="s">
        <v>54</v>
      </c>
      <c r="X61" s="387" t="s">
        <v>246</v>
      </c>
      <c r="Y61" s="383"/>
      <c r="Z61" s="383">
        <f t="shared" ref="Z61:AJ61" si="95">30000*4</f>
        <v>120000</v>
      </c>
      <c r="AA61" s="383">
        <f t="shared" si="95"/>
        <v>120000</v>
      </c>
      <c r="AB61" s="383">
        <f t="shared" si="95"/>
        <v>120000</v>
      </c>
      <c r="AC61" s="383">
        <f t="shared" si="95"/>
        <v>120000</v>
      </c>
      <c r="AD61" s="383">
        <f t="shared" si="95"/>
        <v>120000</v>
      </c>
      <c r="AE61" s="535">
        <f t="shared" si="95"/>
        <v>120000</v>
      </c>
      <c r="AF61" s="535">
        <f t="shared" si="95"/>
        <v>120000</v>
      </c>
      <c r="AG61" s="535">
        <f t="shared" si="95"/>
        <v>120000</v>
      </c>
      <c r="AH61" s="535">
        <f t="shared" si="95"/>
        <v>120000</v>
      </c>
      <c r="AI61" s="535">
        <f t="shared" si="95"/>
        <v>120000</v>
      </c>
      <c r="AJ61" s="535">
        <f t="shared" si="95"/>
        <v>120000</v>
      </c>
      <c r="AK61" s="384">
        <f>SUM(Y61:AJ61)</f>
        <v>1320000</v>
      </c>
      <c r="AL61" s="536" t="s">
        <v>442</v>
      </c>
      <c r="AM61" s="388"/>
      <c r="AN61" s="385" t="s">
        <v>439</v>
      </c>
      <c r="AO61" s="386" t="s">
        <v>441</v>
      </c>
      <c r="AP61" s="387" t="s">
        <v>54</v>
      </c>
      <c r="AQ61" s="387" t="s">
        <v>246</v>
      </c>
      <c r="AR61" s="383"/>
      <c r="AS61" s="383">
        <f t="shared" ref="AS61:AY61" si="96">30000*4</f>
        <v>120000</v>
      </c>
      <c r="AT61" s="383">
        <f t="shared" si="96"/>
        <v>120000</v>
      </c>
      <c r="AU61" s="383">
        <f t="shared" si="96"/>
        <v>120000</v>
      </c>
      <c r="AV61" s="383">
        <f t="shared" si="96"/>
        <v>120000</v>
      </c>
      <c r="AW61" s="383">
        <f t="shared" si="96"/>
        <v>120000</v>
      </c>
      <c r="AX61" s="537">
        <f t="shared" si="96"/>
        <v>120000</v>
      </c>
      <c r="AY61" s="537">
        <f t="shared" si="96"/>
        <v>120000</v>
      </c>
      <c r="AZ61" s="538"/>
      <c r="BA61" s="538"/>
      <c r="BB61" s="538"/>
      <c r="BC61" s="538"/>
      <c r="BD61" s="384">
        <f>SUM(AR61:AX61)</f>
        <v>720000</v>
      </c>
      <c r="BE61">
        <v>28</v>
      </c>
      <c r="BF61" t="s">
        <v>443</v>
      </c>
      <c r="BG61" s="385" t="s">
        <v>439</v>
      </c>
      <c r="BH61" s="386" t="s">
        <v>441</v>
      </c>
      <c r="BI61" s="387" t="s">
        <v>54</v>
      </c>
      <c r="BJ61" s="387" t="s">
        <v>246</v>
      </c>
      <c r="BK61" s="383"/>
      <c r="BL61" s="383">
        <f>30000*6</f>
        <v>180000</v>
      </c>
      <c r="BM61" s="383">
        <f>30000*6</f>
        <v>180000</v>
      </c>
      <c r="BN61" s="383">
        <f>30000*6</f>
        <v>180000</v>
      </c>
      <c r="BO61" s="383">
        <f t="shared" ref="BO61:BR61" si="97">30000*4</f>
        <v>120000</v>
      </c>
      <c r="BP61" s="383">
        <f t="shared" si="97"/>
        <v>120000</v>
      </c>
      <c r="BQ61" s="537">
        <f t="shared" si="97"/>
        <v>120000</v>
      </c>
      <c r="BR61" s="537">
        <f t="shared" si="97"/>
        <v>120000</v>
      </c>
      <c r="BS61" s="538"/>
      <c r="BT61" s="538"/>
      <c r="BU61" s="538"/>
      <c r="BV61" s="538"/>
      <c r="BW61" s="384">
        <f>SUM(BK61:BQ61)</f>
        <v>900000</v>
      </c>
      <c r="BX61">
        <v>38</v>
      </c>
      <c r="BY61" t="s">
        <v>443</v>
      </c>
    </row>
    <row r="62" spans="1:77" ht="15" thickBot="1" x14ac:dyDescent="0.4">
      <c r="B62" s="389"/>
      <c r="C62" s="389"/>
      <c r="D62" s="390"/>
      <c r="E62" s="390"/>
      <c r="F62" s="391"/>
      <c r="G62" s="391"/>
      <c r="H62" s="391"/>
      <c r="I62" s="391"/>
      <c r="J62" s="391"/>
      <c r="K62" s="391"/>
      <c r="L62" s="391"/>
      <c r="M62" s="391"/>
      <c r="N62" s="391"/>
      <c r="O62" s="391"/>
      <c r="P62" s="391"/>
      <c r="Q62" s="391"/>
      <c r="R62" s="392">
        <f t="shared" ref="R62:R70" si="98">SUM(F62:Q62)</f>
        <v>0</v>
      </c>
      <c r="S62" s="531">
        <f>SUM(S61)</f>
        <v>20</v>
      </c>
      <c r="T62" t="s">
        <v>408</v>
      </c>
      <c r="U62" s="385"/>
      <c r="V62" s="386"/>
      <c r="W62" s="387"/>
      <c r="X62" s="387"/>
      <c r="Y62" s="391"/>
      <c r="Z62" s="391"/>
      <c r="AA62" s="391"/>
      <c r="AB62" s="391"/>
      <c r="AC62" s="391"/>
      <c r="AD62" s="391"/>
      <c r="AE62" s="391"/>
      <c r="AF62" s="391"/>
      <c r="AG62" s="391"/>
      <c r="AH62" s="391"/>
      <c r="AI62" s="391"/>
      <c r="AJ62" s="391"/>
      <c r="AK62" s="392">
        <f t="shared" ref="AK62:AK70" si="99">SUM(Y62:AJ62)</f>
        <v>0</v>
      </c>
      <c r="AL62" s="539">
        <f>S62+AL61</f>
        <v>68</v>
      </c>
      <c r="AM62" s="540" t="s">
        <v>444</v>
      </c>
      <c r="AN62" s="385"/>
      <c r="AO62" s="386"/>
      <c r="AP62" s="387"/>
      <c r="AQ62" s="387"/>
      <c r="AR62" s="391"/>
      <c r="AS62" s="391"/>
      <c r="AT62" s="391"/>
      <c r="AU62" s="391"/>
      <c r="AV62" s="391"/>
      <c r="AW62" s="391"/>
      <c r="AX62" s="391"/>
      <c r="AY62" s="391"/>
      <c r="AZ62" s="391"/>
      <c r="BA62" s="391"/>
      <c r="BB62" s="391"/>
      <c r="BC62" s="391"/>
      <c r="BD62" s="392">
        <f t="shared" ref="BD62:BD70" si="100">SUM(AR62:BC62)</f>
        <v>0</v>
      </c>
      <c r="BE62" s="541">
        <f>AL62+BE61</f>
        <v>96</v>
      </c>
      <c r="BF62" t="s">
        <v>444</v>
      </c>
      <c r="BG62" s="385"/>
      <c r="BH62" s="386"/>
      <c r="BI62" s="387"/>
      <c r="BJ62" s="387"/>
      <c r="BK62" s="391"/>
      <c r="BL62" s="391"/>
      <c r="BM62" s="391"/>
      <c r="BN62" s="391"/>
      <c r="BO62" s="391"/>
      <c r="BP62" s="391"/>
      <c r="BQ62" s="391"/>
      <c r="BR62" s="391"/>
      <c r="BS62" s="391"/>
      <c r="BT62" s="391"/>
      <c r="BU62" s="391"/>
      <c r="BV62" s="391"/>
      <c r="BW62" s="392">
        <f t="shared" ref="BW62:BW70" si="101">SUM(BK62:BV62)</f>
        <v>0</v>
      </c>
      <c r="BX62" s="541">
        <f>BE62+BX61</f>
        <v>134</v>
      </c>
      <c r="BY62" t="s">
        <v>444</v>
      </c>
    </row>
    <row r="63" spans="1:77" ht="15" thickTop="1" x14ac:dyDescent="0.35">
      <c r="B63" s="381"/>
      <c r="C63" s="381"/>
      <c r="D63" s="382"/>
      <c r="E63" s="382"/>
      <c r="F63" s="383"/>
      <c r="G63" s="383"/>
      <c r="H63" s="383"/>
      <c r="I63" s="383"/>
      <c r="J63" s="383"/>
      <c r="K63" s="383"/>
      <c r="L63" s="383"/>
      <c r="M63" s="383"/>
      <c r="N63" s="383"/>
      <c r="O63" s="383"/>
      <c r="P63" s="383"/>
      <c r="Q63" s="383"/>
      <c r="R63" s="384">
        <f t="shared" si="98"/>
        <v>0</v>
      </c>
      <c r="U63" s="385"/>
      <c r="V63" s="386"/>
      <c r="W63" s="387"/>
      <c r="X63" s="387"/>
      <c r="Y63" s="383"/>
      <c r="Z63" s="383"/>
      <c r="AA63" s="383"/>
      <c r="AB63" s="383"/>
      <c r="AC63" s="383"/>
      <c r="AD63" s="383"/>
      <c r="AE63" s="383"/>
      <c r="AF63" s="383"/>
      <c r="AG63" s="383"/>
      <c r="AH63" s="383"/>
      <c r="AI63" s="383"/>
      <c r="AJ63" s="383"/>
      <c r="AK63" s="384">
        <f t="shared" si="99"/>
        <v>0</v>
      </c>
      <c r="AL63" s="388"/>
      <c r="AM63" s="388"/>
      <c r="AN63" s="385"/>
      <c r="AO63" s="386"/>
      <c r="AP63" s="387"/>
      <c r="AQ63" s="387"/>
      <c r="AR63" s="383"/>
      <c r="AS63" s="383"/>
      <c r="AT63" s="383"/>
      <c r="AU63" s="383"/>
      <c r="AV63" s="383"/>
      <c r="AW63" s="383"/>
      <c r="AX63" s="383"/>
      <c r="AY63" s="383"/>
      <c r="AZ63" s="383"/>
      <c r="BA63" s="383"/>
      <c r="BB63" s="383"/>
      <c r="BC63" s="383"/>
      <c r="BD63" s="384">
        <f t="shared" si="100"/>
        <v>0</v>
      </c>
      <c r="BG63" s="385"/>
      <c r="BH63" s="386"/>
      <c r="BI63" s="387"/>
      <c r="BJ63" s="387"/>
      <c r="BK63" s="383"/>
      <c r="BL63" s="383"/>
      <c r="BM63" s="383"/>
      <c r="BN63" s="383"/>
      <c r="BO63" s="383"/>
      <c r="BP63" s="383"/>
      <c r="BQ63" s="383"/>
      <c r="BR63" s="383"/>
      <c r="BS63" s="383"/>
      <c r="BT63" s="383"/>
      <c r="BU63" s="383"/>
      <c r="BV63" s="383"/>
      <c r="BW63" s="384">
        <f t="shared" si="101"/>
        <v>0</v>
      </c>
    </row>
    <row r="64" spans="1:77" x14ac:dyDescent="0.35">
      <c r="B64" s="389"/>
      <c r="C64" s="389"/>
      <c r="D64" s="390"/>
      <c r="E64" s="390"/>
      <c r="F64" s="391"/>
      <c r="G64" s="391"/>
      <c r="H64" s="391"/>
      <c r="I64" s="391"/>
      <c r="J64" s="391"/>
      <c r="K64" s="391"/>
      <c r="L64" s="391"/>
      <c r="M64" s="391"/>
      <c r="N64" s="391"/>
      <c r="O64" s="391"/>
      <c r="P64" s="391"/>
      <c r="Q64" s="391"/>
      <c r="R64" s="392">
        <f t="shared" si="98"/>
        <v>0</v>
      </c>
      <c r="U64" s="385"/>
      <c r="V64" s="386"/>
      <c r="W64" s="387"/>
      <c r="X64" s="387"/>
      <c r="Y64" s="391"/>
      <c r="Z64" s="391"/>
      <c r="AA64" s="391"/>
      <c r="AB64" s="391"/>
      <c r="AC64" s="391"/>
      <c r="AD64" s="391"/>
      <c r="AE64" s="391"/>
      <c r="AF64" s="391"/>
      <c r="AG64" s="391"/>
      <c r="AH64" s="391"/>
      <c r="AI64" s="391"/>
      <c r="AJ64" s="391"/>
      <c r="AK64" s="392">
        <f>SUM(Y64:AJ64)</f>
        <v>0</v>
      </c>
      <c r="AL64" s="388"/>
      <c r="AM64" s="388"/>
      <c r="AN64" s="385"/>
      <c r="AO64" s="386"/>
      <c r="AP64" s="387"/>
      <c r="AQ64" s="387"/>
      <c r="AR64" s="391"/>
      <c r="AS64" s="391"/>
      <c r="AT64" s="391"/>
      <c r="AU64" s="391"/>
      <c r="AV64" s="391"/>
      <c r="AW64" s="391"/>
      <c r="AX64" s="391"/>
      <c r="AY64" s="391"/>
      <c r="AZ64" s="391"/>
      <c r="BA64" s="391"/>
      <c r="BB64" s="391"/>
      <c r="BC64" s="391"/>
      <c r="BD64" s="392">
        <f t="shared" si="100"/>
        <v>0</v>
      </c>
      <c r="BG64" s="385"/>
      <c r="BH64" s="386"/>
      <c r="BI64" s="387"/>
      <c r="BJ64" s="387"/>
      <c r="BK64" s="391"/>
      <c r="BL64" s="391"/>
      <c r="BM64" s="391"/>
      <c r="BN64" s="391"/>
      <c r="BO64" s="391"/>
      <c r="BP64" s="391"/>
      <c r="BQ64" s="391"/>
      <c r="BR64" s="391"/>
      <c r="BS64" s="391"/>
      <c r="BT64" s="391"/>
      <c r="BU64" s="391"/>
      <c r="BV64" s="391"/>
      <c r="BW64" s="392">
        <f t="shared" si="101"/>
        <v>0</v>
      </c>
    </row>
    <row r="65" spans="1:75" x14ac:dyDescent="0.35">
      <c r="B65" s="381"/>
      <c r="C65" s="381"/>
      <c r="D65" s="382"/>
      <c r="E65" s="382"/>
      <c r="F65" s="383"/>
      <c r="G65" s="383"/>
      <c r="H65" s="383"/>
      <c r="I65" s="383"/>
      <c r="J65" s="383"/>
      <c r="K65" s="383"/>
      <c r="L65" s="383"/>
      <c r="M65" s="383"/>
      <c r="N65" s="383"/>
      <c r="O65" s="383"/>
      <c r="P65" s="383"/>
      <c r="Q65" s="383"/>
      <c r="R65" s="384">
        <f t="shared" si="98"/>
        <v>0</v>
      </c>
      <c r="U65" s="385"/>
      <c r="V65" s="386"/>
      <c r="W65" s="387"/>
      <c r="X65" s="387"/>
      <c r="Y65" s="383"/>
      <c r="Z65" s="383"/>
      <c r="AA65" s="383"/>
      <c r="AB65" s="383"/>
      <c r="AC65" s="383"/>
      <c r="AD65" s="383"/>
      <c r="AE65" s="383"/>
      <c r="AF65" s="383"/>
      <c r="AG65" s="383"/>
      <c r="AH65" s="383"/>
      <c r="AI65" s="383"/>
      <c r="AJ65" s="383"/>
      <c r="AK65" s="384">
        <f t="shared" si="99"/>
        <v>0</v>
      </c>
      <c r="AL65" s="388"/>
      <c r="AM65" s="388"/>
      <c r="AN65" s="385"/>
      <c r="AO65" s="386"/>
      <c r="AP65" s="387"/>
      <c r="AQ65" s="387"/>
      <c r="AR65" s="383"/>
      <c r="AS65" s="383"/>
      <c r="AT65" s="383"/>
      <c r="AU65" s="383"/>
      <c r="AV65" s="383"/>
      <c r="AW65" s="383"/>
      <c r="AX65" s="383"/>
      <c r="AY65" s="383"/>
      <c r="AZ65" s="383"/>
      <c r="BA65" s="383"/>
      <c r="BB65" s="383"/>
      <c r="BC65" s="383"/>
      <c r="BD65" s="384">
        <f t="shared" si="100"/>
        <v>0</v>
      </c>
      <c r="BG65" s="385"/>
      <c r="BH65" s="386"/>
      <c r="BI65" s="387"/>
      <c r="BJ65" s="387"/>
      <c r="BK65" s="383"/>
      <c r="BL65" s="383"/>
      <c r="BM65" s="383"/>
      <c r="BN65" s="383"/>
      <c r="BO65" s="383"/>
      <c r="BP65" s="383"/>
      <c r="BQ65" s="383"/>
      <c r="BR65" s="383"/>
      <c r="BS65" s="383"/>
      <c r="BT65" s="383"/>
      <c r="BU65" s="383"/>
      <c r="BV65" s="383"/>
      <c r="BW65" s="384">
        <f t="shared" si="101"/>
        <v>0</v>
      </c>
    </row>
    <row r="66" spans="1:75" x14ac:dyDescent="0.35">
      <c r="B66" s="389"/>
      <c r="C66" s="389"/>
      <c r="D66" s="390"/>
      <c r="E66" s="390"/>
      <c r="F66" s="391"/>
      <c r="G66" s="391"/>
      <c r="H66" s="391"/>
      <c r="I66" s="391"/>
      <c r="J66" s="391"/>
      <c r="K66" s="391"/>
      <c r="L66" s="391"/>
      <c r="M66" s="391"/>
      <c r="N66" s="391"/>
      <c r="O66" s="391"/>
      <c r="P66" s="391"/>
      <c r="Q66" s="391"/>
      <c r="R66" s="392">
        <f t="shared" si="98"/>
        <v>0</v>
      </c>
      <c r="U66" s="393"/>
      <c r="V66" s="394"/>
      <c r="W66" s="387"/>
      <c r="X66" s="387"/>
      <c r="Y66" s="391"/>
      <c r="Z66" s="391"/>
      <c r="AA66" s="391"/>
      <c r="AB66" s="391"/>
      <c r="AC66" s="391"/>
      <c r="AD66" s="391"/>
      <c r="AE66" s="391"/>
      <c r="AF66" s="391"/>
      <c r="AG66" s="391"/>
      <c r="AH66" s="391"/>
      <c r="AI66" s="391"/>
      <c r="AJ66" s="391"/>
      <c r="AK66" s="392">
        <f t="shared" si="99"/>
        <v>0</v>
      </c>
      <c r="AL66" s="388"/>
      <c r="AM66" s="388"/>
      <c r="AN66" s="393"/>
      <c r="AO66" s="394"/>
      <c r="AP66" s="387"/>
      <c r="AQ66" s="387"/>
      <c r="AR66" s="391"/>
      <c r="AS66" s="391"/>
      <c r="AT66" s="391"/>
      <c r="AU66" s="391"/>
      <c r="AV66" s="391"/>
      <c r="AW66" s="391"/>
      <c r="AX66" s="391"/>
      <c r="AY66" s="391"/>
      <c r="AZ66" s="391"/>
      <c r="BA66" s="391"/>
      <c r="BB66" s="391"/>
      <c r="BC66" s="391"/>
      <c r="BD66" s="392">
        <f t="shared" si="100"/>
        <v>0</v>
      </c>
      <c r="BG66" s="393"/>
      <c r="BH66" s="394"/>
      <c r="BI66" s="387"/>
      <c r="BJ66" s="387"/>
      <c r="BK66" s="391"/>
      <c r="BL66" s="391"/>
      <c r="BM66" s="391"/>
      <c r="BN66" s="391"/>
      <c r="BO66" s="391"/>
      <c r="BP66" s="391"/>
      <c r="BQ66" s="391"/>
      <c r="BR66" s="391"/>
      <c r="BS66" s="391"/>
      <c r="BT66" s="391"/>
      <c r="BU66" s="391"/>
      <c r="BV66" s="391"/>
      <c r="BW66" s="392">
        <f t="shared" si="101"/>
        <v>0</v>
      </c>
    </row>
    <row r="67" spans="1:75" x14ac:dyDescent="0.35">
      <c r="A67" s="395"/>
      <c r="B67" s="381"/>
      <c r="C67" s="381"/>
      <c r="D67" s="382"/>
      <c r="E67" s="396"/>
      <c r="F67" s="383"/>
      <c r="G67" s="383"/>
      <c r="H67" s="383"/>
      <c r="I67" s="383"/>
      <c r="J67" s="383"/>
      <c r="K67" s="383"/>
      <c r="L67" s="383"/>
      <c r="M67" s="383"/>
      <c r="N67" s="383"/>
      <c r="O67" s="383"/>
      <c r="P67" s="383"/>
      <c r="Q67" s="383"/>
      <c r="R67" s="384">
        <f t="shared" si="98"/>
        <v>0</v>
      </c>
      <c r="U67" s="386"/>
      <c r="V67" s="386"/>
      <c r="W67" s="387"/>
      <c r="X67" s="397"/>
      <c r="Y67" s="383"/>
      <c r="Z67" s="383"/>
      <c r="AA67" s="383"/>
      <c r="AB67" s="383"/>
      <c r="AC67" s="383"/>
      <c r="AD67" s="383"/>
      <c r="AE67" s="383"/>
      <c r="AF67" s="383"/>
      <c r="AG67" s="383"/>
      <c r="AH67" s="383"/>
      <c r="AI67" s="383"/>
      <c r="AJ67" s="383"/>
      <c r="AK67" s="384">
        <f t="shared" si="99"/>
        <v>0</v>
      </c>
      <c r="AL67" s="388"/>
      <c r="AM67" s="388"/>
      <c r="AN67" s="386"/>
      <c r="AO67" s="386"/>
      <c r="AP67" s="387"/>
      <c r="AQ67" s="397"/>
      <c r="AR67" s="383"/>
      <c r="AS67" s="383"/>
      <c r="AT67" s="383"/>
      <c r="AU67" s="383"/>
      <c r="AV67" s="383"/>
      <c r="AW67" s="383"/>
      <c r="AX67" s="383"/>
      <c r="AY67" s="383"/>
      <c r="AZ67" s="383"/>
      <c r="BA67" s="383"/>
      <c r="BB67" s="383"/>
      <c r="BC67" s="383"/>
      <c r="BD67" s="384">
        <f t="shared" si="100"/>
        <v>0</v>
      </c>
      <c r="BG67" s="386"/>
      <c r="BH67" s="386"/>
      <c r="BI67" s="387"/>
      <c r="BJ67" s="397"/>
      <c r="BK67" s="383"/>
      <c r="BL67" s="383"/>
      <c r="BM67" s="383"/>
      <c r="BN67" s="383"/>
      <c r="BO67" s="383"/>
      <c r="BP67" s="383"/>
      <c r="BQ67" s="383"/>
      <c r="BR67" s="383"/>
      <c r="BS67" s="383"/>
      <c r="BT67" s="383"/>
      <c r="BU67" s="383"/>
      <c r="BV67" s="383"/>
      <c r="BW67" s="384">
        <f t="shared" si="101"/>
        <v>0</v>
      </c>
    </row>
    <row r="68" spans="1:75" x14ac:dyDescent="0.35">
      <c r="A68" s="395"/>
      <c r="B68" s="389"/>
      <c r="C68" s="389"/>
      <c r="D68" s="390"/>
      <c r="E68" s="398"/>
      <c r="F68" s="391"/>
      <c r="G68" s="391"/>
      <c r="H68" s="391"/>
      <c r="I68" s="391"/>
      <c r="J68" s="391"/>
      <c r="K68" s="391"/>
      <c r="L68" s="391"/>
      <c r="M68" s="391"/>
      <c r="N68" s="391"/>
      <c r="O68" s="391"/>
      <c r="P68" s="391"/>
      <c r="Q68" s="391"/>
      <c r="R68" s="392">
        <f t="shared" si="98"/>
        <v>0</v>
      </c>
      <c r="U68" s="393"/>
      <c r="V68" s="386"/>
      <c r="W68" s="399"/>
      <c r="X68" s="400"/>
      <c r="Y68" s="391"/>
      <c r="Z68" s="391"/>
      <c r="AA68" s="391"/>
      <c r="AB68" s="391"/>
      <c r="AC68" s="391"/>
      <c r="AD68" s="391"/>
      <c r="AE68" s="391"/>
      <c r="AF68" s="391"/>
      <c r="AG68" s="391"/>
      <c r="AH68" s="391"/>
      <c r="AI68" s="391"/>
      <c r="AJ68" s="391"/>
      <c r="AK68" s="392">
        <f t="shared" si="99"/>
        <v>0</v>
      </c>
      <c r="AL68" s="388"/>
      <c r="AM68" s="388"/>
      <c r="AN68" s="393"/>
      <c r="AO68" s="386"/>
      <c r="AP68" s="399"/>
      <c r="AQ68" s="400"/>
      <c r="AR68" s="391"/>
      <c r="AS68" s="391"/>
      <c r="AT68" s="391"/>
      <c r="AU68" s="391"/>
      <c r="AV68" s="391"/>
      <c r="AW68" s="391"/>
      <c r="AX68" s="391"/>
      <c r="AY68" s="391"/>
      <c r="AZ68" s="391"/>
      <c r="BA68" s="391"/>
      <c r="BB68" s="391"/>
      <c r="BC68" s="391"/>
      <c r="BD68" s="392">
        <f t="shared" si="100"/>
        <v>0</v>
      </c>
      <c r="BG68" s="393"/>
      <c r="BH68" s="386"/>
      <c r="BI68" s="399"/>
      <c r="BJ68" s="400"/>
      <c r="BK68" s="391"/>
      <c r="BL68" s="391"/>
      <c r="BM68" s="391"/>
      <c r="BN68" s="391"/>
      <c r="BO68" s="391"/>
      <c r="BP68" s="391"/>
      <c r="BQ68" s="391"/>
      <c r="BR68" s="391"/>
      <c r="BS68" s="391"/>
      <c r="BT68" s="391"/>
      <c r="BU68" s="391"/>
      <c r="BV68" s="391"/>
      <c r="BW68" s="392">
        <f t="shared" si="101"/>
        <v>0</v>
      </c>
    </row>
    <row r="69" spans="1:75" x14ac:dyDescent="0.35">
      <c r="A69" s="303"/>
      <c r="B69" s="401"/>
      <c r="C69" s="401"/>
      <c r="D69" s="402"/>
      <c r="E69" s="403"/>
      <c r="F69" s="404"/>
      <c r="G69" s="404"/>
      <c r="H69" s="404"/>
      <c r="I69" s="404"/>
      <c r="J69" s="404"/>
      <c r="K69" s="404"/>
      <c r="L69" s="404"/>
      <c r="M69" s="404"/>
      <c r="N69" s="404"/>
      <c r="O69" s="404"/>
      <c r="P69" s="404"/>
      <c r="Q69" s="404"/>
      <c r="R69" s="384">
        <f t="shared" si="98"/>
        <v>0</v>
      </c>
      <c r="U69" s="405"/>
      <c r="V69" s="406"/>
      <c r="W69" s="407"/>
      <c r="X69" s="408"/>
      <c r="Y69" s="404"/>
      <c r="Z69" s="404"/>
      <c r="AA69" s="404"/>
      <c r="AB69" s="404"/>
      <c r="AC69" s="404"/>
      <c r="AD69" s="404"/>
      <c r="AE69" s="404"/>
      <c r="AF69" s="404"/>
      <c r="AG69" s="404"/>
      <c r="AH69" s="404"/>
      <c r="AI69" s="404"/>
      <c r="AJ69" s="404"/>
      <c r="AK69" s="384">
        <f t="shared" si="99"/>
        <v>0</v>
      </c>
      <c r="AL69" s="388"/>
      <c r="AM69" s="388"/>
      <c r="AN69" s="405"/>
      <c r="AO69" s="406"/>
      <c r="AP69" s="407"/>
      <c r="AQ69" s="408"/>
      <c r="AR69" s="404"/>
      <c r="AS69" s="404"/>
      <c r="AT69" s="404"/>
      <c r="AU69" s="404"/>
      <c r="AV69" s="404"/>
      <c r="AW69" s="404"/>
      <c r="AX69" s="404"/>
      <c r="AY69" s="404"/>
      <c r="AZ69" s="404"/>
      <c r="BA69" s="404"/>
      <c r="BB69" s="404"/>
      <c r="BC69" s="404"/>
      <c r="BD69" s="384">
        <f t="shared" si="100"/>
        <v>0</v>
      </c>
      <c r="BG69" s="405"/>
      <c r="BH69" s="406"/>
      <c r="BI69" s="407"/>
      <c r="BJ69" s="408"/>
      <c r="BK69" s="404"/>
      <c r="BL69" s="404"/>
      <c r="BM69" s="404"/>
      <c r="BN69" s="404"/>
      <c r="BO69" s="404"/>
      <c r="BP69" s="404"/>
      <c r="BQ69" s="404"/>
      <c r="BR69" s="404"/>
      <c r="BS69" s="404"/>
      <c r="BT69" s="404"/>
      <c r="BU69" s="404"/>
      <c r="BV69" s="404"/>
      <c r="BW69" s="384">
        <f t="shared" si="101"/>
        <v>0</v>
      </c>
    </row>
    <row r="70" spans="1:75" x14ac:dyDescent="0.35">
      <c r="A70" s="303"/>
      <c r="B70" s="409"/>
      <c r="C70" s="409"/>
      <c r="D70" s="410"/>
      <c r="E70" s="411"/>
      <c r="F70" s="412"/>
      <c r="G70" s="412"/>
      <c r="H70" s="412"/>
      <c r="I70" s="412"/>
      <c r="J70" s="412"/>
      <c r="K70" s="412"/>
      <c r="L70" s="412"/>
      <c r="M70" s="412"/>
      <c r="N70" s="412"/>
      <c r="O70" s="412"/>
      <c r="P70" s="412"/>
      <c r="Q70" s="412"/>
      <c r="R70" s="413">
        <f t="shared" si="98"/>
        <v>0</v>
      </c>
      <c r="U70" s="393"/>
      <c r="V70" s="386"/>
      <c r="W70" s="399"/>
      <c r="X70" s="400"/>
      <c r="Y70" s="412"/>
      <c r="Z70" s="412"/>
      <c r="AA70" s="412"/>
      <c r="AB70" s="412"/>
      <c r="AC70" s="412"/>
      <c r="AD70" s="412"/>
      <c r="AE70" s="412"/>
      <c r="AF70" s="412"/>
      <c r="AG70" s="412"/>
      <c r="AH70" s="412"/>
      <c r="AI70" s="412"/>
      <c r="AJ70" s="412"/>
      <c r="AK70" s="413">
        <f t="shared" si="99"/>
        <v>0</v>
      </c>
      <c r="AL70" s="388"/>
      <c r="AM70" s="388"/>
      <c r="AN70" s="393"/>
      <c r="AO70" s="386"/>
      <c r="AP70" s="399"/>
      <c r="AQ70" s="400"/>
      <c r="AR70" s="412"/>
      <c r="AS70" s="412"/>
      <c r="AT70" s="412"/>
      <c r="AU70" s="412"/>
      <c r="AV70" s="412"/>
      <c r="AW70" s="412"/>
      <c r="AX70" s="412"/>
      <c r="AY70" s="412"/>
      <c r="AZ70" s="412"/>
      <c r="BA70" s="412"/>
      <c r="BB70" s="412"/>
      <c r="BC70" s="412"/>
      <c r="BD70" s="413">
        <f t="shared" si="100"/>
        <v>0</v>
      </c>
      <c r="BG70" s="393"/>
      <c r="BH70" s="386"/>
      <c r="BI70" s="399"/>
      <c r="BJ70" s="400"/>
      <c r="BK70" s="412"/>
      <c r="BL70" s="412"/>
      <c r="BM70" s="412"/>
      <c r="BN70" s="412"/>
      <c r="BO70" s="412"/>
      <c r="BP70" s="412"/>
      <c r="BQ70" s="412"/>
      <c r="BR70" s="412"/>
      <c r="BS70" s="412"/>
      <c r="BT70" s="412"/>
      <c r="BU70" s="412"/>
      <c r="BV70" s="412"/>
      <c r="BW70" s="413">
        <f t="shared" si="101"/>
        <v>0</v>
      </c>
    </row>
    <row r="71" spans="1:75" s="303" customFormat="1" ht="20.149999999999999" customHeight="1" x14ac:dyDescent="0.35">
      <c r="B71" s="414" t="s">
        <v>247</v>
      </c>
      <c r="C71" s="415"/>
      <c r="D71" s="415"/>
      <c r="E71" s="416"/>
      <c r="F71" s="417">
        <f>SUM(F61:F70)*1.07</f>
        <v>0</v>
      </c>
      <c r="G71" s="417">
        <f t="shared" ref="G71:R71" si="102">SUM(G61:G70)*1.07</f>
        <v>0</v>
      </c>
      <c r="H71" s="417">
        <f t="shared" si="102"/>
        <v>0</v>
      </c>
      <c r="I71" s="417">
        <f t="shared" si="102"/>
        <v>0</v>
      </c>
      <c r="J71" s="417">
        <f t="shared" si="102"/>
        <v>0</v>
      </c>
      <c r="K71" s="417">
        <f t="shared" si="102"/>
        <v>0</v>
      </c>
      <c r="L71" s="417">
        <f t="shared" si="102"/>
        <v>0</v>
      </c>
      <c r="M71" s="417">
        <f t="shared" si="102"/>
        <v>0</v>
      </c>
      <c r="N71" s="417">
        <f t="shared" si="102"/>
        <v>0</v>
      </c>
      <c r="O71" s="417">
        <f t="shared" si="102"/>
        <v>0</v>
      </c>
      <c r="P71" s="417">
        <f t="shared" si="102"/>
        <v>321000</v>
      </c>
      <c r="Q71" s="417">
        <f t="shared" si="102"/>
        <v>321000</v>
      </c>
      <c r="R71" s="417">
        <f t="shared" si="102"/>
        <v>642000</v>
      </c>
      <c r="U71" s="418" t="s">
        <v>247</v>
      </c>
      <c r="V71" s="419"/>
      <c r="W71" s="419"/>
      <c r="X71" s="420"/>
      <c r="Y71" s="421">
        <f t="shared" ref="Y71:AK71" si="103">SUM(Y61:Y70)*1.07</f>
        <v>0</v>
      </c>
      <c r="Z71" s="421">
        <f t="shared" si="103"/>
        <v>128400.00000000001</v>
      </c>
      <c r="AA71" s="421">
        <f t="shared" si="103"/>
        <v>128400.00000000001</v>
      </c>
      <c r="AB71" s="421">
        <f t="shared" si="103"/>
        <v>128400.00000000001</v>
      </c>
      <c r="AC71" s="421">
        <f t="shared" si="103"/>
        <v>128400.00000000001</v>
      </c>
      <c r="AD71" s="421">
        <f t="shared" si="103"/>
        <v>128400.00000000001</v>
      </c>
      <c r="AE71" s="421">
        <f t="shared" si="103"/>
        <v>128400.00000000001</v>
      </c>
      <c r="AF71" s="421">
        <f t="shared" si="103"/>
        <v>128400.00000000001</v>
      </c>
      <c r="AG71" s="421">
        <f t="shared" si="103"/>
        <v>128400.00000000001</v>
      </c>
      <c r="AH71" s="421">
        <f t="shared" si="103"/>
        <v>128400.00000000001</v>
      </c>
      <c r="AI71" s="421">
        <f t="shared" si="103"/>
        <v>128400.00000000001</v>
      </c>
      <c r="AJ71" s="421">
        <f t="shared" si="103"/>
        <v>128400.00000000001</v>
      </c>
      <c r="AK71" s="417">
        <f t="shared" si="103"/>
        <v>1412400</v>
      </c>
      <c r="AL71" s="422"/>
      <c r="AM71" s="422"/>
      <c r="AN71" s="418" t="s">
        <v>247</v>
      </c>
      <c r="AO71" s="419"/>
      <c r="AP71" s="419"/>
      <c r="AQ71" s="420"/>
      <c r="AR71" s="421">
        <f t="shared" ref="AR71:AW71" si="104">SUM(AR61:AR70)+0.07*SUM(AR61:AR70)</f>
        <v>0</v>
      </c>
      <c r="AS71" s="421">
        <f t="shared" si="104"/>
        <v>128400</v>
      </c>
      <c r="AT71" s="421">
        <f t="shared" si="104"/>
        <v>128400</v>
      </c>
      <c r="AU71" s="421">
        <f t="shared" si="104"/>
        <v>128400</v>
      </c>
      <c r="AV71" s="421">
        <f t="shared" si="104"/>
        <v>128400</v>
      </c>
      <c r="AW71" s="421">
        <f t="shared" si="104"/>
        <v>128400</v>
      </c>
      <c r="AX71" s="421">
        <f t="shared" ref="AX71:BC71" si="105">SUM(AX61:AX70)+0.07*SUM(AX61:AX70)</f>
        <v>128400</v>
      </c>
      <c r="AY71" s="421">
        <f t="shared" si="105"/>
        <v>128400</v>
      </c>
      <c r="AZ71" s="421">
        <f t="shared" si="105"/>
        <v>0</v>
      </c>
      <c r="BA71" s="421">
        <f t="shared" si="105"/>
        <v>0</v>
      </c>
      <c r="BB71" s="421">
        <f t="shared" si="105"/>
        <v>0</v>
      </c>
      <c r="BC71" s="423">
        <f t="shared" si="105"/>
        <v>0</v>
      </c>
      <c r="BD71" s="417">
        <f>SUM(BD61:BD70)*1.07</f>
        <v>770400</v>
      </c>
      <c r="BG71" s="418" t="s">
        <v>247</v>
      </c>
      <c r="BH71" s="419"/>
      <c r="BI71" s="419"/>
      <c r="BJ71" s="420"/>
      <c r="BK71" s="421">
        <f t="shared" ref="BK71:BV71" si="106">SUM(BK61:BK70)+0.07*SUM(BK61:BK70)</f>
        <v>0</v>
      </c>
      <c r="BL71" s="421">
        <f t="shared" si="106"/>
        <v>192600</v>
      </c>
      <c r="BM71" s="421">
        <f t="shared" si="106"/>
        <v>192600</v>
      </c>
      <c r="BN71" s="421">
        <f t="shared" si="106"/>
        <v>192600</v>
      </c>
      <c r="BO71" s="421">
        <f t="shared" si="106"/>
        <v>128400</v>
      </c>
      <c r="BP71" s="421">
        <f t="shared" si="106"/>
        <v>128400</v>
      </c>
      <c r="BQ71" s="421">
        <f t="shared" si="106"/>
        <v>128400</v>
      </c>
      <c r="BR71" s="421">
        <f t="shared" si="106"/>
        <v>128400</v>
      </c>
      <c r="BS71" s="421">
        <f t="shared" si="106"/>
        <v>0</v>
      </c>
      <c r="BT71" s="421">
        <f t="shared" si="106"/>
        <v>0</v>
      </c>
      <c r="BU71" s="421">
        <f t="shared" si="106"/>
        <v>0</v>
      </c>
      <c r="BV71" s="423">
        <f t="shared" si="106"/>
        <v>0</v>
      </c>
      <c r="BW71" s="417">
        <f>SUM(BW61:BW70)*1.07</f>
        <v>963000</v>
      </c>
    </row>
    <row r="72" spans="1:75" x14ac:dyDescent="0.35">
      <c r="F72" s="244"/>
      <c r="G72" s="244"/>
      <c r="H72" s="244"/>
      <c r="I72" s="244"/>
      <c r="J72" s="244"/>
      <c r="K72" s="244"/>
      <c r="L72" s="244"/>
      <c r="M72" s="244"/>
      <c r="N72" s="244"/>
      <c r="O72" s="244"/>
      <c r="P72" s="244"/>
      <c r="Q72" s="244"/>
      <c r="R72" s="244"/>
      <c r="AB72" s="244"/>
      <c r="AC72" s="244"/>
      <c r="AD72" s="244"/>
      <c r="AE72" s="244"/>
      <c r="AF72" s="244"/>
      <c r="AG72" s="244"/>
      <c r="AH72" s="244"/>
      <c r="AI72" s="244"/>
      <c r="AJ72" s="244"/>
      <c r="AK72" s="244"/>
      <c r="AL72" s="244"/>
      <c r="AM72" s="244"/>
      <c r="AN72" s="244"/>
      <c r="BG72" s="244"/>
    </row>
    <row r="75" spans="1:75" x14ac:dyDescent="0.35">
      <c r="A75" s="320" t="s">
        <v>248</v>
      </c>
      <c r="C75" s="1148" t="s">
        <v>53</v>
      </c>
      <c r="D75" s="1149"/>
      <c r="V75" s="1148" t="s">
        <v>53</v>
      </c>
      <c r="W75" s="1149"/>
      <c r="AO75" s="1148" t="s">
        <v>53</v>
      </c>
      <c r="AP75" s="1149"/>
      <c r="BH75" s="1148" t="s">
        <v>53</v>
      </c>
      <c r="BI75" s="1149"/>
    </row>
    <row r="76" spans="1:75" x14ac:dyDescent="0.35">
      <c r="C76" s="366" t="s">
        <v>218</v>
      </c>
      <c r="D76" s="366" t="s">
        <v>219</v>
      </c>
      <c r="V76" s="366" t="s">
        <v>218</v>
      </c>
      <c r="W76" s="366" t="s">
        <v>219</v>
      </c>
      <c r="AO76" s="366" t="s">
        <v>218</v>
      </c>
      <c r="AP76" s="366" t="s">
        <v>219</v>
      </c>
      <c r="BH76" s="366" t="s">
        <v>218</v>
      </c>
      <c r="BI76" s="366" t="s">
        <v>219</v>
      </c>
    </row>
    <row r="77" spans="1:75" x14ac:dyDescent="0.35">
      <c r="C77" s="367">
        <f>SUMIF(D81:D90,"Capital",R81:R90)</f>
        <v>62250</v>
      </c>
      <c r="D77" s="367">
        <f>SUMIF(D81:D90,"O&amp;M",R81:R90)</f>
        <v>200380</v>
      </c>
      <c r="V77" s="424">
        <f>SUMIF(W81:W90,"Capital",AK81:AK90)</f>
        <v>1689600</v>
      </c>
      <c r="W77" s="424">
        <f>SUMIF(W81:W90,"O&amp;M",AK81:AK90)</f>
        <v>0</v>
      </c>
      <c r="AO77" s="367">
        <f>SUMIF(AP81:AP90,"Capital",BD81:BD90)</f>
        <v>1649400</v>
      </c>
      <c r="AP77" s="367">
        <f>SUMIF(AP81:AP90,"O&amp;M",BD81:BD90)</f>
        <v>0</v>
      </c>
      <c r="BH77" s="367">
        <f>SUMIF(BI81:BI90,"Capital",BW81:BW90)</f>
        <v>1286300</v>
      </c>
      <c r="BI77" s="367">
        <f>SUMIF(BI81:BI90,"O&amp;M",BW81:BW90)</f>
        <v>0</v>
      </c>
    </row>
    <row r="78" spans="1:75" x14ac:dyDescent="0.35">
      <c r="C78" s="368"/>
      <c r="D78" s="368"/>
      <c r="V78" s="368"/>
      <c r="W78" s="368"/>
      <c r="AO78" s="368"/>
      <c r="AP78" s="368"/>
      <c r="BH78" s="368"/>
      <c r="BI78" s="368"/>
    </row>
    <row r="79" spans="1:75" ht="20.149999999999999" customHeight="1" x14ac:dyDescent="0.35">
      <c r="B79" s="369"/>
      <c r="C79" s="370"/>
      <c r="D79" s="370"/>
      <c r="E79" s="370"/>
      <c r="F79" s="370" t="s">
        <v>249</v>
      </c>
      <c r="G79" s="370"/>
      <c r="H79" s="370"/>
      <c r="I79" s="370"/>
      <c r="J79" s="370"/>
      <c r="K79" s="370"/>
      <c r="L79" s="370"/>
      <c r="M79" s="370"/>
      <c r="N79" s="370"/>
      <c r="O79" s="370"/>
      <c r="P79" s="370"/>
      <c r="Q79" s="370"/>
      <c r="R79" s="371"/>
      <c r="U79" s="369"/>
      <c r="V79" s="372"/>
      <c r="W79" s="372"/>
      <c r="X79" s="372"/>
      <c r="Y79" s="370" t="s">
        <v>250</v>
      </c>
      <c r="Z79" s="372"/>
      <c r="AA79" s="372"/>
      <c r="AB79" s="372"/>
      <c r="AC79" s="372"/>
      <c r="AD79" s="372"/>
      <c r="AE79" s="372"/>
      <c r="AF79" s="372"/>
      <c r="AG79" s="372"/>
      <c r="AH79" s="372"/>
      <c r="AI79" s="372"/>
      <c r="AJ79" s="372"/>
      <c r="AK79" s="373"/>
      <c r="AL79" s="305"/>
      <c r="AM79" s="305"/>
      <c r="AN79" s="1142" t="s">
        <v>251</v>
      </c>
      <c r="AO79" s="1142"/>
      <c r="AP79" s="1142"/>
      <c r="AQ79" s="1142"/>
      <c r="AR79" s="1142"/>
      <c r="AS79" s="1142"/>
      <c r="AT79" s="1142"/>
      <c r="AU79" s="1142"/>
      <c r="AV79" s="1142"/>
      <c r="AW79" s="1142"/>
      <c r="AX79" s="1142"/>
      <c r="AY79" s="1142"/>
      <c r="AZ79" s="1142"/>
      <c r="BA79" s="1142"/>
      <c r="BB79" s="1142"/>
      <c r="BC79" s="1142"/>
      <c r="BD79" s="1142"/>
      <c r="BG79" s="1142" t="s">
        <v>251</v>
      </c>
      <c r="BH79" s="1142"/>
      <c r="BI79" s="1142"/>
      <c r="BJ79" s="1142"/>
      <c r="BK79" s="1142"/>
      <c r="BL79" s="1142"/>
      <c r="BM79" s="1142"/>
      <c r="BN79" s="1142"/>
      <c r="BO79" s="1142"/>
      <c r="BP79" s="1142"/>
      <c r="BQ79" s="1142"/>
      <c r="BR79" s="1142"/>
      <c r="BS79" s="1142"/>
      <c r="BT79" s="1142"/>
      <c r="BU79" s="1142"/>
      <c r="BV79" s="1142"/>
      <c r="BW79" s="1142"/>
    </row>
    <row r="80" spans="1:75" ht="20.149999999999999" customHeight="1" x14ac:dyDescent="0.35">
      <c r="B80" s="374" t="s">
        <v>243</v>
      </c>
      <c r="C80" s="375" t="s">
        <v>252</v>
      </c>
      <c r="D80" s="375" t="s">
        <v>236</v>
      </c>
      <c r="E80" s="375" t="s">
        <v>245</v>
      </c>
      <c r="F80" s="375" t="s">
        <v>131</v>
      </c>
      <c r="G80" s="375" t="s">
        <v>132</v>
      </c>
      <c r="H80" s="375" t="s">
        <v>134</v>
      </c>
      <c r="I80" s="375" t="s">
        <v>135</v>
      </c>
      <c r="J80" s="375" t="s">
        <v>136</v>
      </c>
      <c r="K80" s="375" t="s">
        <v>137</v>
      </c>
      <c r="L80" s="375" t="s">
        <v>138</v>
      </c>
      <c r="M80" s="375" t="s">
        <v>139</v>
      </c>
      <c r="N80" s="375" t="s">
        <v>140</v>
      </c>
      <c r="O80" s="375" t="s">
        <v>141</v>
      </c>
      <c r="P80" s="375" t="s">
        <v>143</v>
      </c>
      <c r="Q80" s="375" t="s">
        <v>145</v>
      </c>
      <c r="R80" s="376" t="s">
        <v>217</v>
      </c>
      <c r="U80" s="425" t="s">
        <v>243</v>
      </c>
      <c r="V80" s="426" t="s">
        <v>252</v>
      </c>
      <c r="W80" s="426" t="s">
        <v>236</v>
      </c>
      <c r="X80" s="426" t="s">
        <v>245</v>
      </c>
      <c r="Y80" s="426" t="s">
        <v>131</v>
      </c>
      <c r="Z80" s="426" t="s">
        <v>132</v>
      </c>
      <c r="AA80" s="426" t="s">
        <v>134</v>
      </c>
      <c r="AB80" s="426" t="s">
        <v>135</v>
      </c>
      <c r="AC80" s="426" t="s">
        <v>136</v>
      </c>
      <c r="AD80" s="426" t="s">
        <v>137</v>
      </c>
      <c r="AE80" s="426" t="s">
        <v>138</v>
      </c>
      <c r="AF80" s="426" t="s">
        <v>139</v>
      </c>
      <c r="AG80" s="426" t="s">
        <v>140</v>
      </c>
      <c r="AH80" s="426" t="s">
        <v>141</v>
      </c>
      <c r="AI80" s="426" t="s">
        <v>143</v>
      </c>
      <c r="AJ80" s="427" t="s">
        <v>145</v>
      </c>
      <c r="AK80" s="427" t="s">
        <v>217</v>
      </c>
      <c r="AL80" s="334"/>
      <c r="AM80" s="334"/>
      <c r="AN80" s="425" t="s">
        <v>243</v>
      </c>
      <c r="AO80" s="426" t="s">
        <v>252</v>
      </c>
      <c r="AP80" s="426" t="s">
        <v>236</v>
      </c>
      <c r="AQ80" s="426" t="s">
        <v>245</v>
      </c>
      <c r="AR80" s="426" t="s">
        <v>131</v>
      </c>
      <c r="AS80" s="426" t="s">
        <v>132</v>
      </c>
      <c r="AT80" s="426" t="s">
        <v>134</v>
      </c>
      <c r="AU80" s="426" t="s">
        <v>135</v>
      </c>
      <c r="AV80" s="426" t="s">
        <v>136</v>
      </c>
      <c r="AW80" s="426" t="s">
        <v>137</v>
      </c>
      <c r="AX80" s="426" t="s">
        <v>138</v>
      </c>
      <c r="AY80" s="426" t="s">
        <v>139</v>
      </c>
      <c r="AZ80" s="426" t="s">
        <v>140</v>
      </c>
      <c r="BA80" s="426" t="s">
        <v>141</v>
      </c>
      <c r="BB80" s="426" t="s">
        <v>143</v>
      </c>
      <c r="BC80" s="427" t="s">
        <v>145</v>
      </c>
      <c r="BD80" s="426" t="s">
        <v>217</v>
      </c>
      <c r="BG80" s="425" t="s">
        <v>243</v>
      </c>
      <c r="BH80" s="426" t="s">
        <v>252</v>
      </c>
      <c r="BI80" s="426" t="s">
        <v>236</v>
      </c>
      <c r="BJ80" s="426" t="s">
        <v>245</v>
      </c>
      <c r="BK80" s="426" t="s">
        <v>131</v>
      </c>
      <c r="BL80" s="426" t="s">
        <v>132</v>
      </c>
      <c r="BM80" s="426" t="s">
        <v>134</v>
      </c>
      <c r="BN80" s="426" t="s">
        <v>135</v>
      </c>
      <c r="BO80" s="426" t="s">
        <v>136</v>
      </c>
      <c r="BP80" s="426" t="s">
        <v>137</v>
      </c>
      <c r="BQ80" s="426" t="s">
        <v>138</v>
      </c>
      <c r="BR80" s="426" t="s">
        <v>139</v>
      </c>
      <c r="BS80" s="426" t="s">
        <v>140</v>
      </c>
      <c r="BT80" s="426" t="s">
        <v>141</v>
      </c>
      <c r="BU80" s="426" t="s">
        <v>143</v>
      </c>
      <c r="BV80" s="427" t="s">
        <v>145</v>
      </c>
      <c r="BW80" s="426" t="s">
        <v>217</v>
      </c>
    </row>
    <row r="81" spans="1:76" ht="29" x14ac:dyDescent="0.35">
      <c r="B81" s="318" t="s">
        <v>445</v>
      </c>
      <c r="C81" s="428" t="s">
        <v>446</v>
      </c>
      <c r="D81" s="428" t="s">
        <v>70</v>
      </c>
      <c r="E81" s="428" t="s">
        <v>246</v>
      </c>
      <c r="F81" s="429"/>
      <c r="G81" s="429"/>
      <c r="H81" s="429"/>
      <c r="I81" s="429"/>
      <c r="J81" s="429">
        <v>79602</v>
      </c>
      <c r="K81" s="429">
        <v>0</v>
      </c>
      <c r="L81" s="429">
        <v>89798</v>
      </c>
      <c r="M81" s="429"/>
      <c r="N81" s="429">
        <v>30980</v>
      </c>
      <c r="O81" s="429">
        <v>0</v>
      </c>
      <c r="P81" s="429">
        <v>0</v>
      </c>
      <c r="Q81" s="429">
        <v>0</v>
      </c>
      <c r="R81" s="430">
        <f>SUM(F81:Q81)</f>
        <v>200380</v>
      </c>
      <c r="U81" s="542" t="s">
        <v>447</v>
      </c>
      <c r="V81" s="387" t="s">
        <v>446</v>
      </c>
      <c r="W81" s="387" t="s">
        <v>54</v>
      </c>
      <c r="X81" s="431" t="s">
        <v>246</v>
      </c>
      <c r="Y81" s="429">
        <v>59750</v>
      </c>
      <c r="Z81" s="429"/>
      <c r="AA81" s="543"/>
      <c r="AB81" s="429"/>
      <c r="AC81" s="429"/>
      <c r="AD81" s="429"/>
      <c r="AE81" s="429"/>
      <c r="AF81" s="429"/>
      <c r="AG81" s="429"/>
      <c r="AH81" s="429"/>
      <c r="AI81" s="429"/>
      <c r="AJ81" s="429"/>
      <c r="AK81" s="429">
        <f>SUM(Y81:AJ81)</f>
        <v>59750</v>
      </c>
      <c r="AL81" s="388"/>
      <c r="AM81" s="388"/>
      <c r="AN81" s="542" t="s">
        <v>447</v>
      </c>
      <c r="AO81" s="387" t="s">
        <v>446</v>
      </c>
      <c r="AP81" s="387" t="s">
        <v>54</v>
      </c>
      <c r="AQ81" s="431" t="s">
        <v>246</v>
      </c>
      <c r="AR81" s="429">
        <v>0</v>
      </c>
      <c r="AS81" s="429"/>
      <c r="AT81" s="543"/>
      <c r="AU81" s="429"/>
      <c r="AV81" s="429"/>
      <c r="AW81" s="429"/>
      <c r="AX81" s="429"/>
      <c r="AY81" s="429"/>
      <c r="AZ81" s="429"/>
      <c r="BA81" s="429"/>
      <c r="BB81" s="429"/>
      <c r="BC81" s="429"/>
      <c r="BD81" s="429">
        <f>SUM(AR81:BC81)</f>
        <v>0</v>
      </c>
      <c r="BG81" s="542" t="s">
        <v>447</v>
      </c>
      <c r="BH81" s="387" t="s">
        <v>446</v>
      </c>
      <c r="BI81" s="387" t="s">
        <v>54</v>
      </c>
      <c r="BJ81" s="431" t="s">
        <v>246</v>
      </c>
      <c r="BK81" s="429">
        <v>0</v>
      </c>
      <c r="BL81" s="429"/>
      <c r="BM81" s="543"/>
      <c r="BN81" s="429"/>
      <c r="BO81" s="429"/>
      <c r="BP81" s="429"/>
      <c r="BQ81" s="429"/>
      <c r="BR81" s="429"/>
      <c r="BS81" s="429"/>
      <c r="BT81" s="429"/>
      <c r="BU81" s="429"/>
      <c r="BV81" s="429"/>
      <c r="BW81" s="429">
        <f>SUM(BK81:BV81)</f>
        <v>0</v>
      </c>
    </row>
    <row r="82" spans="1:76" ht="58" x14ac:dyDescent="0.35">
      <c r="B82" s="319" t="s">
        <v>448</v>
      </c>
      <c r="C82" s="544" t="s">
        <v>446</v>
      </c>
      <c r="D82" s="432" t="s">
        <v>54</v>
      </c>
      <c r="E82" s="433"/>
      <c r="F82" s="434"/>
      <c r="G82" s="434"/>
      <c r="H82" s="434"/>
      <c r="I82" s="434"/>
      <c r="J82" s="434"/>
      <c r="K82" s="434"/>
      <c r="L82" s="434"/>
      <c r="M82" s="434"/>
      <c r="N82" s="434"/>
      <c r="O82" s="434">
        <v>0</v>
      </c>
      <c r="P82" s="434">
        <v>5500</v>
      </c>
      <c r="Q82" s="434">
        <v>5500</v>
      </c>
      <c r="R82" s="435">
        <f t="shared" ref="R82:R90" si="107">SUM(F82:Q82)</f>
        <v>11000</v>
      </c>
      <c r="S82" s="545" t="s">
        <v>449</v>
      </c>
      <c r="T82" t="s">
        <v>383</v>
      </c>
      <c r="U82" s="542" t="s">
        <v>450</v>
      </c>
      <c r="V82" s="387" t="s">
        <v>446</v>
      </c>
      <c r="W82" s="387" t="s">
        <v>54</v>
      </c>
      <c r="X82" s="431" t="s">
        <v>246</v>
      </c>
      <c r="Y82" s="434">
        <v>18950</v>
      </c>
      <c r="Z82" s="434"/>
      <c r="AA82" s="546"/>
      <c r="AB82" s="434"/>
      <c r="AC82" s="434"/>
      <c r="AD82" s="434"/>
      <c r="AE82" s="434"/>
      <c r="AF82" s="434"/>
      <c r="AG82" s="434"/>
      <c r="AH82" s="434"/>
      <c r="AI82" s="434"/>
      <c r="AJ82" s="434"/>
      <c r="AK82" s="434">
        <f>SUM(Y82:AJ82)</f>
        <v>18950</v>
      </c>
      <c r="AL82" s="388"/>
      <c r="AM82" s="388"/>
      <c r="AN82" s="542" t="s">
        <v>450</v>
      </c>
      <c r="AO82" s="387" t="s">
        <v>446</v>
      </c>
      <c r="AP82" s="387" t="s">
        <v>54</v>
      </c>
      <c r="AQ82" s="431" t="s">
        <v>246</v>
      </c>
      <c r="AR82" s="434">
        <v>0</v>
      </c>
      <c r="AS82" s="434"/>
      <c r="AT82" s="546"/>
      <c r="AU82" s="434"/>
      <c r="AV82" s="434"/>
      <c r="AW82" s="434"/>
      <c r="AX82" s="434"/>
      <c r="AY82" s="434"/>
      <c r="AZ82" s="434"/>
      <c r="BA82" s="434"/>
      <c r="BB82" s="434"/>
      <c r="BC82" s="434"/>
      <c r="BD82" s="434">
        <f>SUM(AR82:BC82)</f>
        <v>0</v>
      </c>
      <c r="BG82" s="542" t="s">
        <v>450</v>
      </c>
      <c r="BH82" s="387" t="s">
        <v>446</v>
      </c>
      <c r="BI82" s="387" t="s">
        <v>54</v>
      </c>
      <c r="BJ82" s="431" t="s">
        <v>246</v>
      </c>
      <c r="BK82" s="434">
        <v>0</v>
      </c>
      <c r="BL82" s="434"/>
      <c r="BM82" s="546"/>
      <c r="BN82" s="434"/>
      <c r="BO82" s="434"/>
      <c r="BP82" s="434"/>
      <c r="BQ82" s="434"/>
      <c r="BR82" s="434"/>
      <c r="BS82" s="434"/>
      <c r="BT82" s="434"/>
      <c r="BU82" s="434"/>
      <c r="BV82" s="434"/>
      <c r="BW82" s="434">
        <f>SUM(BK82:BV82)</f>
        <v>0</v>
      </c>
    </row>
    <row r="83" spans="1:76" ht="29" x14ac:dyDescent="0.35">
      <c r="B83" s="318" t="s">
        <v>451</v>
      </c>
      <c r="C83" s="428" t="s">
        <v>446</v>
      </c>
      <c r="D83" s="428" t="s">
        <v>54</v>
      </c>
      <c r="E83" s="428" t="str">
        <f>IFERROR(VLOOKUP(C83,[2]Rates!$I$4:$J$19,2,),"")</f>
        <v>No</v>
      </c>
      <c r="F83" s="429"/>
      <c r="G83" s="429"/>
      <c r="H83" s="429"/>
      <c r="I83" s="429"/>
      <c r="J83" s="429"/>
      <c r="K83" s="429"/>
      <c r="L83" s="429"/>
      <c r="M83" s="429"/>
      <c r="N83" s="429"/>
      <c r="O83" s="429"/>
      <c r="P83" s="429">
        <f>C127/2</f>
        <v>25625</v>
      </c>
      <c r="Q83" s="429">
        <f>C127/2</f>
        <v>25625</v>
      </c>
      <c r="R83" s="430">
        <f t="shared" si="107"/>
        <v>51250</v>
      </c>
      <c r="S83" s="545" t="s">
        <v>452</v>
      </c>
      <c r="U83" s="542" t="s">
        <v>453</v>
      </c>
      <c r="V83" s="387" t="s">
        <v>446</v>
      </c>
      <c r="W83" s="387" t="s">
        <v>54</v>
      </c>
      <c r="X83" s="431" t="s">
        <v>454</v>
      </c>
      <c r="Y83" s="429"/>
      <c r="Z83" s="429">
        <v>23650</v>
      </c>
      <c r="AA83" s="429"/>
      <c r="AB83" s="546"/>
      <c r="AC83" s="429"/>
      <c r="AD83" s="429"/>
      <c r="AE83" s="429"/>
      <c r="AF83" s="429"/>
      <c r="AG83" s="429"/>
      <c r="AH83" s="429"/>
      <c r="AI83" s="429"/>
      <c r="AJ83" s="429"/>
      <c r="AK83" s="429">
        <f t="shared" ref="AK83:AK90" si="108">SUM(Y83:AJ83)</f>
        <v>23650</v>
      </c>
      <c r="AL83" s="388"/>
      <c r="AM83" s="388"/>
      <c r="AN83" s="542" t="s">
        <v>453</v>
      </c>
      <c r="AO83" s="387" t="s">
        <v>446</v>
      </c>
      <c r="AP83" s="387" t="s">
        <v>54</v>
      </c>
      <c r="AQ83" s="431" t="s">
        <v>454</v>
      </c>
      <c r="AR83" s="429"/>
      <c r="AS83" s="429">
        <v>0</v>
      </c>
      <c r="AT83" s="429"/>
      <c r="AU83" s="546"/>
      <c r="AV83" s="429"/>
      <c r="AW83" s="429"/>
      <c r="AX83" s="429"/>
      <c r="AY83" s="429"/>
      <c r="AZ83" s="429"/>
      <c r="BA83" s="429"/>
      <c r="BB83" s="429"/>
      <c r="BC83" s="429"/>
      <c r="BD83" s="429">
        <f t="shared" ref="BD83:BD85" si="109">SUM(AR83:BC83)</f>
        <v>0</v>
      </c>
      <c r="BG83" s="542" t="s">
        <v>453</v>
      </c>
      <c r="BH83" s="387" t="s">
        <v>446</v>
      </c>
      <c r="BI83" s="387" t="s">
        <v>54</v>
      </c>
      <c r="BJ83" s="431" t="s">
        <v>454</v>
      </c>
      <c r="BK83" s="429"/>
      <c r="BL83" s="429">
        <v>0</v>
      </c>
      <c r="BM83" s="429"/>
      <c r="BN83" s="546"/>
      <c r="BO83" s="429"/>
      <c r="BP83" s="429"/>
      <c r="BQ83" s="429"/>
      <c r="BR83" s="429"/>
      <c r="BS83" s="429"/>
      <c r="BT83" s="429"/>
      <c r="BU83" s="429"/>
      <c r="BV83" s="429"/>
      <c r="BW83" s="429">
        <f t="shared" ref="BW83:BW85" si="110">SUM(BK83:BV83)</f>
        <v>0</v>
      </c>
    </row>
    <row r="84" spans="1:76" ht="29" x14ac:dyDescent="0.35">
      <c r="B84" s="319"/>
      <c r="C84" s="432"/>
      <c r="D84" s="432"/>
      <c r="E84" s="433" t="str">
        <f>IFERROR(VLOOKUP(C84,[2]Rates!$I$4:$J$19,2,),"")</f>
        <v/>
      </c>
      <c r="F84" s="434"/>
      <c r="G84" s="434"/>
      <c r="H84" s="434"/>
      <c r="I84" s="434"/>
      <c r="J84" s="434"/>
      <c r="K84" s="434"/>
      <c r="L84" s="434"/>
      <c r="M84" s="434"/>
      <c r="N84" s="434"/>
      <c r="O84" s="434"/>
      <c r="P84" s="434"/>
      <c r="Q84" s="434"/>
      <c r="R84" s="435">
        <f t="shared" si="107"/>
        <v>0</v>
      </c>
      <c r="U84" s="542" t="s">
        <v>455</v>
      </c>
      <c r="V84" s="387" t="s">
        <v>446</v>
      </c>
      <c r="W84" s="387" t="s">
        <v>54</v>
      </c>
      <c r="X84" s="431" t="str">
        <f>IFERROR(VLOOKUP(V84,[2]Rates!$I$4:$J$19,2,),"")</f>
        <v>No</v>
      </c>
      <c r="Y84" s="434"/>
      <c r="Z84" s="434">
        <v>51250</v>
      </c>
      <c r="AA84" s="434"/>
      <c r="AB84" s="546"/>
      <c r="AC84" s="434"/>
      <c r="AD84" s="434"/>
      <c r="AE84" s="434"/>
      <c r="AF84" s="434"/>
      <c r="AG84" s="434"/>
      <c r="AH84" s="434"/>
      <c r="AI84" s="434"/>
      <c r="AJ84" s="434"/>
      <c r="AK84" s="434">
        <f t="shared" si="108"/>
        <v>51250</v>
      </c>
      <c r="AL84" s="388"/>
      <c r="AM84" s="388"/>
      <c r="AN84" s="542" t="s">
        <v>455</v>
      </c>
      <c r="AO84" s="387" t="s">
        <v>446</v>
      </c>
      <c r="AP84" s="387" t="s">
        <v>54</v>
      </c>
      <c r="AQ84" s="431" t="str">
        <f>IFERROR(VLOOKUP(AO84,[2]Rates!$I$4:$J$19,2,),"")</f>
        <v>No</v>
      </c>
      <c r="AR84" s="434"/>
      <c r="AS84" s="434">
        <v>0</v>
      </c>
      <c r="AT84" s="434"/>
      <c r="AU84" s="546"/>
      <c r="AV84" s="434"/>
      <c r="AW84" s="434"/>
      <c r="AX84" s="434"/>
      <c r="AY84" s="434"/>
      <c r="AZ84" s="434"/>
      <c r="BA84" s="434"/>
      <c r="BB84" s="434"/>
      <c r="BC84" s="434"/>
      <c r="BD84" s="434">
        <f t="shared" si="109"/>
        <v>0</v>
      </c>
      <c r="BG84" s="542" t="s">
        <v>455</v>
      </c>
      <c r="BH84" s="387" t="s">
        <v>446</v>
      </c>
      <c r="BI84" s="387" t="s">
        <v>54</v>
      </c>
      <c r="BJ84" s="431" t="str">
        <f>IFERROR(VLOOKUP(BH84,[2]Rates!$I$4:$J$19,2,),"")</f>
        <v>No</v>
      </c>
      <c r="BK84" s="434"/>
      <c r="BL84" s="434">
        <v>0</v>
      </c>
      <c r="BM84" s="434"/>
      <c r="BN84" s="546"/>
      <c r="BO84" s="434"/>
      <c r="BP84" s="434"/>
      <c r="BQ84" s="434"/>
      <c r="BR84" s="434"/>
      <c r="BS84" s="434"/>
      <c r="BT84" s="434"/>
      <c r="BU84" s="434"/>
      <c r="BV84" s="434"/>
      <c r="BW84" s="434">
        <f t="shared" si="110"/>
        <v>0</v>
      </c>
    </row>
    <row r="85" spans="1:76" x14ac:dyDescent="0.35">
      <c r="B85" s="318"/>
      <c r="C85" s="428"/>
      <c r="D85" s="428"/>
      <c r="E85" s="428" t="str">
        <f>IFERROR(VLOOKUP(C85,[2]Rates!$I$4:$J$19,2,),"")</f>
        <v/>
      </c>
      <c r="F85" s="429"/>
      <c r="G85" s="429"/>
      <c r="H85" s="429"/>
      <c r="I85" s="429"/>
      <c r="J85" s="429"/>
      <c r="K85" s="429"/>
      <c r="L85" s="429"/>
      <c r="M85" s="429"/>
      <c r="N85" s="429"/>
      <c r="O85" s="429"/>
      <c r="P85" s="429"/>
      <c r="Q85" s="429"/>
      <c r="R85" s="430">
        <f t="shared" si="107"/>
        <v>0</v>
      </c>
      <c r="U85" s="385" t="s">
        <v>456</v>
      </c>
      <c r="V85" s="387" t="s">
        <v>446</v>
      </c>
      <c r="W85" s="387" t="s">
        <v>54</v>
      </c>
      <c r="X85" s="431" t="str">
        <f>IFERROR(VLOOKUP(V85,[2]Rates!$I$4:$J$19,2,),"")</f>
        <v>No</v>
      </c>
      <c r="Y85" s="429"/>
      <c r="Z85" s="429">
        <v>12750</v>
      </c>
      <c r="AA85" s="429"/>
      <c r="AB85" s="429"/>
      <c r="AC85" s="429"/>
      <c r="AD85" s="429"/>
      <c r="AE85" s="429"/>
      <c r="AF85" s="429"/>
      <c r="AG85" s="429"/>
      <c r="AH85" s="429"/>
      <c r="AI85" s="429"/>
      <c r="AJ85" s="429"/>
      <c r="AK85" s="429">
        <f t="shared" si="108"/>
        <v>12750</v>
      </c>
      <c r="AL85" s="388"/>
      <c r="AM85" s="388"/>
      <c r="AN85" s="385" t="s">
        <v>456</v>
      </c>
      <c r="AO85" s="387" t="s">
        <v>446</v>
      </c>
      <c r="AP85" s="387" t="s">
        <v>54</v>
      </c>
      <c r="AQ85" s="431" t="str">
        <f>IFERROR(VLOOKUP(AO85,[2]Rates!$I$4:$J$19,2,),"")</f>
        <v>No</v>
      </c>
      <c r="AR85" s="429"/>
      <c r="AS85" s="429">
        <v>0</v>
      </c>
      <c r="AT85" s="429"/>
      <c r="AU85" s="429"/>
      <c r="AV85" s="429"/>
      <c r="AW85" s="429"/>
      <c r="AX85" s="429"/>
      <c r="AY85" s="429"/>
      <c r="AZ85" s="429"/>
      <c r="BA85" s="429"/>
      <c r="BB85" s="429"/>
      <c r="BC85" s="429"/>
      <c r="BD85" s="429">
        <f t="shared" si="109"/>
        <v>0</v>
      </c>
      <c r="BG85" s="385" t="s">
        <v>456</v>
      </c>
      <c r="BH85" s="387" t="s">
        <v>446</v>
      </c>
      <c r="BI85" s="387" t="s">
        <v>54</v>
      </c>
      <c r="BJ85" s="431" t="str">
        <f>IFERROR(VLOOKUP(BH85,[2]Rates!$I$4:$J$19,2,),"")</f>
        <v>No</v>
      </c>
      <c r="BK85" s="429"/>
      <c r="BL85" s="429">
        <v>0</v>
      </c>
      <c r="BM85" s="429"/>
      <c r="BN85" s="429"/>
      <c r="BO85" s="429"/>
      <c r="BP85" s="429"/>
      <c r="BQ85" s="429"/>
      <c r="BR85" s="429"/>
      <c r="BS85" s="429"/>
      <c r="BT85" s="429"/>
      <c r="BU85" s="429"/>
      <c r="BV85" s="429"/>
      <c r="BW85" s="429">
        <f t="shared" si="110"/>
        <v>0</v>
      </c>
    </row>
    <row r="86" spans="1:76" x14ac:dyDescent="0.35">
      <c r="B86" s="319"/>
      <c r="C86" s="432"/>
      <c r="D86" s="432"/>
      <c r="E86" s="433" t="str">
        <f>IFERROR(VLOOKUP(C86,[2]Rates!$I$4:$J$19,2,),"")</f>
        <v/>
      </c>
      <c r="F86" s="434"/>
      <c r="G86" s="434"/>
      <c r="H86" s="434"/>
      <c r="I86" s="434"/>
      <c r="J86" s="434"/>
      <c r="K86" s="434"/>
      <c r="L86" s="434"/>
      <c r="M86" s="434"/>
      <c r="N86" s="434"/>
      <c r="O86" s="434"/>
      <c r="P86" s="434"/>
      <c r="Q86" s="434"/>
      <c r="R86" s="435">
        <f t="shared" si="107"/>
        <v>0</v>
      </c>
      <c r="U86" s="385"/>
      <c r="V86" s="387" t="s">
        <v>446</v>
      </c>
      <c r="W86" s="387" t="s">
        <v>54</v>
      </c>
      <c r="X86" s="431" t="str">
        <f>IFERROR(VLOOKUP(V86,[2]Rates!$I$4:$J$19,2,),"")</f>
        <v>No</v>
      </c>
      <c r="Y86" s="434"/>
      <c r="Z86" s="434"/>
      <c r="AA86" s="434"/>
      <c r="AB86" s="434"/>
      <c r="AC86" s="434"/>
      <c r="AD86" s="434"/>
      <c r="AE86" s="547"/>
      <c r="AF86" s="547"/>
      <c r="AG86" s="547"/>
      <c r="AH86" s="547"/>
      <c r="AI86" s="547"/>
      <c r="AJ86" s="547"/>
      <c r="AK86" s="548"/>
      <c r="AL86" s="388"/>
      <c r="AM86" s="388"/>
      <c r="AN86" s="385"/>
      <c r="AO86" s="387" t="s">
        <v>446</v>
      </c>
      <c r="AP86" s="387" t="s">
        <v>54</v>
      </c>
      <c r="AQ86" s="431" t="str">
        <f>IFERROR(VLOOKUP(AO86,[2]Rates!$I$4:$J$19,2,),"")</f>
        <v>No</v>
      </c>
      <c r="AR86" s="434"/>
      <c r="AS86" s="434"/>
      <c r="AT86" s="434"/>
      <c r="AU86" s="434"/>
      <c r="AV86" s="434"/>
      <c r="AW86" s="434"/>
      <c r="AX86" s="547"/>
      <c r="AY86" s="547"/>
      <c r="AZ86" s="547"/>
      <c r="BA86" s="547"/>
      <c r="BB86" s="547"/>
      <c r="BC86" s="547"/>
      <c r="BD86" s="548"/>
      <c r="BG86" s="385"/>
      <c r="BH86" s="387" t="s">
        <v>446</v>
      </c>
      <c r="BI86" s="387" t="s">
        <v>54</v>
      </c>
      <c r="BJ86" s="431" t="str">
        <f>IFERROR(VLOOKUP(BH86,[2]Rates!$I$4:$J$19,2,),"")</f>
        <v>No</v>
      </c>
      <c r="BK86" s="434"/>
      <c r="BL86" s="434"/>
      <c r="BM86" s="434"/>
      <c r="BN86" s="434"/>
      <c r="BO86" s="434"/>
      <c r="BP86" s="434"/>
      <c r="BQ86" s="547"/>
      <c r="BR86" s="547"/>
      <c r="BS86" s="547"/>
      <c r="BT86" s="547"/>
      <c r="BU86" s="547"/>
      <c r="BV86" s="547"/>
      <c r="BW86" s="548"/>
      <c r="BX86" s="303" t="s">
        <v>457</v>
      </c>
    </row>
    <row r="87" spans="1:76" x14ac:dyDescent="0.35">
      <c r="B87" s="318"/>
      <c r="C87" s="428"/>
      <c r="D87" s="428"/>
      <c r="E87" s="428" t="str">
        <f>IFERROR(VLOOKUP(C87,[2]Rates!$I$4:$J$19,2,),"")</f>
        <v/>
      </c>
      <c r="F87" s="429"/>
      <c r="G87" s="429"/>
      <c r="H87" s="429"/>
      <c r="I87" s="429"/>
      <c r="J87" s="429"/>
      <c r="K87" s="429"/>
      <c r="L87" s="429"/>
      <c r="M87" s="429"/>
      <c r="N87" s="429"/>
      <c r="O87" s="429"/>
      <c r="P87" s="429"/>
      <c r="Q87" s="429"/>
      <c r="R87" s="430">
        <f t="shared" si="107"/>
        <v>0</v>
      </c>
      <c r="U87" s="385" t="s">
        <v>458</v>
      </c>
      <c r="V87" s="387" t="s">
        <v>446</v>
      </c>
      <c r="W87" s="387" t="s">
        <v>54</v>
      </c>
      <c r="X87" s="431" t="str">
        <f>IFERROR(VLOOKUP(V87,[2]Rates!$I$4:$J$19,2,),"")</f>
        <v>No</v>
      </c>
      <c r="Y87" s="429"/>
      <c r="Z87" s="429"/>
      <c r="AA87" s="429">
        <f>5*C115</f>
        <v>50000</v>
      </c>
      <c r="AB87" s="429">
        <f>5*C115</f>
        <v>50000</v>
      </c>
      <c r="AC87" s="429">
        <f>5*C115</f>
        <v>50000</v>
      </c>
      <c r="AD87" s="429">
        <f>5*C115</f>
        <v>50000</v>
      </c>
      <c r="AE87" s="429">
        <f>5*C115</f>
        <v>50000</v>
      </c>
      <c r="AF87" s="429">
        <f>4*C115</f>
        <v>40000</v>
      </c>
      <c r="AG87" s="429">
        <f>4*C115</f>
        <v>40000</v>
      </c>
      <c r="AH87" s="429">
        <f>4*C115</f>
        <v>40000</v>
      </c>
      <c r="AI87" s="429">
        <f>4*C115</f>
        <v>40000</v>
      </c>
      <c r="AJ87" s="429">
        <f>4*C115</f>
        <v>40000</v>
      </c>
      <c r="AK87" s="429">
        <f t="shared" si="108"/>
        <v>450000</v>
      </c>
      <c r="AL87" s="388"/>
      <c r="AM87" s="388"/>
      <c r="AN87" s="385" t="s">
        <v>458</v>
      </c>
      <c r="AO87" s="387" t="s">
        <v>446</v>
      </c>
      <c r="AP87" s="387" t="s">
        <v>54</v>
      </c>
      <c r="AQ87" s="431" t="str">
        <f>IFERROR(VLOOKUP(AO87,[2]Rates!$I$4:$J$19,2,),"")</f>
        <v>No</v>
      </c>
      <c r="AR87" s="429"/>
      <c r="AS87" s="429"/>
      <c r="AT87" s="429">
        <f>6*C115</f>
        <v>60000</v>
      </c>
      <c r="AU87" s="429">
        <f>6*C115</f>
        <v>60000</v>
      </c>
      <c r="AV87" s="429">
        <f>6*C115</f>
        <v>60000</v>
      </c>
      <c r="AW87" s="429">
        <f>6*C115</f>
        <v>60000</v>
      </c>
      <c r="AX87" s="429">
        <f>6*C115</f>
        <v>60000</v>
      </c>
      <c r="AY87" s="429">
        <f>6*C115</f>
        <v>60000</v>
      </c>
      <c r="AZ87" s="429">
        <f>6*C115</f>
        <v>60000</v>
      </c>
      <c r="BA87" s="429">
        <f>6*C115</f>
        <v>60000</v>
      </c>
      <c r="BB87" s="429">
        <f>6*C115</f>
        <v>60000</v>
      </c>
      <c r="BC87" s="429">
        <f>6*C115</f>
        <v>60000</v>
      </c>
      <c r="BD87" s="429">
        <f t="shared" ref="BD87:BD90" si="111">SUM(AR87:BC87)</f>
        <v>600000</v>
      </c>
      <c r="BG87" s="385" t="s">
        <v>458</v>
      </c>
      <c r="BH87" s="387" t="s">
        <v>446</v>
      </c>
      <c r="BI87" s="387" t="s">
        <v>54</v>
      </c>
      <c r="BJ87" s="431" t="str">
        <f>IFERROR(VLOOKUP(BH87,[2]Rates!$I$4:$J$19,2,),"")</f>
        <v>No</v>
      </c>
      <c r="BK87" s="429"/>
      <c r="BL87" s="429">
        <f>6*C115</f>
        <v>60000</v>
      </c>
      <c r="BM87" s="429">
        <f>6*C115</f>
        <v>60000</v>
      </c>
      <c r="BN87" s="429">
        <f>6*C115</f>
        <v>60000</v>
      </c>
      <c r="BO87" s="429">
        <f>6*C115</f>
        <v>60000</v>
      </c>
      <c r="BP87" s="429">
        <f>6*C115</f>
        <v>60000</v>
      </c>
      <c r="BQ87" s="429">
        <f>4*C115</f>
        <v>40000</v>
      </c>
      <c r="BR87" s="429">
        <f>4*C115</f>
        <v>40000</v>
      </c>
      <c r="BS87" s="429">
        <v>0</v>
      </c>
      <c r="BT87" s="429">
        <v>0</v>
      </c>
      <c r="BU87" s="429">
        <v>0</v>
      </c>
      <c r="BV87" s="429">
        <f>6*U115</f>
        <v>0</v>
      </c>
      <c r="BW87" s="429">
        <f t="shared" ref="BW87:BW90" si="112">SUM(BK87:BV87)</f>
        <v>380000</v>
      </c>
      <c r="BX87">
        <v>44</v>
      </c>
    </row>
    <row r="88" spans="1:76" ht="29" x14ac:dyDescent="0.35">
      <c r="B88" s="436"/>
      <c r="C88" s="437"/>
      <c r="D88" s="437"/>
      <c r="E88" s="433" t="str">
        <f>IFERROR(VLOOKUP(C88,[2]Rates!$I$4:$J$19,2,),"")</f>
        <v/>
      </c>
      <c r="F88" s="438"/>
      <c r="G88" s="438"/>
      <c r="H88" s="438"/>
      <c r="I88" s="438"/>
      <c r="J88" s="438"/>
      <c r="K88" s="438"/>
      <c r="L88" s="438"/>
      <c r="M88" s="438"/>
      <c r="N88" s="438"/>
      <c r="O88" s="438"/>
      <c r="P88" s="438"/>
      <c r="Q88" s="438"/>
      <c r="R88" s="435">
        <f t="shared" si="107"/>
        <v>0</v>
      </c>
      <c r="U88" s="542" t="s">
        <v>459</v>
      </c>
      <c r="V88" s="387" t="s">
        <v>460</v>
      </c>
      <c r="W88" s="387" t="s">
        <v>54</v>
      </c>
      <c r="X88" s="431" t="str">
        <f>IFERROR(VLOOKUP(V88,[2]Rates!$I$4:$J$19,2,),"")</f>
        <v>No</v>
      </c>
      <c r="Y88" s="438"/>
      <c r="Z88" s="438"/>
      <c r="AA88" s="438">
        <f>23850*5</f>
        <v>119250</v>
      </c>
      <c r="AB88" s="438">
        <f>23850*5</f>
        <v>119250</v>
      </c>
      <c r="AC88" s="438">
        <f>23850*5</f>
        <v>119250</v>
      </c>
      <c r="AD88" s="438">
        <f>23850*5</f>
        <v>119250</v>
      </c>
      <c r="AE88" s="438">
        <f>23850*5</f>
        <v>119250</v>
      </c>
      <c r="AF88" s="438">
        <f t="shared" ref="AF88:AJ88" si="113">23850*4</f>
        <v>95400</v>
      </c>
      <c r="AG88" s="438">
        <f t="shared" si="113"/>
        <v>95400</v>
      </c>
      <c r="AH88" s="438">
        <f t="shared" si="113"/>
        <v>95400</v>
      </c>
      <c r="AI88" s="438">
        <f t="shared" si="113"/>
        <v>95400</v>
      </c>
      <c r="AJ88" s="438">
        <f t="shared" si="113"/>
        <v>95400</v>
      </c>
      <c r="AK88" s="438">
        <f t="shared" si="108"/>
        <v>1073250</v>
      </c>
      <c r="AL88" s="388" t="s">
        <v>461</v>
      </c>
      <c r="AM88" s="388"/>
      <c r="AN88" s="542" t="s">
        <v>459</v>
      </c>
      <c r="AO88" s="387" t="s">
        <v>460</v>
      </c>
      <c r="AP88" s="387" t="s">
        <v>54</v>
      </c>
      <c r="AQ88" s="431" t="str">
        <f>IFERROR(VLOOKUP(AO88,[2]Rates!$I$4:$J$19,2,),"")</f>
        <v>No</v>
      </c>
      <c r="AR88" s="438"/>
      <c r="AS88" s="438"/>
      <c r="AT88" s="438">
        <f>23850*5</f>
        <v>119250</v>
      </c>
      <c r="AU88" s="438">
        <f>23850*5</f>
        <v>119250</v>
      </c>
      <c r="AV88" s="438">
        <f>23850*5</f>
        <v>119250</v>
      </c>
      <c r="AW88" s="438">
        <f>23850*5</f>
        <v>119250</v>
      </c>
      <c r="AX88" s="438">
        <f>23850*4</f>
        <v>95400</v>
      </c>
      <c r="AY88" s="438">
        <f t="shared" ref="AY88:BC88" si="114">23850*4</f>
        <v>95400</v>
      </c>
      <c r="AZ88" s="438">
        <f t="shared" si="114"/>
        <v>95400</v>
      </c>
      <c r="BA88" s="438">
        <f t="shared" si="114"/>
        <v>95400</v>
      </c>
      <c r="BB88" s="438">
        <f t="shared" si="114"/>
        <v>95400</v>
      </c>
      <c r="BC88" s="438">
        <f t="shared" si="114"/>
        <v>95400</v>
      </c>
      <c r="BD88" s="438">
        <f t="shared" si="111"/>
        <v>1049400</v>
      </c>
      <c r="BE88" t="s">
        <v>462</v>
      </c>
      <c r="BG88" s="542" t="s">
        <v>459</v>
      </c>
      <c r="BH88" s="387" t="s">
        <v>460</v>
      </c>
      <c r="BI88" s="387" t="s">
        <v>54</v>
      </c>
      <c r="BJ88" s="431" t="str">
        <f>IFERROR(VLOOKUP(BH88,[2]Rates!$I$4:$J$19,2,),"")</f>
        <v>No</v>
      </c>
      <c r="BK88" s="438"/>
      <c r="BL88" s="438">
        <f>23850*6</f>
        <v>143100</v>
      </c>
      <c r="BM88" s="438">
        <f t="shared" ref="BM88:BP88" si="115">23850*6</f>
        <v>143100</v>
      </c>
      <c r="BN88" s="438">
        <f t="shared" si="115"/>
        <v>143100</v>
      </c>
      <c r="BO88" s="438">
        <f t="shared" si="115"/>
        <v>143100</v>
      </c>
      <c r="BP88" s="438">
        <f t="shared" si="115"/>
        <v>143100</v>
      </c>
      <c r="BQ88" s="438">
        <f>23850*4</f>
        <v>95400</v>
      </c>
      <c r="BR88" s="438">
        <f>23850*4</f>
        <v>95400</v>
      </c>
      <c r="BS88" s="438">
        <v>0</v>
      </c>
      <c r="BT88" s="438">
        <v>0</v>
      </c>
      <c r="BU88" s="438">
        <v>0</v>
      </c>
      <c r="BV88" s="438">
        <v>0</v>
      </c>
      <c r="BW88" s="438">
        <f t="shared" si="112"/>
        <v>906300</v>
      </c>
    </row>
    <row r="89" spans="1:76" x14ac:dyDescent="0.35">
      <c r="B89" s="439"/>
      <c r="C89" s="439"/>
      <c r="D89" s="440"/>
      <c r="E89" s="428" t="str">
        <f>IFERROR(VLOOKUP(C89,[2]Rates!$I$4:$J$19,2,),"")</f>
        <v/>
      </c>
      <c r="F89" s="441"/>
      <c r="G89" s="441"/>
      <c r="H89" s="441"/>
      <c r="I89" s="441"/>
      <c r="J89" s="441"/>
      <c r="K89" s="441"/>
      <c r="L89" s="441"/>
      <c r="M89" s="441"/>
      <c r="N89" s="441"/>
      <c r="O89" s="441"/>
      <c r="P89" s="441"/>
      <c r="Q89" s="441"/>
      <c r="R89" s="442">
        <f t="shared" si="107"/>
        <v>0</v>
      </c>
      <c r="U89" s="439"/>
      <c r="V89" s="439"/>
      <c r="W89" s="443"/>
      <c r="X89" s="443" t="str">
        <f>IFERROR(VLOOKUP(V89,[2]Rates!$I$4:$J$19,2,),"")</f>
        <v/>
      </c>
      <c r="Y89" s="441"/>
      <c r="Z89" s="441"/>
      <c r="AA89" s="441"/>
      <c r="AB89" s="441"/>
      <c r="AC89" s="441"/>
      <c r="AD89" s="441"/>
      <c r="AE89" s="441"/>
      <c r="AF89" s="441"/>
      <c r="AG89" s="441"/>
      <c r="AH89" s="441"/>
      <c r="AI89" s="441"/>
      <c r="AJ89" s="441"/>
      <c r="AK89" s="441">
        <f t="shared" si="108"/>
        <v>0</v>
      </c>
      <c r="AL89" s="388"/>
      <c r="AM89" s="388"/>
      <c r="AN89" s="439"/>
      <c r="AO89" s="439"/>
      <c r="AP89" s="443"/>
      <c r="AQ89" s="443" t="str">
        <f>IFERROR(VLOOKUP(AO89,[2]Rates!$I$4:$J$19,2,),"")</f>
        <v/>
      </c>
      <c r="AR89" s="441"/>
      <c r="AS89" s="441"/>
      <c r="AT89" s="441"/>
      <c r="AU89" s="441"/>
      <c r="AV89" s="441"/>
      <c r="AW89" s="441"/>
      <c r="AX89" s="441"/>
      <c r="AY89" s="441"/>
      <c r="AZ89" s="441"/>
      <c r="BA89" s="441"/>
      <c r="BB89" s="441"/>
      <c r="BC89" s="441"/>
      <c r="BD89" s="442">
        <f t="shared" si="111"/>
        <v>0</v>
      </c>
      <c r="BG89" s="439"/>
      <c r="BH89" s="439"/>
      <c r="BI89" s="443"/>
      <c r="BJ89" s="443" t="str">
        <f>IFERROR(VLOOKUP(BH89,[2]Rates!$I$4:$J$19,2,),"")</f>
        <v/>
      </c>
      <c r="BK89" s="441"/>
      <c r="BL89" s="441"/>
      <c r="BM89" s="441"/>
      <c r="BN89" s="441"/>
      <c r="BO89" s="441"/>
      <c r="BP89" s="441"/>
      <c r="BQ89" s="441"/>
      <c r="BR89" s="441"/>
      <c r="BS89" s="441"/>
      <c r="BT89" s="441"/>
      <c r="BU89" s="441"/>
      <c r="BV89" s="441"/>
      <c r="BW89" s="442">
        <f t="shared" si="112"/>
        <v>0</v>
      </c>
    </row>
    <row r="90" spans="1:76" x14ac:dyDescent="0.35">
      <c r="B90" s="444"/>
      <c r="C90" s="444"/>
      <c r="D90" s="445"/>
      <c r="E90" s="433" t="str">
        <f>IFERROR(VLOOKUP(C90,[2]Rates!$I$4:$J$19,2,),"")</f>
        <v/>
      </c>
      <c r="F90" s="446"/>
      <c r="G90" s="446"/>
      <c r="H90" s="446"/>
      <c r="I90" s="446"/>
      <c r="J90" s="446"/>
      <c r="K90" s="446"/>
      <c r="L90" s="446"/>
      <c r="M90" s="446"/>
      <c r="N90" s="446"/>
      <c r="O90" s="446"/>
      <c r="P90" s="446"/>
      <c r="Q90" s="446"/>
      <c r="R90" s="446">
        <f t="shared" si="107"/>
        <v>0</v>
      </c>
      <c r="U90" s="444"/>
      <c r="V90" s="444"/>
      <c r="W90" s="447"/>
      <c r="X90" s="447" t="str">
        <f>IFERROR(VLOOKUP(V90,[2]Rates!$I$4:$J$19,2,),"")</f>
        <v/>
      </c>
      <c r="Y90" s="446"/>
      <c r="Z90" s="446"/>
      <c r="AA90" s="446"/>
      <c r="AB90" s="446"/>
      <c r="AC90" s="446"/>
      <c r="AD90" s="446"/>
      <c r="AE90" s="446"/>
      <c r="AF90" s="446"/>
      <c r="AG90" s="446"/>
      <c r="AH90" s="446"/>
      <c r="AI90" s="446"/>
      <c r="AJ90" s="446"/>
      <c r="AK90" s="446">
        <f t="shared" si="108"/>
        <v>0</v>
      </c>
      <c r="AL90" s="388"/>
      <c r="AM90" s="388"/>
      <c r="AN90" s="444"/>
      <c r="AO90" s="444"/>
      <c r="AP90" s="447"/>
      <c r="AQ90" s="447" t="str">
        <f>IFERROR(VLOOKUP(AO90,[2]Rates!$I$4:$J$19,2,),"")</f>
        <v/>
      </c>
      <c r="AR90" s="446"/>
      <c r="AS90" s="446"/>
      <c r="AT90" s="446"/>
      <c r="AU90" s="446"/>
      <c r="AV90" s="446"/>
      <c r="AW90" s="446"/>
      <c r="AX90" s="446"/>
      <c r="AY90" s="446"/>
      <c r="AZ90" s="446"/>
      <c r="BA90" s="446"/>
      <c r="BB90" s="446"/>
      <c r="BC90" s="446"/>
      <c r="BD90" s="446">
        <f t="shared" si="111"/>
        <v>0</v>
      </c>
      <c r="BG90" s="444"/>
      <c r="BH90" s="444"/>
      <c r="BI90" s="447"/>
      <c r="BJ90" s="447" t="str">
        <f>IFERROR(VLOOKUP(BH90,[2]Rates!$I$4:$J$19,2,),"")</f>
        <v/>
      </c>
      <c r="BK90" s="446"/>
      <c r="BL90" s="446"/>
      <c r="BM90" s="446"/>
      <c r="BN90" s="446"/>
      <c r="BO90" s="446"/>
      <c r="BP90" s="446"/>
      <c r="BQ90" s="446"/>
      <c r="BR90" s="446"/>
      <c r="BS90" s="446"/>
      <c r="BT90" s="446"/>
      <c r="BU90" s="446"/>
      <c r="BV90" s="446"/>
      <c r="BW90" s="446">
        <f t="shared" si="112"/>
        <v>0</v>
      </c>
    </row>
    <row r="91" spans="1:76" s="303" customFormat="1" ht="20.149999999999999" customHeight="1" x14ac:dyDescent="0.35">
      <c r="B91" s="448" t="s">
        <v>217</v>
      </c>
      <c r="C91" s="448"/>
      <c r="D91" s="448"/>
      <c r="E91" s="448"/>
      <c r="F91" s="449">
        <f t="shared" ref="F91:R91" si="116">SUM(F81:F90)</f>
        <v>0</v>
      </c>
      <c r="G91" s="449">
        <f t="shared" si="116"/>
        <v>0</v>
      </c>
      <c r="H91" s="449">
        <f t="shared" si="116"/>
        <v>0</v>
      </c>
      <c r="I91" s="449">
        <f t="shared" si="116"/>
        <v>0</v>
      </c>
      <c r="J91" s="449">
        <f t="shared" si="116"/>
        <v>79602</v>
      </c>
      <c r="K91" s="449">
        <f t="shared" si="116"/>
        <v>0</v>
      </c>
      <c r="L91" s="449">
        <f t="shared" si="116"/>
        <v>89798</v>
      </c>
      <c r="M91" s="449">
        <f t="shared" si="116"/>
        <v>0</v>
      </c>
      <c r="N91" s="449">
        <f t="shared" si="116"/>
        <v>30980</v>
      </c>
      <c r="O91" s="449">
        <f t="shared" si="116"/>
        <v>0</v>
      </c>
      <c r="P91" s="449">
        <f t="shared" si="116"/>
        <v>31125</v>
      </c>
      <c r="Q91" s="449">
        <f t="shared" si="116"/>
        <v>31125</v>
      </c>
      <c r="R91" s="449">
        <f t="shared" si="116"/>
        <v>262630</v>
      </c>
      <c r="S91" s="549">
        <f>262630 - R81</f>
        <v>62250</v>
      </c>
      <c r="U91" s="448" t="s">
        <v>217</v>
      </c>
      <c r="V91" s="448"/>
      <c r="W91" s="448"/>
      <c r="X91" s="448"/>
      <c r="Y91" s="449">
        <f>SUM(Y81:Y90)</f>
        <v>78700</v>
      </c>
      <c r="Z91" s="449">
        <f t="shared" ref="Z91:AK91" si="117">SUM(Z81:Z90)</f>
        <v>87650</v>
      </c>
      <c r="AA91" s="449">
        <f t="shared" si="117"/>
        <v>169250</v>
      </c>
      <c r="AB91" s="449">
        <f t="shared" si="117"/>
        <v>169250</v>
      </c>
      <c r="AC91" s="449">
        <f t="shared" si="117"/>
        <v>169250</v>
      </c>
      <c r="AD91" s="449">
        <f t="shared" si="117"/>
        <v>169250</v>
      </c>
      <c r="AE91" s="449">
        <f t="shared" si="117"/>
        <v>169250</v>
      </c>
      <c r="AF91" s="449">
        <f t="shared" si="117"/>
        <v>135400</v>
      </c>
      <c r="AG91" s="449">
        <f t="shared" si="117"/>
        <v>135400</v>
      </c>
      <c r="AH91" s="449">
        <f t="shared" si="117"/>
        <v>135400</v>
      </c>
      <c r="AI91" s="449">
        <f t="shared" si="117"/>
        <v>135400</v>
      </c>
      <c r="AJ91" s="449">
        <f t="shared" si="117"/>
        <v>135400</v>
      </c>
      <c r="AK91" s="449">
        <f t="shared" si="117"/>
        <v>1689600</v>
      </c>
      <c r="AN91" s="448" t="s">
        <v>217</v>
      </c>
      <c r="AO91" s="448"/>
      <c r="AP91" s="448"/>
      <c r="AQ91" s="448"/>
      <c r="AR91" s="449">
        <f t="shared" ref="AR91:BD91" si="118">SUM(AR81:AR90)</f>
        <v>0</v>
      </c>
      <c r="AS91" s="449">
        <f t="shared" si="118"/>
        <v>0</v>
      </c>
      <c r="AT91" s="449">
        <f t="shared" si="118"/>
        <v>179250</v>
      </c>
      <c r="AU91" s="449">
        <f t="shared" si="118"/>
        <v>179250</v>
      </c>
      <c r="AV91" s="449">
        <f t="shared" si="118"/>
        <v>179250</v>
      </c>
      <c r="AW91" s="449">
        <f t="shared" si="118"/>
        <v>179250</v>
      </c>
      <c r="AX91" s="449">
        <f t="shared" si="118"/>
        <v>155400</v>
      </c>
      <c r="AY91" s="449">
        <f t="shared" si="118"/>
        <v>155400</v>
      </c>
      <c r="AZ91" s="449">
        <f t="shared" si="118"/>
        <v>155400</v>
      </c>
      <c r="BA91" s="449">
        <f t="shared" si="118"/>
        <v>155400</v>
      </c>
      <c r="BB91" s="449">
        <f t="shared" si="118"/>
        <v>155400</v>
      </c>
      <c r="BC91" s="449">
        <f t="shared" si="118"/>
        <v>155400</v>
      </c>
      <c r="BD91" s="449">
        <f t="shared" si="118"/>
        <v>1649400</v>
      </c>
      <c r="BG91" s="448" t="s">
        <v>217</v>
      </c>
      <c r="BH91" s="448"/>
      <c r="BI91" s="448"/>
      <c r="BJ91" s="448"/>
      <c r="BK91" s="449">
        <f t="shared" ref="BK91:BW91" si="119">SUM(BK81:BK90)</f>
        <v>0</v>
      </c>
      <c r="BL91" s="449">
        <f t="shared" si="119"/>
        <v>203100</v>
      </c>
      <c r="BM91" s="449">
        <f t="shared" si="119"/>
        <v>203100</v>
      </c>
      <c r="BN91" s="449">
        <f t="shared" si="119"/>
        <v>203100</v>
      </c>
      <c r="BO91" s="449">
        <f t="shared" si="119"/>
        <v>203100</v>
      </c>
      <c r="BP91" s="449">
        <f t="shared" si="119"/>
        <v>203100</v>
      </c>
      <c r="BQ91" s="449">
        <f t="shared" si="119"/>
        <v>135400</v>
      </c>
      <c r="BR91" s="449">
        <f t="shared" si="119"/>
        <v>135400</v>
      </c>
      <c r="BS91" s="449">
        <f t="shared" si="119"/>
        <v>0</v>
      </c>
      <c r="BT91" s="449">
        <f t="shared" si="119"/>
        <v>0</v>
      </c>
      <c r="BU91" s="449">
        <f t="shared" si="119"/>
        <v>0</v>
      </c>
      <c r="BV91" s="449">
        <f t="shared" si="119"/>
        <v>0</v>
      </c>
      <c r="BW91" s="449">
        <f t="shared" si="119"/>
        <v>1286300</v>
      </c>
    </row>
    <row r="92" spans="1:76" x14ac:dyDescent="0.35">
      <c r="T92" s="516"/>
    </row>
    <row r="93" spans="1:76" ht="29" x14ac:dyDescent="0.35">
      <c r="S93" s="550" t="s">
        <v>463</v>
      </c>
      <c r="T93" s="516">
        <v>36250</v>
      </c>
      <c r="U93" s="551" t="s">
        <v>464</v>
      </c>
    </row>
    <row r="94" spans="1:76" x14ac:dyDescent="0.35">
      <c r="S94" t="s">
        <v>465</v>
      </c>
      <c r="T94" s="516">
        <v>16250</v>
      </c>
      <c r="U94" s="551" t="s">
        <v>464</v>
      </c>
    </row>
    <row r="95" spans="1:76" x14ac:dyDescent="0.35">
      <c r="S95" t="s">
        <v>466</v>
      </c>
      <c r="T95" s="516">
        <v>109700</v>
      </c>
      <c r="U95" s="551" t="s">
        <v>467</v>
      </c>
    </row>
    <row r="96" spans="1:76" x14ac:dyDescent="0.35">
      <c r="A96" s="320" t="s">
        <v>253</v>
      </c>
      <c r="S96" t="s">
        <v>468</v>
      </c>
      <c r="T96" s="516">
        <v>154000</v>
      </c>
      <c r="U96" s="551" t="s">
        <v>469</v>
      </c>
    </row>
    <row r="97" spans="2:75" ht="15" thickBot="1" x14ac:dyDescent="0.4">
      <c r="T97" s="552">
        <f>SUM(T93:T96)</f>
        <v>316200</v>
      </c>
    </row>
    <row r="98" spans="2:75" ht="15" customHeight="1" thickTop="1" x14ac:dyDescent="0.35"/>
    <row r="100" spans="2:75" ht="20.149999999999999" customHeight="1" x14ac:dyDescent="0.35">
      <c r="D100" s="1143" t="s">
        <v>254</v>
      </c>
      <c r="E100" s="1144"/>
      <c r="F100" s="450" t="s">
        <v>131</v>
      </c>
      <c r="G100" s="450" t="s">
        <v>132</v>
      </c>
      <c r="H100" s="450" t="s">
        <v>134</v>
      </c>
      <c r="I100" s="450" t="s">
        <v>135</v>
      </c>
      <c r="J100" s="450" t="s">
        <v>136</v>
      </c>
      <c r="K100" s="450" t="s">
        <v>137</v>
      </c>
      <c r="L100" s="450" t="s">
        <v>138</v>
      </c>
      <c r="M100" s="450" t="s">
        <v>139</v>
      </c>
      <c r="N100" s="450" t="s">
        <v>140</v>
      </c>
      <c r="O100" s="450" t="s">
        <v>141</v>
      </c>
      <c r="P100" s="450" t="s">
        <v>143</v>
      </c>
      <c r="Q100" s="450" t="s">
        <v>145</v>
      </c>
      <c r="R100" s="450" t="s">
        <v>217</v>
      </c>
      <c r="T100" s="516"/>
      <c r="W100" s="1143" t="s">
        <v>254</v>
      </c>
      <c r="X100" s="1144"/>
      <c r="Y100" s="450" t="s">
        <v>131</v>
      </c>
      <c r="Z100" s="450" t="s">
        <v>132</v>
      </c>
      <c r="AA100" s="450" t="s">
        <v>134</v>
      </c>
      <c r="AB100" s="450" t="s">
        <v>135</v>
      </c>
      <c r="AC100" s="450" t="s">
        <v>136</v>
      </c>
      <c r="AD100" s="450" t="s">
        <v>137</v>
      </c>
      <c r="AE100" s="450" t="s">
        <v>138</v>
      </c>
      <c r="AF100" s="450" t="s">
        <v>139</v>
      </c>
      <c r="AG100" s="450" t="s">
        <v>140</v>
      </c>
      <c r="AH100" s="450" t="s">
        <v>141</v>
      </c>
      <c r="AI100" s="450" t="s">
        <v>143</v>
      </c>
      <c r="AJ100" s="450" t="s">
        <v>145</v>
      </c>
      <c r="AK100" s="450" t="s">
        <v>217</v>
      </c>
      <c r="AP100" s="1143" t="s">
        <v>254</v>
      </c>
      <c r="AQ100" s="1144"/>
      <c r="AR100" s="450" t="s">
        <v>131</v>
      </c>
      <c r="AS100" s="450" t="s">
        <v>132</v>
      </c>
      <c r="AT100" s="450" t="s">
        <v>134</v>
      </c>
      <c r="AU100" s="450" t="s">
        <v>135</v>
      </c>
      <c r="AV100" s="450" t="s">
        <v>136</v>
      </c>
      <c r="AW100" s="450" t="s">
        <v>137</v>
      </c>
      <c r="AX100" s="450" t="s">
        <v>138</v>
      </c>
      <c r="AY100" s="450" t="s">
        <v>139</v>
      </c>
      <c r="AZ100" s="450" t="s">
        <v>140</v>
      </c>
      <c r="BA100" s="450" t="s">
        <v>141</v>
      </c>
      <c r="BB100" s="450" t="s">
        <v>143</v>
      </c>
      <c r="BC100" s="450" t="s">
        <v>145</v>
      </c>
      <c r="BD100" s="450" t="s">
        <v>217</v>
      </c>
      <c r="BI100" s="1143" t="s">
        <v>254</v>
      </c>
      <c r="BJ100" s="1144"/>
      <c r="BK100" s="450" t="s">
        <v>131</v>
      </c>
      <c r="BL100" s="450" t="s">
        <v>132</v>
      </c>
      <c r="BM100" s="450" t="s">
        <v>134</v>
      </c>
      <c r="BN100" s="450" t="s">
        <v>135</v>
      </c>
      <c r="BO100" s="450" t="s">
        <v>136</v>
      </c>
      <c r="BP100" s="450" t="s">
        <v>137</v>
      </c>
      <c r="BQ100" s="450" t="s">
        <v>138</v>
      </c>
      <c r="BR100" s="450" t="s">
        <v>139</v>
      </c>
      <c r="BS100" s="450" t="s">
        <v>140</v>
      </c>
      <c r="BT100" s="450" t="s">
        <v>141</v>
      </c>
      <c r="BU100" s="450" t="s">
        <v>143</v>
      </c>
      <c r="BV100" s="450" t="s">
        <v>145</v>
      </c>
      <c r="BW100" s="450" t="s">
        <v>217</v>
      </c>
    </row>
    <row r="101" spans="2:75" x14ac:dyDescent="0.35">
      <c r="D101" s="1138"/>
      <c r="E101" s="1139"/>
      <c r="F101" s="451"/>
      <c r="G101" s="451"/>
      <c r="H101" s="451"/>
      <c r="I101" s="451"/>
      <c r="J101" s="451"/>
      <c r="K101" s="451"/>
      <c r="L101" s="451"/>
      <c r="M101" s="451"/>
      <c r="N101" s="451"/>
      <c r="O101" s="451"/>
      <c r="P101" s="451"/>
      <c r="Q101" s="451"/>
      <c r="R101" s="452">
        <f>SUM(F101:Q101)</f>
        <v>0</v>
      </c>
      <c r="W101" s="1140"/>
      <c r="X101" s="1141"/>
      <c r="Y101" s="453"/>
      <c r="Z101" s="453"/>
      <c r="AA101" s="453"/>
      <c r="AB101" s="453"/>
      <c r="AC101" s="453"/>
      <c r="AD101" s="453"/>
      <c r="AE101" s="453"/>
      <c r="AF101" s="453"/>
      <c r="AG101" s="453"/>
      <c r="AH101" s="453"/>
      <c r="AI101" s="453"/>
      <c r="AJ101" s="453"/>
      <c r="AK101" s="454">
        <f>SUM(Y101:AJ101)</f>
        <v>0</v>
      </c>
      <c r="AP101" s="1138"/>
      <c r="AQ101" s="1139"/>
      <c r="AR101" s="453"/>
      <c r="AS101" s="453"/>
      <c r="AT101" s="453"/>
      <c r="AU101" s="453"/>
      <c r="AV101" s="453"/>
      <c r="AW101" s="453"/>
      <c r="AX101" s="453"/>
      <c r="AY101" s="453"/>
      <c r="AZ101" s="453"/>
      <c r="BA101" s="453"/>
      <c r="BB101" s="453"/>
      <c r="BC101" s="453"/>
      <c r="BD101" s="454">
        <f>SUM(AR101:BC101)</f>
        <v>0</v>
      </c>
      <c r="BI101" s="1138"/>
      <c r="BJ101" s="1139"/>
      <c r="BK101" s="453"/>
      <c r="BL101" s="453"/>
      <c r="BM101" s="453"/>
      <c r="BN101" s="453"/>
      <c r="BO101" s="453"/>
      <c r="BP101" s="453"/>
      <c r="BQ101" s="453"/>
      <c r="BR101" s="453"/>
      <c r="BS101" s="453"/>
      <c r="BT101" s="453"/>
      <c r="BU101" s="453"/>
      <c r="BV101" s="453"/>
      <c r="BW101" s="454">
        <f>SUM(BK101:BV101)</f>
        <v>0</v>
      </c>
    </row>
    <row r="102" spans="2:75" x14ac:dyDescent="0.35">
      <c r="D102" s="1134"/>
      <c r="E102" s="1135"/>
      <c r="F102" s="455"/>
      <c r="G102" s="455"/>
      <c r="H102" s="455"/>
      <c r="I102" s="455"/>
      <c r="J102" s="455"/>
      <c r="K102" s="455"/>
      <c r="L102" s="455"/>
      <c r="M102" s="455"/>
      <c r="N102" s="455"/>
      <c r="O102" s="455"/>
      <c r="P102" s="455"/>
      <c r="Q102" s="455"/>
      <c r="R102" s="456">
        <f t="shared" ref="R102:R110" si="120">SUM(F102:Q102)</f>
        <v>0</v>
      </c>
      <c r="W102" s="1136"/>
      <c r="X102" s="1137"/>
      <c r="Y102" s="457"/>
      <c r="Z102" s="457"/>
      <c r="AA102" s="457"/>
      <c r="AB102" s="457"/>
      <c r="AC102" s="457"/>
      <c r="AD102" s="457"/>
      <c r="AE102" s="457"/>
      <c r="AF102" s="457"/>
      <c r="AG102" s="457"/>
      <c r="AH102" s="457"/>
      <c r="AI102" s="457"/>
      <c r="AJ102" s="457"/>
      <c r="AK102" s="458">
        <f t="shared" ref="AK102:AK110" si="121">SUM(Y102:AJ102)</f>
        <v>0</v>
      </c>
      <c r="AP102" s="1134"/>
      <c r="AQ102" s="1135"/>
      <c r="AR102" s="457"/>
      <c r="AS102" s="457"/>
      <c r="AT102" s="457"/>
      <c r="AU102" s="457"/>
      <c r="AV102" s="457"/>
      <c r="AW102" s="457"/>
      <c r="AX102" s="457"/>
      <c r="AY102" s="457"/>
      <c r="AZ102" s="457"/>
      <c r="BA102" s="457"/>
      <c r="BB102" s="457"/>
      <c r="BC102" s="457"/>
      <c r="BD102" s="458">
        <f t="shared" ref="BD102:BD110" si="122">SUM(AR102:BC102)</f>
        <v>0</v>
      </c>
      <c r="BI102" s="1134"/>
      <c r="BJ102" s="1135"/>
      <c r="BK102" s="457"/>
      <c r="BL102" s="457"/>
      <c r="BM102" s="457"/>
      <c r="BN102" s="457"/>
      <c r="BO102" s="457"/>
      <c r="BP102" s="457"/>
      <c r="BQ102" s="457"/>
      <c r="BR102" s="457"/>
      <c r="BS102" s="457"/>
      <c r="BT102" s="457"/>
      <c r="BU102" s="457"/>
      <c r="BV102" s="457"/>
      <c r="BW102" s="458">
        <f t="shared" ref="BW102:BW110" si="123">SUM(BK102:BV102)</f>
        <v>0</v>
      </c>
    </row>
    <row r="103" spans="2:75" x14ac:dyDescent="0.35">
      <c r="D103" s="1138"/>
      <c r="E103" s="1139"/>
      <c r="F103" s="451"/>
      <c r="G103" s="451"/>
      <c r="H103" s="451"/>
      <c r="I103" s="451"/>
      <c r="J103" s="451"/>
      <c r="K103" s="451"/>
      <c r="L103" s="451"/>
      <c r="M103" s="451"/>
      <c r="N103" s="451"/>
      <c r="O103" s="451"/>
      <c r="P103" s="451"/>
      <c r="Q103" s="451"/>
      <c r="R103" s="452">
        <f t="shared" si="120"/>
        <v>0</v>
      </c>
      <c r="T103" s="516"/>
      <c r="W103" s="1140"/>
      <c r="X103" s="1141"/>
      <c r="Y103" s="453"/>
      <c r="Z103" s="453"/>
      <c r="AA103" s="453"/>
      <c r="AB103" s="453"/>
      <c r="AC103" s="453"/>
      <c r="AD103" s="453"/>
      <c r="AE103" s="453"/>
      <c r="AF103" s="453"/>
      <c r="AG103" s="453"/>
      <c r="AH103" s="453"/>
      <c r="AI103" s="453"/>
      <c r="AJ103" s="453"/>
      <c r="AK103" s="454">
        <f t="shared" si="121"/>
        <v>0</v>
      </c>
      <c r="AP103" s="1138"/>
      <c r="AQ103" s="1139"/>
      <c r="AR103" s="453"/>
      <c r="AS103" s="453"/>
      <c r="AT103" s="453"/>
      <c r="AU103" s="453"/>
      <c r="AV103" s="453"/>
      <c r="AW103" s="453"/>
      <c r="AX103" s="453"/>
      <c r="AY103" s="453"/>
      <c r="AZ103" s="453"/>
      <c r="BA103" s="453"/>
      <c r="BB103" s="453"/>
      <c r="BC103" s="453"/>
      <c r="BD103" s="454">
        <f t="shared" si="122"/>
        <v>0</v>
      </c>
      <c r="BI103" s="1138"/>
      <c r="BJ103" s="1139"/>
      <c r="BK103" s="453"/>
      <c r="BL103" s="453"/>
      <c r="BM103" s="453"/>
      <c r="BN103" s="453"/>
      <c r="BO103" s="453"/>
      <c r="BP103" s="453"/>
      <c r="BQ103" s="453"/>
      <c r="BR103" s="453"/>
      <c r="BS103" s="453"/>
      <c r="BT103" s="453"/>
      <c r="BU103" s="453"/>
      <c r="BV103" s="453"/>
      <c r="BW103" s="454">
        <f t="shared" si="123"/>
        <v>0</v>
      </c>
    </row>
    <row r="104" spans="2:75" x14ac:dyDescent="0.35">
      <c r="D104" s="1134"/>
      <c r="E104" s="1135"/>
      <c r="F104" s="455"/>
      <c r="G104" s="455"/>
      <c r="H104" s="455"/>
      <c r="I104" s="455"/>
      <c r="J104" s="455"/>
      <c r="K104" s="455"/>
      <c r="L104" s="455"/>
      <c r="M104" s="455"/>
      <c r="N104" s="455"/>
      <c r="O104" s="455"/>
      <c r="P104" s="455"/>
      <c r="Q104" s="455"/>
      <c r="R104" s="456">
        <f t="shared" si="120"/>
        <v>0</v>
      </c>
      <c r="W104" s="1136"/>
      <c r="X104" s="1137"/>
      <c r="Y104" s="457"/>
      <c r="Z104" s="457"/>
      <c r="AA104" s="457"/>
      <c r="AB104" s="457"/>
      <c r="AC104" s="457"/>
      <c r="AD104" s="457"/>
      <c r="AE104" s="457"/>
      <c r="AF104" s="457"/>
      <c r="AG104" s="457"/>
      <c r="AH104" s="457"/>
      <c r="AI104" s="457"/>
      <c r="AJ104" s="457"/>
      <c r="AK104" s="458">
        <f t="shared" si="121"/>
        <v>0</v>
      </c>
      <c r="AP104" s="1134"/>
      <c r="AQ104" s="1135"/>
      <c r="AR104" s="457"/>
      <c r="AS104" s="457"/>
      <c r="AT104" s="457"/>
      <c r="AU104" s="457"/>
      <c r="AV104" s="457"/>
      <c r="AW104" s="457"/>
      <c r="AX104" s="457"/>
      <c r="AY104" s="457"/>
      <c r="AZ104" s="457"/>
      <c r="BA104" s="457"/>
      <c r="BB104" s="457"/>
      <c r="BC104" s="457"/>
      <c r="BD104" s="458">
        <f t="shared" si="122"/>
        <v>0</v>
      </c>
      <c r="BI104" s="1134"/>
      <c r="BJ104" s="1135"/>
      <c r="BK104" s="457"/>
      <c r="BL104" s="457"/>
      <c r="BM104" s="457"/>
      <c r="BN104" s="457"/>
      <c r="BO104" s="457"/>
      <c r="BP104" s="457"/>
      <c r="BQ104" s="457"/>
      <c r="BR104" s="457"/>
      <c r="BS104" s="457"/>
      <c r="BT104" s="457"/>
      <c r="BU104" s="457"/>
      <c r="BV104" s="457"/>
      <c r="BW104" s="458">
        <f t="shared" si="123"/>
        <v>0</v>
      </c>
    </row>
    <row r="105" spans="2:75" x14ac:dyDescent="0.35">
      <c r="D105" s="1138"/>
      <c r="E105" s="1139"/>
      <c r="F105" s="451"/>
      <c r="G105" s="451"/>
      <c r="H105" s="451"/>
      <c r="I105" s="451"/>
      <c r="J105" s="451"/>
      <c r="K105" s="451"/>
      <c r="L105" s="451"/>
      <c r="M105" s="451"/>
      <c r="N105" s="451"/>
      <c r="O105" s="451"/>
      <c r="P105" s="451"/>
      <c r="Q105" s="451"/>
      <c r="R105" s="452">
        <f t="shared" si="120"/>
        <v>0</v>
      </c>
      <c r="W105" s="1140"/>
      <c r="X105" s="1141"/>
      <c r="Y105" s="453"/>
      <c r="Z105" s="453"/>
      <c r="AA105" s="453"/>
      <c r="AB105" s="453"/>
      <c r="AC105" s="453"/>
      <c r="AD105" s="453"/>
      <c r="AE105" s="453"/>
      <c r="AF105" s="453"/>
      <c r="AG105" s="453"/>
      <c r="AH105" s="453"/>
      <c r="AI105" s="453"/>
      <c r="AJ105" s="453"/>
      <c r="AK105" s="454">
        <f t="shared" si="121"/>
        <v>0</v>
      </c>
      <c r="AP105" s="1138"/>
      <c r="AQ105" s="1139"/>
      <c r="AR105" s="453"/>
      <c r="AS105" s="453"/>
      <c r="AT105" s="453"/>
      <c r="AU105" s="453"/>
      <c r="AV105" s="453"/>
      <c r="AW105" s="453"/>
      <c r="AX105" s="453"/>
      <c r="AY105" s="453"/>
      <c r="AZ105" s="453"/>
      <c r="BA105" s="453"/>
      <c r="BB105" s="453"/>
      <c r="BC105" s="453"/>
      <c r="BD105" s="454">
        <f t="shared" si="122"/>
        <v>0</v>
      </c>
      <c r="BI105" s="1138"/>
      <c r="BJ105" s="1139"/>
      <c r="BK105" s="453"/>
      <c r="BL105" s="453"/>
      <c r="BM105" s="453"/>
      <c r="BN105" s="453"/>
      <c r="BO105" s="453"/>
      <c r="BP105" s="453"/>
      <c r="BQ105" s="453"/>
      <c r="BR105" s="453"/>
      <c r="BS105" s="453"/>
      <c r="BT105" s="453"/>
      <c r="BU105" s="453"/>
      <c r="BV105" s="453"/>
      <c r="BW105" s="454">
        <f t="shared" si="123"/>
        <v>0</v>
      </c>
    </row>
    <row r="106" spans="2:75" x14ac:dyDescent="0.35">
      <c r="D106" s="1134"/>
      <c r="E106" s="1135"/>
      <c r="F106" s="455"/>
      <c r="G106" s="455"/>
      <c r="H106" s="455"/>
      <c r="I106" s="455"/>
      <c r="J106" s="455"/>
      <c r="K106" s="455"/>
      <c r="L106" s="455"/>
      <c r="M106" s="455"/>
      <c r="N106" s="455"/>
      <c r="O106" s="455"/>
      <c r="P106" s="455"/>
      <c r="Q106" s="455"/>
      <c r="R106" s="456">
        <f t="shared" si="120"/>
        <v>0</v>
      </c>
      <c r="W106" s="1136"/>
      <c r="X106" s="1137"/>
      <c r="Y106" s="457"/>
      <c r="Z106" s="457"/>
      <c r="AA106" s="457"/>
      <c r="AB106" s="457"/>
      <c r="AC106" s="457"/>
      <c r="AD106" s="457"/>
      <c r="AE106" s="457"/>
      <c r="AF106" s="457"/>
      <c r="AG106" s="457"/>
      <c r="AH106" s="457"/>
      <c r="AI106" s="457"/>
      <c r="AJ106" s="457"/>
      <c r="AK106" s="458">
        <f t="shared" si="121"/>
        <v>0</v>
      </c>
      <c r="AP106" s="1134"/>
      <c r="AQ106" s="1135"/>
      <c r="AR106" s="457"/>
      <c r="AS106" s="457"/>
      <c r="AT106" s="457"/>
      <c r="AU106" s="457"/>
      <c r="AV106" s="457"/>
      <c r="AW106" s="457"/>
      <c r="AX106" s="457"/>
      <c r="AY106" s="457"/>
      <c r="AZ106" s="457"/>
      <c r="BA106" s="457"/>
      <c r="BB106" s="457"/>
      <c r="BC106" s="457"/>
      <c r="BD106" s="458">
        <f t="shared" si="122"/>
        <v>0</v>
      </c>
      <c r="BI106" s="1134"/>
      <c r="BJ106" s="1135"/>
      <c r="BK106" s="457"/>
      <c r="BL106" s="457"/>
      <c r="BM106" s="457"/>
      <c r="BN106" s="457"/>
      <c r="BO106" s="457"/>
      <c r="BP106" s="457"/>
      <c r="BQ106" s="457"/>
      <c r="BR106" s="457"/>
      <c r="BS106" s="457"/>
      <c r="BT106" s="457"/>
      <c r="BU106" s="457"/>
      <c r="BV106" s="457"/>
      <c r="BW106" s="458">
        <f t="shared" si="123"/>
        <v>0</v>
      </c>
    </row>
    <row r="107" spans="2:75" x14ac:dyDescent="0.35">
      <c r="D107" s="1138"/>
      <c r="E107" s="1139"/>
      <c r="F107" s="451"/>
      <c r="G107" s="451"/>
      <c r="H107" s="451"/>
      <c r="I107" s="451"/>
      <c r="J107" s="451"/>
      <c r="K107" s="451"/>
      <c r="L107" s="451"/>
      <c r="M107" s="451"/>
      <c r="N107" s="451"/>
      <c r="O107" s="451"/>
      <c r="P107" s="451"/>
      <c r="Q107" s="451"/>
      <c r="R107" s="452">
        <f t="shared" si="120"/>
        <v>0</v>
      </c>
      <c r="W107" s="1140"/>
      <c r="X107" s="1141"/>
      <c r="Y107" s="453"/>
      <c r="Z107" s="453"/>
      <c r="AA107" s="453"/>
      <c r="AB107" s="453"/>
      <c r="AC107" s="453"/>
      <c r="AD107" s="453"/>
      <c r="AE107" s="453"/>
      <c r="AF107" s="453"/>
      <c r="AG107" s="453"/>
      <c r="AH107" s="453"/>
      <c r="AI107" s="453"/>
      <c r="AJ107" s="453"/>
      <c r="AK107" s="454">
        <f t="shared" si="121"/>
        <v>0</v>
      </c>
      <c r="AP107" s="1138"/>
      <c r="AQ107" s="1139"/>
      <c r="AR107" s="453"/>
      <c r="AS107" s="453"/>
      <c r="AT107" s="453"/>
      <c r="AU107" s="453"/>
      <c r="AV107" s="453"/>
      <c r="AW107" s="453"/>
      <c r="AX107" s="453"/>
      <c r="AY107" s="453"/>
      <c r="AZ107" s="453"/>
      <c r="BA107" s="453"/>
      <c r="BB107" s="453"/>
      <c r="BC107" s="453"/>
      <c r="BD107" s="454">
        <f t="shared" si="122"/>
        <v>0</v>
      </c>
      <c r="BI107" s="1138"/>
      <c r="BJ107" s="1139"/>
      <c r="BK107" s="453"/>
      <c r="BL107" s="453"/>
      <c r="BM107" s="453"/>
      <c r="BN107" s="453"/>
      <c r="BO107" s="453"/>
      <c r="BP107" s="453"/>
      <c r="BQ107" s="453"/>
      <c r="BR107" s="453"/>
      <c r="BS107" s="453"/>
      <c r="BT107" s="453"/>
      <c r="BU107" s="453"/>
      <c r="BV107" s="453"/>
      <c r="BW107" s="454">
        <f t="shared" si="123"/>
        <v>0</v>
      </c>
    </row>
    <row r="108" spans="2:75" x14ac:dyDescent="0.35">
      <c r="D108" s="1134"/>
      <c r="E108" s="1135"/>
      <c r="F108" s="455"/>
      <c r="G108" s="455"/>
      <c r="H108" s="455"/>
      <c r="I108" s="455"/>
      <c r="J108" s="455"/>
      <c r="K108" s="455"/>
      <c r="L108" s="455"/>
      <c r="M108" s="455"/>
      <c r="N108" s="455"/>
      <c r="O108" s="455"/>
      <c r="P108" s="455"/>
      <c r="Q108" s="455"/>
      <c r="R108" s="456">
        <f t="shared" si="120"/>
        <v>0</v>
      </c>
      <c r="W108" s="1136"/>
      <c r="X108" s="1137"/>
      <c r="Y108" s="457"/>
      <c r="Z108" s="457"/>
      <c r="AA108" s="457"/>
      <c r="AB108" s="457"/>
      <c r="AC108" s="457"/>
      <c r="AD108" s="457"/>
      <c r="AE108" s="457"/>
      <c r="AF108" s="457"/>
      <c r="AG108" s="457"/>
      <c r="AH108" s="457"/>
      <c r="AI108" s="457"/>
      <c r="AJ108" s="457"/>
      <c r="AK108" s="458">
        <f t="shared" si="121"/>
        <v>0</v>
      </c>
      <c r="AP108" s="1134"/>
      <c r="AQ108" s="1135"/>
      <c r="AR108" s="457"/>
      <c r="AS108" s="457"/>
      <c r="AT108" s="457"/>
      <c r="AU108" s="457"/>
      <c r="AV108" s="457"/>
      <c r="AW108" s="457"/>
      <c r="AX108" s="457"/>
      <c r="AY108" s="457"/>
      <c r="AZ108" s="457"/>
      <c r="BA108" s="457"/>
      <c r="BB108" s="457"/>
      <c r="BC108" s="457"/>
      <c r="BD108" s="458">
        <f t="shared" si="122"/>
        <v>0</v>
      </c>
      <c r="BI108" s="1134"/>
      <c r="BJ108" s="1135"/>
      <c r="BK108" s="457"/>
      <c r="BL108" s="457"/>
      <c r="BM108" s="457"/>
      <c r="BN108" s="457"/>
      <c r="BO108" s="457"/>
      <c r="BP108" s="457"/>
      <c r="BQ108" s="457"/>
      <c r="BR108" s="457"/>
      <c r="BS108" s="457"/>
      <c r="BT108" s="457"/>
      <c r="BU108" s="457"/>
      <c r="BV108" s="457"/>
      <c r="BW108" s="458">
        <f t="shared" si="123"/>
        <v>0</v>
      </c>
    </row>
    <row r="109" spans="2:75" x14ac:dyDescent="0.35">
      <c r="D109" s="1138"/>
      <c r="E109" s="1139"/>
      <c r="F109" s="451"/>
      <c r="G109" s="451"/>
      <c r="H109" s="451"/>
      <c r="I109" s="451"/>
      <c r="J109" s="451"/>
      <c r="K109" s="451"/>
      <c r="L109" s="451"/>
      <c r="M109" s="451"/>
      <c r="N109" s="451"/>
      <c r="O109" s="451"/>
      <c r="P109" s="451"/>
      <c r="Q109" s="451"/>
      <c r="R109" s="452">
        <f t="shared" si="120"/>
        <v>0</v>
      </c>
      <c r="W109" s="1140"/>
      <c r="X109" s="1141"/>
      <c r="Y109" s="453"/>
      <c r="Z109" s="453"/>
      <c r="AA109" s="453"/>
      <c r="AB109" s="453"/>
      <c r="AC109" s="453"/>
      <c r="AD109" s="453"/>
      <c r="AE109" s="453"/>
      <c r="AF109" s="453"/>
      <c r="AG109" s="453"/>
      <c r="AH109" s="453"/>
      <c r="AI109" s="453"/>
      <c r="AJ109" s="453"/>
      <c r="AK109" s="454">
        <f t="shared" si="121"/>
        <v>0</v>
      </c>
      <c r="AP109" s="1138"/>
      <c r="AQ109" s="1139"/>
      <c r="AR109" s="453"/>
      <c r="AS109" s="453"/>
      <c r="AT109" s="453"/>
      <c r="AU109" s="453"/>
      <c r="AV109" s="453"/>
      <c r="AW109" s="453"/>
      <c r="AX109" s="453"/>
      <c r="AY109" s="453"/>
      <c r="AZ109" s="453"/>
      <c r="BA109" s="453"/>
      <c r="BB109" s="453"/>
      <c r="BC109" s="453"/>
      <c r="BD109" s="454">
        <f t="shared" si="122"/>
        <v>0</v>
      </c>
      <c r="BI109" s="1138"/>
      <c r="BJ109" s="1139"/>
      <c r="BK109" s="453"/>
      <c r="BL109" s="453"/>
      <c r="BM109" s="453"/>
      <c r="BN109" s="453"/>
      <c r="BO109" s="453"/>
      <c r="BP109" s="453"/>
      <c r="BQ109" s="453"/>
      <c r="BR109" s="453"/>
      <c r="BS109" s="453"/>
      <c r="BT109" s="453"/>
      <c r="BU109" s="453"/>
      <c r="BV109" s="453"/>
      <c r="BW109" s="454">
        <f t="shared" si="123"/>
        <v>0</v>
      </c>
    </row>
    <row r="110" spans="2:75" ht="15" customHeight="1" x14ac:dyDescent="0.35">
      <c r="D110" s="1134"/>
      <c r="E110" s="1135"/>
      <c r="F110" s="455"/>
      <c r="G110" s="455"/>
      <c r="H110" s="455"/>
      <c r="I110" s="455"/>
      <c r="J110" s="455"/>
      <c r="K110" s="455"/>
      <c r="L110" s="455"/>
      <c r="M110" s="455"/>
      <c r="N110" s="455"/>
      <c r="O110" s="455"/>
      <c r="P110" s="455"/>
      <c r="Q110" s="455"/>
      <c r="R110" s="456">
        <f t="shared" si="120"/>
        <v>0</v>
      </c>
      <c r="W110" s="1136"/>
      <c r="X110" s="1137"/>
      <c r="Y110" s="457"/>
      <c r="Z110" s="457"/>
      <c r="AA110" s="457"/>
      <c r="AB110" s="457"/>
      <c r="AC110" s="457"/>
      <c r="AD110" s="457"/>
      <c r="AE110" s="457"/>
      <c r="AF110" s="457"/>
      <c r="AG110" s="457"/>
      <c r="AH110" s="457"/>
      <c r="AI110" s="457"/>
      <c r="AJ110" s="457"/>
      <c r="AK110" s="458">
        <f t="shared" si="121"/>
        <v>0</v>
      </c>
      <c r="AP110" s="1134"/>
      <c r="AQ110" s="1135"/>
      <c r="AR110" s="457"/>
      <c r="AS110" s="457"/>
      <c r="AT110" s="457"/>
      <c r="AU110" s="457"/>
      <c r="AV110" s="457"/>
      <c r="AW110" s="457"/>
      <c r="AX110" s="457"/>
      <c r="AY110" s="457"/>
      <c r="AZ110" s="457"/>
      <c r="BA110" s="457"/>
      <c r="BB110" s="457"/>
      <c r="BC110" s="457"/>
      <c r="BD110" s="458">
        <f t="shared" si="122"/>
        <v>0</v>
      </c>
      <c r="BI110" s="1134"/>
      <c r="BJ110" s="1135"/>
      <c r="BK110" s="457"/>
      <c r="BL110" s="457"/>
      <c r="BM110" s="457"/>
      <c r="BN110" s="457"/>
      <c r="BO110" s="457"/>
      <c r="BP110" s="457"/>
      <c r="BQ110" s="457"/>
      <c r="BR110" s="457"/>
      <c r="BS110" s="457"/>
      <c r="BT110" s="457"/>
      <c r="BU110" s="457"/>
      <c r="BV110" s="457"/>
      <c r="BW110" s="458">
        <f t="shared" si="123"/>
        <v>0</v>
      </c>
    </row>
    <row r="111" spans="2:75" s="303" customFormat="1" ht="20.149999999999999" customHeight="1" x14ac:dyDescent="0.35">
      <c r="D111" s="1131" t="s">
        <v>255</v>
      </c>
      <c r="E111" s="1132"/>
      <c r="F111" s="459">
        <f t="shared" ref="F111:R111" si="124">SUM(F101:F110)</f>
        <v>0</v>
      </c>
      <c r="G111" s="459">
        <f t="shared" si="124"/>
        <v>0</v>
      </c>
      <c r="H111" s="459">
        <f t="shared" si="124"/>
        <v>0</v>
      </c>
      <c r="I111" s="459">
        <f t="shared" si="124"/>
        <v>0</v>
      </c>
      <c r="J111" s="459">
        <f t="shared" si="124"/>
        <v>0</v>
      </c>
      <c r="K111" s="459">
        <f t="shared" si="124"/>
        <v>0</v>
      </c>
      <c r="L111" s="459">
        <f t="shared" si="124"/>
        <v>0</v>
      </c>
      <c r="M111" s="459">
        <f t="shared" si="124"/>
        <v>0</v>
      </c>
      <c r="N111" s="459">
        <f t="shared" si="124"/>
        <v>0</v>
      </c>
      <c r="O111" s="459">
        <f t="shared" si="124"/>
        <v>0</v>
      </c>
      <c r="P111" s="459">
        <f t="shared" si="124"/>
        <v>0</v>
      </c>
      <c r="Q111" s="459">
        <f t="shared" si="124"/>
        <v>0</v>
      </c>
      <c r="R111" s="459">
        <f t="shared" si="124"/>
        <v>0</v>
      </c>
      <c r="W111" s="1133" t="s">
        <v>255</v>
      </c>
      <c r="X111" s="1132"/>
      <c r="Y111" s="460">
        <f t="shared" ref="Y111:AK111" si="125">SUM(Y101:Y110)</f>
        <v>0</v>
      </c>
      <c r="Z111" s="460">
        <f t="shared" si="125"/>
        <v>0</v>
      </c>
      <c r="AA111" s="460">
        <f t="shared" si="125"/>
        <v>0</v>
      </c>
      <c r="AB111" s="460">
        <f t="shared" si="125"/>
        <v>0</v>
      </c>
      <c r="AC111" s="460">
        <f t="shared" si="125"/>
        <v>0</v>
      </c>
      <c r="AD111" s="460">
        <f t="shared" si="125"/>
        <v>0</v>
      </c>
      <c r="AE111" s="460">
        <f t="shared" si="125"/>
        <v>0</v>
      </c>
      <c r="AF111" s="460">
        <f t="shared" si="125"/>
        <v>0</v>
      </c>
      <c r="AG111" s="460">
        <f t="shared" si="125"/>
        <v>0</v>
      </c>
      <c r="AH111" s="460">
        <f t="shared" si="125"/>
        <v>0</v>
      </c>
      <c r="AI111" s="460">
        <f t="shared" si="125"/>
        <v>0</v>
      </c>
      <c r="AJ111" s="460">
        <f t="shared" si="125"/>
        <v>0</v>
      </c>
      <c r="AK111" s="460">
        <f t="shared" si="125"/>
        <v>0</v>
      </c>
      <c r="AP111" s="1133" t="s">
        <v>255</v>
      </c>
      <c r="AQ111" s="1132"/>
      <c r="AR111" s="461">
        <f t="shared" ref="AR111:BD111" si="126">SUM(AR101:AR110)</f>
        <v>0</v>
      </c>
      <c r="AS111" s="461">
        <f t="shared" si="126"/>
        <v>0</v>
      </c>
      <c r="AT111" s="461">
        <f t="shared" si="126"/>
        <v>0</v>
      </c>
      <c r="AU111" s="461">
        <f t="shared" si="126"/>
        <v>0</v>
      </c>
      <c r="AV111" s="461">
        <f t="shared" si="126"/>
        <v>0</v>
      </c>
      <c r="AW111" s="461">
        <f t="shared" si="126"/>
        <v>0</v>
      </c>
      <c r="AX111" s="461">
        <f t="shared" si="126"/>
        <v>0</v>
      </c>
      <c r="AY111" s="461">
        <f t="shared" si="126"/>
        <v>0</v>
      </c>
      <c r="AZ111" s="461">
        <f t="shared" si="126"/>
        <v>0</v>
      </c>
      <c r="BA111" s="461">
        <f t="shared" si="126"/>
        <v>0</v>
      </c>
      <c r="BB111" s="461">
        <f t="shared" si="126"/>
        <v>0</v>
      </c>
      <c r="BC111" s="461">
        <f t="shared" si="126"/>
        <v>0</v>
      </c>
      <c r="BD111" s="461">
        <f t="shared" si="126"/>
        <v>0</v>
      </c>
      <c r="BI111" s="1133" t="s">
        <v>255</v>
      </c>
      <c r="BJ111" s="1132"/>
      <c r="BK111" s="461">
        <f t="shared" ref="BK111:BW111" si="127">SUM(BK101:BK110)</f>
        <v>0</v>
      </c>
      <c r="BL111" s="461">
        <f t="shared" si="127"/>
        <v>0</v>
      </c>
      <c r="BM111" s="461">
        <f t="shared" si="127"/>
        <v>0</v>
      </c>
      <c r="BN111" s="461">
        <f t="shared" si="127"/>
        <v>0</v>
      </c>
      <c r="BO111" s="461">
        <f t="shared" si="127"/>
        <v>0</v>
      </c>
      <c r="BP111" s="461">
        <f t="shared" si="127"/>
        <v>0</v>
      </c>
      <c r="BQ111" s="461">
        <f t="shared" si="127"/>
        <v>0</v>
      </c>
      <c r="BR111" s="461">
        <f t="shared" si="127"/>
        <v>0</v>
      </c>
      <c r="BS111" s="461">
        <f t="shared" si="127"/>
        <v>0</v>
      </c>
      <c r="BT111" s="461">
        <f t="shared" si="127"/>
        <v>0</v>
      </c>
      <c r="BU111" s="461">
        <f t="shared" si="127"/>
        <v>0</v>
      </c>
      <c r="BV111" s="461">
        <f t="shared" si="127"/>
        <v>0</v>
      </c>
      <c r="BW111" s="461">
        <f t="shared" si="127"/>
        <v>0</v>
      </c>
    </row>
    <row r="112" spans="2:75" x14ac:dyDescent="0.35">
      <c r="B112" s="462"/>
      <c r="C112" s="463"/>
      <c r="D112" s="464"/>
      <c r="E112" s="464"/>
      <c r="F112" s="464"/>
      <c r="G112" s="464"/>
      <c r="H112" s="464"/>
      <c r="I112" s="464"/>
      <c r="J112" s="464"/>
      <c r="K112" s="464"/>
      <c r="L112" s="464"/>
      <c r="M112" s="464"/>
      <c r="N112" s="464"/>
      <c r="O112" s="464"/>
      <c r="P112" s="465"/>
      <c r="W112" s="466"/>
      <c r="X112" s="467"/>
      <c r="Y112" s="464"/>
      <c r="Z112" s="464"/>
      <c r="AA112" s="464"/>
      <c r="AB112" s="464"/>
      <c r="AC112" s="464"/>
      <c r="AD112" s="464"/>
      <c r="AE112" s="464"/>
      <c r="AF112" s="464"/>
      <c r="AG112" s="464"/>
      <c r="AH112" s="464"/>
      <c r="AI112" s="464"/>
      <c r="AJ112" s="464"/>
      <c r="AK112" s="464"/>
      <c r="AP112" s="466"/>
      <c r="AQ112" s="467"/>
      <c r="AR112" s="464"/>
      <c r="AS112" s="464"/>
      <c r="AT112" s="464"/>
      <c r="AU112" s="464"/>
      <c r="AV112" s="464"/>
      <c r="AW112" s="464"/>
      <c r="AX112" s="464"/>
      <c r="AY112" s="464"/>
      <c r="AZ112" s="464"/>
      <c r="BA112" s="464"/>
      <c r="BB112" s="464"/>
      <c r="BC112" s="464"/>
      <c r="BD112" s="464"/>
      <c r="BI112" s="466"/>
      <c r="BJ112" s="467"/>
      <c r="BK112" s="464"/>
      <c r="BL112" s="464"/>
      <c r="BM112" s="464"/>
      <c r="BN112" s="464"/>
      <c r="BO112" s="464"/>
      <c r="BP112" s="464"/>
      <c r="BQ112" s="464"/>
      <c r="BR112" s="464"/>
      <c r="BS112" s="464"/>
      <c r="BT112" s="464"/>
      <c r="BU112" s="464"/>
      <c r="BV112" s="464"/>
      <c r="BW112" s="464"/>
    </row>
    <row r="113" spans="1:30" x14ac:dyDescent="0.35">
      <c r="B113" s="468"/>
      <c r="C113" s="469"/>
      <c r="D113" s="469"/>
      <c r="E113" s="469"/>
      <c r="I113" s="469"/>
      <c r="J113" s="469"/>
      <c r="K113" s="469"/>
      <c r="L113" s="469"/>
      <c r="M113" s="469"/>
      <c r="N113" s="469"/>
      <c r="O113" s="469"/>
      <c r="P113" s="468"/>
      <c r="Q113" s="468"/>
      <c r="R113" s="469"/>
      <c r="S113" s="469"/>
      <c r="T113" s="469"/>
      <c r="U113" s="469"/>
      <c r="V113" s="469"/>
      <c r="W113" s="469"/>
      <c r="X113" s="469"/>
      <c r="Y113" s="469"/>
      <c r="Z113" s="469"/>
      <c r="AA113" s="469"/>
      <c r="AB113" s="469"/>
      <c r="AC113" s="469"/>
      <c r="AD113" s="469"/>
    </row>
    <row r="114" spans="1:30" ht="17.5" thickBot="1" x14ac:dyDescent="0.4">
      <c r="A114" s="303" t="s">
        <v>470</v>
      </c>
      <c r="F114" s="553" t="s">
        <v>471</v>
      </c>
      <c r="G114" s="553">
        <v>2025</v>
      </c>
      <c r="H114" s="553" t="s">
        <v>471</v>
      </c>
      <c r="I114" s="553" t="s">
        <v>472</v>
      </c>
      <c r="J114" s="553" t="s">
        <v>471</v>
      </c>
      <c r="K114" s="553">
        <v>2027</v>
      </c>
      <c r="L114" s="553" t="s">
        <v>408</v>
      </c>
    </row>
    <row r="115" spans="1:30" ht="15" thickTop="1" x14ac:dyDescent="0.35">
      <c r="A115" s="554" t="s">
        <v>473</v>
      </c>
      <c r="B115" s="555" t="s">
        <v>474</v>
      </c>
      <c r="C115" s="556">
        <v>10000</v>
      </c>
      <c r="D115" s="555"/>
    </row>
    <row r="116" spans="1:30" x14ac:dyDescent="0.35">
      <c r="B116" t="s">
        <v>475</v>
      </c>
      <c r="C116" s="556">
        <v>30000</v>
      </c>
      <c r="D116" s="555"/>
    </row>
    <row r="117" spans="1:30" x14ac:dyDescent="0.35">
      <c r="B117" t="s">
        <v>476</v>
      </c>
      <c r="C117" s="556">
        <v>23850</v>
      </c>
      <c r="D117" s="555" t="s">
        <v>477</v>
      </c>
    </row>
    <row r="118" spans="1:30" ht="15" thickBot="1" x14ac:dyDescent="0.4">
      <c r="B118" s="303" t="s">
        <v>408</v>
      </c>
      <c r="C118" s="557">
        <f>SUM(C115:C117)</f>
        <v>63850</v>
      </c>
      <c r="D118" s="555" t="s">
        <v>478</v>
      </c>
    </row>
    <row r="119" spans="1:30" ht="15" thickTop="1" x14ac:dyDescent="0.35">
      <c r="F119">
        <v>60</v>
      </c>
      <c r="G119" s="556">
        <f>60*C118</f>
        <v>3831000</v>
      </c>
      <c r="H119">
        <v>45</v>
      </c>
      <c r="I119" s="556">
        <f>H119*C118</f>
        <v>2873250</v>
      </c>
      <c r="J119">
        <v>29</v>
      </c>
      <c r="K119" s="556">
        <f>J119*C118</f>
        <v>1851650</v>
      </c>
      <c r="L119" s="290">
        <f>SUM(G119,I119,K119)</f>
        <v>8555900</v>
      </c>
    </row>
    <row r="120" spans="1:30" ht="29" x14ac:dyDescent="0.35">
      <c r="A120" s="558" t="s">
        <v>479</v>
      </c>
      <c r="B120" s="559" t="s">
        <v>480</v>
      </c>
    </row>
    <row r="121" spans="1:30" ht="29" x14ac:dyDescent="0.35">
      <c r="A121" s="558" t="s">
        <v>481</v>
      </c>
      <c r="B121" s="559" t="s">
        <v>482</v>
      </c>
      <c r="G121" s="303" t="s">
        <v>483</v>
      </c>
      <c r="J121" s="303" t="s">
        <v>484</v>
      </c>
      <c r="K121" t="s">
        <v>485</v>
      </c>
      <c r="L121" s="556"/>
      <c r="M121" s="556"/>
    </row>
    <row r="122" spans="1:30" ht="43.5" x14ac:dyDescent="0.35">
      <c r="G122" s="545" t="s">
        <v>486</v>
      </c>
      <c r="H122" s="556">
        <v>79602</v>
      </c>
      <c r="I122" t="s">
        <v>487</v>
      </c>
      <c r="J122" t="s">
        <v>404</v>
      </c>
    </row>
    <row r="123" spans="1:30" x14ac:dyDescent="0.35">
      <c r="B123" s="560" t="s">
        <v>488</v>
      </c>
      <c r="C123" s="560" t="s">
        <v>489</v>
      </c>
      <c r="D123" s="560" t="s">
        <v>490</v>
      </c>
      <c r="E123" s="561" t="s">
        <v>491</v>
      </c>
      <c r="H123" s="556">
        <v>89798</v>
      </c>
      <c r="I123" t="s">
        <v>492</v>
      </c>
      <c r="J123" t="s">
        <v>404</v>
      </c>
    </row>
    <row r="124" spans="1:30" ht="29" x14ac:dyDescent="0.35">
      <c r="B124" s="307" t="s">
        <v>493</v>
      </c>
      <c r="C124" s="562">
        <v>59750</v>
      </c>
      <c r="D124" t="s">
        <v>494</v>
      </c>
      <c r="H124" s="556">
        <v>30980</v>
      </c>
      <c r="I124" t="s">
        <v>495</v>
      </c>
      <c r="J124" t="s">
        <v>404</v>
      </c>
      <c r="K124" s="556">
        <f>109700-H122</f>
        <v>30098</v>
      </c>
      <c r="L124" s="545" t="s">
        <v>496</v>
      </c>
    </row>
    <row r="125" spans="1:30" ht="15" thickBot="1" x14ac:dyDescent="0.4">
      <c r="B125" s="307" t="s">
        <v>497</v>
      </c>
      <c r="C125" s="562">
        <v>18950</v>
      </c>
      <c r="D125" t="s">
        <v>494</v>
      </c>
      <c r="E125" s="556">
        <f>SUM(C124,C125,C126,C128)</f>
        <v>115100</v>
      </c>
      <c r="H125" s="557">
        <f>SUM(H122:H124)</f>
        <v>200380</v>
      </c>
      <c r="J125" t="s">
        <v>404</v>
      </c>
    </row>
    <row r="126" spans="1:30" ht="15" thickTop="1" x14ac:dyDescent="0.35">
      <c r="B126" s="307" t="s">
        <v>498</v>
      </c>
      <c r="C126" s="562">
        <v>23650</v>
      </c>
      <c r="D126" t="s">
        <v>494</v>
      </c>
      <c r="H126" s="516">
        <f>F132</f>
        <v>316200</v>
      </c>
    </row>
    <row r="127" spans="1:30" ht="17.5" thickBot="1" x14ac:dyDescent="0.45">
      <c r="B127" s="307" t="s">
        <v>499</v>
      </c>
      <c r="C127" s="562">
        <v>51250</v>
      </c>
      <c r="D127" t="s">
        <v>494</v>
      </c>
      <c r="H127" s="563">
        <f>H126-H125</f>
        <v>115820</v>
      </c>
      <c r="I127" t="s">
        <v>485</v>
      </c>
    </row>
    <row r="128" spans="1:30" ht="15.5" thickTop="1" thickBot="1" x14ac:dyDescent="0.4">
      <c r="B128" s="307" t="s">
        <v>500</v>
      </c>
      <c r="C128" s="562">
        <v>12750</v>
      </c>
      <c r="D128" s="564" t="s">
        <v>494</v>
      </c>
      <c r="E128" s="565"/>
    </row>
    <row r="129" spans="1:9" ht="15" thickTop="1" x14ac:dyDescent="0.35">
      <c r="B129" s="307" t="s">
        <v>501</v>
      </c>
      <c r="C129" s="562">
        <f>D160</f>
        <v>0</v>
      </c>
    </row>
    <row r="130" spans="1:9" ht="15" thickBot="1" x14ac:dyDescent="0.4">
      <c r="B130" s="566" t="s">
        <v>502</v>
      </c>
      <c r="C130" s="567">
        <f>SUM(C124:C129)</f>
        <v>166350</v>
      </c>
    </row>
    <row r="131" spans="1:9" ht="15" thickTop="1" x14ac:dyDescent="0.35"/>
    <row r="132" spans="1:9" ht="29" x14ac:dyDescent="0.35">
      <c r="A132" s="568" t="s">
        <v>503</v>
      </c>
      <c r="F132" s="516">
        <v>316200</v>
      </c>
    </row>
    <row r="133" spans="1:9" x14ac:dyDescent="0.35">
      <c r="A133" s="568"/>
      <c r="F133" s="516"/>
    </row>
    <row r="134" spans="1:9" ht="34.5" thickBot="1" x14ac:dyDescent="0.4">
      <c r="A134" s="569" t="s">
        <v>504</v>
      </c>
      <c r="B134" s="569" t="s">
        <v>505</v>
      </c>
      <c r="C134" s="569"/>
      <c r="D134" s="569"/>
      <c r="E134" s="569" t="s">
        <v>506</v>
      </c>
      <c r="F134" s="569"/>
    </row>
    <row r="135" spans="1:9" ht="116.5" thickTop="1" x14ac:dyDescent="0.35">
      <c r="A135" s="333">
        <v>1</v>
      </c>
      <c r="B135" s="550" t="s">
        <v>507</v>
      </c>
      <c r="C135" s="550" t="s">
        <v>508</v>
      </c>
      <c r="D135" s="550" t="s">
        <v>509</v>
      </c>
      <c r="F135" s="570">
        <v>36250</v>
      </c>
      <c r="H135" s="571" t="s">
        <v>510</v>
      </c>
    </row>
    <row r="136" spans="1:9" ht="159.5" x14ac:dyDescent="0.35">
      <c r="A136" s="333">
        <v>2</v>
      </c>
      <c r="B136" s="550" t="s">
        <v>511</v>
      </c>
      <c r="C136" s="550" t="s">
        <v>512</v>
      </c>
      <c r="D136" s="550" t="s">
        <v>513</v>
      </c>
      <c r="F136" s="570">
        <v>16250</v>
      </c>
      <c r="G136" s="516">
        <f>SUM(F135:F136)</f>
        <v>52500</v>
      </c>
      <c r="H136" s="551" t="s">
        <v>514</v>
      </c>
    </row>
    <row r="137" spans="1:9" ht="145" x14ac:dyDescent="0.35">
      <c r="A137" s="333">
        <v>3</v>
      </c>
      <c r="B137" s="550" t="s">
        <v>493</v>
      </c>
      <c r="C137" s="550" t="s">
        <v>515</v>
      </c>
      <c r="D137" s="550" t="s">
        <v>516</v>
      </c>
      <c r="E137" s="550"/>
      <c r="F137" s="570">
        <v>109700</v>
      </c>
    </row>
    <row r="138" spans="1:9" ht="174" x14ac:dyDescent="0.35">
      <c r="A138" s="333">
        <v>4</v>
      </c>
      <c r="B138" s="550" t="s">
        <v>517</v>
      </c>
      <c r="C138" s="550" t="s">
        <v>518</v>
      </c>
      <c r="D138" s="550" t="s">
        <v>519</v>
      </c>
      <c r="F138" s="570">
        <v>154000</v>
      </c>
      <c r="G138" s="570">
        <f>F138/28</f>
        <v>5500</v>
      </c>
      <c r="H138" t="s">
        <v>520</v>
      </c>
      <c r="I138" s="471"/>
    </row>
    <row r="139" spans="1:9" ht="15" thickBot="1" x14ac:dyDescent="0.4">
      <c r="F139" s="552">
        <f>SUM(F135:F138)</f>
        <v>316200</v>
      </c>
    </row>
    <row r="140" spans="1:9" ht="15" thickTop="1" x14ac:dyDescent="0.35"/>
  </sheetData>
  <mergeCells count="176">
    <mergeCell ref="B2:C2"/>
    <mergeCell ref="H10:O10"/>
    <mergeCell ref="P10:Q10"/>
    <mergeCell ref="S10:T10"/>
    <mergeCell ref="C11:D11"/>
    <mergeCell ref="V11:W11"/>
    <mergeCell ref="AO11:AP11"/>
    <mergeCell ref="BH11:BI11"/>
    <mergeCell ref="C12:D12"/>
    <mergeCell ref="V12:W12"/>
    <mergeCell ref="AO12:AP12"/>
    <mergeCell ref="BH12:BI12"/>
    <mergeCell ref="BH13:BI13"/>
    <mergeCell ref="C14:D14"/>
    <mergeCell ref="V14:W14"/>
    <mergeCell ref="AO14:AP14"/>
    <mergeCell ref="BH14:BI14"/>
    <mergeCell ref="C15:D15"/>
    <mergeCell ref="V15:W15"/>
    <mergeCell ref="AO15:AP15"/>
    <mergeCell ref="BH15:BI15"/>
    <mergeCell ref="C13:D13"/>
    <mergeCell ref="V13:W13"/>
    <mergeCell ref="AO13:AP13"/>
    <mergeCell ref="BH22:BI22"/>
    <mergeCell ref="B28:B29"/>
    <mergeCell ref="C28:C29"/>
    <mergeCell ref="U28:U29"/>
    <mergeCell ref="V28:V29"/>
    <mergeCell ref="AN28:AN29"/>
    <mergeCell ref="AO28:AO29"/>
    <mergeCell ref="BG28:BG29"/>
    <mergeCell ref="BH28:BH29"/>
    <mergeCell ref="C22:D22"/>
    <mergeCell ref="V22:W22"/>
    <mergeCell ref="AO22:AP22"/>
    <mergeCell ref="BG30:BG31"/>
    <mergeCell ref="BH30:BH31"/>
    <mergeCell ref="B32:B33"/>
    <mergeCell ref="C32:C33"/>
    <mergeCell ref="U32:U33"/>
    <mergeCell ref="V32:V33"/>
    <mergeCell ref="AN32:AN33"/>
    <mergeCell ref="AO32:AO33"/>
    <mergeCell ref="BG32:BG33"/>
    <mergeCell ref="BH32:BH33"/>
    <mergeCell ref="B30:B31"/>
    <mergeCell ref="C30:C31"/>
    <mergeCell ref="U30:U31"/>
    <mergeCell ref="V30:V31"/>
    <mergeCell ref="AN30:AN31"/>
    <mergeCell ref="AO30:AO31"/>
    <mergeCell ref="B34:B35"/>
    <mergeCell ref="C34:C35"/>
    <mergeCell ref="U34:U35"/>
    <mergeCell ref="V34:V35"/>
    <mergeCell ref="AN34:AN35"/>
    <mergeCell ref="AO34:AO35"/>
    <mergeCell ref="BG34:BG35"/>
    <mergeCell ref="BH34:BH35"/>
    <mergeCell ref="B36:B37"/>
    <mergeCell ref="C36:C37"/>
    <mergeCell ref="U36:U37"/>
    <mergeCell ref="V36:V37"/>
    <mergeCell ref="AN36:AN37"/>
    <mergeCell ref="AO36:AO37"/>
    <mergeCell ref="BG36:BG37"/>
    <mergeCell ref="BH36:BH37"/>
    <mergeCell ref="B38:B39"/>
    <mergeCell ref="C38:C39"/>
    <mergeCell ref="U38:U39"/>
    <mergeCell ref="V38:V39"/>
    <mergeCell ref="AN38:AN39"/>
    <mergeCell ref="AO38:AO39"/>
    <mergeCell ref="BG38:BG39"/>
    <mergeCell ref="BH38:BH39"/>
    <mergeCell ref="B40:B41"/>
    <mergeCell ref="C40:C41"/>
    <mergeCell ref="U40:U41"/>
    <mergeCell ref="V40:V41"/>
    <mergeCell ref="AN40:AN41"/>
    <mergeCell ref="AO40:AO41"/>
    <mergeCell ref="BG40:BG41"/>
    <mergeCell ref="BH40:BH41"/>
    <mergeCell ref="B42:B43"/>
    <mergeCell ref="C42:C43"/>
    <mergeCell ref="U42:U43"/>
    <mergeCell ref="V42:V43"/>
    <mergeCell ref="AN42:AN43"/>
    <mergeCell ref="AO42:AO43"/>
    <mergeCell ref="BG42:BG43"/>
    <mergeCell ref="BH42:BH43"/>
    <mergeCell ref="B44:B45"/>
    <mergeCell ref="C44:C45"/>
    <mergeCell ref="U44:U45"/>
    <mergeCell ref="V44:V45"/>
    <mergeCell ref="AN44:AN45"/>
    <mergeCell ref="AO44:AO45"/>
    <mergeCell ref="BG44:BG45"/>
    <mergeCell ref="BH44:BH45"/>
    <mergeCell ref="B46:B47"/>
    <mergeCell ref="C46:C47"/>
    <mergeCell ref="U46:U47"/>
    <mergeCell ref="V46:V47"/>
    <mergeCell ref="AN46:AN47"/>
    <mergeCell ref="AO46:AO47"/>
    <mergeCell ref="BG46:BG47"/>
    <mergeCell ref="BH46:BH47"/>
    <mergeCell ref="B48:B49"/>
    <mergeCell ref="C48:C49"/>
    <mergeCell ref="U48:U49"/>
    <mergeCell ref="V48:V49"/>
    <mergeCell ref="AN48:AN49"/>
    <mergeCell ref="AO48:AO49"/>
    <mergeCell ref="BG48:BG49"/>
    <mergeCell ref="BH48:BH49"/>
    <mergeCell ref="C55:D55"/>
    <mergeCell ref="V55:W55"/>
    <mergeCell ref="AO55:AP55"/>
    <mergeCell ref="BH55:BI55"/>
    <mergeCell ref="AN59:BD59"/>
    <mergeCell ref="BG59:BW59"/>
    <mergeCell ref="C75:D75"/>
    <mergeCell ref="V75:W75"/>
    <mergeCell ref="AO75:AP75"/>
    <mergeCell ref="BH75:BI75"/>
    <mergeCell ref="AN79:BD79"/>
    <mergeCell ref="BG79:BW79"/>
    <mergeCell ref="D100:E100"/>
    <mergeCell ref="W100:X100"/>
    <mergeCell ref="AP100:AQ100"/>
    <mergeCell ref="BI100:BJ100"/>
    <mergeCell ref="D101:E101"/>
    <mergeCell ref="W101:X101"/>
    <mergeCell ref="AP101:AQ101"/>
    <mergeCell ref="BI101:BJ101"/>
    <mergeCell ref="D102:E102"/>
    <mergeCell ref="W102:X102"/>
    <mergeCell ref="AP102:AQ102"/>
    <mergeCell ref="BI102:BJ102"/>
    <mergeCell ref="D103:E103"/>
    <mergeCell ref="W103:X103"/>
    <mergeCell ref="AP103:AQ103"/>
    <mergeCell ref="BI103:BJ103"/>
    <mergeCell ref="D104:E104"/>
    <mergeCell ref="W104:X104"/>
    <mergeCell ref="AP104:AQ104"/>
    <mergeCell ref="BI104:BJ104"/>
    <mergeCell ref="D105:E105"/>
    <mergeCell ref="W105:X105"/>
    <mergeCell ref="AP105:AQ105"/>
    <mergeCell ref="BI105:BJ105"/>
    <mergeCell ref="D106:E106"/>
    <mergeCell ref="W106:X106"/>
    <mergeCell ref="AP106:AQ106"/>
    <mergeCell ref="BI106:BJ106"/>
    <mergeCell ref="D107:E107"/>
    <mergeCell ref="W107:X107"/>
    <mergeCell ref="AP107:AQ107"/>
    <mergeCell ref="BI107:BJ107"/>
    <mergeCell ref="D111:E111"/>
    <mergeCell ref="W111:X111"/>
    <mergeCell ref="AP111:AQ111"/>
    <mergeCell ref="BI111:BJ111"/>
    <mergeCell ref="D108:E108"/>
    <mergeCell ref="W108:X108"/>
    <mergeCell ref="AP108:AQ108"/>
    <mergeCell ref="BI108:BJ108"/>
    <mergeCell ref="D109:E109"/>
    <mergeCell ref="W109:X109"/>
    <mergeCell ref="AP109:AQ109"/>
    <mergeCell ref="BI109:BJ109"/>
    <mergeCell ref="D110:E110"/>
    <mergeCell ref="W110:X110"/>
    <mergeCell ref="AP110:AQ110"/>
    <mergeCell ref="BI110:BJ110"/>
  </mergeCells>
  <dataValidations count="4">
    <dataValidation type="list" allowBlank="1" showInputMessage="1" showErrorMessage="1" sqref="V28:V49 C28:C49 AO28:AO49 BH28:BH49" xr:uid="{0B8F77C5-A332-4C9F-9FC4-EA1129C545B7}">
      <formula1>"Associate,Sr. Associate,Consultant,Sr. Consultant,Principal,Sr. Manager,LI Sr. Associate,LI Non Sr. IT Manager,LI Sr. IT Mananger,LI Bus. Sr. Manager,LI Bus. Associate Analyst,LI Bus. Principal Analyst"</formula1>
    </dataValidation>
    <dataValidation type="list" allowBlank="1" showInputMessage="1" showErrorMessage="1" sqref="V81:V90 C81:C90 AO81:AO90 BH81:BH90" xr:uid="{1522C9E1-56F9-46A0-9380-CF94D8FFDA92}">
      <formula1>"Installing Material, EMC-On site Installation,EMC-Remote Installation,Infrastructure,Project Management,Other"</formula1>
    </dataValidation>
    <dataValidation type="list" allowBlank="1" showInputMessage="1" showErrorMessage="1" sqref="E61:E71 X61:X71 AQ61:AQ71 BJ61:BJ71" xr:uid="{198311AD-AC22-4358-8037-7DE20CBD4635}">
      <formula1>Yes_No</formula1>
    </dataValidation>
    <dataValidation type="list" allowBlank="1" showInputMessage="1" showErrorMessage="1" sqref="D61:D71 AP61:AP71 W81:W90 D81:D90 W61:W71 D31 AP37 D43 W31 W39 W35 W33 D39 D37 D35 D33 D29 W49 W45:W47 W43 W41 W29 D49 D47 D45 D41 W37 AP31 AP39 AP35 AP33 AP49 AP45:AP47 AP43 AP41 AP29 AP81:AP90 BI61:BI71 BI37 BI31 BI39 BI35 BI33 BI49 BI45:BI47 BI43 BI41 BI29 BI81:BI90" xr:uid="{FC22CDD2-3307-46D4-9124-03C878CD009C}">
      <formula1>Money_Type</formula1>
    </dataValidation>
  </dataValidations>
  <pageMargins left="0.7" right="0.7" top="0.75" bottom="0.75" header="0.3" footer="0.3"/>
  <drawing r:id="rId1"/>
  <legacyDrawing r:id="rId2"/>
  <tableParts count="6">
    <tablePart r:id="rId3"/>
    <tablePart r:id="rId4"/>
    <tablePart r:id="rId5"/>
    <tablePart r:id="rId6"/>
    <tablePart r:id="rId7"/>
    <tablePart r:id="rId8"/>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theme="4"/>
  </sheetPr>
  <dimension ref="A1:E14"/>
  <sheetViews>
    <sheetView workbookViewId="0">
      <selection activeCell="D8" sqref="D8"/>
    </sheetView>
  </sheetViews>
  <sheetFormatPr defaultRowHeight="14.5" x14ac:dyDescent="0.35"/>
  <cols>
    <col min="1" max="1" width="56.7265625" bestFit="1" customWidth="1"/>
    <col min="2" max="4" width="15" bestFit="1" customWidth="1"/>
    <col min="5" max="5" width="13.54296875" bestFit="1" customWidth="1"/>
  </cols>
  <sheetData>
    <row r="1" spans="1:5" ht="15" thickBot="1" x14ac:dyDescent="0.4"/>
    <row r="2" spans="1:5" ht="26.5" thickBot="1" x14ac:dyDescent="0.65">
      <c r="A2" s="226" t="s">
        <v>99</v>
      </c>
      <c r="B2" s="227">
        <v>2022</v>
      </c>
      <c r="C2" s="227">
        <v>2023</v>
      </c>
      <c r="D2" s="228" t="s">
        <v>175</v>
      </c>
    </row>
    <row r="3" spans="1:5" ht="15.5" x14ac:dyDescent="0.35">
      <c r="A3" s="229" t="s">
        <v>54</v>
      </c>
      <c r="B3" s="230">
        <v>3793992.06</v>
      </c>
      <c r="C3" s="230">
        <v>4396842.7</v>
      </c>
      <c r="D3" s="230">
        <v>8190834.7599999998</v>
      </c>
      <c r="E3" s="153"/>
    </row>
    <row r="4" spans="1:5" ht="15.5" x14ac:dyDescent="0.35">
      <c r="A4" s="242" t="s">
        <v>176</v>
      </c>
      <c r="B4" s="243">
        <v>196209.54</v>
      </c>
      <c r="C4" s="243">
        <v>456051.7</v>
      </c>
      <c r="D4" s="243">
        <v>652261.24</v>
      </c>
    </row>
    <row r="5" spans="1:5" ht="15.5" x14ac:dyDescent="0.35">
      <c r="A5" s="232" t="s">
        <v>177</v>
      </c>
      <c r="B5" s="233">
        <v>3990201.6</v>
      </c>
      <c r="C5" s="233">
        <v>4852894.4000000004</v>
      </c>
      <c r="D5" s="233">
        <v>8843096</v>
      </c>
    </row>
    <row r="6" spans="1:5" ht="15.5" x14ac:dyDescent="0.35">
      <c r="A6" s="234" t="s">
        <v>70</v>
      </c>
      <c r="B6" s="231">
        <v>0</v>
      </c>
      <c r="C6" s="231">
        <v>0</v>
      </c>
      <c r="D6" s="231">
        <v>0</v>
      </c>
    </row>
    <row r="7" spans="1:5" ht="15.5" x14ac:dyDescent="0.35">
      <c r="A7" s="232" t="s">
        <v>178</v>
      </c>
      <c r="B7" s="233">
        <v>3990201.6</v>
      </c>
      <c r="C7" s="233">
        <v>4396842.7</v>
      </c>
      <c r="D7" s="233">
        <v>8387044.3000000007</v>
      </c>
      <c r="E7" s="153"/>
    </row>
    <row r="8" spans="1:5" ht="15.5" x14ac:dyDescent="0.35">
      <c r="A8" s="235" t="s">
        <v>179</v>
      </c>
      <c r="B8" s="231">
        <v>1197060.4799999997</v>
      </c>
      <c r="C8" s="231">
        <v>1455868.32</v>
      </c>
      <c r="D8" s="231">
        <v>2652928.7999999998</v>
      </c>
    </row>
    <row r="9" spans="1:5" ht="15.5" x14ac:dyDescent="0.35">
      <c r="A9" s="236" t="s">
        <v>180</v>
      </c>
      <c r="B9" s="237">
        <v>5187262.08</v>
      </c>
      <c r="C9" s="237">
        <v>5852711.0199999996</v>
      </c>
      <c r="D9" s="237">
        <v>11039973.1</v>
      </c>
    </row>
    <row r="11" spans="1:5" ht="15" thickBot="1" x14ac:dyDescent="0.4"/>
    <row r="12" spans="1:5" ht="16" thickBot="1" x14ac:dyDescent="0.4">
      <c r="A12" s="238" t="s">
        <v>181</v>
      </c>
      <c r="B12" s="239">
        <v>4500000</v>
      </c>
      <c r="C12" s="239">
        <v>5060000</v>
      </c>
      <c r="D12" s="240">
        <v>9560000</v>
      </c>
      <c r="E12" s="241">
        <f>D12-D5</f>
        <v>716904</v>
      </c>
    </row>
    <row r="14" spans="1:5" x14ac:dyDescent="0.35">
      <c r="B14" s="244"/>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C5"/>
  <sheetViews>
    <sheetView zoomScale="70" zoomScaleNormal="70" workbookViewId="0">
      <selection activeCell="A3" sqref="A3:XFD11"/>
    </sheetView>
  </sheetViews>
  <sheetFormatPr defaultRowHeight="14.5" x14ac:dyDescent="0.35"/>
  <cols>
    <col min="1" max="1" width="5.54296875" customWidth="1"/>
    <col min="2" max="2" width="22.81640625" bestFit="1" customWidth="1"/>
    <col min="3" max="4" width="22.81640625" customWidth="1"/>
    <col min="5" max="5" width="21.54296875" customWidth="1"/>
    <col min="6" max="6" width="71.7265625" bestFit="1" customWidth="1"/>
    <col min="7" max="7" width="18.453125" customWidth="1"/>
    <col min="8" max="8" width="9.453125" bestFit="1" customWidth="1"/>
    <col min="9" max="9" width="13.453125" bestFit="1" customWidth="1"/>
    <col min="10" max="10" width="9.54296875" bestFit="1" customWidth="1"/>
    <col min="11" max="11" width="11.453125" bestFit="1" customWidth="1"/>
    <col min="12" max="12" width="14.81640625" bestFit="1" customWidth="1"/>
    <col min="13" max="13" width="15" bestFit="1" customWidth="1"/>
    <col min="14" max="14" width="8" bestFit="1" customWidth="1"/>
    <col min="15" max="15" width="11.453125" bestFit="1" customWidth="1"/>
    <col min="16" max="16" width="15.453125" bestFit="1" customWidth="1"/>
    <col min="17" max="17" width="13.453125" bestFit="1" customWidth="1"/>
    <col min="18" max="18" width="15.1796875" bestFit="1" customWidth="1"/>
    <col min="19" max="20" width="18.81640625" bestFit="1" customWidth="1"/>
    <col min="21" max="21" width="11.81640625" bestFit="1" customWidth="1"/>
    <col min="22" max="22" width="15.1796875" bestFit="1" customWidth="1"/>
    <col min="23" max="23" width="19.1796875" bestFit="1" customWidth="1"/>
    <col min="24" max="24" width="3.81640625" bestFit="1" customWidth="1"/>
    <col min="25" max="25" width="13" bestFit="1" customWidth="1"/>
    <col min="26" max="26" width="12" bestFit="1" customWidth="1"/>
    <col min="27" max="27" width="15.453125" bestFit="1" customWidth="1"/>
    <col min="28" max="28" width="19.453125" bestFit="1" customWidth="1"/>
  </cols>
  <sheetData>
    <row r="5" spans="3:3" x14ac:dyDescent="0.35">
      <c r="C5" s="4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theme="9" tint="0.39997558519241921"/>
  </sheetPr>
  <dimension ref="A2:Q38"/>
  <sheetViews>
    <sheetView zoomScaleNormal="100" workbookViewId="0">
      <selection activeCell="E12" sqref="E12"/>
    </sheetView>
  </sheetViews>
  <sheetFormatPr defaultRowHeight="14.5" x14ac:dyDescent="0.35"/>
  <cols>
    <col min="1" max="1" width="20" customWidth="1"/>
    <col min="2" max="2" width="16.81640625" customWidth="1"/>
    <col min="3" max="3" width="20.1796875" bestFit="1" customWidth="1"/>
    <col min="4" max="4" width="22.453125" customWidth="1"/>
    <col min="5" max="5" width="13.54296875" customWidth="1"/>
    <col min="6" max="6" width="12.81640625" customWidth="1"/>
    <col min="7" max="7" width="8.54296875" bestFit="1" customWidth="1"/>
    <col min="8" max="8" width="10.1796875" customWidth="1"/>
    <col min="9" max="9" width="18.54296875" customWidth="1"/>
    <col min="10" max="10" width="17.1796875" customWidth="1"/>
    <col min="11" max="11" width="27" customWidth="1"/>
    <col min="12" max="12" width="31.1796875" customWidth="1"/>
    <col min="13" max="13" width="99.26953125" bestFit="1" customWidth="1"/>
    <col min="14" max="14" width="19.81640625" bestFit="1" customWidth="1"/>
    <col min="15" max="15" width="24.81640625" customWidth="1"/>
    <col min="16" max="16" width="29.1796875" bestFit="1" customWidth="1"/>
    <col min="17" max="17" width="35.1796875" bestFit="1" customWidth="1"/>
  </cols>
  <sheetData>
    <row r="2" spans="1:17" x14ac:dyDescent="0.35">
      <c r="B2" s="1189" t="s">
        <v>51</v>
      </c>
      <c r="C2" s="1189"/>
      <c r="D2" s="1189"/>
      <c r="E2" s="1189"/>
      <c r="F2" s="1189"/>
      <c r="G2" s="1189"/>
      <c r="H2" s="1189"/>
    </row>
    <row r="3" spans="1:17" x14ac:dyDescent="0.35">
      <c r="B3" t="s">
        <v>75</v>
      </c>
    </row>
    <row r="4" spans="1:17" hidden="1" x14ac:dyDescent="0.35">
      <c r="B4" s="27" t="s">
        <v>71</v>
      </c>
    </row>
    <row r="5" spans="1:17" hidden="1" x14ac:dyDescent="0.35">
      <c r="B5" s="26" t="s">
        <v>72</v>
      </c>
    </row>
    <row r="6" spans="1:17" hidden="1" x14ac:dyDescent="0.35">
      <c r="B6" s="28" t="s">
        <v>73</v>
      </c>
    </row>
    <row r="7" spans="1:17" hidden="1" x14ac:dyDescent="0.35">
      <c r="B7" s="25" t="s">
        <v>74</v>
      </c>
    </row>
    <row r="10" spans="1:17" ht="18.5" x14ac:dyDescent="0.45">
      <c r="B10" s="1204" t="s">
        <v>76</v>
      </c>
      <c r="C10" s="1205"/>
      <c r="D10" s="1205"/>
      <c r="E10" s="1205"/>
      <c r="F10" s="1205"/>
      <c r="G10" s="1205"/>
      <c r="H10" s="1205"/>
      <c r="I10" s="1205"/>
      <c r="J10" s="1205"/>
      <c r="K10" s="1205"/>
      <c r="L10" s="1205"/>
      <c r="M10" s="1205"/>
      <c r="N10" s="1205"/>
      <c r="O10" s="1205"/>
      <c r="P10" s="1205"/>
      <c r="Q10" s="1206"/>
    </row>
    <row r="12" spans="1:17" s="14" customFormat="1" ht="111.75" customHeight="1" thickBot="1" x14ac:dyDescent="0.4">
      <c r="B12" s="77" t="s">
        <v>77</v>
      </c>
      <c r="C12" s="78" t="s">
        <v>78</v>
      </c>
      <c r="D12" s="77" t="s">
        <v>79</v>
      </c>
      <c r="E12" s="77" t="s">
        <v>80</v>
      </c>
      <c r="F12" s="77" t="s">
        <v>81</v>
      </c>
      <c r="G12" s="79" t="s">
        <v>82</v>
      </c>
      <c r="H12" s="79" t="s">
        <v>83</v>
      </c>
      <c r="I12" s="79" t="s">
        <v>84</v>
      </c>
      <c r="J12" s="79" t="s">
        <v>85</v>
      </c>
      <c r="K12" s="79" t="s">
        <v>86</v>
      </c>
      <c r="L12" s="79" t="s">
        <v>87</v>
      </c>
      <c r="M12" s="79" t="s">
        <v>88</v>
      </c>
      <c r="N12" s="79" t="s">
        <v>89</v>
      </c>
      <c r="O12" s="79" t="s">
        <v>90</v>
      </c>
      <c r="P12" s="79" t="s">
        <v>91</v>
      </c>
      <c r="Q12" s="79" t="s">
        <v>92</v>
      </c>
    </row>
    <row r="13" spans="1:17" s="15" customFormat="1" ht="45" customHeight="1" thickBot="1" x14ac:dyDescent="0.35">
      <c r="B13" s="17" t="s">
        <v>93</v>
      </c>
      <c r="C13" s="18" t="s">
        <v>94</v>
      </c>
      <c r="D13" s="17" t="s">
        <v>95</v>
      </c>
      <c r="E13" s="17" t="s">
        <v>96</v>
      </c>
      <c r="F13" s="17" t="s">
        <v>97</v>
      </c>
      <c r="G13" s="43" t="s">
        <v>98</v>
      </c>
      <c r="H13" s="19" t="s">
        <v>99</v>
      </c>
      <c r="I13" s="19" t="s">
        <v>100</v>
      </c>
      <c r="J13" s="19" t="s">
        <v>101</v>
      </c>
      <c r="K13" s="19" t="s">
        <v>102</v>
      </c>
      <c r="L13" s="20" t="s">
        <v>103</v>
      </c>
      <c r="M13" s="20" t="s">
        <v>104</v>
      </c>
      <c r="N13" s="20" t="s">
        <v>105</v>
      </c>
      <c r="O13" s="20" t="s">
        <v>106</v>
      </c>
      <c r="P13" s="20" t="s">
        <v>107</v>
      </c>
      <c r="Q13" s="21" t="s">
        <v>108</v>
      </c>
    </row>
    <row r="14" spans="1:17" x14ac:dyDescent="0.35">
      <c r="B14" s="261"/>
      <c r="C14" s="262"/>
      <c r="D14" s="261"/>
      <c r="E14" s="261"/>
      <c r="F14" s="261"/>
      <c r="G14" s="261"/>
      <c r="H14" s="261"/>
      <c r="I14" s="261"/>
      <c r="J14" s="261"/>
      <c r="K14" s="261"/>
      <c r="L14" s="264"/>
      <c r="M14" s="261"/>
      <c r="N14" s="265"/>
      <c r="O14" s="265"/>
      <c r="P14" s="261"/>
      <c r="Q14" s="261"/>
    </row>
    <row r="15" spans="1:17" x14ac:dyDescent="0.35">
      <c r="A15" s="272"/>
      <c r="B15" s="85"/>
      <c r="C15" s="262"/>
      <c r="D15" s="261"/>
      <c r="E15" s="263"/>
      <c r="F15" s="85"/>
      <c r="G15" s="85"/>
      <c r="H15" s="85"/>
      <c r="I15" s="85"/>
      <c r="J15" s="261"/>
      <c r="K15" s="266"/>
      <c r="L15" s="264"/>
      <c r="M15" s="261"/>
      <c r="N15" s="87"/>
      <c r="O15" s="87"/>
      <c r="P15" s="85"/>
      <c r="Q15" s="261"/>
    </row>
    <row r="16" spans="1:17" x14ac:dyDescent="0.35">
      <c r="B16" s="85"/>
      <c r="C16" s="262"/>
      <c r="D16" s="261"/>
      <c r="E16" s="85"/>
      <c r="F16" s="261"/>
      <c r="G16" s="85"/>
      <c r="H16" s="85"/>
      <c r="I16" s="85"/>
      <c r="J16" s="85"/>
      <c r="K16" s="261"/>
      <c r="L16" s="264"/>
      <c r="M16" s="261"/>
      <c r="N16" s="87"/>
      <c r="O16" s="87"/>
      <c r="P16" s="85"/>
      <c r="Q16" s="261"/>
    </row>
    <row r="17" spans="2:17" x14ac:dyDescent="0.35">
      <c r="B17" s="85"/>
      <c r="C17" s="262"/>
      <c r="D17" s="261"/>
      <c r="E17" s="85"/>
      <c r="F17" s="261"/>
      <c r="G17" s="85"/>
      <c r="H17" s="85"/>
      <c r="I17" s="85"/>
      <c r="J17" s="85"/>
      <c r="K17" s="261"/>
      <c r="L17" s="264"/>
      <c r="M17" s="261"/>
      <c r="N17" s="87"/>
      <c r="O17" s="87"/>
      <c r="P17" s="85"/>
      <c r="Q17" s="261"/>
    </row>
    <row r="18" spans="2:17" x14ac:dyDescent="0.35">
      <c r="B18" s="261"/>
      <c r="C18" s="262"/>
      <c r="D18" s="261"/>
      <c r="E18" s="263"/>
      <c r="F18" s="261"/>
      <c r="G18" s="261"/>
      <c r="H18" s="261"/>
      <c r="I18" s="261"/>
      <c r="J18" s="261"/>
      <c r="K18" s="261"/>
      <c r="L18" s="264"/>
      <c r="M18" s="261"/>
      <c r="N18" s="265"/>
      <c r="O18" s="265"/>
      <c r="P18" s="261"/>
      <c r="Q18" s="261"/>
    </row>
    <row r="19" spans="2:17" x14ac:dyDescent="0.35">
      <c r="B19" s="261"/>
      <c r="C19" s="262"/>
      <c r="D19" s="261"/>
      <c r="E19" s="85"/>
      <c r="F19" s="85"/>
      <c r="G19" s="261"/>
      <c r="H19" s="261"/>
      <c r="I19" s="261"/>
      <c r="J19" s="85"/>
      <c r="K19" s="261"/>
      <c r="L19" s="264"/>
      <c r="M19" s="261"/>
      <c r="N19" s="265"/>
      <c r="O19" s="265"/>
      <c r="P19" s="261"/>
      <c r="Q19" s="261"/>
    </row>
    <row r="20" spans="2:17" x14ac:dyDescent="0.35">
      <c r="B20" s="261"/>
      <c r="C20" s="262"/>
      <c r="D20" s="261"/>
      <c r="E20" s="261"/>
      <c r="F20" s="261"/>
      <c r="G20" s="261"/>
      <c r="H20" s="261"/>
      <c r="I20" s="261"/>
      <c r="J20" s="261"/>
      <c r="K20" s="261"/>
      <c r="L20" s="264"/>
      <c r="M20" s="261"/>
      <c r="N20" s="265"/>
      <c r="O20" s="265"/>
      <c r="P20" s="261"/>
      <c r="Q20" s="261"/>
    </row>
    <row r="21" spans="2:17" x14ac:dyDescent="0.35">
      <c r="B21" s="85"/>
      <c r="C21" s="86"/>
      <c r="D21" s="85"/>
      <c r="E21" s="85"/>
      <c r="F21" s="85"/>
      <c r="G21" s="85"/>
      <c r="H21" s="85"/>
      <c r="I21" s="85"/>
      <c r="J21" s="85"/>
      <c r="K21" s="85"/>
      <c r="L21" s="85"/>
      <c r="M21" s="76"/>
      <c r="N21" s="87"/>
      <c r="O21" s="87"/>
      <c r="P21" s="85"/>
      <c r="Q21" s="85"/>
    </row>
    <row r="22" spans="2:17" x14ac:dyDescent="0.35">
      <c r="B22" s="85"/>
      <c r="C22" s="86"/>
      <c r="D22" s="86"/>
      <c r="E22" s="268"/>
      <c r="F22" s="267"/>
      <c r="G22" s="269"/>
      <c r="H22" s="85"/>
      <c r="I22" s="85"/>
      <c r="J22" s="85"/>
      <c r="K22" s="85"/>
      <c r="L22" s="85"/>
      <c r="M22" s="76"/>
      <c r="N22" s="87"/>
      <c r="O22" s="87"/>
      <c r="P22" s="85"/>
      <c r="Q22" s="85"/>
    </row>
    <row r="23" spans="2:17" x14ac:dyDescent="0.35">
      <c r="E23" s="270"/>
      <c r="F23" s="271"/>
    </row>
    <row r="24" spans="2:17" ht="15" thickBot="1" x14ac:dyDescent="0.4">
      <c r="B24" s="272"/>
    </row>
    <row r="25" spans="2:17" ht="15" thickBot="1" x14ac:dyDescent="0.4">
      <c r="B25" s="1207" t="s">
        <v>109</v>
      </c>
      <c r="C25" s="1208"/>
      <c r="D25" s="1208"/>
      <c r="E25" s="1208"/>
      <c r="F25" s="1208"/>
      <c r="G25" s="1208"/>
      <c r="H25" s="1208"/>
      <c r="I25" s="1208"/>
      <c r="J25" s="1208"/>
      <c r="K25" s="1208"/>
      <c r="L25" s="1209"/>
    </row>
    <row r="26" spans="2:17" ht="15" thickBot="1" x14ac:dyDescent="0.4">
      <c r="B26" s="1210" t="s">
        <v>110</v>
      </c>
      <c r="C26" s="1211"/>
      <c r="D26" s="1211" t="s">
        <v>111</v>
      </c>
      <c r="E26" s="1211"/>
      <c r="F26" s="1211"/>
      <c r="G26" s="1211"/>
      <c r="H26" s="1211"/>
      <c r="I26" s="1211"/>
      <c r="J26" s="1211"/>
      <c r="K26" s="1211"/>
      <c r="L26" s="1212"/>
    </row>
    <row r="27" spans="2:17" ht="28" customHeight="1" x14ac:dyDescent="0.35">
      <c r="B27" s="1198" t="s">
        <v>112</v>
      </c>
      <c r="C27" s="1199"/>
      <c r="D27" s="1200" t="s">
        <v>113</v>
      </c>
      <c r="E27" s="1200"/>
      <c r="F27" s="1200"/>
      <c r="G27" s="1200"/>
      <c r="H27" s="1200"/>
      <c r="I27" s="1200"/>
      <c r="J27" s="1200"/>
      <c r="K27" s="1200"/>
      <c r="L27" s="1201"/>
    </row>
    <row r="28" spans="2:17" x14ac:dyDescent="0.35">
      <c r="B28" s="1192"/>
      <c r="C28" s="1193"/>
      <c r="D28" s="1202" t="s">
        <v>114</v>
      </c>
      <c r="E28" s="1202"/>
      <c r="F28" s="1202"/>
      <c r="G28" s="1202"/>
      <c r="H28" s="1202"/>
      <c r="I28" s="1202"/>
      <c r="J28" s="1202"/>
      <c r="K28" s="1202"/>
      <c r="L28" s="1203"/>
    </row>
    <row r="29" spans="2:17" x14ac:dyDescent="0.35">
      <c r="B29" s="1192"/>
      <c r="C29" s="1193"/>
      <c r="D29" s="1196" t="s">
        <v>115</v>
      </c>
      <c r="E29" s="1196"/>
      <c r="F29" s="1196"/>
      <c r="G29" s="1196"/>
      <c r="H29" s="1196"/>
      <c r="I29" s="1196"/>
      <c r="J29" s="1196"/>
      <c r="K29" s="1196"/>
      <c r="L29" s="1197"/>
    </row>
    <row r="30" spans="2:17" x14ac:dyDescent="0.35">
      <c r="B30" s="1177" t="s">
        <v>116</v>
      </c>
      <c r="C30" s="1178"/>
      <c r="D30" s="1183" t="s">
        <v>117</v>
      </c>
      <c r="E30" s="1183"/>
      <c r="F30" s="1183"/>
      <c r="G30" s="1183"/>
      <c r="H30" s="1183"/>
      <c r="I30" s="1183"/>
      <c r="J30" s="1183"/>
      <c r="K30" s="1183"/>
      <c r="L30" s="1184"/>
    </row>
    <row r="31" spans="2:17" x14ac:dyDescent="0.35">
      <c r="B31" s="1177"/>
      <c r="C31" s="1178"/>
      <c r="D31" s="1190" t="s">
        <v>118</v>
      </c>
      <c r="E31" s="1190"/>
      <c r="F31" s="1190"/>
      <c r="G31" s="1190"/>
      <c r="H31" s="1190"/>
      <c r="I31" s="1190"/>
      <c r="J31" s="1190"/>
      <c r="K31" s="1190"/>
      <c r="L31" s="1191"/>
    </row>
    <row r="32" spans="2:17" x14ac:dyDescent="0.35">
      <c r="B32" s="1192" t="s">
        <v>119</v>
      </c>
      <c r="C32" s="1193"/>
      <c r="D32" s="1194" t="s">
        <v>120</v>
      </c>
      <c r="E32" s="1194"/>
      <c r="F32" s="1194"/>
      <c r="G32" s="1194"/>
      <c r="H32" s="1194"/>
      <c r="I32" s="1194"/>
      <c r="J32" s="1194"/>
      <c r="K32" s="1194"/>
      <c r="L32" s="1195"/>
    </row>
    <row r="33" spans="2:12" ht="26.25" customHeight="1" x14ac:dyDescent="0.35">
      <c r="B33" s="1192"/>
      <c r="C33" s="1193"/>
      <c r="D33" s="1196" t="s">
        <v>121</v>
      </c>
      <c r="E33" s="1196"/>
      <c r="F33" s="1196"/>
      <c r="G33" s="1196"/>
      <c r="H33" s="1196"/>
      <c r="I33" s="1196"/>
      <c r="J33" s="1196"/>
      <c r="K33" s="1196"/>
      <c r="L33" s="1197"/>
    </row>
    <row r="34" spans="2:12" x14ac:dyDescent="0.35">
      <c r="B34" s="1192"/>
      <c r="C34" s="1193"/>
      <c r="D34" s="1194" t="s">
        <v>118</v>
      </c>
      <c r="E34" s="1194"/>
      <c r="F34" s="1194"/>
      <c r="G34" s="1194"/>
      <c r="H34" s="1194"/>
      <c r="I34" s="1194"/>
      <c r="J34" s="1194"/>
      <c r="K34" s="1194"/>
      <c r="L34" s="1195"/>
    </row>
    <row r="35" spans="2:12" x14ac:dyDescent="0.35">
      <c r="B35" s="1177" t="s">
        <v>122</v>
      </c>
      <c r="C35" s="1178"/>
      <c r="D35" s="1181" t="s">
        <v>123</v>
      </c>
      <c r="E35" s="1181"/>
      <c r="F35" s="1181"/>
      <c r="G35" s="1181"/>
      <c r="H35" s="1181"/>
      <c r="I35" s="1181"/>
      <c r="J35" s="1181"/>
      <c r="K35" s="1181"/>
      <c r="L35" s="1182"/>
    </row>
    <row r="36" spans="2:12" ht="29.5" customHeight="1" x14ac:dyDescent="0.35">
      <c r="B36" s="1177"/>
      <c r="C36" s="1178"/>
      <c r="D36" s="1183" t="s">
        <v>124</v>
      </c>
      <c r="E36" s="1183"/>
      <c r="F36" s="1183"/>
      <c r="G36" s="1183"/>
      <c r="H36" s="1183"/>
      <c r="I36" s="1183"/>
      <c r="J36" s="1183"/>
      <c r="K36" s="1183"/>
      <c r="L36" s="1184"/>
    </row>
    <row r="37" spans="2:12" ht="29.25" customHeight="1" x14ac:dyDescent="0.35">
      <c r="B37" s="1177"/>
      <c r="C37" s="1178"/>
      <c r="D37" s="1185" t="s">
        <v>125</v>
      </c>
      <c r="E37" s="1185"/>
      <c r="F37" s="1185"/>
      <c r="G37" s="1185"/>
      <c r="H37" s="1185"/>
      <c r="I37" s="1185"/>
      <c r="J37" s="1185"/>
      <c r="K37" s="1185"/>
      <c r="L37" s="1186"/>
    </row>
    <row r="38" spans="2:12" ht="15" thickBot="1" x14ac:dyDescent="0.4">
      <c r="B38" s="1179"/>
      <c r="C38" s="1180"/>
      <c r="D38" s="1187" t="s">
        <v>118</v>
      </c>
      <c r="E38" s="1187"/>
      <c r="F38" s="1187"/>
      <c r="G38" s="1187"/>
      <c r="H38" s="1187"/>
      <c r="I38" s="1187"/>
      <c r="J38" s="1187"/>
      <c r="K38" s="1187"/>
      <c r="L38" s="1188"/>
    </row>
  </sheetData>
  <mergeCells count="21">
    <mergeCell ref="B2:H2"/>
    <mergeCell ref="B30:C31"/>
    <mergeCell ref="D30:L30"/>
    <mergeCell ref="D31:L31"/>
    <mergeCell ref="B32:C34"/>
    <mergeCell ref="D32:L32"/>
    <mergeCell ref="D33:L33"/>
    <mergeCell ref="D34:L34"/>
    <mergeCell ref="B27:C29"/>
    <mergeCell ref="D27:L27"/>
    <mergeCell ref="D28:L28"/>
    <mergeCell ref="D29:L29"/>
    <mergeCell ref="B10:Q10"/>
    <mergeCell ref="B25:L25"/>
    <mergeCell ref="B26:C26"/>
    <mergeCell ref="D26:L26"/>
    <mergeCell ref="B35:C38"/>
    <mergeCell ref="D35:L35"/>
    <mergeCell ref="D36:L36"/>
    <mergeCell ref="D37:L37"/>
    <mergeCell ref="D38:L38"/>
  </mergeCell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filterMode="1">
    <tabColor theme="1"/>
  </sheetPr>
  <dimension ref="A1:X2719"/>
  <sheetViews>
    <sheetView topLeftCell="N1" zoomScaleNormal="100" workbookViewId="0">
      <selection activeCell="V2709" sqref="V2709:V2718"/>
    </sheetView>
  </sheetViews>
  <sheetFormatPr defaultRowHeight="14.5" x14ac:dyDescent="0.35"/>
  <cols>
    <col min="1" max="1" width="16.54296875" bestFit="1" customWidth="1"/>
    <col min="2" max="2" width="34.1796875" bestFit="1" customWidth="1"/>
    <col min="3" max="3" width="36.453125" customWidth="1"/>
    <col min="4" max="4" width="13.81640625" customWidth="1"/>
    <col min="5" max="5" width="23.1796875" customWidth="1"/>
    <col min="6" max="6" width="14.7265625" customWidth="1"/>
    <col min="7" max="7" width="12.1796875" customWidth="1"/>
    <col min="8" max="8" width="28.26953125" customWidth="1"/>
    <col min="9" max="9" width="12.453125" customWidth="1"/>
    <col min="10" max="10" width="12.1796875" customWidth="1"/>
    <col min="11" max="11" width="14.453125" customWidth="1"/>
    <col min="12" max="12" width="6.453125" customWidth="1"/>
    <col min="13" max="13" width="29.81640625" customWidth="1"/>
    <col min="14" max="14" width="33" customWidth="1"/>
    <col min="15" max="15" width="19.54296875" customWidth="1"/>
    <col min="16" max="16" width="13.81640625" customWidth="1"/>
    <col min="17" max="17" width="7.1796875" customWidth="1"/>
    <col min="18" max="18" width="15.54296875" customWidth="1"/>
    <col min="19" max="19" width="4.54296875" customWidth="1"/>
    <col min="20" max="23" width="15.453125" customWidth="1"/>
  </cols>
  <sheetData>
    <row r="1" spans="1:23" ht="15" thickBot="1" x14ac:dyDescent="0.4">
      <c r="A1" s="478" t="s">
        <v>161</v>
      </c>
      <c r="B1" s="478" t="s">
        <v>257</v>
      </c>
      <c r="C1" s="478" t="s">
        <v>258</v>
      </c>
      <c r="D1" s="478" t="s">
        <v>259</v>
      </c>
      <c r="E1" s="478" t="s">
        <v>260</v>
      </c>
      <c r="F1" s="478" t="s">
        <v>261</v>
      </c>
      <c r="G1" s="478" t="s">
        <v>262</v>
      </c>
      <c r="H1" s="478" t="s">
        <v>263</v>
      </c>
      <c r="I1" s="478" t="s">
        <v>264</v>
      </c>
      <c r="J1" s="478" t="s">
        <v>265</v>
      </c>
      <c r="K1" s="478" t="s">
        <v>266</v>
      </c>
      <c r="L1" s="478" t="s">
        <v>98</v>
      </c>
      <c r="M1" s="869" t="s">
        <v>267</v>
      </c>
      <c r="N1" s="870" t="s">
        <v>268</v>
      </c>
      <c r="O1" s="871" t="s">
        <v>269</v>
      </c>
      <c r="P1" s="871" t="s">
        <v>162</v>
      </c>
      <c r="Q1" s="871" t="s">
        <v>270</v>
      </c>
      <c r="R1" s="871" t="s">
        <v>271</v>
      </c>
      <c r="S1" s="871" t="s">
        <v>272</v>
      </c>
      <c r="T1" s="871" t="s">
        <v>273</v>
      </c>
      <c r="U1" s="871" t="s">
        <v>274</v>
      </c>
      <c r="V1" s="871" t="s">
        <v>275</v>
      </c>
      <c r="W1" s="872" t="s">
        <v>279</v>
      </c>
    </row>
    <row r="2" spans="1:23" hidden="1" x14ac:dyDescent="0.35">
      <c r="A2" s="472" t="s">
        <v>526</v>
      </c>
      <c r="B2" s="472" t="s">
        <v>159</v>
      </c>
      <c r="C2" s="472" t="s">
        <v>281</v>
      </c>
      <c r="D2" s="472" t="s">
        <v>282</v>
      </c>
      <c r="E2" s="472" t="s">
        <v>283</v>
      </c>
      <c r="F2" s="472" t="s">
        <v>276</v>
      </c>
      <c r="G2" s="472" t="s">
        <v>527</v>
      </c>
      <c r="H2" s="472"/>
      <c r="I2" s="472" t="s">
        <v>277</v>
      </c>
      <c r="J2" s="472" t="s">
        <v>528</v>
      </c>
      <c r="K2" s="472" t="s">
        <v>294</v>
      </c>
      <c r="L2" s="472" t="s">
        <v>529</v>
      </c>
      <c r="M2" s="472" t="s">
        <v>285</v>
      </c>
      <c r="N2" s="472"/>
      <c r="O2" s="472"/>
      <c r="P2" s="472" t="s">
        <v>528</v>
      </c>
      <c r="Q2" s="472"/>
      <c r="R2" s="473">
        <v>45383</v>
      </c>
      <c r="S2" s="472"/>
      <c r="T2" s="473">
        <v>45382</v>
      </c>
      <c r="U2" s="474">
        <v>0</v>
      </c>
      <c r="V2" s="475">
        <v>252.15</v>
      </c>
      <c r="W2" s="259">
        <v>45352</v>
      </c>
    </row>
    <row r="3" spans="1:23" hidden="1" x14ac:dyDescent="0.35">
      <c r="A3" s="472" t="s">
        <v>526</v>
      </c>
      <c r="B3" s="472" t="s">
        <v>159</v>
      </c>
      <c r="C3" s="472" t="s">
        <v>286</v>
      </c>
      <c r="D3" s="472" t="s">
        <v>287</v>
      </c>
      <c r="E3" s="472" t="s">
        <v>288</v>
      </c>
      <c r="F3" s="472" t="s">
        <v>276</v>
      </c>
      <c r="G3" s="472" t="s">
        <v>527</v>
      </c>
      <c r="H3" s="472"/>
      <c r="I3" s="472" t="s">
        <v>277</v>
      </c>
      <c r="J3" s="472" t="s">
        <v>528</v>
      </c>
      <c r="K3" s="472" t="s">
        <v>289</v>
      </c>
      <c r="L3" s="472" t="s">
        <v>529</v>
      </c>
      <c r="M3" s="472" t="s">
        <v>285</v>
      </c>
      <c r="N3" s="472"/>
      <c r="O3" s="472"/>
      <c r="P3" s="472" t="s">
        <v>528</v>
      </c>
      <c r="Q3" s="472"/>
      <c r="R3" s="473">
        <v>45383</v>
      </c>
      <c r="S3" s="472"/>
      <c r="T3" s="473">
        <v>45382</v>
      </c>
      <c r="U3" s="474">
        <v>0</v>
      </c>
      <c r="V3" s="475">
        <v>723.36</v>
      </c>
      <c r="W3" s="259">
        <v>45352</v>
      </c>
    </row>
    <row r="4" spans="1:23" hidden="1" x14ac:dyDescent="0.35">
      <c r="A4" s="472" t="s">
        <v>526</v>
      </c>
      <c r="B4" s="472" t="s">
        <v>159</v>
      </c>
      <c r="C4" s="472" t="s">
        <v>281</v>
      </c>
      <c r="D4" s="472" t="s">
        <v>290</v>
      </c>
      <c r="E4" s="472" t="s">
        <v>291</v>
      </c>
      <c r="F4" s="472" t="s">
        <v>276</v>
      </c>
      <c r="G4" s="472" t="s">
        <v>527</v>
      </c>
      <c r="H4" s="472"/>
      <c r="I4" s="472" t="s">
        <v>277</v>
      </c>
      <c r="J4" s="472" t="s">
        <v>528</v>
      </c>
      <c r="K4" s="472" t="s">
        <v>284</v>
      </c>
      <c r="L4" s="472" t="s">
        <v>529</v>
      </c>
      <c r="M4" s="472" t="s">
        <v>285</v>
      </c>
      <c r="N4" s="472"/>
      <c r="O4" s="472"/>
      <c r="P4" s="472" t="s">
        <v>528</v>
      </c>
      <c r="Q4" s="472"/>
      <c r="R4" s="473">
        <v>45383</v>
      </c>
      <c r="S4" s="472"/>
      <c r="T4" s="473">
        <v>45382</v>
      </c>
      <c r="U4" s="474">
        <v>0</v>
      </c>
      <c r="V4" s="475">
        <v>156.72</v>
      </c>
      <c r="W4" s="259">
        <v>45352</v>
      </c>
    </row>
    <row r="5" spans="1:23" hidden="1" x14ac:dyDescent="0.35">
      <c r="A5" s="472" t="s">
        <v>526</v>
      </c>
      <c r="B5" s="472" t="s">
        <v>159</v>
      </c>
      <c r="C5" s="472" t="s">
        <v>281</v>
      </c>
      <c r="D5" s="472" t="s">
        <v>292</v>
      </c>
      <c r="E5" s="472" t="s">
        <v>293</v>
      </c>
      <c r="F5" s="472" t="s">
        <v>276</v>
      </c>
      <c r="G5" s="472" t="s">
        <v>527</v>
      </c>
      <c r="H5" s="472"/>
      <c r="I5" s="472" t="s">
        <v>277</v>
      </c>
      <c r="J5" s="472" t="s">
        <v>528</v>
      </c>
      <c r="K5" s="472" t="s">
        <v>294</v>
      </c>
      <c r="L5" s="472" t="s">
        <v>529</v>
      </c>
      <c r="M5" s="472" t="s">
        <v>285</v>
      </c>
      <c r="N5" s="472"/>
      <c r="O5" s="472"/>
      <c r="P5" s="472" t="s">
        <v>528</v>
      </c>
      <c r="Q5" s="472"/>
      <c r="R5" s="473">
        <v>45383</v>
      </c>
      <c r="S5" s="472"/>
      <c r="T5" s="473">
        <v>45382</v>
      </c>
      <c r="U5" s="474">
        <v>0</v>
      </c>
      <c r="V5" s="475">
        <v>222.22</v>
      </c>
      <c r="W5" s="259">
        <v>45352</v>
      </c>
    </row>
    <row r="6" spans="1:23" hidden="1" x14ac:dyDescent="0.35">
      <c r="A6" s="472" t="s">
        <v>526</v>
      </c>
      <c r="B6" s="472" t="s">
        <v>159</v>
      </c>
      <c r="C6" s="472" t="s">
        <v>286</v>
      </c>
      <c r="D6" s="472" t="s">
        <v>295</v>
      </c>
      <c r="E6" s="472" t="s">
        <v>296</v>
      </c>
      <c r="F6" s="472" t="s">
        <v>276</v>
      </c>
      <c r="G6" s="472" t="s">
        <v>527</v>
      </c>
      <c r="H6" s="472"/>
      <c r="I6" s="472" t="s">
        <v>277</v>
      </c>
      <c r="J6" s="472" t="s">
        <v>528</v>
      </c>
      <c r="K6" s="472" t="s">
        <v>297</v>
      </c>
      <c r="L6" s="472" t="s">
        <v>529</v>
      </c>
      <c r="M6" s="472" t="s">
        <v>285</v>
      </c>
      <c r="N6" s="472"/>
      <c r="O6" s="472"/>
      <c r="P6" s="472" t="s">
        <v>528</v>
      </c>
      <c r="Q6" s="472"/>
      <c r="R6" s="473">
        <v>45383</v>
      </c>
      <c r="S6" s="472"/>
      <c r="T6" s="473">
        <v>45382</v>
      </c>
      <c r="U6" s="474">
        <v>0</v>
      </c>
      <c r="V6" s="475">
        <v>279.98</v>
      </c>
      <c r="W6" s="259">
        <v>45352</v>
      </c>
    </row>
    <row r="7" spans="1:23" hidden="1" x14ac:dyDescent="0.35">
      <c r="A7" s="472" t="s">
        <v>526</v>
      </c>
      <c r="B7" s="472" t="s">
        <v>159</v>
      </c>
      <c r="C7" s="472" t="s">
        <v>298</v>
      </c>
      <c r="D7" s="472" t="s">
        <v>299</v>
      </c>
      <c r="E7" s="472" t="s">
        <v>300</v>
      </c>
      <c r="F7" s="472" t="s">
        <v>276</v>
      </c>
      <c r="G7" s="472" t="s">
        <v>527</v>
      </c>
      <c r="H7" s="472"/>
      <c r="I7" s="472" t="s">
        <v>277</v>
      </c>
      <c r="J7" s="472" t="s">
        <v>528</v>
      </c>
      <c r="K7" s="472" t="s">
        <v>301</v>
      </c>
      <c r="L7" s="472" t="s">
        <v>529</v>
      </c>
      <c r="M7" s="472" t="s">
        <v>285</v>
      </c>
      <c r="N7" s="472"/>
      <c r="O7" s="472"/>
      <c r="P7" s="472" t="s">
        <v>528</v>
      </c>
      <c r="Q7" s="472"/>
      <c r="R7" s="473">
        <v>45384</v>
      </c>
      <c r="S7" s="472"/>
      <c r="T7" s="473">
        <v>45382</v>
      </c>
      <c r="U7" s="474">
        <v>0</v>
      </c>
      <c r="V7" s="475">
        <v>0.08</v>
      </c>
      <c r="W7" s="259">
        <v>45352</v>
      </c>
    </row>
    <row r="8" spans="1:23" hidden="1" x14ac:dyDescent="0.35">
      <c r="A8" s="472" t="s">
        <v>526</v>
      </c>
      <c r="B8" s="472" t="s">
        <v>159</v>
      </c>
      <c r="C8" s="472" t="s">
        <v>298</v>
      </c>
      <c r="D8" s="472" t="s">
        <v>304</v>
      </c>
      <c r="E8" s="472" t="s">
        <v>305</v>
      </c>
      <c r="F8" s="472" t="s">
        <v>276</v>
      </c>
      <c r="G8" s="472" t="s">
        <v>527</v>
      </c>
      <c r="H8" s="472"/>
      <c r="I8" s="472" t="s">
        <v>277</v>
      </c>
      <c r="J8" s="472" t="s">
        <v>528</v>
      </c>
      <c r="K8" s="472" t="s">
        <v>301</v>
      </c>
      <c r="L8" s="472" t="s">
        <v>529</v>
      </c>
      <c r="M8" s="472" t="s">
        <v>285</v>
      </c>
      <c r="N8" s="472"/>
      <c r="O8" s="472"/>
      <c r="P8" s="472" t="s">
        <v>528</v>
      </c>
      <c r="Q8" s="472"/>
      <c r="R8" s="473">
        <v>45384</v>
      </c>
      <c r="S8" s="472"/>
      <c r="T8" s="473">
        <v>45382</v>
      </c>
      <c r="U8" s="474">
        <v>0</v>
      </c>
      <c r="V8" s="475">
        <v>0.12</v>
      </c>
      <c r="W8" s="259">
        <v>45352</v>
      </c>
    </row>
    <row r="9" spans="1:23" hidden="1" x14ac:dyDescent="0.35">
      <c r="A9" s="472" t="s">
        <v>526</v>
      </c>
      <c r="B9" s="472" t="s">
        <v>159</v>
      </c>
      <c r="C9" s="472" t="s">
        <v>298</v>
      </c>
      <c r="D9" s="472" t="s">
        <v>306</v>
      </c>
      <c r="E9" s="472" t="s">
        <v>307</v>
      </c>
      <c r="F9" s="472" t="s">
        <v>276</v>
      </c>
      <c r="G9" s="472" t="s">
        <v>527</v>
      </c>
      <c r="H9" s="472"/>
      <c r="I9" s="472" t="s">
        <v>277</v>
      </c>
      <c r="J9" s="472" t="s">
        <v>528</v>
      </c>
      <c r="K9" s="472" t="s">
        <v>301</v>
      </c>
      <c r="L9" s="472" t="s">
        <v>529</v>
      </c>
      <c r="M9" s="472" t="s">
        <v>285</v>
      </c>
      <c r="N9" s="472"/>
      <c r="O9" s="472"/>
      <c r="P9" s="472" t="s">
        <v>528</v>
      </c>
      <c r="Q9" s="472"/>
      <c r="R9" s="473">
        <v>45384</v>
      </c>
      <c r="S9" s="472"/>
      <c r="T9" s="473">
        <v>45382</v>
      </c>
      <c r="U9" s="474">
        <v>0</v>
      </c>
      <c r="V9" s="475">
        <v>0.14000000000000001</v>
      </c>
      <c r="W9" s="259">
        <v>45352</v>
      </c>
    </row>
    <row r="10" spans="1:23" hidden="1" x14ac:dyDescent="0.35">
      <c r="A10" s="472" t="s">
        <v>526</v>
      </c>
      <c r="B10" s="472" t="s">
        <v>159</v>
      </c>
      <c r="C10" s="472" t="s">
        <v>298</v>
      </c>
      <c r="D10" s="472" t="s">
        <v>308</v>
      </c>
      <c r="E10" s="472" t="s">
        <v>309</v>
      </c>
      <c r="F10" s="472" t="s">
        <v>276</v>
      </c>
      <c r="G10" s="472" t="s">
        <v>527</v>
      </c>
      <c r="H10" s="472"/>
      <c r="I10" s="472" t="s">
        <v>277</v>
      </c>
      <c r="J10" s="472" t="s">
        <v>528</v>
      </c>
      <c r="K10" s="472" t="s">
        <v>301</v>
      </c>
      <c r="L10" s="472" t="s">
        <v>529</v>
      </c>
      <c r="M10" s="472" t="s">
        <v>285</v>
      </c>
      <c r="N10" s="472"/>
      <c r="O10" s="472"/>
      <c r="P10" s="472" t="s">
        <v>528</v>
      </c>
      <c r="Q10" s="472"/>
      <c r="R10" s="473">
        <v>45384</v>
      </c>
      <c r="S10" s="472"/>
      <c r="T10" s="473">
        <v>45382</v>
      </c>
      <c r="U10" s="474">
        <v>0</v>
      </c>
      <c r="V10" s="475">
        <v>151.94</v>
      </c>
      <c r="W10" s="259">
        <v>45352</v>
      </c>
    </row>
    <row r="11" spans="1:23" hidden="1" x14ac:dyDescent="0.35">
      <c r="A11" s="472" t="s">
        <v>526</v>
      </c>
      <c r="B11" s="472" t="s">
        <v>159</v>
      </c>
      <c r="C11" s="472" t="s">
        <v>298</v>
      </c>
      <c r="D11" s="472" t="s">
        <v>310</v>
      </c>
      <c r="E11" s="472" t="s">
        <v>311</v>
      </c>
      <c r="F11" s="472" t="s">
        <v>276</v>
      </c>
      <c r="G11" s="472" t="s">
        <v>527</v>
      </c>
      <c r="H11" s="472"/>
      <c r="I11" s="472" t="s">
        <v>277</v>
      </c>
      <c r="J11" s="472" t="s">
        <v>528</v>
      </c>
      <c r="K11" s="472" t="s">
        <v>301</v>
      </c>
      <c r="L11" s="472" t="s">
        <v>529</v>
      </c>
      <c r="M11" s="472" t="s">
        <v>285</v>
      </c>
      <c r="N11" s="472"/>
      <c r="O11" s="472"/>
      <c r="P11" s="472" t="s">
        <v>528</v>
      </c>
      <c r="Q11" s="472"/>
      <c r="R11" s="473">
        <v>45384</v>
      </c>
      <c r="S11" s="472"/>
      <c r="T11" s="473">
        <v>45382</v>
      </c>
      <c r="U11" s="474">
        <v>0</v>
      </c>
      <c r="V11" s="475">
        <v>-1.62</v>
      </c>
      <c r="W11" s="259">
        <v>45352</v>
      </c>
    </row>
    <row r="12" spans="1:23" hidden="1" x14ac:dyDescent="0.35">
      <c r="A12" s="472" t="s">
        <v>526</v>
      </c>
      <c r="B12" s="472" t="s">
        <v>159</v>
      </c>
      <c r="C12" s="472" t="s">
        <v>298</v>
      </c>
      <c r="D12" s="472" t="s">
        <v>312</v>
      </c>
      <c r="E12" s="472" t="s">
        <v>313</v>
      </c>
      <c r="F12" s="472" t="s">
        <v>276</v>
      </c>
      <c r="G12" s="472" t="s">
        <v>527</v>
      </c>
      <c r="H12" s="472"/>
      <c r="I12" s="472" t="s">
        <v>277</v>
      </c>
      <c r="J12" s="472" t="s">
        <v>528</v>
      </c>
      <c r="K12" s="472" t="s">
        <v>301</v>
      </c>
      <c r="L12" s="472" t="s">
        <v>529</v>
      </c>
      <c r="M12" s="472" t="s">
        <v>285</v>
      </c>
      <c r="N12" s="472"/>
      <c r="O12" s="472"/>
      <c r="P12" s="472" t="s">
        <v>528</v>
      </c>
      <c r="Q12" s="472"/>
      <c r="R12" s="473">
        <v>45384</v>
      </c>
      <c r="S12" s="472"/>
      <c r="T12" s="473">
        <v>45382</v>
      </c>
      <c r="U12" s="474">
        <v>0</v>
      </c>
      <c r="V12" s="475">
        <v>4.78</v>
      </c>
      <c r="W12" s="259">
        <v>45352</v>
      </c>
    </row>
    <row r="13" spans="1:23" hidden="1" x14ac:dyDescent="0.35">
      <c r="A13" s="472" t="s">
        <v>526</v>
      </c>
      <c r="B13" s="472" t="s">
        <v>159</v>
      </c>
      <c r="C13" s="472" t="s">
        <v>298</v>
      </c>
      <c r="D13" s="472" t="s">
        <v>312</v>
      </c>
      <c r="E13" s="472" t="s">
        <v>313</v>
      </c>
      <c r="F13" s="472" t="s">
        <v>276</v>
      </c>
      <c r="G13" s="472" t="s">
        <v>527</v>
      </c>
      <c r="H13" s="472"/>
      <c r="I13" s="472" t="s">
        <v>277</v>
      </c>
      <c r="J13" s="472" t="s">
        <v>528</v>
      </c>
      <c r="K13" s="472" t="s">
        <v>301</v>
      </c>
      <c r="L13" s="472" t="s">
        <v>529</v>
      </c>
      <c r="M13" s="472" t="s">
        <v>285</v>
      </c>
      <c r="N13" s="472"/>
      <c r="O13" s="472"/>
      <c r="P13" s="472" t="s">
        <v>528</v>
      </c>
      <c r="Q13" s="472"/>
      <c r="R13" s="473">
        <v>45384</v>
      </c>
      <c r="S13" s="472"/>
      <c r="T13" s="473">
        <v>45382</v>
      </c>
      <c r="U13" s="474">
        <v>0</v>
      </c>
      <c r="V13" s="475">
        <v>-194.08</v>
      </c>
      <c r="W13" s="259">
        <v>45352</v>
      </c>
    </row>
    <row r="14" spans="1:23" hidden="1" x14ac:dyDescent="0.35">
      <c r="A14" s="472" t="s">
        <v>526</v>
      </c>
      <c r="B14" s="472" t="s">
        <v>159</v>
      </c>
      <c r="C14" s="472" t="s">
        <v>298</v>
      </c>
      <c r="D14" s="472" t="s">
        <v>314</v>
      </c>
      <c r="E14" s="472" t="s">
        <v>315</v>
      </c>
      <c r="F14" s="472" t="s">
        <v>276</v>
      </c>
      <c r="G14" s="472" t="s">
        <v>527</v>
      </c>
      <c r="H14" s="472"/>
      <c r="I14" s="472" t="s">
        <v>277</v>
      </c>
      <c r="J14" s="472" t="s">
        <v>528</v>
      </c>
      <c r="K14" s="472" t="s">
        <v>301</v>
      </c>
      <c r="L14" s="472" t="s">
        <v>529</v>
      </c>
      <c r="M14" s="472" t="s">
        <v>285</v>
      </c>
      <c r="N14" s="472"/>
      <c r="O14" s="472"/>
      <c r="P14" s="472" t="s">
        <v>528</v>
      </c>
      <c r="Q14" s="472"/>
      <c r="R14" s="473">
        <v>45384</v>
      </c>
      <c r="S14" s="472"/>
      <c r="T14" s="473">
        <v>45382</v>
      </c>
      <c r="U14" s="474">
        <v>0</v>
      </c>
      <c r="V14" s="475">
        <v>53.45</v>
      </c>
      <c r="W14" s="259">
        <v>45352</v>
      </c>
    </row>
    <row r="15" spans="1:23" hidden="1" x14ac:dyDescent="0.35">
      <c r="A15" s="472" t="s">
        <v>526</v>
      </c>
      <c r="B15" s="472" t="s">
        <v>159</v>
      </c>
      <c r="C15" s="472" t="s">
        <v>298</v>
      </c>
      <c r="D15" s="472" t="s">
        <v>316</v>
      </c>
      <c r="E15" s="472" t="s">
        <v>317</v>
      </c>
      <c r="F15" s="472" t="s">
        <v>276</v>
      </c>
      <c r="G15" s="472" t="s">
        <v>527</v>
      </c>
      <c r="H15" s="472"/>
      <c r="I15" s="472" t="s">
        <v>277</v>
      </c>
      <c r="J15" s="472" t="s">
        <v>528</v>
      </c>
      <c r="K15" s="472" t="s">
        <v>301</v>
      </c>
      <c r="L15" s="472" t="s">
        <v>529</v>
      </c>
      <c r="M15" s="472" t="s">
        <v>285</v>
      </c>
      <c r="N15" s="472"/>
      <c r="O15" s="472"/>
      <c r="P15" s="472" t="s">
        <v>528</v>
      </c>
      <c r="Q15" s="472"/>
      <c r="R15" s="473">
        <v>45384</v>
      </c>
      <c r="S15" s="472"/>
      <c r="T15" s="473">
        <v>45382</v>
      </c>
      <c r="U15" s="474">
        <v>0</v>
      </c>
      <c r="V15" s="475">
        <v>83.47</v>
      </c>
      <c r="W15" s="259">
        <v>45352</v>
      </c>
    </row>
    <row r="16" spans="1:23" hidden="1" x14ac:dyDescent="0.35">
      <c r="A16" s="472" t="s">
        <v>526</v>
      </c>
      <c r="B16" s="472" t="s">
        <v>159</v>
      </c>
      <c r="C16" s="472" t="s">
        <v>298</v>
      </c>
      <c r="D16" s="472" t="s">
        <v>318</v>
      </c>
      <c r="E16" s="472" t="s">
        <v>319</v>
      </c>
      <c r="F16" s="472" t="s">
        <v>276</v>
      </c>
      <c r="G16" s="472" t="s">
        <v>527</v>
      </c>
      <c r="H16" s="472"/>
      <c r="I16" s="472" t="s">
        <v>277</v>
      </c>
      <c r="J16" s="472" t="s">
        <v>528</v>
      </c>
      <c r="K16" s="472" t="s">
        <v>301</v>
      </c>
      <c r="L16" s="472" t="s">
        <v>529</v>
      </c>
      <c r="M16" s="472" t="s">
        <v>285</v>
      </c>
      <c r="N16" s="472"/>
      <c r="O16" s="472"/>
      <c r="P16" s="472" t="s">
        <v>528</v>
      </c>
      <c r="Q16" s="472"/>
      <c r="R16" s="473">
        <v>45384</v>
      </c>
      <c r="S16" s="472"/>
      <c r="T16" s="473">
        <v>45382</v>
      </c>
      <c r="U16" s="474">
        <v>0</v>
      </c>
      <c r="V16" s="475">
        <v>0.02</v>
      </c>
      <c r="W16" s="259">
        <v>45352</v>
      </c>
    </row>
    <row r="17" spans="1:23" hidden="1" x14ac:dyDescent="0.35">
      <c r="A17" s="472" t="s">
        <v>526</v>
      </c>
      <c r="B17" s="472" t="s">
        <v>159</v>
      </c>
      <c r="C17" s="472" t="s">
        <v>298</v>
      </c>
      <c r="D17" s="472" t="s">
        <v>318</v>
      </c>
      <c r="E17" s="472" t="s">
        <v>319</v>
      </c>
      <c r="F17" s="472" t="s">
        <v>276</v>
      </c>
      <c r="G17" s="472" t="s">
        <v>527</v>
      </c>
      <c r="H17" s="472"/>
      <c r="I17" s="472" t="s">
        <v>277</v>
      </c>
      <c r="J17" s="472" t="s">
        <v>528</v>
      </c>
      <c r="K17" s="472" t="s">
        <v>301</v>
      </c>
      <c r="L17" s="472" t="s">
        <v>529</v>
      </c>
      <c r="M17" s="472" t="s">
        <v>285</v>
      </c>
      <c r="N17" s="472"/>
      <c r="O17" s="472"/>
      <c r="P17" s="472" t="s">
        <v>528</v>
      </c>
      <c r="Q17" s="472"/>
      <c r="R17" s="473">
        <v>45384</v>
      </c>
      <c r="S17" s="472"/>
      <c r="T17" s="473">
        <v>45382</v>
      </c>
      <c r="U17" s="474">
        <v>0</v>
      </c>
      <c r="V17" s="475">
        <v>0.73</v>
      </c>
      <c r="W17" s="259">
        <v>45352</v>
      </c>
    </row>
    <row r="18" spans="1:23" hidden="1" x14ac:dyDescent="0.35">
      <c r="A18" s="472" t="s">
        <v>526</v>
      </c>
      <c r="B18" s="472" t="s">
        <v>159</v>
      </c>
      <c r="C18" s="472" t="s">
        <v>298</v>
      </c>
      <c r="D18" s="472" t="s">
        <v>391</v>
      </c>
      <c r="E18" s="472" t="s">
        <v>392</v>
      </c>
      <c r="F18" s="472" t="s">
        <v>276</v>
      </c>
      <c r="G18" s="472" t="s">
        <v>527</v>
      </c>
      <c r="H18" s="472"/>
      <c r="I18" s="472" t="s">
        <v>277</v>
      </c>
      <c r="J18" s="472" t="s">
        <v>528</v>
      </c>
      <c r="K18" s="472" t="s">
        <v>301</v>
      </c>
      <c r="L18" s="472" t="s">
        <v>529</v>
      </c>
      <c r="M18" s="472" t="s">
        <v>285</v>
      </c>
      <c r="N18" s="472"/>
      <c r="O18" s="472"/>
      <c r="P18" s="472" t="s">
        <v>528</v>
      </c>
      <c r="Q18" s="472"/>
      <c r="R18" s="473">
        <v>45384</v>
      </c>
      <c r="S18" s="472"/>
      <c r="T18" s="473">
        <v>45382</v>
      </c>
      <c r="U18" s="474">
        <v>0</v>
      </c>
      <c r="V18" s="475">
        <v>0.01</v>
      </c>
      <c r="W18" s="259">
        <v>45352</v>
      </c>
    </row>
    <row r="19" spans="1:23" hidden="1" x14ac:dyDescent="0.35">
      <c r="A19" s="472" t="s">
        <v>526</v>
      </c>
      <c r="B19" s="472" t="s">
        <v>159</v>
      </c>
      <c r="C19" s="472" t="s">
        <v>298</v>
      </c>
      <c r="D19" s="472" t="s">
        <v>320</v>
      </c>
      <c r="E19" s="472" t="s">
        <v>321</v>
      </c>
      <c r="F19" s="472" t="s">
        <v>276</v>
      </c>
      <c r="G19" s="472" t="s">
        <v>527</v>
      </c>
      <c r="H19" s="472"/>
      <c r="I19" s="472" t="s">
        <v>277</v>
      </c>
      <c r="J19" s="472" t="s">
        <v>528</v>
      </c>
      <c r="K19" s="472" t="s">
        <v>301</v>
      </c>
      <c r="L19" s="472" t="s">
        <v>529</v>
      </c>
      <c r="M19" s="472" t="s">
        <v>285</v>
      </c>
      <c r="N19" s="472"/>
      <c r="O19" s="472"/>
      <c r="P19" s="472" t="s">
        <v>528</v>
      </c>
      <c r="Q19" s="472"/>
      <c r="R19" s="473">
        <v>45384</v>
      </c>
      <c r="S19" s="472"/>
      <c r="T19" s="473">
        <v>45382</v>
      </c>
      <c r="U19" s="474">
        <v>0</v>
      </c>
      <c r="V19" s="475">
        <v>45.82</v>
      </c>
      <c r="W19" s="259">
        <v>45352</v>
      </c>
    </row>
    <row r="20" spans="1:23" hidden="1" x14ac:dyDescent="0.35">
      <c r="A20" s="472" t="s">
        <v>526</v>
      </c>
      <c r="B20" s="472" t="s">
        <v>159</v>
      </c>
      <c r="C20" s="472" t="s">
        <v>298</v>
      </c>
      <c r="D20" s="472" t="s">
        <v>322</v>
      </c>
      <c r="E20" s="472" t="s">
        <v>323</v>
      </c>
      <c r="F20" s="472" t="s">
        <v>276</v>
      </c>
      <c r="G20" s="472" t="s">
        <v>527</v>
      </c>
      <c r="H20" s="472"/>
      <c r="I20" s="472" t="s">
        <v>277</v>
      </c>
      <c r="J20" s="472" t="s">
        <v>528</v>
      </c>
      <c r="K20" s="472" t="s">
        <v>301</v>
      </c>
      <c r="L20" s="472" t="s">
        <v>529</v>
      </c>
      <c r="M20" s="472" t="s">
        <v>285</v>
      </c>
      <c r="N20" s="472"/>
      <c r="O20" s="472"/>
      <c r="P20" s="472" t="s">
        <v>528</v>
      </c>
      <c r="Q20" s="472"/>
      <c r="R20" s="473">
        <v>45384</v>
      </c>
      <c r="S20" s="472"/>
      <c r="T20" s="473">
        <v>45382</v>
      </c>
      <c r="U20" s="474">
        <v>0</v>
      </c>
      <c r="V20" s="475">
        <v>0.32</v>
      </c>
      <c r="W20" s="259">
        <v>45352</v>
      </c>
    </row>
    <row r="21" spans="1:23" hidden="1" x14ac:dyDescent="0.35">
      <c r="A21" s="472" t="s">
        <v>526</v>
      </c>
      <c r="B21" s="472" t="s">
        <v>159</v>
      </c>
      <c r="C21" s="472" t="s">
        <v>298</v>
      </c>
      <c r="D21" s="472" t="s">
        <v>322</v>
      </c>
      <c r="E21" s="472" t="s">
        <v>323</v>
      </c>
      <c r="F21" s="472" t="s">
        <v>276</v>
      </c>
      <c r="G21" s="472" t="s">
        <v>527</v>
      </c>
      <c r="H21" s="472"/>
      <c r="I21" s="472" t="s">
        <v>277</v>
      </c>
      <c r="J21" s="472" t="s">
        <v>528</v>
      </c>
      <c r="K21" s="472" t="s">
        <v>301</v>
      </c>
      <c r="L21" s="472" t="s">
        <v>529</v>
      </c>
      <c r="M21" s="472" t="s">
        <v>285</v>
      </c>
      <c r="N21" s="472"/>
      <c r="O21" s="472"/>
      <c r="P21" s="472" t="s">
        <v>528</v>
      </c>
      <c r="Q21" s="472"/>
      <c r="R21" s="473">
        <v>45384</v>
      </c>
      <c r="S21" s="472"/>
      <c r="T21" s="473">
        <v>45382</v>
      </c>
      <c r="U21" s="474">
        <v>0</v>
      </c>
      <c r="V21" s="475">
        <v>-0.01</v>
      </c>
      <c r="W21" s="259">
        <v>45352</v>
      </c>
    </row>
    <row r="22" spans="1:23" hidden="1" x14ac:dyDescent="0.35">
      <c r="A22" s="472" t="s">
        <v>526</v>
      </c>
      <c r="B22" s="472" t="s">
        <v>159</v>
      </c>
      <c r="C22" s="472" t="s">
        <v>298</v>
      </c>
      <c r="D22" s="472" t="s">
        <v>324</v>
      </c>
      <c r="E22" s="472" t="s">
        <v>325</v>
      </c>
      <c r="F22" s="472" t="s">
        <v>276</v>
      </c>
      <c r="G22" s="472" t="s">
        <v>527</v>
      </c>
      <c r="H22" s="472"/>
      <c r="I22" s="472" t="s">
        <v>277</v>
      </c>
      <c r="J22" s="472" t="s">
        <v>528</v>
      </c>
      <c r="K22" s="472" t="s">
        <v>301</v>
      </c>
      <c r="L22" s="472" t="s">
        <v>529</v>
      </c>
      <c r="M22" s="472" t="s">
        <v>285</v>
      </c>
      <c r="N22" s="472"/>
      <c r="O22" s="472"/>
      <c r="P22" s="472" t="s">
        <v>528</v>
      </c>
      <c r="Q22" s="472"/>
      <c r="R22" s="473">
        <v>45384</v>
      </c>
      <c r="S22" s="472"/>
      <c r="T22" s="473">
        <v>45382</v>
      </c>
      <c r="U22" s="474">
        <v>0</v>
      </c>
      <c r="V22" s="475">
        <v>119.84</v>
      </c>
      <c r="W22" s="259">
        <v>45352</v>
      </c>
    </row>
    <row r="23" spans="1:23" hidden="1" x14ac:dyDescent="0.35">
      <c r="A23" s="472" t="s">
        <v>526</v>
      </c>
      <c r="B23" s="472" t="s">
        <v>159</v>
      </c>
      <c r="C23" s="472" t="s">
        <v>298</v>
      </c>
      <c r="D23" s="472" t="s">
        <v>326</v>
      </c>
      <c r="E23" s="472" t="s">
        <v>327</v>
      </c>
      <c r="F23" s="472" t="s">
        <v>276</v>
      </c>
      <c r="G23" s="472" t="s">
        <v>527</v>
      </c>
      <c r="H23" s="472"/>
      <c r="I23" s="472" t="s">
        <v>277</v>
      </c>
      <c r="J23" s="472" t="s">
        <v>528</v>
      </c>
      <c r="K23" s="472" t="s">
        <v>301</v>
      </c>
      <c r="L23" s="472" t="s">
        <v>529</v>
      </c>
      <c r="M23" s="472" t="s">
        <v>285</v>
      </c>
      <c r="N23" s="472"/>
      <c r="O23" s="472"/>
      <c r="P23" s="472" t="s">
        <v>528</v>
      </c>
      <c r="Q23" s="472"/>
      <c r="R23" s="473">
        <v>45384</v>
      </c>
      <c r="S23" s="472"/>
      <c r="T23" s="473">
        <v>45382</v>
      </c>
      <c r="U23" s="474">
        <v>0</v>
      </c>
      <c r="V23" s="475">
        <v>0.05</v>
      </c>
      <c r="W23" s="259">
        <v>45352</v>
      </c>
    </row>
    <row r="24" spans="1:23" hidden="1" x14ac:dyDescent="0.35">
      <c r="A24" s="472" t="s">
        <v>526</v>
      </c>
      <c r="B24" s="472" t="s">
        <v>159</v>
      </c>
      <c r="C24" s="472" t="s">
        <v>298</v>
      </c>
      <c r="D24" s="472" t="s">
        <v>326</v>
      </c>
      <c r="E24" s="472" t="s">
        <v>327</v>
      </c>
      <c r="F24" s="472" t="s">
        <v>276</v>
      </c>
      <c r="G24" s="472" t="s">
        <v>527</v>
      </c>
      <c r="H24" s="472"/>
      <c r="I24" s="472" t="s">
        <v>277</v>
      </c>
      <c r="J24" s="472" t="s">
        <v>528</v>
      </c>
      <c r="K24" s="472" t="s">
        <v>301</v>
      </c>
      <c r="L24" s="472" t="s">
        <v>529</v>
      </c>
      <c r="M24" s="472" t="s">
        <v>285</v>
      </c>
      <c r="N24" s="472"/>
      <c r="O24" s="472"/>
      <c r="P24" s="472" t="s">
        <v>528</v>
      </c>
      <c r="Q24" s="472"/>
      <c r="R24" s="473">
        <v>45384</v>
      </c>
      <c r="S24" s="472"/>
      <c r="T24" s="473">
        <v>45382</v>
      </c>
      <c r="U24" s="474">
        <v>0</v>
      </c>
      <c r="V24" s="475">
        <v>1.17</v>
      </c>
      <c r="W24" s="259">
        <v>45352</v>
      </c>
    </row>
    <row r="25" spans="1:23" hidden="1" x14ac:dyDescent="0.35">
      <c r="A25" s="472" t="s">
        <v>526</v>
      </c>
      <c r="B25" s="472" t="s">
        <v>159</v>
      </c>
      <c r="C25" s="472" t="s">
        <v>298</v>
      </c>
      <c r="D25" s="472" t="s">
        <v>328</v>
      </c>
      <c r="E25" s="472" t="s">
        <v>329</v>
      </c>
      <c r="F25" s="472" t="s">
        <v>276</v>
      </c>
      <c r="G25" s="472" t="s">
        <v>527</v>
      </c>
      <c r="H25" s="472"/>
      <c r="I25" s="472" t="s">
        <v>277</v>
      </c>
      <c r="J25" s="472" t="s">
        <v>528</v>
      </c>
      <c r="K25" s="472" t="s">
        <v>301</v>
      </c>
      <c r="L25" s="472" t="s">
        <v>529</v>
      </c>
      <c r="M25" s="472" t="s">
        <v>285</v>
      </c>
      <c r="N25" s="472"/>
      <c r="O25" s="472"/>
      <c r="P25" s="472" t="s">
        <v>528</v>
      </c>
      <c r="Q25" s="472"/>
      <c r="R25" s="473">
        <v>45384</v>
      </c>
      <c r="S25" s="472"/>
      <c r="T25" s="473">
        <v>45382</v>
      </c>
      <c r="U25" s="474">
        <v>0</v>
      </c>
      <c r="V25" s="475">
        <v>258.33999999999997</v>
      </c>
      <c r="W25" s="259">
        <v>45352</v>
      </c>
    </row>
    <row r="26" spans="1:23" hidden="1" x14ac:dyDescent="0.35">
      <c r="A26" s="472" t="s">
        <v>526</v>
      </c>
      <c r="B26" s="472" t="s">
        <v>159</v>
      </c>
      <c r="C26" s="472" t="s">
        <v>298</v>
      </c>
      <c r="D26" s="472" t="s">
        <v>330</v>
      </c>
      <c r="E26" s="472" t="s">
        <v>331</v>
      </c>
      <c r="F26" s="472" t="s">
        <v>276</v>
      </c>
      <c r="G26" s="472" t="s">
        <v>527</v>
      </c>
      <c r="H26" s="472"/>
      <c r="I26" s="472" t="s">
        <v>277</v>
      </c>
      <c r="J26" s="472" t="s">
        <v>528</v>
      </c>
      <c r="K26" s="472" t="s">
        <v>301</v>
      </c>
      <c r="L26" s="472" t="s">
        <v>529</v>
      </c>
      <c r="M26" s="472" t="s">
        <v>285</v>
      </c>
      <c r="N26" s="472"/>
      <c r="O26" s="472"/>
      <c r="P26" s="472" t="s">
        <v>528</v>
      </c>
      <c r="Q26" s="472"/>
      <c r="R26" s="473">
        <v>45384</v>
      </c>
      <c r="S26" s="472"/>
      <c r="T26" s="473">
        <v>45382</v>
      </c>
      <c r="U26" s="474">
        <v>0</v>
      </c>
      <c r="V26" s="475">
        <v>0.21</v>
      </c>
      <c r="W26" s="259">
        <v>45352</v>
      </c>
    </row>
    <row r="27" spans="1:23" hidden="1" x14ac:dyDescent="0.35">
      <c r="A27" s="472" t="s">
        <v>526</v>
      </c>
      <c r="B27" s="472" t="s">
        <v>159</v>
      </c>
      <c r="C27" s="472" t="s">
        <v>298</v>
      </c>
      <c r="D27" s="472" t="s">
        <v>332</v>
      </c>
      <c r="E27" s="472" t="s">
        <v>333</v>
      </c>
      <c r="F27" s="472" t="s">
        <v>276</v>
      </c>
      <c r="G27" s="472" t="s">
        <v>527</v>
      </c>
      <c r="H27" s="472"/>
      <c r="I27" s="472" t="s">
        <v>277</v>
      </c>
      <c r="J27" s="472" t="s">
        <v>528</v>
      </c>
      <c r="K27" s="472" t="s">
        <v>301</v>
      </c>
      <c r="L27" s="472" t="s">
        <v>529</v>
      </c>
      <c r="M27" s="472" t="s">
        <v>285</v>
      </c>
      <c r="N27" s="472"/>
      <c r="O27" s="472"/>
      <c r="P27" s="472" t="s">
        <v>528</v>
      </c>
      <c r="Q27" s="472"/>
      <c r="R27" s="473">
        <v>45384</v>
      </c>
      <c r="S27" s="472"/>
      <c r="T27" s="473">
        <v>45382</v>
      </c>
      <c r="U27" s="474">
        <v>0</v>
      </c>
      <c r="V27" s="475">
        <v>-68.62</v>
      </c>
      <c r="W27" s="259">
        <v>45352</v>
      </c>
    </row>
    <row r="28" spans="1:23" hidden="1" x14ac:dyDescent="0.35">
      <c r="A28" s="472" t="s">
        <v>526</v>
      </c>
      <c r="B28" s="472" t="s">
        <v>159</v>
      </c>
      <c r="C28" s="472" t="s">
        <v>298</v>
      </c>
      <c r="D28" s="472" t="s">
        <v>334</v>
      </c>
      <c r="E28" s="472" t="s">
        <v>335</v>
      </c>
      <c r="F28" s="472" t="s">
        <v>276</v>
      </c>
      <c r="G28" s="472" t="s">
        <v>527</v>
      </c>
      <c r="H28" s="472"/>
      <c r="I28" s="472" t="s">
        <v>277</v>
      </c>
      <c r="J28" s="472" t="s">
        <v>528</v>
      </c>
      <c r="K28" s="472" t="s">
        <v>301</v>
      </c>
      <c r="L28" s="472" t="s">
        <v>529</v>
      </c>
      <c r="M28" s="472" t="s">
        <v>285</v>
      </c>
      <c r="N28" s="472"/>
      <c r="O28" s="472"/>
      <c r="P28" s="472" t="s">
        <v>528</v>
      </c>
      <c r="Q28" s="472"/>
      <c r="R28" s="473">
        <v>45384</v>
      </c>
      <c r="S28" s="472"/>
      <c r="T28" s="473">
        <v>45382</v>
      </c>
      <c r="U28" s="474">
        <v>0</v>
      </c>
      <c r="V28" s="475">
        <v>-3.82</v>
      </c>
      <c r="W28" s="259">
        <v>45352</v>
      </c>
    </row>
    <row r="29" spans="1:23" hidden="1" x14ac:dyDescent="0.35">
      <c r="A29" s="472" t="s">
        <v>526</v>
      </c>
      <c r="B29" s="472" t="s">
        <v>159</v>
      </c>
      <c r="C29" s="472" t="s">
        <v>298</v>
      </c>
      <c r="D29" s="472" t="s">
        <v>336</v>
      </c>
      <c r="E29" s="472" t="s">
        <v>337</v>
      </c>
      <c r="F29" s="472" t="s">
        <v>276</v>
      </c>
      <c r="G29" s="472" t="s">
        <v>527</v>
      </c>
      <c r="H29" s="472"/>
      <c r="I29" s="472" t="s">
        <v>277</v>
      </c>
      <c r="J29" s="472" t="s">
        <v>528</v>
      </c>
      <c r="K29" s="472" t="s">
        <v>301</v>
      </c>
      <c r="L29" s="472" t="s">
        <v>529</v>
      </c>
      <c r="M29" s="472" t="s">
        <v>285</v>
      </c>
      <c r="N29" s="472"/>
      <c r="O29" s="472"/>
      <c r="P29" s="472" t="s">
        <v>528</v>
      </c>
      <c r="Q29" s="472"/>
      <c r="R29" s="473">
        <v>45384</v>
      </c>
      <c r="S29" s="472"/>
      <c r="T29" s="473">
        <v>45382</v>
      </c>
      <c r="U29" s="474">
        <v>0</v>
      </c>
      <c r="V29" s="475">
        <v>0.18</v>
      </c>
      <c r="W29" s="259">
        <v>45352</v>
      </c>
    </row>
    <row r="30" spans="1:23" hidden="1" x14ac:dyDescent="0.35">
      <c r="A30" s="472" t="s">
        <v>526</v>
      </c>
      <c r="B30" s="472" t="s">
        <v>159</v>
      </c>
      <c r="C30" s="472" t="s">
        <v>298</v>
      </c>
      <c r="D30" s="472" t="s">
        <v>397</v>
      </c>
      <c r="E30" s="472" t="s">
        <v>398</v>
      </c>
      <c r="F30" s="472" t="s">
        <v>276</v>
      </c>
      <c r="G30" s="472" t="s">
        <v>527</v>
      </c>
      <c r="H30" s="472"/>
      <c r="I30" s="472" t="s">
        <v>277</v>
      </c>
      <c r="J30" s="472" t="s">
        <v>528</v>
      </c>
      <c r="K30" s="472" t="s">
        <v>301</v>
      </c>
      <c r="L30" s="472" t="s">
        <v>529</v>
      </c>
      <c r="M30" s="472" t="s">
        <v>285</v>
      </c>
      <c r="N30" s="472"/>
      <c r="O30" s="472"/>
      <c r="P30" s="472" t="s">
        <v>528</v>
      </c>
      <c r="Q30" s="472"/>
      <c r="R30" s="473">
        <v>45384</v>
      </c>
      <c r="S30" s="472"/>
      <c r="T30" s="473">
        <v>45382</v>
      </c>
      <c r="U30" s="474">
        <v>0</v>
      </c>
      <c r="V30" s="475">
        <v>-0.04</v>
      </c>
      <c r="W30" s="259">
        <v>45352</v>
      </c>
    </row>
    <row r="31" spans="1:23" hidden="1" x14ac:dyDescent="0.35">
      <c r="A31" s="472" t="s">
        <v>526</v>
      </c>
      <c r="B31" s="472" t="s">
        <v>159</v>
      </c>
      <c r="C31" s="472" t="s">
        <v>298</v>
      </c>
      <c r="D31" s="472" t="s">
        <v>338</v>
      </c>
      <c r="E31" s="472" t="s">
        <v>339</v>
      </c>
      <c r="F31" s="472" t="s">
        <v>276</v>
      </c>
      <c r="G31" s="472" t="s">
        <v>527</v>
      </c>
      <c r="H31" s="472"/>
      <c r="I31" s="472" t="s">
        <v>277</v>
      </c>
      <c r="J31" s="472" t="s">
        <v>528</v>
      </c>
      <c r="K31" s="472" t="s">
        <v>301</v>
      </c>
      <c r="L31" s="472" t="s">
        <v>529</v>
      </c>
      <c r="M31" s="472" t="s">
        <v>285</v>
      </c>
      <c r="N31" s="472"/>
      <c r="O31" s="472"/>
      <c r="P31" s="472" t="s">
        <v>528</v>
      </c>
      <c r="Q31" s="472"/>
      <c r="R31" s="473">
        <v>45384</v>
      </c>
      <c r="S31" s="472"/>
      <c r="T31" s="473">
        <v>45382</v>
      </c>
      <c r="U31" s="474">
        <v>0</v>
      </c>
      <c r="V31" s="475">
        <v>-0.01</v>
      </c>
      <c r="W31" s="259">
        <v>45352</v>
      </c>
    </row>
    <row r="32" spans="1:23" hidden="1" x14ac:dyDescent="0.35">
      <c r="A32" s="472" t="s">
        <v>526</v>
      </c>
      <c r="B32" s="472" t="s">
        <v>159</v>
      </c>
      <c r="C32" s="472" t="s">
        <v>281</v>
      </c>
      <c r="D32" s="472" t="s">
        <v>340</v>
      </c>
      <c r="E32" s="472" t="s">
        <v>283</v>
      </c>
      <c r="F32" s="472" t="s">
        <v>276</v>
      </c>
      <c r="G32" s="472" t="s">
        <v>527</v>
      </c>
      <c r="H32" s="472"/>
      <c r="I32" s="472" t="s">
        <v>277</v>
      </c>
      <c r="J32" s="472" t="s">
        <v>528</v>
      </c>
      <c r="K32" s="472" t="s">
        <v>284</v>
      </c>
      <c r="L32" s="472" t="s">
        <v>529</v>
      </c>
      <c r="M32" s="472" t="s">
        <v>285</v>
      </c>
      <c r="N32" s="472"/>
      <c r="O32" s="472"/>
      <c r="P32" s="472" t="s">
        <v>528</v>
      </c>
      <c r="Q32" s="472"/>
      <c r="R32" s="473">
        <v>45383</v>
      </c>
      <c r="S32" s="472"/>
      <c r="T32" s="473">
        <v>45382</v>
      </c>
      <c r="U32" s="474">
        <v>0</v>
      </c>
      <c r="V32" s="475">
        <v>270.33</v>
      </c>
      <c r="W32" s="259">
        <v>45352</v>
      </c>
    </row>
    <row r="33" spans="1:23" hidden="1" x14ac:dyDescent="0.35">
      <c r="A33" s="472" t="s">
        <v>526</v>
      </c>
      <c r="B33" s="472" t="s">
        <v>159</v>
      </c>
      <c r="C33" s="472" t="s">
        <v>281</v>
      </c>
      <c r="D33" s="472" t="s">
        <v>340</v>
      </c>
      <c r="E33" s="472" t="s">
        <v>283</v>
      </c>
      <c r="F33" s="472" t="s">
        <v>276</v>
      </c>
      <c r="G33" s="472" t="s">
        <v>527</v>
      </c>
      <c r="H33" s="472"/>
      <c r="I33" s="472" t="s">
        <v>277</v>
      </c>
      <c r="J33" s="472" t="s">
        <v>528</v>
      </c>
      <c r="K33" s="472" t="s">
        <v>294</v>
      </c>
      <c r="L33" s="472" t="s">
        <v>529</v>
      </c>
      <c r="M33" s="472" t="s">
        <v>285</v>
      </c>
      <c r="N33" s="472"/>
      <c r="O33" s="472"/>
      <c r="P33" s="472" t="s">
        <v>528</v>
      </c>
      <c r="Q33" s="472"/>
      <c r="R33" s="473">
        <v>45383</v>
      </c>
      <c r="S33" s="472"/>
      <c r="T33" s="473">
        <v>45382</v>
      </c>
      <c r="U33" s="474">
        <v>0</v>
      </c>
      <c r="V33" s="475">
        <v>-252.15</v>
      </c>
      <c r="W33" s="259">
        <v>45352</v>
      </c>
    </row>
    <row r="34" spans="1:23" hidden="1" x14ac:dyDescent="0.35">
      <c r="A34" s="472" t="s">
        <v>526</v>
      </c>
      <c r="B34" s="472" t="s">
        <v>159</v>
      </c>
      <c r="C34" s="472" t="s">
        <v>286</v>
      </c>
      <c r="D34" s="472" t="s">
        <v>341</v>
      </c>
      <c r="E34" s="472" t="s">
        <v>288</v>
      </c>
      <c r="F34" s="472" t="s">
        <v>276</v>
      </c>
      <c r="G34" s="472" t="s">
        <v>527</v>
      </c>
      <c r="H34" s="472"/>
      <c r="I34" s="472" t="s">
        <v>277</v>
      </c>
      <c r="J34" s="472" t="s">
        <v>528</v>
      </c>
      <c r="K34" s="472" t="s">
        <v>289</v>
      </c>
      <c r="L34" s="472" t="s">
        <v>529</v>
      </c>
      <c r="M34" s="472" t="s">
        <v>285</v>
      </c>
      <c r="N34" s="472"/>
      <c r="O34" s="472"/>
      <c r="P34" s="472" t="s">
        <v>528</v>
      </c>
      <c r="Q34" s="472"/>
      <c r="R34" s="473">
        <v>45383</v>
      </c>
      <c r="S34" s="472"/>
      <c r="T34" s="473">
        <v>45382</v>
      </c>
      <c r="U34" s="474">
        <v>0</v>
      </c>
      <c r="V34" s="475">
        <v>162.47</v>
      </c>
      <c r="W34" s="259">
        <v>45352</v>
      </c>
    </row>
    <row r="35" spans="1:23" hidden="1" x14ac:dyDescent="0.35">
      <c r="A35" s="472" t="s">
        <v>526</v>
      </c>
      <c r="B35" s="472" t="s">
        <v>159</v>
      </c>
      <c r="C35" s="472" t="s">
        <v>281</v>
      </c>
      <c r="D35" s="472" t="s">
        <v>342</v>
      </c>
      <c r="E35" s="472" t="s">
        <v>291</v>
      </c>
      <c r="F35" s="472" t="s">
        <v>276</v>
      </c>
      <c r="G35" s="472" t="s">
        <v>527</v>
      </c>
      <c r="H35" s="472"/>
      <c r="I35" s="472" t="s">
        <v>277</v>
      </c>
      <c r="J35" s="472" t="s">
        <v>528</v>
      </c>
      <c r="K35" s="472" t="s">
        <v>284</v>
      </c>
      <c r="L35" s="472" t="s">
        <v>529</v>
      </c>
      <c r="M35" s="472" t="s">
        <v>285</v>
      </c>
      <c r="N35" s="472"/>
      <c r="O35" s="472"/>
      <c r="P35" s="472" t="s">
        <v>528</v>
      </c>
      <c r="Q35" s="472"/>
      <c r="R35" s="473">
        <v>45383</v>
      </c>
      <c r="S35" s="472"/>
      <c r="T35" s="473">
        <v>45382</v>
      </c>
      <c r="U35" s="474">
        <v>0</v>
      </c>
      <c r="V35" s="475">
        <v>246.36</v>
      </c>
      <c r="W35" s="259">
        <v>45352</v>
      </c>
    </row>
    <row r="36" spans="1:23" hidden="1" x14ac:dyDescent="0.35">
      <c r="A36" s="472" t="s">
        <v>526</v>
      </c>
      <c r="B36" s="472" t="s">
        <v>159</v>
      </c>
      <c r="C36" s="472" t="s">
        <v>281</v>
      </c>
      <c r="D36" s="472" t="s">
        <v>343</v>
      </c>
      <c r="E36" s="472" t="s">
        <v>293</v>
      </c>
      <c r="F36" s="472" t="s">
        <v>276</v>
      </c>
      <c r="G36" s="472" t="s">
        <v>527</v>
      </c>
      <c r="H36" s="472"/>
      <c r="I36" s="472" t="s">
        <v>277</v>
      </c>
      <c r="J36" s="472" t="s">
        <v>528</v>
      </c>
      <c r="K36" s="472" t="s">
        <v>294</v>
      </c>
      <c r="L36" s="472" t="s">
        <v>529</v>
      </c>
      <c r="M36" s="472" t="s">
        <v>285</v>
      </c>
      <c r="N36" s="472"/>
      <c r="O36" s="472"/>
      <c r="P36" s="472" t="s">
        <v>528</v>
      </c>
      <c r="Q36" s="472"/>
      <c r="R36" s="473">
        <v>45383</v>
      </c>
      <c r="S36" s="472"/>
      <c r="T36" s="473">
        <v>45382</v>
      </c>
      <c r="U36" s="474">
        <v>0</v>
      </c>
      <c r="V36" s="475">
        <v>122.35</v>
      </c>
      <c r="W36" s="259">
        <v>45352</v>
      </c>
    </row>
    <row r="37" spans="1:23" hidden="1" x14ac:dyDescent="0.35">
      <c r="A37" s="472" t="s">
        <v>526</v>
      </c>
      <c r="B37" s="472" t="s">
        <v>159</v>
      </c>
      <c r="C37" s="472" t="s">
        <v>286</v>
      </c>
      <c r="D37" s="472" t="s">
        <v>344</v>
      </c>
      <c r="E37" s="472" t="s">
        <v>296</v>
      </c>
      <c r="F37" s="472" t="s">
        <v>276</v>
      </c>
      <c r="G37" s="472" t="s">
        <v>527</v>
      </c>
      <c r="H37" s="472"/>
      <c r="I37" s="472" t="s">
        <v>277</v>
      </c>
      <c r="J37" s="472" t="s">
        <v>528</v>
      </c>
      <c r="K37" s="472" t="s">
        <v>297</v>
      </c>
      <c r="L37" s="472" t="s">
        <v>529</v>
      </c>
      <c r="M37" s="472" t="s">
        <v>285</v>
      </c>
      <c r="N37" s="472"/>
      <c r="O37" s="472"/>
      <c r="P37" s="472" t="s">
        <v>528</v>
      </c>
      <c r="Q37" s="472"/>
      <c r="R37" s="473">
        <v>45383</v>
      </c>
      <c r="S37" s="472"/>
      <c r="T37" s="473">
        <v>45382</v>
      </c>
      <c r="U37" s="474">
        <v>0</v>
      </c>
      <c r="V37" s="475">
        <v>169.18</v>
      </c>
      <c r="W37" s="259">
        <v>45352</v>
      </c>
    </row>
    <row r="38" spans="1:23" hidden="1" x14ac:dyDescent="0.35">
      <c r="A38" s="472" t="s">
        <v>526</v>
      </c>
      <c r="B38" s="472" t="s">
        <v>159</v>
      </c>
      <c r="C38" s="472" t="s">
        <v>298</v>
      </c>
      <c r="D38" s="472" t="s">
        <v>345</v>
      </c>
      <c r="E38" s="472" t="s">
        <v>346</v>
      </c>
      <c r="F38" s="472" t="s">
        <v>276</v>
      </c>
      <c r="G38" s="472" t="s">
        <v>527</v>
      </c>
      <c r="H38" s="472"/>
      <c r="I38" s="472" t="s">
        <v>277</v>
      </c>
      <c r="J38" s="472" t="s">
        <v>528</v>
      </c>
      <c r="K38" s="472" t="s">
        <v>301</v>
      </c>
      <c r="L38" s="472" t="s">
        <v>529</v>
      </c>
      <c r="M38" s="472" t="s">
        <v>285</v>
      </c>
      <c r="N38" s="472"/>
      <c r="O38" s="472"/>
      <c r="P38" s="472" t="s">
        <v>528</v>
      </c>
      <c r="Q38" s="472"/>
      <c r="R38" s="473">
        <v>45384</v>
      </c>
      <c r="S38" s="472"/>
      <c r="T38" s="473">
        <v>45382</v>
      </c>
      <c r="U38" s="474">
        <v>0</v>
      </c>
      <c r="V38" s="475">
        <v>0.11</v>
      </c>
      <c r="W38" s="259">
        <v>45352</v>
      </c>
    </row>
    <row r="39" spans="1:23" hidden="1" x14ac:dyDescent="0.35">
      <c r="A39" s="472" t="s">
        <v>526</v>
      </c>
      <c r="B39" s="472" t="s">
        <v>159</v>
      </c>
      <c r="C39" s="472" t="s">
        <v>298</v>
      </c>
      <c r="D39" s="472" t="s">
        <v>347</v>
      </c>
      <c r="E39" s="472" t="s">
        <v>348</v>
      </c>
      <c r="F39" s="472" t="s">
        <v>276</v>
      </c>
      <c r="G39" s="472" t="s">
        <v>527</v>
      </c>
      <c r="H39" s="472"/>
      <c r="I39" s="472" t="s">
        <v>277</v>
      </c>
      <c r="J39" s="472" t="s">
        <v>528</v>
      </c>
      <c r="K39" s="472" t="s">
        <v>301</v>
      </c>
      <c r="L39" s="472" t="s">
        <v>529</v>
      </c>
      <c r="M39" s="472" t="s">
        <v>285</v>
      </c>
      <c r="N39" s="472"/>
      <c r="O39" s="472"/>
      <c r="P39" s="472" t="s">
        <v>528</v>
      </c>
      <c r="Q39" s="472"/>
      <c r="R39" s="473">
        <v>45384</v>
      </c>
      <c r="S39" s="472"/>
      <c r="T39" s="473">
        <v>45382</v>
      </c>
      <c r="U39" s="474">
        <v>0</v>
      </c>
      <c r="V39" s="475">
        <v>0.39</v>
      </c>
      <c r="W39" s="259">
        <v>45352</v>
      </c>
    </row>
    <row r="40" spans="1:23" hidden="1" x14ac:dyDescent="0.35">
      <c r="A40" s="472" t="s">
        <v>526</v>
      </c>
      <c r="B40" s="472" t="s">
        <v>159</v>
      </c>
      <c r="C40" s="472" t="s">
        <v>298</v>
      </c>
      <c r="D40" s="472" t="s">
        <v>349</v>
      </c>
      <c r="E40" s="472" t="s">
        <v>350</v>
      </c>
      <c r="F40" s="472" t="s">
        <v>276</v>
      </c>
      <c r="G40" s="472" t="s">
        <v>527</v>
      </c>
      <c r="H40" s="472"/>
      <c r="I40" s="472" t="s">
        <v>277</v>
      </c>
      <c r="J40" s="472" t="s">
        <v>528</v>
      </c>
      <c r="K40" s="472" t="s">
        <v>301</v>
      </c>
      <c r="L40" s="472" t="s">
        <v>529</v>
      </c>
      <c r="M40" s="472" t="s">
        <v>285</v>
      </c>
      <c r="N40" s="472"/>
      <c r="O40" s="472"/>
      <c r="P40" s="472" t="s">
        <v>528</v>
      </c>
      <c r="Q40" s="472"/>
      <c r="R40" s="473">
        <v>45384</v>
      </c>
      <c r="S40" s="472"/>
      <c r="T40" s="473">
        <v>45382</v>
      </c>
      <c r="U40" s="474">
        <v>0</v>
      </c>
      <c r="V40" s="475">
        <v>0.05</v>
      </c>
      <c r="W40" s="259">
        <v>45352</v>
      </c>
    </row>
    <row r="41" spans="1:23" hidden="1" x14ac:dyDescent="0.35">
      <c r="A41" s="472" t="s">
        <v>526</v>
      </c>
      <c r="B41" s="472" t="s">
        <v>159</v>
      </c>
      <c r="C41" s="472" t="s">
        <v>298</v>
      </c>
      <c r="D41" s="472" t="s">
        <v>351</v>
      </c>
      <c r="E41" s="472" t="s">
        <v>352</v>
      </c>
      <c r="F41" s="472" t="s">
        <v>276</v>
      </c>
      <c r="G41" s="472" t="s">
        <v>527</v>
      </c>
      <c r="H41" s="472"/>
      <c r="I41" s="472" t="s">
        <v>277</v>
      </c>
      <c r="J41" s="472" t="s">
        <v>528</v>
      </c>
      <c r="K41" s="472" t="s">
        <v>301</v>
      </c>
      <c r="L41" s="472" t="s">
        <v>529</v>
      </c>
      <c r="M41" s="472" t="s">
        <v>285</v>
      </c>
      <c r="N41" s="472"/>
      <c r="O41" s="472"/>
      <c r="P41" s="472" t="s">
        <v>528</v>
      </c>
      <c r="Q41" s="472"/>
      <c r="R41" s="473">
        <v>45384</v>
      </c>
      <c r="S41" s="472"/>
      <c r="T41" s="473">
        <v>45382</v>
      </c>
      <c r="U41" s="474">
        <v>0</v>
      </c>
      <c r="V41" s="475">
        <v>0.15</v>
      </c>
      <c r="W41" s="259">
        <v>45352</v>
      </c>
    </row>
    <row r="42" spans="1:23" hidden="1" x14ac:dyDescent="0.35">
      <c r="A42" s="472" t="s">
        <v>526</v>
      </c>
      <c r="B42" s="472" t="s">
        <v>159</v>
      </c>
      <c r="C42" s="472" t="s">
        <v>298</v>
      </c>
      <c r="D42" s="472" t="s">
        <v>351</v>
      </c>
      <c r="E42" s="472" t="s">
        <v>352</v>
      </c>
      <c r="F42" s="472" t="s">
        <v>276</v>
      </c>
      <c r="G42" s="472" t="s">
        <v>527</v>
      </c>
      <c r="H42" s="472"/>
      <c r="I42" s="472" t="s">
        <v>277</v>
      </c>
      <c r="J42" s="472" t="s">
        <v>528</v>
      </c>
      <c r="K42" s="472" t="s">
        <v>301</v>
      </c>
      <c r="L42" s="472" t="s">
        <v>529</v>
      </c>
      <c r="M42" s="472" t="s">
        <v>285</v>
      </c>
      <c r="N42" s="472"/>
      <c r="O42" s="472"/>
      <c r="P42" s="472" t="s">
        <v>528</v>
      </c>
      <c r="Q42" s="472"/>
      <c r="R42" s="473">
        <v>45384</v>
      </c>
      <c r="S42" s="472"/>
      <c r="T42" s="473">
        <v>45382</v>
      </c>
      <c r="U42" s="474">
        <v>0</v>
      </c>
      <c r="V42" s="475">
        <v>0.06</v>
      </c>
      <c r="W42" s="259">
        <v>45352</v>
      </c>
    </row>
    <row r="43" spans="1:23" hidden="1" x14ac:dyDescent="0.35">
      <c r="A43" s="472" t="s">
        <v>526</v>
      </c>
      <c r="B43" s="472" t="s">
        <v>159</v>
      </c>
      <c r="C43" s="472" t="s">
        <v>298</v>
      </c>
      <c r="D43" s="472" t="s">
        <v>354</v>
      </c>
      <c r="E43" s="472" t="s">
        <v>355</v>
      </c>
      <c r="F43" s="472" t="s">
        <v>276</v>
      </c>
      <c r="G43" s="472" t="s">
        <v>527</v>
      </c>
      <c r="H43" s="472"/>
      <c r="I43" s="472" t="s">
        <v>277</v>
      </c>
      <c r="J43" s="472" t="s">
        <v>528</v>
      </c>
      <c r="K43" s="472" t="s">
        <v>301</v>
      </c>
      <c r="L43" s="472" t="s">
        <v>529</v>
      </c>
      <c r="M43" s="472" t="s">
        <v>285</v>
      </c>
      <c r="N43" s="472"/>
      <c r="O43" s="472"/>
      <c r="P43" s="472" t="s">
        <v>528</v>
      </c>
      <c r="Q43" s="472"/>
      <c r="R43" s="473">
        <v>45384</v>
      </c>
      <c r="S43" s="472"/>
      <c r="T43" s="473">
        <v>45382</v>
      </c>
      <c r="U43" s="474">
        <v>0</v>
      </c>
      <c r="V43" s="475">
        <v>0.01</v>
      </c>
      <c r="W43" s="259">
        <v>45352</v>
      </c>
    </row>
    <row r="44" spans="1:23" hidden="1" x14ac:dyDescent="0.35">
      <c r="A44" s="472" t="s">
        <v>526</v>
      </c>
      <c r="B44" s="472" t="s">
        <v>159</v>
      </c>
      <c r="C44" s="472" t="s">
        <v>530</v>
      </c>
      <c r="D44" s="472" t="s">
        <v>531</v>
      </c>
      <c r="E44" s="472" t="s">
        <v>532</v>
      </c>
      <c r="F44" s="472" t="s">
        <v>276</v>
      </c>
      <c r="G44" s="472" t="s">
        <v>527</v>
      </c>
      <c r="H44" s="472" t="s">
        <v>533</v>
      </c>
      <c r="I44" s="472" t="s">
        <v>277</v>
      </c>
      <c r="J44" s="472" t="s">
        <v>528</v>
      </c>
      <c r="K44" s="472" t="s">
        <v>534</v>
      </c>
      <c r="L44" s="472" t="s">
        <v>529</v>
      </c>
      <c r="M44" s="472" t="s">
        <v>535</v>
      </c>
      <c r="N44" s="472"/>
      <c r="O44" s="472"/>
      <c r="P44" s="472" t="s">
        <v>528</v>
      </c>
      <c r="Q44" s="472"/>
      <c r="R44" s="473">
        <v>45355</v>
      </c>
      <c r="S44" s="472" t="s">
        <v>278</v>
      </c>
      <c r="T44" s="473">
        <v>45362</v>
      </c>
      <c r="U44" s="474">
        <v>3</v>
      </c>
      <c r="V44" s="475">
        <v>301.86</v>
      </c>
      <c r="W44" s="259">
        <v>45352</v>
      </c>
    </row>
    <row r="45" spans="1:23" hidden="1" x14ac:dyDescent="0.35">
      <c r="A45" s="472" t="s">
        <v>526</v>
      </c>
      <c r="B45" s="472" t="s">
        <v>159</v>
      </c>
      <c r="C45" s="472" t="s">
        <v>530</v>
      </c>
      <c r="D45" s="472" t="s">
        <v>531</v>
      </c>
      <c r="E45" s="472" t="s">
        <v>532</v>
      </c>
      <c r="F45" s="472" t="s">
        <v>276</v>
      </c>
      <c r="G45" s="472" t="s">
        <v>527</v>
      </c>
      <c r="H45" s="472" t="s">
        <v>533</v>
      </c>
      <c r="I45" s="472" t="s">
        <v>277</v>
      </c>
      <c r="J45" s="472" t="s">
        <v>528</v>
      </c>
      <c r="K45" s="472" t="s">
        <v>534</v>
      </c>
      <c r="L45" s="472" t="s">
        <v>529</v>
      </c>
      <c r="M45" s="472" t="s">
        <v>535</v>
      </c>
      <c r="N45" s="472"/>
      <c r="O45" s="472"/>
      <c r="P45" s="472" t="s">
        <v>528</v>
      </c>
      <c r="Q45" s="472"/>
      <c r="R45" s="473">
        <v>45359</v>
      </c>
      <c r="S45" s="472" t="s">
        <v>278</v>
      </c>
      <c r="T45" s="473">
        <v>45362</v>
      </c>
      <c r="U45" s="474">
        <v>1</v>
      </c>
      <c r="V45" s="475">
        <v>100.62</v>
      </c>
      <c r="W45" s="259">
        <v>45352</v>
      </c>
    </row>
    <row r="46" spans="1:23" hidden="1" x14ac:dyDescent="0.35">
      <c r="A46" s="472" t="s">
        <v>526</v>
      </c>
      <c r="B46" s="472" t="s">
        <v>159</v>
      </c>
      <c r="C46" s="472" t="s">
        <v>530</v>
      </c>
      <c r="D46" s="472" t="s">
        <v>531</v>
      </c>
      <c r="E46" s="472" t="s">
        <v>532</v>
      </c>
      <c r="F46" s="472" t="s">
        <v>276</v>
      </c>
      <c r="G46" s="472" t="s">
        <v>527</v>
      </c>
      <c r="H46" s="472" t="s">
        <v>533</v>
      </c>
      <c r="I46" s="472" t="s">
        <v>277</v>
      </c>
      <c r="J46" s="472" t="s">
        <v>528</v>
      </c>
      <c r="K46" s="472" t="s">
        <v>534</v>
      </c>
      <c r="L46" s="472" t="s">
        <v>529</v>
      </c>
      <c r="M46" s="472" t="s">
        <v>535</v>
      </c>
      <c r="N46" s="472"/>
      <c r="O46" s="472"/>
      <c r="P46" s="472" t="s">
        <v>528</v>
      </c>
      <c r="Q46" s="472"/>
      <c r="R46" s="473">
        <v>45356</v>
      </c>
      <c r="S46" s="472" t="s">
        <v>278</v>
      </c>
      <c r="T46" s="473">
        <v>45362</v>
      </c>
      <c r="U46" s="474">
        <v>4</v>
      </c>
      <c r="V46" s="475">
        <v>402.48</v>
      </c>
      <c r="W46" s="259">
        <v>45352</v>
      </c>
    </row>
    <row r="47" spans="1:23" hidden="1" x14ac:dyDescent="0.35">
      <c r="A47" s="472" t="s">
        <v>526</v>
      </c>
      <c r="B47" s="472" t="s">
        <v>159</v>
      </c>
      <c r="C47" s="472" t="s">
        <v>530</v>
      </c>
      <c r="D47" s="472" t="s">
        <v>531</v>
      </c>
      <c r="E47" s="472" t="s">
        <v>532</v>
      </c>
      <c r="F47" s="472" t="s">
        <v>276</v>
      </c>
      <c r="G47" s="472" t="s">
        <v>527</v>
      </c>
      <c r="H47" s="472" t="s">
        <v>533</v>
      </c>
      <c r="I47" s="472" t="s">
        <v>277</v>
      </c>
      <c r="J47" s="472" t="s">
        <v>528</v>
      </c>
      <c r="K47" s="472" t="s">
        <v>534</v>
      </c>
      <c r="L47" s="472" t="s">
        <v>529</v>
      </c>
      <c r="M47" s="472" t="s">
        <v>535</v>
      </c>
      <c r="N47" s="472"/>
      <c r="O47" s="472"/>
      <c r="P47" s="472" t="s">
        <v>528</v>
      </c>
      <c r="Q47" s="472"/>
      <c r="R47" s="473">
        <v>45366</v>
      </c>
      <c r="S47" s="472" t="s">
        <v>278</v>
      </c>
      <c r="T47" s="473">
        <v>45370</v>
      </c>
      <c r="U47" s="474">
        <v>3</v>
      </c>
      <c r="V47" s="475">
        <v>301.86</v>
      </c>
      <c r="W47" s="259">
        <v>45352</v>
      </c>
    </row>
    <row r="48" spans="1:23" hidden="1" x14ac:dyDescent="0.35">
      <c r="A48" s="472" t="s">
        <v>526</v>
      </c>
      <c r="B48" s="472" t="s">
        <v>159</v>
      </c>
      <c r="C48" s="472" t="s">
        <v>530</v>
      </c>
      <c r="D48" s="472" t="s">
        <v>531</v>
      </c>
      <c r="E48" s="472" t="s">
        <v>532</v>
      </c>
      <c r="F48" s="472" t="s">
        <v>276</v>
      </c>
      <c r="G48" s="472" t="s">
        <v>527</v>
      </c>
      <c r="H48" s="472" t="s">
        <v>533</v>
      </c>
      <c r="I48" s="472" t="s">
        <v>277</v>
      </c>
      <c r="J48" s="472" t="s">
        <v>528</v>
      </c>
      <c r="K48" s="472" t="s">
        <v>534</v>
      </c>
      <c r="L48" s="472" t="s">
        <v>529</v>
      </c>
      <c r="M48" s="472" t="s">
        <v>535</v>
      </c>
      <c r="N48" s="472"/>
      <c r="O48" s="472"/>
      <c r="P48" s="472" t="s">
        <v>528</v>
      </c>
      <c r="Q48" s="472"/>
      <c r="R48" s="473">
        <v>45362</v>
      </c>
      <c r="S48" s="472" t="s">
        <v>278</v>
      </c>
      <c r="T48" s="473">
        <v>45370</v>
      </c>
      <c r="U48" s="474">
        <v>2</v>
      </c>
      <c r="V48" s="475">
        <v>201.24</v>
      </c>
      <c r="W48" s="259">
        <v>45352</v>
      </c>
    </row>
    <row r="49" spans="1:23" hidden="1" x14ac:dyDescent="0.35">
      <c r="A49" s="472" t="s">
        <v>526</v>
      </c>
      <c r="B49" s="472" t="s">
        <v>159</v>
      </c>
      <c r="C49" s="472" t="s">
        <v>530</v>
      </c>
      <c r="D49" s="472" t="s">
        <v>531</v>
      </c>
      <c r="E49" s="472" t="s">
        <v>532</v>
      </c>
      <c r="F49" s="472" t="s">
        <v>276</v>
      </c>
      <c r="G49" s="472" t="s">
        <v>527</v>
      </c>
      <c r="H49" s="472" t="s">
        <v>533</v>
      </c>
      <c r="I49" s="472" t="s">
        <v>277</v>
      </c>
      <c r="J49" s="472" t="s">
        <v>528</v>
      </c>
      <c r="K49" s="472" t="s">
        <v>534</v>
      </c>
      <c r="L49" s="472" t="s">
        <v>529</v>
      </c>
      <c r="M49" s="472" t="s">
        <v>535</v>
      </c>
      <c r="N49" s="472"/>
      <c r="O49" s="472"/>
      <c r="P49" s="472" t="s">
        <v>528</v>
      </c>
      <c r="Q49" s="472"/>
      <c r="R49" s="473">
        <v>45364</v>
      </c>
      <c r="S49" s="472" t="s">
        <v>278</v>
      </c>
      <c r="T49" s="473">
        <v>45370</v>
      </c>
      <c r="U49" s="474">
        <v>4</v>
      </c>
      <c r="V49" s="475">
        <v>402.48</v>
      </c>
      <c r="W49" s="259">
        <v>45352</v>
      </c>
    </row>
    <row r="50" spans="1:23" hidden="1" x14ac:dyDescent="0.35">
      <c r="A50" s="472" t="s">
        <v>526</v>
      </c>
      <c r="B50" s="472" t="s">
        <v>159</v>
      </c>
      <c r="C50" s="472" t="s">
        <v>530</v>
      </c>
      <c r="D50" s="472" t="s">
        <v>531</v>
      </c>
      <c r="E50" s="472" t="s">
        <v>532</v>
      </c>
      <c r="F50" s="472" t="s">
        <v>276</v>
      </c>
      <c r="G50" s="472" t="s">
        <v>527</v>
      </c>
      <c r="H50" s="472" t="s">
        <v>533</v>
      </c>
      <c r="I50" s="472" t="s">
        <v>277</v>
      </c>
      <c r="J50" s="472" t="s">
        <v>528</v>
      </c>
      <c r="K50" s="472" t="s">
        <v>534</v>
      </c>
      <c r="L50" s="472" t="s">
        <v>529</v>
      </c>
      <c r="M50" s="472" t="s">
        <v>535</v>
      </c>
      <c r="N50" s="472"/>
      <c r="O50" s="472"/>
      <c r="P50" s="472" t="s">
        <v>528</v>
      </c>
      <c r="Q50" s="472"/>
      <c r="R50" s="473">
        <v>45365</v>
      </c>
      <c r="S50" s="472" t="s">
        <v>278</v>
      </c>
      <c r="T50" s="473">
        <v>45370</v>
      </c>
      <c r="U50" s="474">
        <v>3</v>
      </c>
      <c r="V50" s="475">
        <v>301.86</v>
      </c>
      <c r="W50" s="259">
        <v>45352</v>
      </c>
    </row>
    <row r="51" spans="1:23" hidden="1" x14ac:dyDescent="0.35">
      <c r="A51" s="472" t="s">
        <v>526</v>
      </c>
      <c r="B51" s="472" t="s">
        <v>159</v>
      </c>
      <c r="C51" s="472" t="s">
        <v>530</v>
      </c>
      <c r="D51" s="472" t="s">
        <v>531</v>
      </c>
      <c r="E51" s="472" t="s">
        <v>532</v>
      </c>
      <c r="F51" s="472" t="s">
        <v>276</v>
      </c>
      <c r="G51" s="472" t="s">
        <v>527</v>
      </c>
      <c r="H51" s="472" t="s">
        <v>533</v>
      </c>
      <c r="I51" s="472" t="s">
        <v>277</v>
      </c>
      <c r="J51" s="472" t="s">
        <v>528</v>
      </c>
      <c r="K51" s="472" t="s">
        <v>534</v>
      </c>
      <c r="L51" s="472" t="s">
        <v>529</v>
      </c>
      <c r="M51" s="472" t="s">
        <v>535</v>
      </c>
      <c r="N51" s="472"/>
      <c r="O51" s="472"/>
      <c r="P51" s="472" t="s">
        <v>528</v>
      </c>
      <c r="Q51" s="472"/>
      <c r="R51" s="473">
        <v>45371</v>
      </c>
      <c r="S51" s="472" t="s">
        <v>278</v>
      </c>
      <c r="T51" s="473">
        <v>45378</v>
      </c>
      <c r="U51" s="474">
        <v>3</v>
      </c>
      <c r="V51" s="475">
        <v>301.86</v>
      </c>
      <c r="W51" s="259">
        <v>45352</v>
      </c>
    </row>
    <row r="52" spans="1:23" hidden="1" x14ac:dyDescent="0.35">
      <c r="A52" s="472" t="s">
        <v>526</v>
      </c>
      <c r="B52" s="472" t="s">
        <v>159</v>
      </c>
      <c r="C52" s="472" t="s">
        <v>530</v>
      </c>
      <c r="D52" s="472" t="s">
        <v>531</v>
      </c>
      <c r="E52" s="472" t="s">
        <v>532</v>
      </c>
      <c r="F52" s="472" t="s">
        <v>276</v>
      </c>
      <c r="G52" s="472" t="s">
        <v>527</v>
      </c>
      <c r="H52" s="472" t="s">
        <v>533</v>
      </c>
      <c r="I52" s="472" t="s">
        <v>277</v>
      </c>
      <c r="J52" s="472" t="s">
        <v>528</v>
      </c>
      <c r="K52" s="472" t="s">
        <v>534</v>
      </c>
      <c r="L52" s="472" t="s">
        <v>529</v>
      </c>
      <c r="M52" s="472" t="s">
        <v>535</v>
      </c>
      <c r="N52" s="472"/>
      <c r="O52" s="472"/>
      <c r="P52" s="472" t="s">
        <v>528</v>
      </c>
      <c r="Q52" s="472"/>
      <c r="R52" s="473">
        <v>45370</v>
      </c>
      <c r="S52" s="472" t="s">
        <v>278</v>
      </c>
      <c r="T52" s="473">
        <v>45378</v>
      </c>
      <c r="U52" s="474">
        <v>4</v>
      </c>
      <c r="V52" s="475">
        <v>402.48</v>
      </c>
      <c r="W52" s="259">
        <v>45352</v>
      </c>
    </row>
    <row r="53" spans="1:23" hidden="1" x14ac:dyDescent="0.35">
      <c r="A53" s="472" t="s">
        <v>526</v>
      </c>
      <c r="B53" s="472" t="s">
        <v>159</v>
      </c>
      <c r="C53" s="472" t="s">
        <v>530</v>
      </c>
      <c r="D53" s="472" t="s">
        <v>531</v>
      </c>
      <c r="E53" s="472" t="s">
        <v>532</v>
      </c>
      <c r="F53" s="472" t="s">
        <v>276</v>
      </c>
      <c r="G53" s="472" t="s">
        <v>527</v>
      </c>
      <c r="H53" s="472" t="s">
        <v>533</v>
      </c>
      <c r="I53" s="472" t="s">
        <v>277</v>
      </c>
      <c r="J53" s="472" t="s">
        <v>528</v>
      </c>
      <c r="K53" s="472" t="s">
        <v>534</v>
      </c>
      <c r="L53" s="472" t="s">
        <v>529</v>
      </c>
      <c r="M53" s="472" t="s">
        <v>535</v>
      </c>
      <c r="N53" s="472"/>
      <c r="O53" s="472"/>
      <c r="P53" s="472" t="s">
        <v>528</v>
      </c>
      <c r="Q53" s="472"/>
      <c r="R53" s="473">
        <v>45369</v>
      </c>
      <c r="S53" s="472" t="s">
        <v>278</v>
      </c>
      <c r="T53" s="473">
        <v>45378</v>
      </c>
      <c r="U53" s="474">
        <v>3</v>
      </c>
      <c r="V53" s="475">
        <v>301.86</v>
      </c>
      <c r="W53" s="259">
        <v>45352</v>
      </c>
    </row>
    <row r="54" spans="1:23" hidden="1" x14ac:dyDescent="0.35">
      <c r="A54" s="472" t="s">
        <v>526</v>
      </c>
      <c r="B54" s="472" t="s">
        <v>159</v>
      </c>
      <c r="C54" s="472" t="s">
        <v>530</v>
      </c>
      <c r="D54" s="472" t="s">
        <v>531</v>
      </c>
      <c r="E54" s="472" t="s">
        <v>532</v>
      </c>
      <c r="F54" s="472" t="s">
        <v>276</v>
      </c>
      <c r="G54" s="472" t="s">
        <v>527</v>
      </c>
      <c r="H54" s="472" t="s">
        <v>533</v>
      </c>
      <c r="I54" s="472" t="s">
        <v>277</v>
      </c>
      <c r="J54" s="472" t="s">
        <v>528</v>
      </c>
      <c r="K54" s="472" t="s">
        <v>534</v>
      </c>
      <c r="L54" s="472" t="s">
        <v>529</v>
      </c>
      <c r="M54" s="472" t="s">
        <v>535</v>
      </c>
      <c r="N54" s="472"/>
      <c r="O54" s="472"/>
      <c r="P54" s="472" t="s">
        <v>528</v>
      </c>
      <c r="Q54" s="472"/>
      <c r="R54" s="473">
        <v>45372</v>
      </c>
      <c r="S54" s="472" t="s">
        <v>278</v>
      </c>
      <c r="T54" s="473">
        <v>45378</v>
      </c>
      <c r="U54" s="474">
        <v>5</v>
      </c>
      <c r="V54" s="475">
        <v>503.1</v>
      </c>
      <c r="W54" s="259">
        <v>45352</v>
      </c>
    </row>
    <row r="55" spans="1:23" hidden="1" x14ac:dyDescent="0.35">
      <c r="A55" s="472" t="s">
        <v>526</v>
      </c>
      <c r="B55" s="472" t="s">
        <v>159</v>
      </c>
      <c r="C55" s="472" t="s">
        <v>281</v>
      </c>
      <c r="D55" s="472" t="s">
        <v>282</v>
      </c>
      <c r="E55" s="472" t="s">
        <v>283</v>
      </c>
      <c r="F55" s="472" t="s">
        <v>276</v>
      </c>
      <c r="G55" s="472" t="s">
        <v>527</v>
      </c>
      <c r="H55" s="472"/>
      <c r="I55" s="472" t="s">
        <v>277</v>
      </c>
      <c r="J55" s="472" t="s">
        <v>528</v>
      </c>
      <c r="K55" s="472" t="s">
        <v>284</v>
      </c>
      <c r="L55" s="472" t="s">
        <v>536</v>
      </c>
      <c r="M55" s="472" t="s">
        <v>285</v>
      </c>
      <c r="N55" s="472"/>
      <c r="O55" s="472"/>
      <c r="P55" s="472" t="s">
        <v>528</v>
      </c>
      <c r="Q55" s="472"/>
      <c r="R55" s="473">
        <v>45413</v>
      </c>
      <c r="S55" s="472"/>
      <c r="T55" s="473">
        <v>45412</v>
      </c>
      <c r="U55" s="474">
        <v>0</v>
      </c>
      <c r="V55" s="475">
        <v>417.85</v>
      </c>
      <c r="W55" s="259">
        <v>45383</v>
      </c>
    </row>
    <row r="56" spans="1:23" hidden="1" x14ac:dyDescent="0.35">
      <c r="A56" s="472" t="s">
        <v>526</v>
      </c>
      <c r="B56" s="472" t="s">
        <v>159</v>
      </c>
      <c r="C56" s="472" t="s">
        <v>286</v>
      </c>
      <c r="D56" s="472" t="s">
        <v>287</v>
      </c>
      <c r="E56" s="472" t="s">
        <v>288</v>
      </c>
      <c r="F56" s="472" t="s">
        <v>276</v>
      </c>
      <c r="G56" s="472" t="s">
        <v>527</v>
      </c>
      <c r="H56" s="472"/>
      <c r="I56" s="472" t="s">
        <v>277</v>
      </c>
      <c r="J56" s="472" t="s">
        <v>528</v>
      </c>
      <c r="K56" s="472" t="s">
        <v>289</v>
      </c>
      <c r="L56" s="472" t="s">
        <v>536</v>
      </c>
      <c r="M56" s="472" t="s">
        <v>285</v>
      </c>
      <c r="N56" s="472"/>
      <c r="O56" s="472"/>
      <c r="P56" s="472" t="s">
        <v>528</v>
      </c>
      <c r="Q56" s="472"/>
      <c r="R56" s="473">
        <v>45413</v>
      </c>
      <c r="S56" s="472"/>
      <c r="T56" s="473">
        <v>45412</v>
      </c>
      <c r="U56" s="474">
        <v>0</v>
      </c>
      <c r="V56" s="475">
        <v>1198.71</v>
      </c>
      <c r="W56" s="259">
        <v>45383</v>
      </c>
    </row>
    <row r="57" spans="1:23" hidden="1" x14ac:dyDescent="0.35">
      <c r="A57" s="472" t="s">
        <v>526</v>
      </c>
      <c r="B57" s="472" t="s">
        <v>159</v>
      </c>
      <c r="C57" s="472" t="s">
        <v>281</v>
      </c>
      <c r="D57" s="472" t="s">
        <v>290</v>
      </c>
      <c r="E57" s="472" t="s">
        <v>291</v>
      </c>
      <c r="F57" s="472" t="s">
        <v>276</v>
      </c>
      <c r="G57" s="472" t="s">
        <v>527</v>
      </c>
      <c r="H57" s="472"/>
      <c r="I57" s="472" t="s">
        <v>277</v>
      </c>
      <c r="J57" s="472" t="s">
        <v>528</v>
      </c>
      <c r="K57" s="472" t="s">
        <v>284</v>
      </c>
      <c r="L57" s="472" t="s">
        <v>536</v>
      </c>
      <c r="M57" s="472" t="s">
        <v>285</v>
      </c>
      <c r="N57" s="472"/>
      <c r="O57" s="472"/>
      <c r="P57" s="472" t="s">
        <v>528</v>
      </c>
      <c r="Q57" s="472"/>
      <c r="R57" s="473">
        <v>45413</v>
      </c>
      <c r="S57" s="472"/>
      <c r="T57" s="473">
        <v>45412</v>
      </c>
      <c r="U57" s="474">
        <v>0</v>
      </c>
      <c r="V57" s="475">
        <v>259.7</v>
      </c>
      <c r="W57" s="259">
        <v>45383</v>
      </c>
    </row>
    <row r="58" spans="1:23" hidden="1" x14ac:dyDescent="0.35">
      <c r="A58" s="472" t="s">
        <v>526</v>
      </c>
      <c r="B58" s="472" t="s">
        <v>159</v>
      </c>
      <c r="C58" s="472" t="s">
        <v>281</v>
      </c>
      <c r="D58" s="472" t="s">
        <v>292</v>
      </c>
      <c r="E58" s="472" t="s">
        <v>293</v>
      </c>
      <c r="F58" s="472" t="s">
        <v>276</v>
      </c>
      <c r="G58" s="472" t="s">
        <v>527</v>
      </c>
      <c r="H58" s="472"/>
      <c r="I58" s="472" t="s">
        <v>277</v>
      </c>
      <c r="J58" s="472" t="s">
        <v>528</v>
      </c>
      <c r="K58" s="472" t="s">
        <v>294</v>
      </c>
      <c r="L58" s="472" t="s">
        <v>536</v>
      </c>
      <c r="M58" s="472" t="s">
        <v>285</v>
      </c>
      <c r="N58" s="472"/>
      <c r="O58" s="472"/>
      <c r="P58" s="472" t="s">
        <v>528</v>
      </c>
      <c r="Q58" s="472"/>
      <c r="R58" s="473">
        <v>45413</v>
      </c>
      <c r="S58" s="472"/>
      <c r="T58" s="473">
        <v>45412</v>
      </c>
      <c r="U58" s="474">
        <v>0</v>
      </c>
      <c r="V58" s="475">
        <v>368.25</v>
      </c>
      <c r="W58" s="259">
        <v>45383</v>
      </c>
    </row>
    <row r="59" spans="1:23" hidden="1" x14ac:dyDescent="0.35">
      <c r="A59" s="472" t="s">
        <v>526</v>
      </c>
      <c r="B59" s="472" t="s">
        <v>159</v>
      </c>
      <c r="C59" s="472" t="s">
        <v>286</v>
      </c>
      <c r="D59" s="472" t="s">
        <v>295</v>
      </c>
      <c r="E59" s="472" t="s">
        <v>296</v>
      </c>
      <c r="F59" s="472" t="s">
        <v>276</v>
      </c>
      <c r="G59" s="472" t="s">
        <v>527</v>
      </c>
      <c r="H59" s="472"/>
      <c r="I59" s="472" t="s">
        <v>277</v>
      </c>
      <c r="J59" s="472" t="s">
        <v>528</v>
      </c>
      <c r="K59" s="472" t="s">
        <v>297</v>
      </c>
      <c r="L59" s="472" t="s">
        <v>536</v>
      </c>
      <c r="M59" s="472" t="s">
        <v>285</v>
      </c>
      <c r="N59" s="472"/>
      <c r="O59" s="472"/>
      <c r="P59" s="472" t="s">
        <v>528</v>
      </c>
      <c r="Q59" s="472"/>
      <c r="R59" s="473">
        <v>45413</v>
      </c>
      <c r="S59" s="472"/>
      <c r="T59" s="473">
        <v>45412</v>
      </c>
      <c r="U59" s="474">
        <v>0</v>
      </c>
      <c r="V59" s="475">
        <v>463.96</v>
      </c>
      <c r="W59" s="259">
        <v>45383</v>
      </c>
    </row>
    <row r="60" spans="1:23" hidden="1" x14ac:dyDescent="0.35">
      <c r="A60" s="472" t="s">
        <v>526</v>
      </c>
      <c r="B60" s="472" t="s">
        <v>159</v>
      </c>
      <c r="C60" s="472" t="s">
        <v>298</v>
      </c>
      <c r="D60" s="472" t="s">
        <v>299</v>
      </c>
      <c r="E60" s="472" t="s">
        <v>300</v>
      </c>
      <c r="F60" s="472" t="s">
        <v>276</v>
      </c>
      <c r="G60" s="472" t="s">
        <v>527</v>
      </c>
      <c r="H60" s="472"/>
      <c r="I60" s="472" t="s">
        <v>277</v>
      </c>
      <c r="J60" s="472" t="s">
        <v>528</v>
      </c>
      <c r="K60" s="472" t="s">
        <v>301</v>
      </c>
      <c r="L60" s="472" t="s">
        <v>536</v>
      </c>
      <c r="M60" s="472" t="s">
        <v>285</v>
      </c>
      <c r="N60" s="472"/>
      <c r="O60" s="472"/>
      <c r="P60" s="472" t="s">
        <v>528</v>
      </c>
      <c r="Q60" s="472"/>
      <c r="R60" s="473">
        <v>45414</v>
      </c>
      <c r="S60" s="472"/>
      <c r="T60" s="473">
        <v>45412</v>
      </c>
      <c r="U60" s="474">
        <v>0</v>
      </c>
      <c r="V60" s="475">
        <v>0.01</v>
      </c>
      <c r="W60" s="259">
        <v>45383</v>
      </c>
    </row>
    <row r="61" spans="1:23" hidden="1" x14ac:dyDescent="0.35">
      <c r="A61" s="472" t="s">
        <v>526</v>
      </c>
      <c r="B61" s="472" t="s">
        <v>159</v>
      </c>
      <c r="C61" s="472" t="s">
        <v>298</v>
      </c>
      <c r="D61" s="472" t="s">
        <v>299</v>
      </c>
      <c r="E61" s="472" t="s">
        <v>300</v>
      </c>
      <c r="F61" s="472" t="s">
        <v>276</v>
      </c>
      <c r="G61" s="472" t="s">
        <v>527</v>
      </c>
      <c r="H61" s="472"/>
      <c r="I61" s="472" t="s">
        <v>277</v>
      </c>
      <c r="J61" s="472" t="s">
        <v>528</v>
      </c>
      <c r="K61" s="472" t="s">
        <v>301</v>
      </c>
      <c r="L61" s="472" t="s">
        <v>536</v>
      </c>
      <c r="M61" s="472" t="s">
        <v>285</v>
      </c>
      <c r="N61" s="472"/>
      <c r="O61" s="472"/>
      <c r="P61" s="472" t="s">
        <v>528</v>
      </c>
      <c r="Q61" s="472"/>
      <c r="R61" s="473">
        <v>45414</v>
      </c>
      <c r="S61" s="472"/>
      <c r="T61" s="473">
        <v>45412</v>
      </c>
      <c r="U61" s="474">
        <v>0</v>
      </c>
      <c r="V61" s="475">
        <v>0.61</v>
      </c>
      <c r="W61" s="259">
        <v>45383</v>
      </c>
    </row>
    <row r="62" spans="1:23" hidden="1" x14ac:dyDescent="0.35">
      <c r="A62" s="472" t="s">
        <v>526</v>
      </c>
      <c r="B62" s="472" t="s">
        <v>159</v>
      </c>
      <c r="C62" s="472" t="s">
        <v>298</v>
      </c>
      <c r="D62" s="472" t="s">
        <v>304</v>
      </c>
      <c r="E62" s="472" t="s">
        <v>305</v>
      </c>
      <c r="F62" s="472" t="s">
        <v>276</v>
      </c>
      <c r="G62" s="472" t="s">
        <v>527</v>
      </c>
      <c r="H62" s="472"/>
      <c r="I62" s="472" t="s">
        <v>277</v>
      </c>
      <c r="J62" s="472" t="s">
        <v>528</v>
      </c>
      <c r="K62" s="472" t="s">
        <v>301</v>
      </c>
      <c r="L62" s="472" t="s">
        <v>536</v>
      </c>
      <c r="M62" s="472" t="s">
        <v>285</v>
      </c>
      <c r="N62" s="472"/>
      <c r="O62" s="472"/>
      <c r="P62" s="472" t="s">
        <v>528</v>
      </c>
      <c r="Q62" s="472"/>
      <c r="R62" s="473">
        <v>45414</v>
      </c>
      <c r="S62" s="472"/>
      <c r="T62" s="473">
        <v>45412</v>
      </c>
      <c r="U62" s="474">
        <v>0</v>
      </c>
      <c r="V62" s="475">
        <v>0.87</v>
      </c>
      <c r="W62" s="259">
        <v>45383</v>
      </c>
    </row>
    <row r="63" spans="1:23" hidden="1" x14ac:dyDescent="0.35">
      <c r="A63" s="472" t="s">
        <v>526</v>
      </c>
      <c r="B63" s="472" t="s">
        <v>159</v>
      </c>
      <c r="C63" s="472" t="s">
        <v>298</v>
      </c>
      <c r="D63" s="472" t="s">
        <v>306</v>
      </c>
      <c r="E63" s="472" t="s">
        <v>307</v>
      </c>
      <c r="F63" s="472" t="s">
        <v>276</v>
      </c>
      <c r="G63" s="472" t="s">
        <v>527</v>
      </c>
      <c r="H63" s="472"/>
      <c r="I63" s="472" t="s">
        <v>277</v>
      </c>
      <c r="J63" s="472" t="s">
        <v>528</v>
      </c>
      <c r="K63" s="472" t="s">
        <v>301</v>
      </c>
      <c r="L63" s="472" t="s">
        <v>536</v>
      </c>
      <c r="M63" s="472" t="s">
        <v>285</v>
      </c>
      <c r="N63" s="472"/>
      <c r="O63" s="472"/>
      <c r="P63" s="472" t="s">
        <v>528</v>
      </c>
      <c r="Q63" s="472"/>
      <c r="R63" s="473">
        <v>45414</v>
      </c>
      <c r="S63" s="472"/>
      <c r="T63" s="473">
        <v>45412</v>
      </c>
      <c r="U63" s="474">
        <v>0</v>
      </c>
      <c r="V63" s="475">
        <v>0.01</v>
      </c>
      <c r="W63" s="259">
        <v>45383</v>
      </c>
    </row>
    <row r="64" spans="1:23" hidden="1" x14ac:dyDescent="0.35">
      <c r="A64" s="472" t="s">
        <v>526</v>
      </c>
      <c r="B64" s="472" t="s">
        <v>159</v>
      </c>
      <c r="C64" s="472" t="s">
        <v>298</v>
      </c>
      <c r="D64" s="472" t="s">
        <v>306</v>
      </c>
      <c r="E64" s="472" t="s">
        <v>307</v>
      </c>
      <c r="F64" s="472" t="s">
        <v>276</v>
      </c>
      <c r="G64" s="472" t="s">
        <v>527</v>
      </c>
      <c r="H64" s="472"/>
      <c r="I64" s="472" t="s">
        <v>277</v>
      </c>
      <c r="J64" s="472" t="s">
        <v>528</v>
      </c>
      <c r="K64" s="472" t="s">
        <v>301</v>
      </c>
      <c r="L64" s="472" t="s">
        <v>536</v>
      </c>
      <c r="M64" s="472" t="s">
        <v>285</v>
      </c>
      <c r="N64" s="472"/>
      <c r="O64" s="472"/>
      <c r="P64" s="472" t="s">
        <v>528</v>
      </c>
      <c r="Q64" s="472"/>
      <c r="R64" s="473">
        <v>45414</v>
      </c>
      <c r="S64" s="472"/>
      <c r="T64" s="473">
        <v>45412</v>
      </c>
      <c r="U64" s="474">
        <v>0</v>
      </c>
      <c r="V64" s="475">
        <v>0.98</v>
      </c>
      <c r="W64" s="259">
        <v>45383</v>
      </c>
    </row>
    <row r="65" spans="1:23" hidden="1" x14ac:dyDescent="0.35">
      <c r="A65" s="472" t="s">
        <v>526</v>
      </c>
      <c r="B65" s="472" t="s">
        <v>159</v>
      </c>
      <c r="C65" s="472" t="s">
        <v>298</v>
      </c>
      <c r="D65" s="472" t="s">
        <v>308</v>
      </c>
      <c r="E65" s="472" t="s">
        <v>309</v>
      </c>
      <c r="F65" s="472" t="s">
        <v>276</v>
      </c>
      <c r="G65" s="472" t="s">
        <v>527</v>
      </c>
      <c r="H65" s="472"/>
      <c r="I65" s="472" t="s">
        <v>277</v>
      </c>
      <c r="J65" s="472" t="s">
        <v>528</v>
      </c>
      <c r="K65" s="472" t="s">
        <v>301</v>
      </c>
      <c r="L65" s="472" t="s">
        <v>536</v>
      </c>
      <c r="M65" s="472" t="s">
        <v>285</v>
      </c>
      <c r="N65" s="472"/>
      <c r="O65" s="472"/>
      <c r="P65" s="472" t="s">
        <v>528</v>
      </c>
      <c r="Q65" s="472"/>
      <c r="R65" s="473">
        <v>45414</v>
      </c>
      <c r="S65" s="472"/>
      <c r="T65" s="473">
        <v>45412</v>
      </c>
      <c r="U65" s="474">
        <v>0</v>
      </c>
      <c r="V65" s="475">
        <v>115.33</v>
      </c>
      <c r="W65" s="259">
        <v>45383</v>
      </c>
    </row>
    <row r="66" spans="1:23" hidden="1" x14ac:dyDescent="0.35">
      <c r="A66" s="472" t="s">
        <v>526</v>
      </c>
      <c r="B66" s="472" t="s">
        <v>159</v>
      </c>
      <c r="C66" s="472" t="s">
        <v>298</v>
      </c>
      <c r="D66" s="472" t="s">
        <v>310</v>
      </c>
      <c r="E66" s="472" t="s">
        <v>311</v>
      </c>
      <c r="F66" s="472" t="s">
        <v>276</v>
      </c>
      <c r="G66" s="472" t="s">
        <v>527</v>
      </c>
      <c r="H66" s="472"/>
      <c r="I66" s="472" t="s">
        <v>277</v>
      </c>
      <c r="J66" s="472" t="s">
        <v>528</v>
      </c>
      <c r="K66" s="472" t="s">
        <v>301</v>
      </c>
      <c r="L66" s="472" t="s">
        <v>536</v>
      </c>
      <c r="M66" s="472" t="s">
        <v>285</v>
      </c>
      <c r="N66" s="472"/>
      <c r="O66" s="472"/>
      <c r="P66" s="472" t="s">
        <v>528</v>
      </c>
      <c r="Q66" s="472"/>
      <c r="R66" s="473">
        <v>45414</v>
      </c>
      <c r="S66" s="472"/>
      <c r="T66" s="473">
        <v>45412</v>
      </c>
      <c r="U66" s="474">
        <v>0</v>
      </c>
      <c r="V66" s="475">
        <v>0.12</v>
      </c>
      <c r="W66" s="259">
        <v>45383</v>
      </c>
    </row>
    <row r="67" spans="1:23" hidden="1" x14ac:dyDescent="0.35">
      <c r="A67" s="472" t="s">
        <v>526</v>
      </c>
      <c r="B67" s="472" t="s">
        <v>159</v>
      </c>
      <c r="C67" s="472" t="s">
        <v>298</v>
      </c>
      <c r="D67" s="472" t="s">
        <v>312</v>
      </c>
      <c r="E67" s="472" t="s">
        <v>313</v>
      </c>
      <c r="F67" s="472" t="s">
        <v>276</v>
      </c>
      <c r="G67" s="472" t="s">
        <v>527</v>
      </c>
      <c r="H67" s="472"/>
      <c r="I67" s="472" t="s">
        <v>277</v>
      </c>
      <c r="J67" s="472" t="s">
        <v>528</v>
      </c>
      <c r="K67" s="472" t="s">
        <v>301</v>
      </c>
      <c r="L67" s="472" t="s">
        <v>536</v>
      </c>
      <c r="M67" s="472" t="s">
        <v>285</v>
      </c>
      <c r="N67" s="472"/>
      <c r="O67" s="472"/>
      <c r="P67" s="472" t="s">
        <v>528</v>
      </c>
      <c r="Q67" s="472"/>
      <c r="R67" s="473">
        <v>45414</v>
      </c>
      <c r="S67" s="472"/>
      <c r="T67" s="473">
        <v>45412</v>
      </c>
      <c r="U67" s="474">
        <v>0</v>
      </c>
      <c r="V67" s="475">
        <v>21.53</v>
      </c>
      <c r="W67" s="259">
        <v>45383</v>
      </c>
    </row>
    <row r="68" spans="1:23" hidden="1" x14ac:dyDescent="0.35">
      <c r="A68" s="472" t="s">
        <v>526</v>
      </c>
      <c r="B68" s="472" t="s">
        <v>159</v>
      </c>
      <c r="C68" s="472" t="s">
        <v>298</v>
      </c>
      <c r="D68" s="472" t="s">
        <v>314</v>
      </c>
      <c r="E68" s="472" t="s">
        <v>315</v>
      </c>
      <c r="F68" s="472" t="s">
        <v>276</v>
      </c>
      <c r="G68" s="472" t="s">
        <v>527</v>
      </c>
      <c r="H68" s="472"/>
      <c r="I68" s="472" t="s">
        <v>277</v>
      </c>
      <c r="J68" s="472" t="s">
        <v>528</v>
      </c>
      <c r="K68" s="472" t="s">
        <v>301</v>
      </c>
      <c r="L68" s="472" t="s">
        <v>536</v>
      </c>
      <c r="M68" s="472" t="s">
        <v>285</v>
      </c>
      <c r="N68" s="472"/>
      <c r="O68" s="472"/>
      <c r="P68" s="472" t="s">
        <v>528</v>
      </c>
      <c r="Q68" s="472"/>
      <c r="R68" s="473">
        <v>45414</v>
      </c>
      <c r="S68" s="472"/>
      <c r="T68" s="473">
        <v>45412</v>
      </c>
      <c r="U68" s="474">
        <v>0</v>
      </c>
      <c r="V68" s="475">
        <v>40.57</v>
      </c>
      <c r="W68" s="259">
        <v>45383</v>
      </c>
    </row>
    <row r="69" spans="1:23" hidden="1" x14ac:dyDescent="0.35">
      <c r="A69" s="472" t="s">
        <v>526</v>
      </c>
      <c r="B69" s="472" t="s">
        <v>159</v>
      </c>
      <c r="C69" s="472" t="s">
        <v>298</v>
      </c>
      <c r="D69" s="472" t="s">
        <v>316</v>
      </c>
      <c r="E69" s="472" t="s">
        <v>317</v>
      </c>
      <c r="F69" s="472" t="s">
        <v>276</v>
      </c>
      <c r="G69" s="472" t="s">
        <v>527</v>
      </c>
      <c r="H69" s="472"/>
      <c r="I69" s="472" t="s">
        <v>277</v>
      </c>
      <c r="J69" s="472" t="s">
        <v>528</v>
      </c>
      <c r="K69" s="472" t="s">
        <v>301</v>
      </c>
      <c r="L69" s="472" t="s">
        <v>536</v>
      </c>
      <c r="M69" s="472" t="s">
        <v>285</v>
      </c>
      <c r="N69" s="472"/>
      <c r="O69" s="472"/>
      <c r="P69" s="472" t="s">
        <v>528</v>
      </c>
      <c r="Q69" s="472"/>
      <c r="R69" s="473">
        <v>45414</v>
      </c>
      <c r="S69" s="472"/>
      <c r="T69" s="473">
        <v>45412</v>
      </c>
      <c r="U69" s="474">
        <v>0</v>
      </c>
      <c r="V69" s="475">
        <v>63.36</v>
      </c>
      <c r="W69" s="259">
        <v>45383</v>
      </c>
    </row>
    <row r="70" spans="1:23" hidden="1" x14ac:dyDescent="0.35">
      <c r="A70" s="472" t="s">
        <v>526</v>
      </c>
      <c r="B70" s="472" t="s">
        <v>159</v>
      </c>
      <c r="C70" s="472" t="s">
        <v>298</v>
      </c>
      <c r="D70" s="472" t="s">
        <v>318</v>
      </c>
      <c r="E70" s="472" t="s">
        <v>319</v>
      </c>
      <c r="F70" s="472" t="s">
        <v>276</v>
      </c>
      <c r="G70" s="472" t="s">
        <v>527</v>
      </c>
      <c r="H70" s="472"/>
      <c r="I70" s="472" t="s">
        <v>277</v>
      </c>
      <c r="J70" s="472" t="s">
        <v>528</v>
      </c>
      <c r="K70" s="472" t="s">
        <v>301</v>
      </c>
      <c r="L70" s="472" t="s">
        <v>536</v>
      </c>
      <c r="M70" s="472" t="s">
        <v>285</v>
      </c>
      <c r="N70" s="472"/>
      <c r="O70" s="472"/>
      <c r="P70" s="472" t="s">
        <v>528</v>
      </c>
      <c r="Q70" s="472"/>
      <c r="R70" s="473">
        <v>45414</v>
      </c>
      <c r="S70" s="472"/>
      <c r="T70" s="473">
        <v>45412</v>
      </c>
      <c r="U70" s="474">
        <v>0</v>
      </c>
      <c r="V70" s="475">
        <v>1.66</v>
      </c>
      <c r="W70" s="259">
        <v>45383</v>
      </c>
    </row>
    <row r="71" spans="1:23" hidden="1" x14ac:dyDescent="0.35">
      <c r="A71" s="472" t="s">
        <v>526</v>
      </c>
      <c r="B71" s="472" t="s">
        <v>159</v>
      </c>
      <c r="C71" s="472" t="s">
        <v>298</v>
      </c>
      <c r="D71" s="472" t="s">
        <v>318</v>
      </c>
      <c r="E71" s="472" t="s">
        <v>319</v>
      </c>
      <c r="F71" s="472" t="s">
        <v>276</v>
      </c>
      <c r="G71" s="472" t="s">
        <v>527</v>
      </c>
      <c r="H71" s="472"/>
      <c r="I71" s="472" t="s">
        <v>277</v>
      </c>
      <c r="J71" s="472" t="s">
        <v>528</v>
      </c>
      <c r="K71" s="472" t="s">
        <v>301</v>
      </c>
      <c r="L71" s="472" t="s">
        <v>536</v>
      </c>
      <c r="M71" s="472" t="s">
        <v>285</v>
      </c>
      <c r="N71" s="472"/>
      <c r="O71" s="472"/>
      <c r="P71" s="472" t="s">
        <v>528</v>
      </c>
      <c r="Q71" s="472"/>
      <c r="R71" s="473">
        <v>45414</v>
      </c>
      <c r="S71" s="472"/>
      <c r="T71" s="473">
        <v>45412</v>
      </c>
      <c r="U71" s="474">
        <v>0</v>
      </c>
      <c r="V71" s="475">
        <v>0.03</v>
      </c>
      <c r="W71" s="259">
        <v>45383</v>
      </c>
    </row>
    <row r="72" spans="1:23" hidden="1" x14ac:dyDescent="0.35">
      <c r="A72" s="472" t="s">
        <v>526</v>
      </c>
      <c r="B72" s="472" t="s">
        <v>159</v>
      </c>
      <c r="C72" s="472" t="s">
        <v>298</v>
      </c>
      <c r="D72" s="472" t="s">
        <v>320</v>
      </c>
      <c r="E72" s="472" t="s">
        <v>321</v>
      </c>
      <c r="F72" s="472" t="s">
        <v>276</v>
      </c>
      <c r="G72" s="472" t="s">
        <v>527</v>
      </c>
      <c r="H72" s="472"/>
      <c r="I72" s="472" t="s">
        <v>277</v>
      </c>
      <c r="J72" s="472" t="s">
        <v>528</v>
      </c>
      <c r="K72" s="472" t="s">
        <v>301</v>
      </c>
      <c r="L72" s="472" t="s">
        <v>536</v>
      </c>
      <c r="M72" s="472" t="s">
        <v>285</v>
      </c>
      <c r="N72" s="472"/>
      <c r="O72" s="472"/>
      <c r="P72" s="472" t="s">
        <v>528</v>
      </c>
      <c r="Q72" s="472"/>
      <c r="R72" s="473">
        <v>45414</v>
      </c>
      <c r="S72" s="472"/>
      <c r="T72" s="473">
        <v>45412</v>
      </c>
      <c r="U72" s="474">
        <v>0</v>
      </c>
      <c r="V72" s="475">
        <v>56.53</v>
      </c>
      <c r="W72" s="259">
        <v>45383</v>
      </c>
    </row>
    <row r="73" spans="1:23" hidden="1" x14ac:dyDescent="0.35">
      <c r="A73" s="472" t="s">
        <v>526</v>
      </c>
      <c r="B73" s="472" t="s">
        <v>159</v>
      </c>
      <c r="C73" s="472" t="s">
        <v>298</v>
      </c>
      <c r="D73" s="472" t="s">
        <v>322</v>
      </c>
      <c r="E73" s="472" t="s">
        <v>323</v>
      </c>
      <c r="F73" s="472" t="s">
        <v>276</v>
      </c>
      <c r="G73" s="472" t="s">
        <v>527</v>
      </c>
      <c r="H73" s="472"/>
      <c r="I73" s="472" t="s">
        <v>277</v>
      </c>
      <c r="J73" s="472" t="s">
        <v>528</v>
      </c>
      <c r="K73" s="472" t="s">
        <v>301</v>
      </c>
      <c r="L73" s="472" t="s">
        <v>536</v>
      </c>
      <c r="M73" s="472" t="s">
        <v>285</v>
      </c>
      <c r="N73" s="472"/>
      <c r="O73" s="472"/>
      <c r="P73" s="472" t="s">
        <v>528</v>
      </c>
      <c r="Q73" s="472"/>
      <c r="R73" s="473">
        <v>45414</v>
      </c>
      <c r="S73" s="472"/>
      <c r="T73" s="473">
        <v>45412</v>
      </c>
      <c r="U73" s="474">
        <v>0</v>
      </c>
      <c r="V73" s="475">
        <v>0.39</v>
      </c>
      <c r="W73" s="259">
        <v>45383</v>
      </c>
    </row>
    <row r="74" spans="1:23" hidden="1" x14ac:dyDescent="0.35">
      <c r="A74" s="472" t="s">
        <v>526</v>
      </c>
      <c r="B74" s="472" t="s">
        <v>159</v>
      </c>
      <c r="C74" s="472" t="s">
        <v>298</v>
      </c>
      <c r="D74" s="472" t="s">
        <v>322</v>
      </c>
      <c r="E74" s="472" t="s">
        <v>323</v>
      </c>
      <c r="F74" s="472" t="s">
        <v>276</v>
      </c>
      <c r="G74" s="472" t="s">
        <v>527</v>
      </c>
      <c r="H74" s="472"/>
      <c r="I74" s="472" t="s">
        <v>277</v>
      </c>
      <c r="J74" s="472" t="s">
        <v>528</v>
      </c>
      <c r="K74" s="472" t="s">
        <v>301</v>
      </c>
      <c r="L74" s="472" t="s">
        <v>536</v>
      </c>
      <c r="M74" s="472" t="s">
        <v>285</v>
      </c>
      <c r="N74" s="472"/>
      <c r="O74" s="472"/>
      <c r="P74" s="472" t="s">
        <v>528</v>
      </c>
      <c r="Q74" s="472"/>
      <c r="R74" s="473">
        <v>45414</v>
      </c>
      <c r="S74" s="472"/>
      <c r="T74" s="473">
        <v>45412</v>
      </c>
      <c r="U74" s="474">
        <v>0</v>
      </c>
      <c r="V74" s="475">
        <v>0.02</v>
      </c>
      <c r="W74" s="259">
        <v>45383</v>
      </c>
    </row>
    <row r="75" spans="1:23" hidden="1" x14ac:dyDescent="0.35">
      <c r="A75" s="472" t="s">
        <v>526</v>
      </c>
      <c r="B75" s="472" t="s">
        <v>159</v>
      </c>
      <c r="C75" s="472" t="s">
        <v>298</v>
      </c>
      <c r="D75" s="472" t="s">
        <v>324</v>
      </c>
      <c r="E75" s="472" t="s">
        <v>325</v>
      </c>
      <c r="F75" s="472" t="s">
        <v>276</v>
      </c>
      <c r="G75" s="472" t="s">
        <v>527</v>
      </c>
      <c r="H75" s="472"/>
      <c r="I75" s="472" t="s">
        <v>277</v>
      </c>
      <c r="J75" s="472" t="s">
        <v>528</v>
      </c>
      <c r="K75" s="472" t="s">
        <v>301</v>
      </c>
      <c r="L75" s="472" t="s">
        <v>536</v>
      </c>
      <c r="M75" s="472" t="s">
        <v>285</v>
      </c>
      <c r="N75" s="472"/>
      <c r="O75" s="472"/>
      <c r="P75" s="472" t="s">
        <v>528</v>
      </c>
      <c r="Q75" s="472"/>
      <c r="R75" s="473">
        <v>45414</v>
      </c>
      <c r="S75" s="472"/>
      <c r="T75" s="473">
        <v>45412</v>
      </c>
      <c r="U75" s="474">
        <v>0</v>
      </c>
      <c r="V75" s="475">
        <v>115.26</v>
      </c>
      <c r="W75" s="259">
        <v>45383</v>
      </c>
    </row>
    <row r="76" spans="1:23" hidden="1" x14ac:dyDescent="0.35">
      <c r="A76" s="472" t="s">
        <v>526</v>
      </c>
      <c r="B76" s="472" t="s">
        <v>159</v>
      </c>
      <c r="C76" s="472" t="s">
        <v>298</v>
      </c>
      <c r="D76" s="472" t="s">
        <v>537</v>
      </c>
      <c r="E76" s="472" t="s">
        <v>538</v>
      </c>
      <c r="F76" s="472" t="s">
        <v>276</v>
      </c>
      <c r="G76" s="472" t="s">
        <v>527</v>
      </c>
      <c r="H76" s="472"/>
      <c r="I76" s="472" t="s">
        <v>277</v>
      </c>
      <c r="J76" s="472" t="s">
        <v>528</v>
      </c>
      <c r="K76" s="472" t="s">
        <v>301</v>
      </c>
      <c r="L76" s="472" t="s">
        <v>536</v>
      </c>
      <c r="M76" s="472" t="s">
        <v>285</v>
      </c>
      <c r="N76" s="472"/>
      <c r="O76" s="472"/>
      <c r="P76" s="472" t="s">
        <v>528</v>
      </c>
      <c r="Q76" s="472"/>
      <c r="R76" s="473">
        <v>45414</v>
      </c>
      <c r="S76" s="472"/>
      <c r="T76" s="473">
        <v>45412</v>
      </c>
      <c r="U76" s="474">
        <v>0</v>
      </c>
      <c r="V76" s="475">
        <v>8.82</v>
      </c>
      <c r="W76" s="259">
        <v>45383</v>
      </c>
    </row>
    <row r="77" spans="1:23" hidden="1" x14ac:dyDescent="0.35">
      <c r="A77" s="472" t="s">
        <v>526</v>
      </c>
      <c r="B77" s="472" t="s">
        <v>159</v>
      </c>
      <c r="C77" s="472" t="s">
        <v>298</v>
      </c>
      <c r="D77" s="472" t="s">
        <v>539</v>
      </c>
      <c r="E77" s="472" t="s">
        <v>540</v>
      </c>
      <c r="F77" s="472" t="s">
        <v>276</v>
      </c>
      <c r="G77" s="472" t="s">
        <v>527</v>
      </c>
      <c r="H77" s="472"/>
      <c r="I77" s="472" t="s">
        <v>277</v>
      </c>
      <c r="J77" s="472" t="s">
        <v>528</v>
      </c>
      <c r="K77" s="472" t="s">
        <v>301</v>
      </c>
      <c r="L77" s="472" t="s">
        <v>536</v>
      </c>
      <c r="M77" s="472" t="s">
        <v>285</v>
      </c>
      <c r="N77" s="472"/>
      <c r="O77" s="472"/>
      <c r="P77" s="472" t="s">
        <v>528</v>
      </c>
      <c r="Q77" s="472"/>
      <c r="R77" s="473">
        <v>45414</v>
      </c>
      <c r="S77" s="472"/>
      <c r="T77" s="473">
        <v>45412</v>
      </c>
      <c r="U77" s="474">
        <v>0</v>
      </c>
      <c r="V77" s="475">
        <v>0.05</v>
      </c>
      <c r="W77" s="259">
        <v>45383</v>
      </c>
    </row>
    <row r="78" spans="1:23" hidden="1" x14ac:dyDescent="0.35">
      <c r="A78" s="472" t="s">
        <v>526</v>
      </c>
      <c r="B78" s="472" t="s">
        <v>159</v>
      </c>
      <c r="C78" s="472" t="s">
        <v>298</v>
      </c>
      <c r="D78" s="472" t="s">
        <v>326</v>
      </c>
      <c r="E78" s="472" t="s">
        <v>327</v>
      </c>
      <c r="F78" s="472" t="s">
        <v>276</v>
      </c>
      <c r="G78" s="472" t="s">
        <v>527</v>
      </c>
      <c r="H78" s="472"/>
      <c r="I78" s="472" t="s">
        <v>277</v>
      </c>
      <c r="J78" s="472" t="s">
        <v>528</v>
      </c>
      <c r="K78" s="472" t="s">
        <v>301</v>
      </c>
      <c r="L78" s="472" t="s">
        <v>536</v>
      </c>
      <c r="M78" s="472" t="s">
        <v>285</v>
      </c>
      <c r="N78" s="472"/>
      <c r="O78" s="472"/>
      <c r="P78" s="472" t="s">
        <v>528</v>
      </c>
      <c r="Q78" s="472"/>
      <c r="R78" s="473">
        <v>45414</v>
      </c>
      <c r="S78" s="472"/>
      <c r="T78" s="473">
        <v>45412</v>
      </c>
      <c r="U78" s="474">
        <v>0</v>
      </c>
      <c r="V78" s="475">
        <v>3.22</v>
      </c>
      <c r="W78" s="259">
        <v>45383</v>
      </c>
    </row>
    <row r="79" spans="1:23" hidden="1" x14ac:dyDescent="0.35">
      <c r="A79" s="472" t="s">
        <v>526</v>
      </c>
      <c r="B79" s="472" t="s">
        <v>159</v>
      </c>
      <c r="C79" s="472" t="s">
        <v>298</v>
      </c>
      <c r="D79" s="472" t="s">
        <v>326</v>
      </c>
      <c r="E79" s="472" t="s">
        <v>327</v>
      </c>
      <c r="F79" s="472" t="s">
        <v>276</v>
      </c>
      <c r="G79" s="472" t="s">
        <v>527</v>
      </c>
      <c r="H79" s="472"/>
      <c r="I79" s="472" t="s">
        <v>277</v>
      </c>
      <c r="J79" s="472" t="s">
        <v>528</v>
      </c>
      <c r="K79" s="472" t="s">
        <v>301</v>
      </c>
      <c r="L79" s="472" t="s">
        <v>536</v>
      </c>
      <c r="M79" s="472" t="s">
        <v>285</v>
      </c>
      <c r="N79" s="472"/>
      <c r="O79" s="472"/>
      <c r="P79" s="472" t="s">
        <v>528</v>
      </c>
      <c r="Q79" s="472"/>
      <c r="R79" s="473">
        <v>45414</v>
      </c>
      <c r="S79" s="472"/>
      <c r="T79" s="473">
        <v>45412</v>
      </c>
      <c r="U79" s="474">
        <v>0</v>
      </c>
      <c r="V79" s="475">
        <v>0.17</v>
      </c>
      <c r="W79" s="259">
        <v>45383</v>
      </c>
    </row>
    <row r="80" spans="1:23" hidden="1" x14ac:dyDescent="0.35">
      <c r="A80" s="472" t="s">
        <v>526</v>
      </c>
      <c r="B80" s="472" t="s">
        <v>159</v>
      </c>
      <c r="C80" s="472" t="s">
        <v>298</v>
      </c>
      <c r="D80" s="472" t="s">
        <v>328</v>
      </c>
      <c r="E80" s="472" t="s">
        <v>329</v>
      </c>
      <c r="F80" s="472" t="s">
        <v>276</v>
      </c>
      <c r="G80" s="472" t="s">
        <v>527</v>
      </c>
      <c r="H80" s="472"/>
      <c r="I80" s="472" t="s">
        <v>277</v>
      </c>
      <c r="J80" s="472" t="s">
        <v>528</v>
      </c>
      <c r="K80" s="472" t="s">
        <v>301</v>
      </c>
      <c r="L80" s="472" t="s">
        <v>536</v>
      </c>
      <c r="M80" s="472" t="s">
        <v>285</v>
      </c>
      <c r="N80" s="472"/>
      <c r="O80" s="472"/>
      <c r="P80" s="472" t="s">
        <v>528</v>
      </c>
      <c r="Q80" s="472"/>
      <c r="R80" s="473">
        <v>45414</v>
      </c>
      <c r="S80" s="472"/>
      <c r="T80" s="473">
        <v>45412</v>
      </c>
      <c r="U80" s="474">
        <v>0</v>
      </c>
      <c r="V80" s="475">
        <v>17.079999999999998</v>
      </c>
      <c r="W80" s="259">
        <v>45383</v>
      </c>
    </row>
    <row r="81" spans="1:23" hidden="1" x14ac:dyDescent="0.35">
      <c r="A81" s="472" t="s">
        <v>526</v>
      </c>
      <c r="B81" s="472" t="s">
        <v>159</v>
      </c>
      <c r="C81" s="472" t="s">
        <v>298</v>
      </c>
      <c r="D81" s="472" t="s">
        <v>330</v>
      </c>
      <c r="E81" s="472" t="s">
        <v>331</v>
      </c>
      <c r="F81" s="472" t="s">
        <v>276</v>
      </c>
      <c r="G81" s="472" t="s">
        <v>527</v>
      </c>
      <c r="H81" s="472"/>
      <c r="I81" s="472" t="s">
        <v>277</v>
      </c>
      <c r="J81" s="472" t="s">
        <v>528</v>
      </c>
      <c r="K81" s="472" t="s">
        <v>301</v>
      </c>
      <c r="L81" s="472" t="s">
        <v>536</v>
      </c>
      <c r="M81" s="472" t="s">
        <v>285</v>
      </c>
      <c r="N81" s="472"/>
      <c r="O81" s="472"/>
      <c r="P81" s="472" t="s">
        <v>528</v>
      </c>
      <c r="Q81" s="472"/>
      <c r="R81" s="473">
        <v>45414</v>
      </c>
      <c r="S81" s="472"/>
      <c r="T81" s="473">
        <v>45412</v>
      </c>
      <c r="U81" s="474">
        <v>0</v>
      </c>
      <c r="V81" s="475">
        <v>11.41</v>
      </c>
      <c r="W81" s="259">
        <v>45383</v>
      </c>
    </row>
    <row r="82" spans="1:23" hidden="1" x14ac:dyDescent="0.35">
      <c r="A82" s="472" t="s">
        <v>526</v>
      </c>
      <c r="B82" s="472" t="s">
        <v>159</v>
      </c>
      <c r="C82" s="472" t="s">
        <v>298</v>
      </c>
      <c r="D82" s="472" t="s">
        <v>332</v>
      </c>
      <c r="E82" s="472" t="s">
        <v>333</v>
      </c>
      <c r="F82" s="472" t="s">
        <v>276</v>
      </c>
      <c r="G82" s="472" t="s">
        <v>527</v>
      </c>
      <c r="H82" s="472"/>
      <c r="I82" s="472" t="s">
        <v>277</v>
      </c>
      <c r="J82" s="472" t="s">
        <v>528</v>
      </c>
      <c r="K82" s="472" t="s">
        <v>301</v>
      </c>
      <c r="L82" s="472" t="s">
        <v>536</v>
      </c>
      <c r="M82" s="472" t="s">
        <v>285</v>
      </c>
      <c r="N82" s="472"/>
      <c r="O82" s="472"/>
      <c r="P82" s="472" t="s">
        <v>528</v>
      </c>
      <c r="Q82" s="472"/>
      <c r="R82" s="473">
        <v>45414</v>
      </c>
      <c r="S82" s="472"/>
      <c r="T82" s="473">
        <v>45412</v>
      </c>
      <c r="U82" s="474">
        <v>0</v>
      </c>
      <c r="V82" s="475">
        <v>166.83</v>
      </c>
      <c r="W82" s="259">
        <v>45383</v>
      </c>
    </row>
    <row r="83" spans="1:23" hidden="1" x14ac:dyDescent="0.35">
      <c r="A83" s="472" t="s">
        <v>526</v>
      </c>
      <c r="B83" s="472" t="s">
        <v>159</v>
      </c>
      <c r="C83" s="472" t="s">
        <v>298</v>
      </c>
      <c r="D83" s="472" t="s">
        <v>334</v>
      </c>
      <c r="E83" s="472" t="s">
        <v>335</v>
      </c>
      <c r="F83" s="472" t="s">
        <v>276</v>
      </c>
      <c r="G83" s="472" t="s">
        <v>527</v>
      </c>
      <c r="H83" s="472"/>
      <c r="I83" s="472" t="s">
        <v>277</v>
      </c>
      <c r="J83" s="472" t="s">
        <v>528</v>
      </c>
      <c r="K83" s="472" t="s">
        <v>301</v>
      </c>
      <c r="L83" s="472" t="s">
        <v>536</v>
      </c>
      <c r="M83" s="472" t="s">
        <v>285</v>
      </c>
      <c r="N83" s="472"/>
      <c r="O83" s="472"/>
      <c r="P83" s="472" t="s">
        <v>528</v>
      </c>
      <c r="Q83" s="472"/>
      <c r="R83" s="473">
        <v>45414</v>
      </c>
      <c r="S83" s="472"/>
      <c r="T83" s="473">
        <v>45412</v>
      </c>
      <c r="U83" s="474">
        <v>0</v>
      </c>
      <c r="V83" s="475">
        <v>10.61</v>
      </c>
      <c r="W83" s="259">
        <v>45383</v>
      </c>
    </row>
    <row r="84" spans="1:23" hidden="1" x14ac:dyDescent="0.35">
      <c r="A84" s="472" t="s">
        <v>526</v>
      </c>
      <c r="B84" s="472" t="s">
        <v>159</v>
      </c>
      <c r="C84" s="472" t="s">
        <v>298</v>
      </c>
      <c r="D84" s="472" t="s">
        <v>336</v>
      </c>
      <c r="E84" s="472" t="s">
        <v>337</v>
      </c>
      <c r="F84" s="472" t="s">
        <v>276</v>
      </c>
      <c r="G84" s="472" t="s">
        <v>527</v>
      </c>
      <c r="H84" s="472"/>
      <c r="I84" s="472" t="s">
        <v>277</v>
      </c>
      <c r="J84" s="472" t="s">
        <v>528</v>
      </c>
      <c r="K84" s="472" t="s">
        <v>301</v>
      </c>
      <c r="L84" s="472" t="s">
        <v>536</v>
      </c>
      <c r="M84" s="472" t="s">
        <v>285</v>
      </c>
      <c r="N84" s="472"/>
      <c r="O84" s="472"/>
      <c r="P84" s="472" t="s">
        <v>528</v>
      </c>
      <c r="Q84" s="472"/>
      <c r="R84" s="473">
        <v>45414</v>
      </c>
      <c r="S84" s="472"/>
      <c r="T84" s="473">
        <v>45412</v>
      </c>
      <c r="U84" s="474">
        <v>0</v>
      </c>
      <c r="V84" s="475">
        <v>0.16</v>
      </c>
      <c r="W84" s="259">
        <v>45383</v>
      </c>
    </row>
    <row r="85" spans="1:23" hidden="1" x14ac:dyDescent="0.35">
      <c r="A85" s="472" t="s">
        <v>526</v>
      </c>
      <c r="B85" s="472" t="s">
        <v>159</v>
      </c>
      <c r="C85" s="472" t="s">
        <v>298</v>
      </c>
      <c r="D85" s="472" t="s">
        <v>397</v>
      </c>
      <c r="E85" s="472" t="s">
        <v>398</v>
      </c>
      <c r="F85" s="472" t="s">
        <v>276</v>
      </c>
      <c r="G85" s="472" t="s">
        <v>527</v>
      </c>
      <c r="H85" s="472"/>
      <c r="I85" s="472" t="s">
        <v>277</v>
      </c>
      <c r="J85" s="472" t="s">
        <v>528</v>
      </c>
      <c r="K85" s="472" t="s">
        <v>301</v>
      </c>
      <c r="L85" s="472" t="s">
        <v>536</v>
      </c>
      <c r="M85" s="472" t="s">
        <v>285</v>
      </c>
      <c r="N85" s="472"/>
      <c r="O85" s="472"/>
      <c r="P85" s="472" t="s">
        <v>528</v>
      </c>
      <c r="Q85" s="472"/>
      <c r="R85" s="473">
        <v>45414</v>
      </c>
      <c r="S85" s="472"/>
      <c r="T85" s="473">
        <v>45412</v>
      </c>
      <c r="U85" s="474">
        <v>0</v>
      </c>
      <c r="V85" s="475">
        <v>-7.0000000000000007E-2</v>
      </c>
      <c r="W85" s="259">
        <v>45383</v>
      </c>
    </row>
    <row r="86" spans="1:23" hidden="1" x14ac:dyDescent="0.35">
      <c r="A86" s="472" t="s">
        <v>526</v>
      </c>
      <c r="B86" s="472" t="s">
        <v>159</v>
      </c>
      <c r="C86" s="472" t="s">
        <v>298</v>
      </c>
      <c r="D86" s="472" t="s">
        <v>338</v>
      </c>
      <c r="E86" s="472" t="s">
        <v>339</v>
      </c>
      <c r="F86" s="472" t="s">
        <v>276</v>
      </c>
      <c r="G86" s="472" t="s">
        <v>527</v>
      </c>
      <c r="H86" s="472"/>
      <c r="I86" s="472" t="s">
        <v>277</v>
      </c>
      <c r="J86" s="472" t="s">
        <v>528</v>
      </c>
      <c r="K86" s="472" t="s">
        <v>301</v>
      </c>
      <c r="L86" s="472" t="s">
        <v>536</v>
      </c>
      <c r="M86" s="472" t="s">
        <v>285</v>
      </c>
      <c r="N86" s="472"/>
      <c r="O86" s="472"/>
      <c r="P86" s="472" t="s">
        <v>528</v>
      </c>
      <c r="Q86" s="472"/>
      <c r="R86" s="473">
        <v>45414</v>
      </c>
      <c r="S86" s="472"/>
      <c r="T86" s="473">
        <v>45412</v>
      </c>
      <c r="U86" s="474">
        <v>0</v>
      </c>
      <c r="V86" s="475">
        <v>-0.09</v>
      </c>
      <c r="W86" s="259">
        <v>45383</v>
      </c>
    </row>
    <row r="87" spans="1:23" hidden="1" x14ac:dyDescent="0.35">
      <c r="A87" s="472" t="s">
        <v>526</v>
      </c>
      <c r="B87" s="472" t="s">
        <v>159</v>
      </c>
      <c r="C87" s="472" t="s">
        <v>281</v>
      </c>
      <c r="D87" s="472" t="s">
        <v>340</v>
      </c>
      <c r="E87" s="472" t="s">
        <v>283</v>
      </c>
      <c r="F87" s="472" t="s">
        <v>276</v>
      </c>
      <c r="G87" s="472" t="s">
        <v>527</v>
      </c>
      <c r="H87" s="472"/>
      <c r="I87" s="472" t="s">
        <v>277</v>
      </c>
      <c r="J87" s="472" t="s">
        <v>528</v>
      </c>
      <c r="K87" s="472" t="s">
        <v>284</v>
      </c>
      <c r="L87" s="472" t="s">
        <v>536</v>
      </c>
      <c r="M87" s="472" t="s">
        <v>285</v>
      </c>
      <c r="N87" s="472"/>
      <c r="O87" s="472"/>
      <c r="P87" s="472" t="s">
        <v>528</v>
      </c>
      <c r="Q87" s="472"/>
      <c r="R87" s="473">
        <v>45413</v>
      </c>
      <c r="S87" s="472"/>
      <c r="T87" s="473">
        <v>45412</v>
      </c>
      <c r="U87" s="474">
        <v>0</v>
      </c>
      <c r="V87" s="475">
        <v>74.61</v>
      </c>
      <c r="W87" s="259">
        <v>45383</v>
      </c>
    </row>
    <row r="88" spans="1:23" hidden="1" x14ac:dyDescent="0.35">
      <c r="A88" s="472" t="s">
        <v>526</v>
      </c>
      <c r="B88" s="472" t="s">
        <v>159</v>
      </c>
      <c r="C88" s="472" t="s">
        <v>286</v>
      </c>
      <c r="D88" s="472" t="s">
        <v>341</v>
      </c>
      <c r="E88" s="472" t="s">
        <v>288</v>
      </c>
      <c r="F88" s="472" t="s">
        <v>276</v>
      </c>
      <c r="G88" s="472" t="s">
        <v>527</v>
      </c>
      <c r="H88" s="472"/>
      <c r="I88" s="472" t="s">
        <v>277</v>
      </c>
      <c r="J88" s="472" t="s">
        <v>528</v>
      </c>
      <c r="K88" s="472" t="s">
        <v>289</v>
      </c>
      <c r="L88" s="472" t="s">
        <v>536</v>
      </c>
      <c r="M88" s="472" t="s">
        <v>285</v>
      </c>
      <c r="N88" s="472"/>
      <c r="O88" s="472"/>
      <c r="P88" s="472" t="s">
        <v>528</v>
      </c>
      <c r="Q88" s="472"/>
      <c r="R88" s="473">
        <v>45413</v>
      </c>
      <c r="S88" s="472"/>
      <c r="T88" s="473">
        <v>45412</v>
      </c>
      <c r="U88" s="474">
        <v>0</v>
      </c>
      <c r="V88" s="475">
        <v>663.67</v>
      </c>
      <c r="W88" s="259">
        <v>45383</v>
      </c>
    </row>
    <row r="89" spans="1:23" hidden="1" x14ac:dyDescent="0.35">
      <c r="A89" s="472" t="s">
        <v>526</v>
      </c>
      <c r="B89" s="472" t="s">
        <v>159</v>
      </c>
      <c r="C89" s="472" t="s">
        <v>281</v>
      </c>
      <c r="D89" s="472" t="s">
        <v>342</v>
      </c>
      <c r="E89" s="472" t="s">
        <v>291</v>
      </c>
      <c r="F89" s="472" t="s">
        <v>276</v>
      </c>
      <c r="G89" s="472" t="s">
        <v>527</v>
      </c>
      <c r="H89" s="472"/>
      <c r="I89" s="472" t="s">
        <v>277</v>
      </c>
      <c r="J89" s="472" t="s">
        <v>528</v>
      </c>
      <c r="K89" s="472" t="s">
        <v>284</v>
      </c>
      <c r="L89" s="472" t="s">
        <v>536</v>
      </c>
      <c r="M89" s="472" t="s">
        <v>285</v>
      </c>
      <c r="N89" s="472"/>
      <c r="O89" s="472"/>
      <c r="P89" s="472" t="s">
        <v>528</v>
      </c>
      <c r="Q89" s="472"/>
      <c r="R89" s="473">
        <v>45413</v>
      </c>
      <c r="S89" s="472"/>
      <c r="T89" s="473">
        <v>45412</v>
      </c>
      <c r="U89" s="474">
        <v>0</v>
      </c>
      <c r="V89" s="475">
        <v>105.99</v>
      </c>
      <c r="W89" s="259">
        <v>45383</v>
      </c>
    </row>
    <row r="90" spans="1:23" hidden="1" x14ac:dyDescent="0.35">
      <c r="A90" s="472" t="s">
        <v>526</v>
      </c>
      <c r="B90" s="472" t="s">
        <v>159</v>
      </c>
      <c r="C90" s="472" t="s">
        <v>281</v>
      </c>
      <c r="D90" s="472" t="s">
        <v>343</v>
      </c>
      <c r="E90" s="472" t="s">
        <v>293</v>
      </c>
      <c r="F90" s="472" t="s">
        <v>276</v>
      </c>
      <c r="G90" s="472" t="s">
        <v>527</v>
      </c>
      <c r="H90" s="472"/>
      <c r="I90" s="472" t="s">
        <v>277</v>
      </c>
      <c r="J90" s="472" t="s">
        <v>528</v>
      </c>
      <c r="K90" s="472" t="s">
        <v>294</v>
      </c>
      <c r="L90" s="472" t="s">
        <v>536</v>
      </c>
      <c r="M90" s="472" t="s">
        <v>285</v>
      </c>
      <c r="N90" s="472"/>
      <c r="O90" s="472"/>
      <c r="P90" s="472" t="s">
        <v>528</v>
      </c>
      <c r="Q90" s="472"/>
      <c r="R90" s="473">
        <v>45413</v>
      </c>
      <c r="S90" s="472"/>
      <c r="T90" s="473">
        <v>45412</v>
      </c>
      <c r="U90" s="474">
        <v>0</v>
      </c>
      <c r="V90" s="475">
        <v>285.49</v>
      </c>
      <c r="W90" s="259">
        <v>45383</v>
      </c>
    </row>
    <row r="91" spans="1:23" hidden="1" x14ac:dyDescent="0.35">
      <c r="A91" s="472" t="s">
        <v>526</v>
      </c>
      <c r="B91" s="472" t="s">
        <v>159</v>
      </c>
      <c r="C91" s="472" t="s">
        <v>286</v>
      </c>
      <c r="D91" s="472" t="s">
        <v>344</v>
      </c>
      <c r="E91" s="472" t="s">
        <v>296</v>
      </c>
      <c r="F91" s="472" t="s">
        <v>276</v>
      </c>
      <c r="G91" s="472" t="s">
        <v>527</v>
      </c>
      <c r="H91" s="472"/>
      <c r="I91" s="472" t="s">
        <v>277</v>
      </c>
      <c r="J91" s="472" t="s">
        <v>528</v>
      </c>
      <c r="K91" s="472" t="s">
        <v>297</v>
      </c>
      <c r="L91" s="472" t="s">
        <v>536</v>
      </c>
      <c r="M91" s="472" t="s">
        <v>285</v>
      </c>
      <c r="N91" s="472"/>
      <c r="O91" s="472"/>
      <c r="P91" s="472" t="s">
        <v>528</v>
      </c>
      <c r="Q91" s="472"/>
      <c r="R91" s="473">
        <v>45413</v>
      </c>
      <c r="S91" s="472"/>
      <c r="T91" s="473">
        <v>45412</v>
      </c>
      <c r="U91" s="474">
        <v>0</v>
      </c>
      <c r="V91" s="475">
        <v>389.31</v>
      </c>
      <c r="W91" s="259">
        <v>45383</v>
      </c>
    </row>
    <row r="92" spans="1:23" hidden="1" x14ac:dyDescent="0.35">
      <c r="A92" s="472" t="s">
        <v>526</v>
      </c>
      <c r="B92" s="472" t="s">
        <v>159</v>
      </c>
      <c r="C92" s="472" t="s">
        <v>298</v>
      </c>
      <c r="D92" s="472" t="s">
        <v>345</v>
      </c>
      <c r="E92" s="472" t="s">
        <v>346</v>
      </c>
      <c r="F92" s="472" t="s">
        <v>276</v>
      </c>
      <c r="G92" s="472" t="s">
        <v>527</v>
      </c>
      <c r="H92" s="472"/>
      <c r="I92" s="472" t="s">
        <v>277</v>
      </c>
      <c r="J92" s="472" t="s">
        <v>528</v>
      </c>
      <c r="K92" s="472" t="s">
        <v>301</v>
      </c>
      <c r="L92" s="472" t="s">
        <v>536</v>
      </c>
      <c r="M92" s="472" t="s">
        <v>285</v>
      </c>
      <c r="N92" s="472"/>
      <c r="O92" s="472"/>
      <c r="P92" s="472" t="s">
        <v>528</v>
      </c>
      <c r="Q92" s="472"/>
      <c r="R92" s="473">
        <v>45414</v>
      </c>
      <c r="S92" s="472"/>
      <c r="T92" s="473">
        <v>45412</v>
      </c>
      <c r="U92" s="474">
        <v>0</v>
      </c>
      <c r="V92" s="475">
        <v>-0.27</v>
      </c>
      <c r="W92" s="259">
        <v>45383</v>
      </c>
    </row>
    <row r="93" spans="1:23" hidden="1" x14ac:dyDescent="0.35">
      <c r="A93" s="472" t="s">
        <v>526</v>
      </c>
      <c r="B93" s="472" t="s">
        <v>159</v>
      </c>
      <c r="C93" s="472" t="s">
        <v>298</v>
      </c>
      <c r="D93" s="472" t="s">
        <v>347</v>
      </c>
      <c r="E93" s="472" t="s">
        <v>348</v>
      </c>
      <c r="F93" s="472" t="s">
        <v>276</v>
      </c>
      <c r="G93" s="472" t="s">
        <v>527</v>
      </c>
      <c r="H93" s="472"/>
      <c r="I93" s="472" t="s">
        <v>277</v>
      </c>
      <c r="J93" s="472" t="s">
        <v>528</v>
      </c>
      <c r="K93" s="472" t="s">
        <v>301</v>
      </c>
      <c r="L93" s="472" t="s">
        <v>536</v>
      </c>
      <c r="M93" s="472" t="s">
        <v>285</v>
      </c>
      <c r="N93" s="472"/>
      <c r="O93" s="472"/>
      <c r="P93" s="472" t="s">
        <v>528</v>
      </c>
      <c r="Q93" s="472"/>
      <c r="R93" s="473">
        <v>45414</v>
      </c>
      <c r="S93" s="472"/>
      <c r="T93" s="473">
        <v>45412</v>
      </c>
      <c r="U93" s="474">
        <v>0</v>
      </c>
      <c r="V93" s="475">
        <v>-0.06</v>
      </c>
      <c r="W93" s="259">
        <v>45383</v>
      </c>
    </row>
    <row r="94" spans="1:23" hidden="1" x14ac:dyDescent="0.35">
      <c r="A94" s="472" t="s">
        <v>526</v>
      </c>
      <c r="B94" s="472" t="s">
        <v>159</v>
      </c>
      <c r="C94" s="472" t="s">
        <v>298</v>
      </c>
      <c r="D94" s="472" t="s">
        <v>347</v>
      </c>
      <c r="E94" s="472" t="s">
        <v>348</v>
      </c>
      <c r="F94" s="472" t="s">
        <v>276</v>
      </c>
      <c r="G94" s="472" t="s">
        <v>527</v>
      </c>
      <c r="H94" s="472"/>
      <c r="I94" s="472" t="s">
        <v>277</v>
      </c>
      <c r="J94" s="472" t="s">
        <v>528</v>
      </c>
      <c r="K94" s="472" t="s">
        <v>301</v>
      </c>
      <c r="L94" s="472" t="s">
        <v>536</v>
      </c>
      <c r="M94" s="472" t="s">
        <v>285</v>
      </c>
      <c r="N94" s="472"/>
      <c r="O94" s="472"/>
      <c r="P94" s="472" t="s">
        <v>528</v>
      </c>
      <c r="Q94" s="472"/>
      <c r="R94" s="473">
        <v>45414</v>
      </c>
      <c r="S94" s="472"/>
      <c r="T94" s="473">
        <v>45412</v>
      </c>
      <c r="U94" s="474">
        <v>0</v>
      </c>
      <c r="V94" s="475">
        <v>1</v>
      </c>
      <c r="W94" s="259">
        <v>45383</v>
      </c>
    </row>
    <row r="95" spans="1:23" hidden="1" x14ac:dyDescent="0.35">
      <c r="A95" s="472" t="s">
        <v>526</v>
      </c>
      <c r="B95" s="472" t="s">
        <v>159</v>
      </c>
      <c r="C95" s="472" t="s">
        <v>298</v>
      </c>
      <c r="D95" s="472" t="s">
        <v>349</v>
      </c>
      <c r="E95" s="472" t="s">
        <v>350</v>
      </c>
      <c r="F95" s="472" t="s">
        <v>276</v>
      </c>
      <c r="G95" s="472" t="s">
        <v>527</v>
      </c>
      <c r="H95" s="472"/>
      <c r="I95" s="472" t="s">
        <v>277</v>
      </c>
      <c r="J95" s="472" t="s">
        <v>528</v>
      </c>
      <c r="K95" s="472" t="s">
        <v>301</v>
      </c>
      <c r="L95" s="472" t="s">
        <v>536</v>
      </c>
      <c r="M95" s="472" t="s">
        <v>285</v>
      </c>
      <c r="N95" s="472"/>
      <c r="O95" s="472"/>
      <c r="P95" s="472" t="s">
        <v>528</v>
      </c>
      <c r="Q95" s="472"/>
      <c r="R95" s="473">
        <v>45414</v>
      </c>
      <c r="S95" s="472"/>
      <c r="T95" s="473">
        <v>45412</v>
      </c>
      <c r="U95" s="474">
        <v>0</v>
      </c>
      <c r="V95" s="475">
        <v>0.16</v>
      </c>
      <c r="W95" s="259">
        <v>45383</v>
      </c>
    </row>
    <row r="96" spans="1:23" hidden="1" x14ac:dyDescent="0.35">
      <c r="A96" s="472" t="s">
        <v>526</v>
      </c>
      <c r="B96" s="472" t="s">
        <v>159</v>
      </c>
      <c r="C96" s="472" t="s">
        <v>298</v>
      </c>
      <c r="D96" s="472" t="s">
        <v>351</v>
      </c>
      <c r="E96" s="472" t="s">
        <v>352</v>
      </c>
      <c r="F96" s="472" t="s">
        <v>276</v>
      </c>
      <c r="G96" s="472" t="s">
        <v>527</v>
      </c>
      <c r="H96" s="472"/>
      <c r="I96" s="472" t="s">
        <v>277</v>
      </c>
      <c r="J96" s="472" t="s">
        <v>528</v>
      </c>
      <c r="K96" s="472" t="s">
        <v>301</v>
      </c>
      <c r="L96" s="472" t="s">
        <v>536</v>
      </c>
      <c r="M96" s="472" t="s">
        <v>285</v>
      </c>
      <c r="N96" s="472"/>
      <c r="O96" s="472"/>
      <c r="P96" s="472" t="s">
        <v>528</v>
      </c>
      <c r="Q96" s="472"/>
      <c r="R96" s="473">
        <v>45414</v>
      </c>
      <c r="S96" s="472"/>
      <c r="T96" s="473">
        <v>45412</v>
      </c>
      <c r="U96" s="474">
        <v>0</v>
      </c>
      <c r="V96" s="475">
        <v>0.11</v>
      </c>
      <c r="W96" s="259">
        <v>45383</v>
      </c>
    </row>
    <row r="97" spans="1:23" hidden="1" x14ac:dyDescent="0.35">
      <c r="A97" s="472" t="s">
        <v>526</v>
      </c>
      <c r="B97" s="472" t="s">
        <v>159</v>
      </c>
      <c r="C97" s="472" t="s">
        <v>298</v>
      </c>
      <c r="D97" s="472" t="s">
        <v>351</v>
      </c>
      <c r="E97" s="472" t="s">
        <v>352</v>
      </c>
      <c r="F97" s="472" t="s">
        <v>276</v>
      </c>
      <c r="G97" s="472" t="s">
        <v>527</v>
      </c>
      <c r="H97" s="472"/>
      <c r="I97" s="472" t="s">
        <v>277</v>
      </c>
      <c r="J97" s="472" t="s">
        <v>528</v>
      </c>
      <c r="K97" s="472" t="s">
        <v>301</v>
      </c>
      <c r="L97" s="472" t="s">
        <v>536</v>
      </c>
      <c r="M97" s="472" t="s">
        <v>285</v>
      </c>
      <c r="N97" s="472"/>
      <c r="O97" s="472"/>
      <c r="P97" s="472" t="s">
        <v>528</v>
      </c>
      <c r="Q97" s="472"/>
      <c r="R97" s="473">
        <v>45414</v>
      </c>
      <c r="S97" s="472"/>
      <c r="T97" s="473">
        <v>45412</v>
      </c>
      <c r="U97" s="474">
        <v>0</v>
      </c>
      <c r="V97" s="475">
        <v>0.39</v>
      </c>
      <c r="W97" s="259">
        <v>45383</v>
      </c>
    </row>
    <row r="98" spans="1:23" hidden="1" x14ac:dyDescent="0.35">
      <c r="A98" s="472" t="s">
        <v>526</v>
      </c>
      <c r="B98" s="472" t="s">
        <v>159</v>
      </c>
      <c r="C98" s="472" t="s">
        <v>298</v>
      </c>
      <c r="D98" s="472" t="s">
        <v>354</v>
      </c>
      <c r="E98" s="472" t="s">
        <v>355</v>
      </c>
      <c r="F98" s="472" t="s">
        <v>276</v>
      </c>
      <c r="G98" s="472" t="s">
        <v>527</v>
      </c>
      <c r="H98" s="472"/>
      <c r="I98" s="472" t="s">
        <v>277</v>
      </c>
      <c r="J98" s="472" t="s">
        <v>528</v>
      </c>
      <c r="K98" s="472" t="s">
        <v>301</v>
      </c>
      <c r="L98" s="472" t="s">
        <v>536</v>
      </c>
      <c r="M98" s="472" t="s">
        <v>285</v>
      </c>
      <c r="N98" s="472"/>
      <c r="O98" s="472"/>
      <c r="P98" s="472" t="s">
        <v>528</v>
      </c>
      <c r="Q98" s="472"/>
      <c r="R98" s="473">
        <v>45414</v>
      </c>
      <c r="S98" s="472"/>
      <c r="T98" s="473">
        <v>45412</v>
      </c>
      <c r="U98" s="474">
        <v>0</v>
      </c>
      <c r="V98" s="475">
        <v>-0.02</v>
      </c>
      <c r="W98" s="259">
        <v>45383</v>
      </c>
    </row>
    <row r="99" spans="1:23" hidden="1" x14ac:dyDescent="0.35">
      <c r="A99" s="472" t="s">
        <v>526</v>
      </c>
      <c r="B99" s="472" t="s">
        <v>159</v>
      </c>
      <c r="C99" s="472" t="s">
        <v>530</v>
      </c>
      <c r="D99" s="472" t="s">
        <v>531</v>
      </c>
      <c r="E99" s="472" t="s">
        <v>532</v>
      </c>
      <c r="F99" s="472" t="s">
        <v>276</v>
      </c>
      <c r="G99" s="472" t="s">
        <v>527</v>
      </c>
      <c r="H99" s="472" t="s">
        <v>533</v>
      </c>
      <c r="I99" s="472" t="s">
        <v>277</v>
      </c>
      <c r="J99" s="472" t="s">
        <v>528</v>
      </c>
      <c r="K99" s="472" t="s">
        <v>534</v>
      </c>
      <c r="L99" s="472" t="s">
        <v>536</v>
      </c>
      <c r="M99" s="472" t="s">
        <v>535</v>
      </c>
      <c r="N99" s="472"/>
      <c r="O99" s="472"/>
      <c r="P99" s="472" t="s">
        <v>528</v>
      </c>
      <c r="Q99" s="472"/>
      <c r="R99" s="473">
        <v>45377</v>
      </c>
      <c r="S99" s="472" t="s">
        <v>278</v>
      </c>
      <c r="T99" s="473">
        <v>45385</v>
      </c>
      <c r="U99" s="474">
        <v>3</v>
      </c>
      <c r="V99" s="475">
        <v>301.86</v>
      </c>
      <c r="W99" s="259">
        <v>45383</v>
      </c>
    </row>
    <row r="100" spans="1:23" hidden="1" x14ac:dyDescent="0.35">
      <c r="A100" s="472" t="s">
        <v>526</v>
      </c>
      <c r="B100" s="472" t="s">
        <v>159</v>
      </c>
      <c r="C100" s="472" t="s">
        <v>530</v>
      </c>
      <c r="D100" s="472" t="s">
        <v>531</v>
      </c>
      <c r="E100" s="472" t="s">
        <v>532</v>
      </c>
      <c r="F100" s="472" t="s">
        <v>276</v>
      </c>
      <c r="G100" s="472" t="s">
        <v>527</v>
      </c>
      <c r="H100" s="472" t="s">
        <v>533</v>
      </c>
      <c r="I100" s="472" t="s">
        <v>277</v>
      </c>
      <c r="J100" s="472" t="s">
        <v>528</v>
      </c>
      <c r="K100" s="472" t="s">
        <v>534</v>
      </c>
      <c r="L100" s="472" t="s">
        <v>536</v>
      </c>
      <c r="M100" s="472" t="s">
        <v>535</v>
      </c>
      <c r="N100" s="472"/>
      <c r="O100" s="472"/>
      <c r="P100" s="472" t="s">
        <v>528</v>
      </c>
      <c r="Q100" s="472"/>
      <c r="R100" s="473">
        <v>45379</v>
      </c>
      <c r="S100" s="472" t="s">
        <v>278</v>
      </c>
      <c r="T100" s="473">
        <v>45385</v>
      </c>
      <c r="U100" s="474">
        <v>5</v>
      </c>
      <c r="V100" s="475">
        <v>503.1</v>
      </c>
      <c r="W100" s="259">
        <v>45383</v>
      </c>
    </row>
    <row r="101" spans="1:23" hidden="1" x14ac:dyDescent="0.35">
      <c r="A101" s="472" t="s">
        <v>526</v>
      </c>
      <c r="B101" s="472" t="s">
        <v>159</v>
      </c>
      <c r="C101" s="472" t="s">
        <v>530</v>
      </c>
      <c r="D101" s="472" t="s">
        <v>531</v>
      </c>
      <c r="E101" s="472" t="s">
        <v>532</v>
      </c>
      <c r="F101" s="472" t="s">
        <v>276</v>
      </c>
      <c r="G101" s="472" t="s">
        <v>527</v>
      </c>
      <c r="H101" s="472" t="s">
        <v>533</v>
      </c>
      <c r="I101" s="472" t="s">
        <v>277</v>
      </c>
      <c r="J101" s="472" t="s">
        <v>528</v>
      </c>
      <c r="K101" s="472" t="s">
        <v>534</v>
      </c>
      <c r="L101" s="472" t="s">
        <v>536</v>
      </c>
      <c r="M101" s="472" t="s">
        <v>535</v>
      </c>
      <c r="N101" s="472"/>
      <c r="O101" s="472"/>
      <c r="P101" s="472" t="s">
        <v>528</v>
      </c>
      <c r="Q101" s="472"/>
      <c r="R101" s="473">
        <v>45378</v>
      </c>
      <c r="S101" s="472" t="s">
        <v>278</v>
      </c>
      <c r="T101" s="473">
        <v>45385</v>
      </c>
      <c r="U101" s="474">
        <v>4</v>
      </c>
      <c r="V101" s="475">
        <v>402.48</v>
      </c>
      <c r="W101" s="259">
        <v>45383</v>
      </c>
    </row>
    <row r="102" spans="1:23" hidden="1" x14ac:dyDescent="0.35">
      <c r="A102" s="472" t="s">
        <v>526</v>
      </c>
      <c r="B102" s="472" t="s">
        <v>159</v>
      </c>
      <c r="C102" s="472" t="s">
        <v>530</v>
      </c>
      <c r="D102" s="472" t="s">
        <v>531</v>
      </c>
      <c r="E102" s="472" t="s">
        <v>532</v>
      </c>
      <c r="F102" s="472" t="s">
        <v>276</v>
      </c>
      <c r="G102" s="472" t="s">
        <v>527</v>
      </c>
      <c r="H102" s="472" t="s">
        <v>533</v>
      </c>
      <c r="I102" s="472" t="s">
        <v>277</v>
      </c>
      <c r="J102" s="472" t="s">
        <v>528</v>
      </c>
      <c r="K102" s="472" t="s">
        <v>534</v>
      </c>
      <c r="L102" s="472" t="s">
        <v>536</v>
      </c>
      <c r="M102" s="472" t="s">
        <v>535</v>
      </c>
      <c r="N102" s="472"/>
      <c r="O102" s="472"/>
      <c r="P102" s="472" t="s">
        <v>528</v>
      </c>
      <c r="Q102" s="472"/>
      <c r="R102" s="473">
        <v>45376</v>
      </c>
      <c r="S102" s="472" t="s">
        <v>278</v>
      </c>
      <c r="T102" s="473">
        <v>45385</v>
      </c>
      <c r="U102" s="474">
        <v>2</v>
      </c>
      <c r="V102" s="475">
        <v>201.24</v>
      </c>
      <c r="W102" s="259">
        <v>45383</v>
      </c>
    </row>
    <row r="103" spans="1:23" hidden="1" x14ac:dyDescent="0.35">
      <c r="A103" s="472" t="s">
        <v>526</v>
      </c>
      <c r="B103" s="472" t="s">
        <v>159</v>
      </c>
      <c r="C103" s="472" t="s">
        <v>530</v>
      </c>
      <c r="D103" s="472" t="s">
        <v>531</v>
      </c>
      <c r="E103" s="472" t="s">
        <v>532</v>
      </c>
      <c r="F103" s="472" t="s">
        <v>276</v>
      </c>
      <c r="G103" s="472" t="s">
        <v>527</v>
      </c>
      <c r="H103" s="472" t="s">
        <v>533</v>
      </c>
      <c r="I103" s="472" t="s">
        <v>277</v>
      </c>
      <c r="J103" s="472" t="s">
        <v>528</v>
      </c>
      <c r="K103" s="472" t="s">
        <v>534</v>
      </c>
      <c r="L103" s="472" t="s">
        <v>536</v>
      </c>
      <c r="M103" s="472" t="s">
        <v>535</v>
      </c>
      <c r="N103" s="472"/>
      <c r="O103" s="472"/>
      <c r="P103" s="472" t="s">
        <v>528</v>
      </c>
      <c r="Q103" s="472"/>
      <c r="R103" s="473">
        <v>45386</v>
      </c>
      <c r="S103" s="472" t="s">
        <v>278</v>
      </c>
      <c r="T103" s="473">
        <v>45397</v>
      </c>
      <c r="U103" s="474">
        <v>2</v>
      </c>
      <c r="V103" s="475">
        <v>201.24</v>
      </c>
      <c r="W103" s="259">
        <v>45383</v>
      </c>
    </row>
    <row r="104" spans="1:23" hidden="1" x14ac:dyDescent="0.35">
      <c r="A104" s="472" t="s">
        <v>526</v>
      </c>
      <c r="B104" s="472" t="s">
        <v>159</v>
      </c>
      <c r="C104" s="472" t="s">
        <v>530</v>
      </c>
      <c r="D104" s="472" t="s">
        <v>531</v>
      </c>
      <c r="E104" s="472" t="s">
        <v>532</v>
      </c>
      <c r="F104" s="472" t="s">
        <v>276</v>
      </c>
      <c r="G104" s="472" t="s">
        <v>527</v>
      </c>
      <c r="H104" s="472" t="s">
        <v>533</v>
      </c>
      <c r="I104" s="472" t="s">
        <v>277</v>
      </c>
      <c r="J104" s="472" t="s">
        <v>528</v>
      </c>
      <c r="K104" s="472" t="s">
        <v>534</v>
      </c>
      <c r="L104" s="472" t="s">
        <v>536</v>
      </c>
      <c r="M104" s="472" t="s">
        <v>535</v>
      </c>
      <c r="N104" s="472"/>
      <c r="O104" s="472"/>
      <c r="P104" s="472" t="s">
        <v>528</v>
      </c>
      <c r="Q104" s="472"/>
      <c r="R104" s="473">
        <v>45385</v>
      </c>
      <c r="S104" s="472" t="s">
        <v>278</v>
      </c>
      <c r="T104" s="473">
        <v>45397</v>
      </c>
      <c r="U104" s="474">
        <v>2</v>
      </c>
      <c r="V104" s="475">
        <v>201.24</v>
      </c>
      <c r="W104" s="259">
        <v>45383</v>
      </c>
    </row>
    <row r="105" spans="1:23" hidden="1" x14ac:dyDescent="0.35">
      <c r="A105" s="472" t="s">
        <v>526</v>
      </c>
      <c r="B105" s="472" t="s">
        <v>159</v>
      </c>
      <c r="C105" s="472" t="s">
        <v>530</v>
      </c>
      <c r="D105" s="472" t="s">
        <v>531</v>
      </c>
      <c r="E105" s="472" t="s">
        <v>532</v>
      </c>
      <c r="F105" s="472" t="s">
        <v>276</v>
      </c>
      <c r="G105" s="472" t="s">
        <v>527</v>
      </c>
      <c r="H105" s="472" t="s">
        <v>533</v>
      </c>
      <c r="I105" s="472" t="s">
        <v>277</v>
      </c>
      <c r="J105" s="472" t="s">
        <v>528</v>
      </c>
      <c r="K105" s="472" t="s">
        <v>534</v>
      </c>
      <c r="L105" s="472" t="s">
        <v>536</v>
      </c>
      <c r="M105" s="472" t="s">
        <v>535</v>
      </c>
      <c r="N105" s="472"/>
      <c r="O105" s="472"/>
      <c r="P105" s="472" t="s">
        <v>528</v>
      </c>
      <c r="Q105" s="472"/>
      <c r="R105" s="473">
        <v>45393</v>
      </c>
      <c r="S105" s="472" t="s">
        <v>278</v>
      </c>
      <c r="T105" s="473">
        <v>45397</v>
      </c>
      <c r="U105" s="474">
        <v>1</v>
      </c>
      <c r="V105" s="475">
        <v>100.62</v>
      </c>
      <c r="W105" s="259">
        <v>45383</v>
      </c>
    </row>
    <row r="106" spans="1:23" hidden="1" x14ac:dyDescent="0.35">
      <c r="A106" s="472" t="s">
        <v>526</v>
      </c>
      <c r="B106" s="472" t="s">
        <v>159</v>
      </c>
      <c r="C106" s="472" t="s">
        <v>530</v>
      </c>
      <c r="D106" s="472" t="s">
        <v>531</v>
      </c>
      <c r="E106" s="472" t="s">
        <v>532</v>
      </c>
      <c r="F106" s="472" t="s">
        <v>276</v>
      </c>
      <c r="G106" s="472" t="s">
        <v>527</v>
      </c>
      <c r="H106" s="472" t="s">
        <v>533</v>
      </c>
      <c r="I106" s="472" t="s">
        <v>277</v>
      </c>
      <c r="J106" s="472" t="s">
        <v>528</v>
      </c>
      <c r="K106" s="472" t="s">
        <v>534</v>
      </c>
      <c r="L106" s="472" t="s">
        <v>536</v>
      </c>
      <c r="M106" s="472" t="s">
        <v>535</v>
      </c>
      <c r="N106" s="472"/>
      <c r="O106" s="472"/>
      <c r="P106" s="472" t="s">
        <v>528</v>
      </c>
      <c r="Q106" s="472"/>
      <c r="R106" s="473">
        <v>45394</v>
      </c>
      <c r="S106" s="472" t="s">
        <v>278</v>
      </c>
      <c r="T106" s="473">
        <v>45397</v>
      </c>
      <c r="U106" s="474">
        <v>2</v>
      </c>
      <c r="V106" s="475">
        <v>201.24</v>
      </c>
      <c r="W106" s="259">
        <v>45383</v>
      </c>
    </row>
    <row r="107" spans="1:23" hidden="1" x14ac:dyDescent="0.35">
      <c r="A107" s="472" t="s">
        <v>526</v>
      </c>
      <c r="B107" s="472" t="s">
        <v>159</v>
      </c>
      <c r="C107" s="472" t="s">
        <v>530</v>
      </c>
      <c r="D107" s="472" t="s">
        <v>531</v>
      </c>
      <c r="E107" s="472" t="s">
        <v>532</v>
      </c>
      <c r="F107" s="472" t="s">
        <v>276</v>
      </c>
      <c r="G107" s="472" t="s">
        <v>527</v>
      </c>
      <c r="H107" s="472" t="s">
        <v>533</v>
      </c>
      <c r="I107" s="472" t="s">
        <v>277</v>
      </c>
      <c r="J107" s="472" t="s">
        <v>528</v>
      </c>
      <c r="K107" s="472" t="s">
        <v>534</v>
      </c>
      <c r="L107" s="472" t="s">
        <v>536</v>
      </c>
      <c r="M107" s="472" t="s">
        <v>535</v>
      </c>
      <c r="N107" s="472"/>
      <c r="O107" s="472"/>
      <c r="P107" s="472" t="s">
        <v>528</v>
      </c>
      <c r="Q107" s="472"/>
      <c r="R107" s="473">
        <v>45390</v>
      </c>
      <c r="S107" s="472" t="s">
        <v>278</v>
      </c>
      <c r="T107" s="473">
        <v>45397</v>
      </c>
      <c r="U107" s="474">
        <v>5</v>
      </c>
      <c r="V107" s="475">
        <v>503.1</v>
      </c>
      <c r="W107" s="259">
        <v>45383</v>
      </c>
    </row>
    <row r="108" spans="1:23" hidden="1" x14ac:dyDescent="0.35">
      <c r="A108" s="472" t="s">
        <v>526</v>
      </c>
      <c r="B108" s="472" t="s">
        <v>159</v>
      </c>
      <c r="C108" s="472" t="s">
        <v>530</v>
      </c>
      <c r="D108" s="472" t="s">
        <v>531</v>
      </c>
      <c r="E108" s="472" t="s">
        <v>532</v>
      </c>
      <c r="F108" s="472" t="s">
        <v>276</v>
      </c>
      <c r="G108" s="472" t="s">
        <v>527</v>
      </c>
      <c r="H108" s="472" t="s">
        <v>533</v>
      </c>
      <c r="I108" s="472" t="s">
        <v>277</v>
      </c>
      <c r="J108" s="472" t="s">
        <v>528</v>
      </c>
      <c r="K108" s="472" t="s">
        <v>534</v>
      </c>
      <c r="L108" s="472" t="s">
        <v>536</v>
      </c>
      <c r="M108" s="472" t="s">
        <v>535</v>
      </c>
      <c r="N108" s="472"/>
      <c r="O108" s="472"/>
      <c r="P108" s="472" t="s">
        <v>528</v>
      </c>
      <c r="Q108" s="472"/>
      <c r="R108" s="473">
        <v>45391</v>
      </c>
      <c r="S108" s="472" t="s">
        <v>278</v>
      </c>
      <c r="T108" s="473">
        <v>45397</v>
      </c>
      <c r="U108" s="474">
        <v>2</v>
      </c>
      <c r="V108" s="475">
        <v>201.24</v>
      </c>
      <c r="W108" s="259">
        <v>45383</v>
      </c>
    </row>
    <row r="109" spans="1:23" hidden="1" x14ac:dyDescent="0.35">
      <c r="A109" s="472" t="s">
        <v>526</v>
      </c>
      <c r="B109" s="472" t="s">
        <v>159</v>
      </c>
      <c r="C109" s="472" t="s">
        <v>530</v>
      </c>
      <c r="D109" s="472" t="s">
        <v>531</v>
      </c>
      <c r="E109" s="472" t="s">
        <v>532</v>
      </c>
      <c r="F109" s="472" t="s">
        <v>276</v>
      </c>
      <c r="G109" s="472" t="s">
        <v>527</v>
      </c>
      <c r="H109" s="472" t="s">
        <v>533</v>
      </c>
      <c r="I109" s="472" t="s">
        <v>277</v>
      </c>
      <c r="J109" s="472" t="s">
        <v>528</v>
      </c>
      <c r="K109" s="472" t="s">
        <v>534</v>
      </c>
      <c r="L109" s="472" t="s">
        <v>536</v>
      </c>
      <c r="M109" s="472" t="s">
        <v>535</v>
      </c>
      <c r="N109" s="472"/>
      <c r="O109" s="472"/>
      <c r="P109" s="472" t="s">
        <v>528</v>
      </c>
      <c r="Q109" s="472"/>
      <c r="R109" s="473">
        <v>45384</v>
      </c>
      <c r="S109" s="472" t="s">
        <v>278</v>
      </c>
      <c r="T109" s="473">
        <v>45397</v>
      </c>
      <c r="U109" s="474">
        <v>2</v>
      </c>
      <c r="V109" s="475">
        <v>201.24</v>
      </c>
      <c r="W109" s="259">
        <v>45383</v>
      </c>
    </row>
    <row r="110" spans="1:23" hidden="1" x14ac:dyDescent="0.35">
      <c r="A110" s="472" t="s">
        <v>526</v>
      </c>
      <c r="B110" s="472" t="s">
        <v>159</v>
      </c>
      <c r="C110" s="472" t="s">
        <v>530</v>
      </c>
      <c r="D110" s="472" t="s">
        <v>531</v>
      </c>
      <c r="E110" s="472" t="s">
        <v>532</v>
      </c>
      <c r="F110" s="472" t="s">
        <v>276</v>
      </c>
      <c r="G110" s="472" t="s">
        <v>527</v>
      </c>
      <c r="H110" s="472" t="s">
        <v>533</v>
      </c>
      <c r="I110" s="472" t="s">
        <v>277</v>
      </c>
      <c r="J110" s="472" t="s">
        <v>528</v>
      </c>
      <c r="K110" s="472" t="s">
        <v>534</v>
      </c>
      <c r="L110" s="472" t="s">
        <v>536</v>
      </c>
      <c r="M110" s="472" t="s">
        <v>535</v>
      </c>
      <c r="N110" s="472"/>
      <c r="O110" s="472"/>
      <c r="P110" s="472" t="s">
        <v>528</v>
      </c>
      <c r="Q110" s="472"/>
      <c r="R110" s="473">
        <v>45400</v>
      </c>
      <c r="S110" s="472" t="s">
        <v>278</v>
      </c>
      <c r="T110" s="473">
        <v>45404</v>
      </c>
      <c r="U110" s="474">
        <v>7</v>
      </c>
      <c r="V110" s="475">
        <v>704.34</v>
      </c>
      <c r="W110" s="259">
        <v>45383</v>
      </c>
    </row>
    <row r="111" spans="1:23" hidden="1" x14ac:dyDescent="0.35">
      <c r="A111" s="472" t="s">
        <v>526</v>
      </c>
      <c r="B111" s="472" t="s">
        <v>159</v>
      </c>
      <c r="C111" s="472" t="s">
        <v>530</v>
      </c>
      <c r="D111" s="472" t="s">
        <v>531</v>
      </c>
      <c r="E111" s="472" t="s">
        <v>532</v>
      </c>
      <c r="F111" s="472" t="s">
        <v>276</v>
      </c>
      <c r="G111" s="472" t="s">
        <v>527</v>
      </c>
      <c r="H111" s="472" t="s">
        <v>533</v>
      </c>
      <c r="I111" s="472" t="s">
        <v>277</v>
      </c>
      <c r="J111" s="472" t="s">
        <v>528</v>
      </c>
      <c r="K111" s="472" t="s">
        <v>534</v>
      </c>
      <c r="L111" s="472" t="s">
        <v>536</v>
      </c>
      <c r="M111" s="472" t="s">
        <v>535</v>
      </c>
      <c r="N111" s="472"/>
      <c r="O111" s="472"/>
      <c r="P111" s="472" t="s">
        <v>528</v>
      </c>
      <c r="Q111" s="472"/>
      <c r="R111" s="473">
        <v>45401</v>
      </c>
      <c r="S111" s="472" t="s">
        <v>278</v>
      </c>
      <c r="T111" s="473">
        <v>45404</v>
      </c>
      <c r="U111" s="474">
        <v>6</v>
      </c>
      <c r="V111" s="475">
        <v>603.72</v>
      </c>
      <c r="W111" s="259">
        <v>45383</v>
      </c>
    </row>
    <row r="112" spans="1:23" hidden="1" x14ac:dyDescent="0.35">
      <c r="A112" s="472" t="s">
        <v>526</v>
      </c>
      <c r="B112" s="472" t="s">
        <v>159</v>
      </c>
      <c r="C112" s="472" t="s">
        <v>530</v>
      </c>
      <c r="D112" s="472" t="s">
        <v>531</v>
      </c>
      <c r="E112" s="472" t="s">
        <v>532</v>
      </c>
      <c r="F112" s="472" t="s">
        <v>276</v>
      </c>
      <c r="G112" s="472" t="s">
        <v>527</v>
      </c>
      <c r="H112" s="472" t="s">
        <v>533</v>
      </c>
      <c r="I112" s="472" t="s">
        <v>277</v>
      </c>
      <c r="J112" s="472" t="s">
        <v>528</v>
      </c>
      <c r="K112" s="472" t="s">
        <v>534</v>
      </c>
      <c r="L112" s="472" t="s">
        <v>536</v>
      </c>
      <c r="M112" s="472" t="s">
        <v>535</v>
      </c>
      <c r="N112" s="472"/>
      <c r="O112" s="472"/>
      <c r="P112" s="472" t="s">
        <v>528</v>
      </c>
      <c r="Q112" s="472"/>
      <c r="R112" s="473">
        <v>45399</v>
      </c>
      <c r="S112" s="472" t="s">
        <v>278</v>
      </c>
      <c r="T112" s="473">
        <v>45404</v>
      </c>
      <c r="U112" s="474">
        <v>4</v>
      </c>
      <c r="V112" s="475">
        <v>402.48</v>
      </c>
      <c r="W112" s="259">
        <v>45383</v>
      </c>
    </row>
    <row r="113" spans="1:23" hidden="1" x14ac:dyDescent="0.35">
      <c r="A113" s="472" t="s">
        <v>526</v>
      </c>
      <c r="B113" s="472" t="s">
        <v>159</v>
      </c>
      <c r="C113" s="472" t="s">
        <v>530</v>
      </c>
      <c r="D113" s="472" t="s">
        <v>531</v>
      </c>
      <c r="E113" s="472" t="s">
        <v>532</v>
      </c>
      <c r="F113" s="472" t="s">
        <v>276</v>
      </c>
      <c r="G113" s="472" t="s">
        <v>527</v>
      </c>
      <c r="H113" s="472" t="s">
        <v>533</v>
      </c>
      <c r="I113" s="472" t="s">
        <v>277</v>
      </c>
      <c r="J113" s="472" t="s">
        <v>528</v>
      </c>
      <c r="K113" s="472" t="s">
        <v>534</v>
      </c>
      <c r="L113" s="472" t="s">
        <v>536</v>
      </c>
      <c r="M113" s="472" t="s">
        <v>535</v>
      </c>
      <c r="N113" s="472"/>
      <c r="O113" s="472"/>
      <c r="P113" s="472" t="s">
        <v>528</v>
      </c>
      <c r="Q113" s="472"/>
      <c r="R113" s="473">
        <v>45397</v>
      </c>
      <c r="S113" s="472" t="s">
        <v>278</v>
      </c>
      <c r="T113" s="473">
        <v>45404</v>
      </c>
      <c r="U113" s="474">
        <v>2</v>
      </c>
      <c r="V113" s="475">
        <v>201.24</v>
      </c>
      <c r="W113" s="259">
        <v>45383</v>
      </c>
    </row>
    <row r="114" spans="1:23" hidden="1" x14ac:dyDescent="0.35">
      <c r="A114" s="472" t="s">
        <v>526</v>
      </c>
      <c r="B114" s="472" t="s">
        <v>159</v>
      </c>
      <c r="C114" s="472" t="s">
        <v>530</v>
      </c>
      <c r="D114" s="472" t="s">
        <v>531</v>
      </c>
      <c r="E114" s="472" t="s">
        <v>532</v>
      </c>
      <c r="F114" s="472" t="s">
        <v>276</v>
      </c>
      <c r="G114" s="472" t="s">
        <v>527</v>
      </c>
      <c r="H114" s="472" t="s">
        <v>533</v>
      </c>
      <c r="I114" s="472" t="s">
        <v>277</v>
      </c>
      <c r="J114" s="472" t="s">
        <v>528</v>
      </c>
      <c r="K114" s="472" t="s">
        <v>534</v>
      </c>
      <c r="L114" s="472" t="s">
        <v>536</v>
      </c>
      <c r="M114" s="472" t="s">
        <v>535</v>
      </c>
      <c r="N114" s="472"/>
      <c r="O114" s="472"/>
      <c r="P114" s="472" t="s">
        <v>528</v>
      </c>
      <c r="Q114" s="472"/>
      <c r="R114" s="473">
        <v>45398</v>
      </c>
      <c r="S114" s="472" t="s">
        <v>278</v>
      </c>
      <c r="T114" s="473">
        <v>45404</v>
      </c>
      <c r="U114" s="474">
        <v>2</v>
      </c>
      <c r="V114" s="475">
        <v>201.24</v>
      </c>
      <c r="W114" s="259">
        <v>45383</v>
      </c>
    </row>
    <row r="115" spans="1:23" hidden="1" x14ac:dyDescent="0.35">
      <c r="A115" s="472" t="s">
        <v>526</v>
      </c>
      <c r="B115" s="472" t="s">
        <v>159</v>
      </c>
      <c r="C115" s="472" t="s">
        <v>530</v>
      </c>
      <c r="D115" s="472" t="s">
        <v>531</v>
      </c>
      <c r="E115" s="472" t="s">
        <v>532</v>
      </c>
      <c r="F115" s="472" t="s">
        <v>276</v>
      </c>
      <c r="G115" s="472" t="s">
        <v>527</v>
      </c>
      <c r="H115" s="472" t="s">
        <v>533</v>
      </c>
      <c r="I115" s="472" t="s">
        <v>277</v>
      </c>
      <c r="J115" s="472" t="s">
        <v>528</v>
      </c>
      <c r="K115" s="472" t="s">
        <v>534</v>
      </c>
      <c r="L115" s="472" t="s">
        <v>536</v>
      </c>
      <c r="M115" s="472" t="s">
        <v>535</v>
      </c>
      <c r="N115" s="472"/>
      <c r="O115" s="472"/>
      <c r="P115" s="472" t="s">
        <v>528</v>
      </c>
      <c r="Q115" s="472"/>
      <c r="R115" s="473">
        <v>45407</v>
      </c>
      <c r="S115" s="472" t="s">
        <v>278</v>
      </c>
      <c r="T115" s="473">
        <v>45411</v>
      </c>
      <c r="U115" s="474">
        <v>4</v>
      </c>
      <c r="V115" s="475">
        <v>402.48</v>
      </c>
      <c r="W115" s="259">
        <v>45383</v>
      </c>
    </row>
    <row r="116" spans="1:23" hidden="1" x14ac:dyDescent="0.35">
      <c r="A116" s="472" t="s">
        <v>526</v>
      </c>
      <c r="B116" s="472" t="s">
        <v>159</v>
      </c>
      <c r="C116" s="472" t="s">
        <v>530</v>
      </c>
      <c r="D116" s="472" t="s">
        <v>531</v>
      </c>
      <c r="E116" s="472" t="s">
        <v>532</v>
      </c>
      <c r="F116" s="472" t="s">
        <v>276</v>
      </c>
      <c r="G116" s="472" t="s">
        <v>527</v>
      </c>
      <c r="H116" s="472" t="s">
        <v>533</v>
      </c>
      <c r="I116" s="472" t="s">
        <v>277</v>
      </c>
      <c r="J116" s="472" t="s">
        <v>528</v>
      </c>
      <c r="K116" s="472" t="s">
        <v>534</v>
      </c>
      <c r="L116" s="472" t="s">
        <v>536</v>
      </c>
      <c r="M116" s="472" t="s">
        <v>535</v>
      </c>
      <c r="N116" s="472"/>
      <c r="O116" s="472"/>
      <c r="P116" s="472" t="s">
        <v>528</v>
      </c>
      <c r="Q116" s="472"/>
      <c r="R116" s="473">
        <v>45406</v>
      </c>
      <c r="S116" s="472" t="s">
        <v>278</v>
      </c>
      <c r="T116" s="473">
        <v>45411</v>
      </c>
      <c r="U116" s="474">
        <v>1</v>
      </c>
      <c r="V116" s="475">
        <v>100.62</v>
      </c>
      <c r="W116" s="259">
        <v>45383</v>
      </c>
    </row>
    <row r="117" spans="1:23" hidden="1" x14ac:dyDescent="0.35">
      <c r="A117" s="472" t="s">
        <v>526</v>
      </c>
      <c r="B117" s="472" t="s">
        <v>159</v>
      </c>
      <c r="C117" s="472" t="s">
        <v>530</v>
      </c>
      <c r="D117" s="472" t="s">
        <v>531</v>
      </c>
      <c r="E117" s="472" t="s">
        <v>532</v>
      </c>
      <c r="F117" s="472" t="s">
        <v>276</v>
      </c>
      <c r="G117" s="472" t="s">
        <v>527</v>
      </c>
      <c r="H117" s="472" t="s">
        <v>533</v>
      </c>
      <c r="I117" s="472" t="s">
        <v>277</v>
      </c>
      <c r="J117" s="472" t="s">
        <v>528</v>
      </c>
      <c r="K117" s="472" t="s">
        <v>534</v>
      </c>
      <c r="L117" s="472" t="s">
        <v>536</v>
      </c>
      <c r="M117" s="472" t="s">
        <v>535</v>
      </c>
      <c r="N117" s="472"/>
      <c r="O117" s="472"/>
      <c r="P117" s="472" t="s">
        <v>528</v>
      </c>
      <c r="Q117" s="472"/>
      <c r="R117" s="473">
        <v>45408</v>
      </c>
      <c r="S117" s="472" t="s">
        <v>278</v>
      </c>
      <c r="T117" s="473">
        <v>45411</v>
      </c>
      <c r="U117" s="474">
        <v>2</v>
      </c>
      <c r="V117" s="475">
        <v>201.24</v>
      </c>
      <c r="W117" s="259">
        <v>45383</v>
      </c>
    </row>
    <row r="118" spans="1:23" hidden="1" x14ac:dyDescent="0.35">
      <c r="A118" s="472" t="s">
        <v>526</v>
      </c>
      <c r="B118" s="472" t="s">
        <v>159</v>
      </c>
      <c r="C118" s="472" t="s">
        <v>281</v>
      </c>
      <c r="D118" s="472" t="s">
        <v>282</v>
      </c>
      <c r="E118" s="472" t="s">
        <v>283</v>
      </c>
      <c r="F118" s="472" t="s">
        <v>276</v>
      </c>
      <c r="G118" s="472" t="s">
        <v>527</v>
      </c>
      <c r="H118" s="472"/>
      <c r="I118" s="472" t="s">
        <v>277</v>
      </c>
      <c r="J118" s="472" t="s">
        <v>528</v>
      </c>
      <c r="K118" s="472" t="s">
        <v>284</v>
      </c>
      <c r="L118" s="472" t="s">
        <v>541</v>
      </c>
      <c r="M118" s="472" t="s">
        <v>285</v>
      </c>
      <c r="N118" s="472"/>
      <c r="O118" s="472"/>
      <c r="P118" s="472" t="s">
        <v>528</v>
      </c>
      <c r="Q118" s="472"/>
      <c r="R118" s="473">
        <v>45446</v>
      </c>
      <c r="S118" s="472"/>
      <c r="T118" s="473">
        <v>45443</v>
      </c>
      <c r="U118" s="474">
        <v>0</v>
      </c>
      <c r="V118" s="475">
        <v>839.31</v>
      </c>
      <c r="W118" s="259">
        <v>45413</v>
      </c>
    </row>
    <row r="119" spans="1:23" hidden="1" x14ac:dyDescent="0.35">
      <c r="A119" s="472" t="s">
        <v>526</v>
      </c>
      <c r="B119" s="472" t="s">
        <v>159</v>
      </c>
      <c r="C119" s="472" t="s">
        <v>286</v>
      </c>
      <c r="D119" s="472" t="s">
        <v>287</v>
      </c>
      <c r="E119" s="472" t="s">
        <v>288</v>
      </c>
      <c r="F119" s="472" t="s">
        <v>276</v>
      </c>
      <c r="G119" s="472" t="s">
        <v>527</v>
      </c>
      <c r="H119" s="472"/>
      <c r="I119" s="472" t="s">
        <v>277</v>
      </c>
      <c r="J119" s="472" t="s">
        <v>528</v>
      </c>
      <c r="K119" s="472" t="s">
        <v>289</v>
      </c>
      <c r="L119" s="472" t="s">
        <v>541</v>
      </c>
      <c r="M119" s="472" t="s">
        <v>285</v>
      </c>
      <c r="N119" s="472"/>
      <c r="O119" s="472"/>
      <c r="P119" s="472" t="s">
        <v>528</v>
      </c>
      <c r="Q119" s="472"/>
      <c r="R119" s="473">
        <v>45446</v>
      </c>
      <c r="S119" s="472"/>
      <c r="T119" s="473">
        <v>45443</v>
      </c>
      <c r="U119" s="474">
        <v>0</v>
      </c>
      <c r="V119" s="475">
        <v>2407.75</v>
      </c>
      <c r="W119" s="259">
        <v>45413</v>
      </c>
    </row>
    <row r="120" spans="1:23" hidden="1" x14ac:dyDescent="0.35">
      <c r="A120" s="472" t="s">
        <v>526</v>
      </c>
      <c r="B120" s="472" t="s">
        <v>159</v>
      </c>
      <c r="C120" s="472" t="s">
        <v>281</v>
      </c>
      <c r="D120" s="472" t="s">
        <v>290</v>
      </c>
      <c r="E120" s="472" t="s">
        <v>291</v>
      </c>
      <c r="F120" s="472" t="s">
        <v>276</v>
      </c>
      <c r="G120" s="472" t="s">
        <v>527</v>
      </c>
      <c r="H120" s="472"/>
      <c r="I120" s="472" t="s">
        <v>277</v>
      </c>
      <c r="J120" s="472" t="s">
        <v>528</v>
      </c>
      <c r="K120" s="472" t="s">
        <v>284</v>
      </c>
      <c r="L120" s="472" t="s">
        <v>541</v>
      </c>
      <c r="M120" s="472" t="s">
        <v>285</v>
      </c>
      <c r="N120" s="472"/>
      <c r="O120" s="472"/>
      <c r="P120" s="472" t="s">
        <v>528</v>
      </c>
      <c r="Q120" s="472"/>
      <c r="R120" s="473">
        <v>45446</v>
      </c>
      <c r="S120" s="472"/>
      <c r="T120" s="473">
        <v>45443</v>
      </c>
      <c r="U120" s="474">
        <v>0</v>
      </c>
      <c r="V120" s="475">
        <v>521.64</v>
      </c>
      <c r="W120" s="259">
        <v>45413</v>
      </c>
    </row>
    <row r="121" spans="1:23" hidden="1" x14ac:dyDescent="0.35">
      <c r="A121" s="472" t="s">
        <v>526</v>
      </c>
      <c r="B121" s="472" t="s">
        <v>159</v>
      </c>
      <c r="C121" s="472" t="s">
        <v>281</v>
      </c>
      <c r="D121" s="472" t="s">
        <v>292</v>
      </c>
      <c r="E121" s="472" t="s">
        <v>293</v>
      </c>
      <c r="F121" s="472" t="s">
        <v>276</v>
      </c>
      <c r="G121" s="472" t="s">
        <v>527</v>
      </c>
      <c r="H121" s="472"/>
      <c r="I121" s="472" t="s">
        <v>277</v>
      </c>
      <c r="J121" s="472" t="s">
        <v>528</v>
      </c>
      <c r="K121" s="472" t="s">
        <v>294</v>
      </c>
      <c r="L121" s="472" t="s">
        <v>541</v>
      </c>
      <c r="M121" s="472" t="s">
        <v>285</v>
      </c>
      <c r="N121" s="472"/>
      <c r="O121" s="472"/>
      <c r="P121" s="472" t="s">
        <v>528</v>
      </c>
      <c r="Q121" s="472"/>
      <c r="R121" s="473">
        <v>45446</v>
      </c>
      <c r="S121" s="472"/>
      <c r="T121" s="473">
        <v>45443</v>
      </c>
      <c r="U121" s="474">
        <v>0</v>
      </c>
      <c r="V121" s="475">
        <v>739.67</v>
      </c>
      <c r="W121" s="259">
        <v>45413</v>
      </c>
    </row>
    <row r="122" spans="1:23" hidden="1" x14ac:dyDescent="0.35">
      <c r="A122" s="472" t="s">
        <v>526</v>
      </c>
      <c r="B122" s="472" t="s">
        <v>159</v>
      </c>
      <c r="C122" s="472" t="s">
        <v>286</v>
      </c>
      <c r="D122" s="472" t="s">
        <v>295</v>
      </c>
      <c r="E122" s="472" t="s">
        <v>296</v>
      </c>
      <c r="F122" s="472" t="s">
        <v>276</v>
      </c>
      <c r="G122" s="472" t="s">
        <v>527</v>
      </c>
      <c r="H122" s="472"/>
      <c r="I122" s="472" t="s">
        <v>277</v>
      </c>
      <c r="J122" s="472" t="s">
        <v>528</v>
      </c>
      <c r="K122" s="472" t="s">
        <v>297</v>
      </c>
      <c r="L122" s="472" t="s">
        <v>541</v>
      </c>
      <c r="M122" s="472" t="s">
        <v>285</v>
      </c>
      <c r="N122" s="472"/>
      <c r="O122" s="472"/>
      <c r="P122" s="472" t="s">
        <v>528</v>
      </c>
      <c r="Q122" s="472"/>
      <c r="R122" s="473">
        <v>45446</v>
      </c>
      <c r="S122" s="472"/>
      <c r="T122" s="473">
        <v>45443</v>
      </c>
      <c r="U122" s="474">
        <v>0</v>
      </c>
      <c r="V122" s="475">
        <v>931.92</v>
      </c>
      <c r="W122" s="259">
        <v>45413</v>
      </c>
    </row>
    <row r="123" spans="1:23" hidden="1" x14ac:dyDescent="0.35">
      <c r="A123" s="472" t="s">
        <v>526</v>
      </c>
      <c r="B123" s="472" t="s">
        <v>159</v>
      </c>
      <c r="C123" s="472" t="s">
        <v>542</v>
      </c>
      <c r="D123" s="472" t="s">
        <v>543</v>
      </c>
      <c r="E123" s="472" t="s">
        <v>544</v>
      </c>
      <c r="F123" s="472" t="s">
        <v>276</v>
      </c>
      <c r="G123" s="472" t="s">
        <v>527</v>
      </c>
      <c r="H123" s="472"/>
      <c r="I123" s="472" t="s">
        <v>277</v>
      </c>
      <c r="J123" s="472" t="s">
        <v>528</v>
      </c>
      <c r="K123" s="472" t="s">
        <v>545</v>
      </c>
      <c r="L123" s="472" t="s">
        <v>541</v>
      </c>
      <c r="M123" s="472" t="s">
        <v>285</v>
      </c>
      <c r="N123" s="472"/>
      <c r="O123" s="472"/>
      <c r="P123" s="472" t="s">
        <v>528</v>
      </c>
      <c r="Q123" s="472"/>
      <c r="R123" s="473">
        <v>45446</v>
      </c>
      <c r="S123" s="472"/>
      <c r="T123" s="473">
        <v>45443</v>
      </c>
      <c r="U123" s="474">
        <v>0</v>
      </c>
      <c r="V123" s="475">
        <v>198.82</v>
      </c>
      <c r="W123" s="259">
        <v>45413</v>
      </c>
    </row>
    <row r="124" spans="1:23" hidden="1" x14ac:dyDescent="0.35">
      <c r="A124" s="472" t="s">
        <v>526</v>
      </c>
      <c r="B124" s="472" t="s">
        <v>159</v>
      </c>
      <c r="C124" s="472" t="s">
        <v>546</v>
      </c>
      <c r="D124" s="472" t="s">
        <v>547</v>
      </c>
      <c r="E124" s="472" t="s">
        <v>548</v>
      </c>
      <c r="F124" s="472" t="s">
        <v>276</v>
      </c>
      <c r="G124" s="472" t="s">
        <v>527</v>
      </c>
      <c r="H124" s="472"/>
      <c r="I124" s="472" t="s">
        <v>277</v>
      </c>
      <c r="J124" s="472" t="s">
        <v>528</v>
      </c>
      <c r="K124" s="472" t="s">
        <v>549</v>
      </c>
      <c r="L124" s="472" t="s">
        <v>541</v>
      </c>
      <c r="M124" s="472" t="s">
        <v>285</v>
      </c>
      <c r="N124" s="472"/>
      <c r="O124" s="472"/>
      <c r="P124" s="472" t="s">
        <v>528</v>
      </c>
      <c r="Q124" s="472"/>
      <c r="R124" s="473">
        <v>45446</v>
      </c>
      <c r="S124" s="472"/>
      <c r="T124" s="473">
        <v>45443</v>
      </c>
      <c r="U124" s="474">
        <v>0</v>
      </c>
      <c r="V124" s="475">
        <v>570.36</v>
      </c>
      <c r="W124" s="259">
        <v>45413</v>
      </c>
    </row>
    <row r="125" spans="1:23" hidden="1" x14ac:dyDescent="0.35">
      <c r="A125" s="472" t="s">
        <v>526</v>
      </c>
      <c r="B125" s="472" t="s">
        <v>159</v>
      </c>
      <c r="C125" s="472" t="s">
        <v>542</v>
      </c>
      <c r="D125" s="472" t="s">
        <v>550</v>
      </c>
      <c r="E125" s="472" t="s">
        <v>551</v>
      </c>
      <c r="F125" s="472" t="s">
        <v>276</v>
      </c>
      <c r="G125" s="472" t="s">
        <v>527</v>
      </c>
      <c r="H125" s="472"/>
      <c r="I125" s="472" t="s">
        <v>277</v>
      </c>
      <c r="J125" s="472" t="s">
        <v>528</v>
      </c>
      <c r="K125" s="472" t="s">
        <v>545</v>
      </c>
      <c r="L125" s="472" t="s">
        <v>541</v>
      </c>
      <c r="M125" s="472" t="s">
        <v>285</v>
      </c>
      <c r="N125" s="472"/>
      <c r="O125" s="472"/>
      <c r="P125" s="472" t="s">
        <v>528</v>
      </c>
      <c r="Q125" s="472"/>
      <c r="R125" s="473">
        <v>45446</v>
      </c>
      <c r="S125" s="472"/>
      <c r="T125" s="473">
        <v>45443</v>
      </c>
      <c r="U125" s="474">
        <v>0</v>
      </c>
      <c r="V125" s="475">
        <v>123.57</v>
      </c>
      <c r="W125" s="259">
        <v>45413</v>
      </c>
    </row>
    <row r="126" spans="1:23" hidden="1" x14ac:dyDescent="0.35">
      <c r="A126" s="472" t="s">
        <v>526</v>
      </c>
      <c r="B126" s="472" t="s">
        <v>159</v>
      </c>
      <c r="C126" s="472" t="s">
        <v>542</v>
      </c>
      <c r="D126" s="472" t="s">
        <v>552</v>
      </c>
      <c r="E126" s="472" t="s">
        <v>553</v>
      </c>
      <c r="F126" s="472" t="s">
        <v>276</v>
      </c>
      <c r="G126" s="472" t="s">
        <v>527</v>
      </c>
      <c r="H126" s="472"/>
      <c r="I126" s="472" t="s">
        <v>277</v>
      </c>
      <c r="J126" s="472" t="s">
        <v>528</v>
      </c>
      <c r="K126" s="472" t="s">
        <v>554</v>
      </c>
      <c r="L126" s="472" t="s">
        <v>541</v>
      </c>
      <c r="M126" s="472" t="s">
        <v>285</v>
      </c>
      <c r="N126" s="472"/>
      <c r="O126" s="472"/>
      <c r="P126" s="472" t="s">
        <v>528</v>
      </c>
      <c r="Q126" s="472"/>
      <c r="R126" s="473">
        <v>45446</v>
      </c>
      <c r="S126" s="472"/>
      <c r="T126" s="473">
        <v>45443</v>
      </c>
      <c r="U126" s="474">
        <v>0</v>
      </c>
      <c r="V126" s="475">
        <v>175.22</v>
      </c>
      <c r="W126" s="259">
        <v>45413</v>
      </c>
    </row>
    <row r="127" spans="1:23" hidden="1" x14ac:dyDescent="0.35">
      <c r="A127" s="472" t="s">
        <v>526</v>
      </c>
      <c r="B127" s="472" t="s">
        <v>159</v>
      </c>
      <c r="C127" s="472" t="s">
        <v>546</v>
      </c>
      <c r="D127" s="472" t="s">
        <v>555</v>
      </c>
      <c r="E127" s="472" t="s">
        <v>556</v>
      </c>
      <c r="F127" s="472" t="s">
        <v>276</v>
      </c>
      <c r="G127" s="472" t="s">
        <v>527</v>
      </c>
      <c r="H127" s="472"/>
      <c r="I127" s="472" t="s">
        <v>277</v>
      </c>
      <c r="J127" s="472" t="s">
        <v>528</v>
      </c>
      <c r="K127" s="472" t="s">
        <v>557</v>
      </c>
      <c r="L127" s="472" t="s">
        <v>541</v>
      </c>
      <c r="M127" s="472" t="s">
        <v>285</v>
      </c>
      <c r="N127" s="472"/>
      <c r="O127" s="472"/>
      <c r="P127" s="472" t="s">
        <v>528</v>
      </c>
      <c r="Q127" s="472"/>
      <c r="R127" s="473">
        <v>45446</v>
      </c>
      <c r="S127" s="472"/>
      <c r="T127" s="473">
        <v>45443</v>
      </c>
      <c r="U127" s="474">
        <v>0</v>
      </c>
      <c r="V127" s="475">
        <v>220.76</v>
      </c>
      <c r="W127" s="259">
        <v>45413</v>
      </c>
    </row>
    <row r="128" spans="1:23" hidden="1" x14ac:dyDescent="0.35">
      <c r="A128" s="472" t="s">
        <v>526</v>
      </c>
      <c r="B128" s="472" t="s">
        <v>159</v>
      </c>
      <c r="C128" s="472" t="s">
        <v>298</v>
      </c>
      <c r="D128" s="472" t="s">
        <v>299</v>
      </c>
      <c r="E128" s="472" t="s">
        <v>300</v>
      </c>
      <c r="F128" s="472" t="s">
        <v>276</v>
      </c>
      <c r="G128" s="472" t="s">
        <v>527</v>
      </c>
      <c r="H128" s="472"/>
      <c r="I128" s="472" t="s">
        <v>277</v>
      </c>
      <c r="J128" s="472" t="s">
        <v>528</v>
      </c>
      <c r="K128" s="472" t="s">
        <v>301</v>
      </c>
      <c r="L128" s="472" t="s">
        <v>541</v>
      </c>
      <c r="M128" s="472" t="s">
        <v>285</v>
      </c>
      <c r="N128" s="472"/>
      <c r="O128" s="472"/>
      <c r="P128" s="472" t="s">
        <v>528</v>
      </c>
      <c r="Q128" s="472"/>
      <c r="R128" s="473">
        <v>45447</v>
      </c>
      <c r="S128" s="472"/>
      <c r="T128" s="473">
        <v>45443</v>
      </c>
      <c r="U128" s="474">
        <v>0</v>
      </c>
      <c r="V128" s="475">
        <v>0.02</v>
      </c>
      <c r="W128" s="259">
        <v>45413</v>
      </c>
    </row>
    <row r="129" spans="1:23" hidden="1" x14ac:dyDescent="0.35">
      <c r="A129" s="472" t="s">
        <v>526</v>
      </c>
      <c r="B129" s="472" t="s">
        <v>159</v>
      </c>
      <c r="C129" s="472" t="s">
        <v>298</v>
      </c>
      <c r="D129" s="472" t="s">
        <v>299</v>
      </c>
      <c r="E129" s="472" t="s">
        <v>300</v>
      </c>
      <c r="F129" s="472" t="s">
        <v>276</v>
      </c>
      <c r="G129" s="472" t="s">
        <v>527</v>
      </c>
      <c r="H129" s="472"/>
      <c r="I129" s="472" t="s">
        <v>277</v>
      </c>
      <c r="J129" s="472" t="s">
        <v>528</v>
      </c>
      <c r="K129" s="472" t="s">
        <v>301</v>
      </c>
      <c r="L129" s="472" t="s">
        <v>541</v>
      </c>
      <c r="M129" s="472" t="s">
        <v>285</v>
      </c>
      <c r="N129" s="472"/>
      <c r="O129" s="472"/>
      <c r="P129" s="472" t="s">
        <v>528</v>
      </c>
      <c r="Q129" s="472"/>
      <c r="R129" s="473">
        <v>45447</v>
      </c>
      <c r="S129" s="472"/>
      <c r="T129" s="473">
        <v>45443</v>
      </c>
      <c r="U129" s="474">
        <v>0</v>
      </c>
      <c r="V129" s="475">
        <v>0.34</v>
      </c>
      <c r="W129" s="259">
        <v>45413</v>
      </c>
    </row>
    <row r="130" spans="1:23" hidden="1" x14ac:dyDescent="0.35">
      <c r="A130" s="472" t="s">
        <v>526</v>
      </c>
      <c r="B130" s="472" t="s">
        <v>159</v>
      </c>
      <c r="C130" s="472" t="s">
        <v>298</v>
      </c>
      <c r="D130" s="472" t="s">
        <v>304</v>
      </c>
      <c r="E130" s="472" t="s">
        <v>305</v>
      </c>
      <c r="F130" s="472" t="s">
        <v>276</v>
      </c>
      <c r="G130" s="472" t="s">
        <v>527</v>
      </c>
      <c r="H130" s="472"/>
      <c r="I130" s="472" t="s">
        <v>277</v>
      </c>
      <c r="J130" s="472" t="s">
        <v>528</v>
      </c>
      <c r="K130" s="472" t="s">
        <v>301</v>
      </c>
      <c r="L130" s="472" t="s">
        <v>541</v>
      </c>
      <c r="M130" s="472" t="s">
        <v>285</v>
      </c>
      <c r="N130" s="472"/>
      <c r="O130" s="472"/>
      <c r="P130" s="472" t="s">
        <v>528</v>
      </c>
      <c r="Q130" s="472"/>
      <c r="R130" s="473">
        <v>45447</v>
      </c>
      <c r="S130" s="472"/>
      <c r="T130" s="473">
        <v>45443</v>
      </c>
      <c r="U130" s="474">
        <v>0</v>
      </c>
      <c r="V130" s="475">
        <v>0.49</v>
      </c>
      <c r="W130" s="259">
        <v>45413</v>
      </c>
    </row>
    <row r="131" spans="1:23" hidden="1" x14ac:dyDescent="0.35">
      <c r="A131" s="472" t="s">
        <v>526</v>
      </c>
      <c r="B131" s="472" t="s">
        <v>159</v>
      </c>
      <c r="C131" s="472" t="s">
        <v>298</v>
      </c>
      <c r="D131" s="472" t="s">
        <v>306</v>
      </c>
      <c r="E131" s="472" t="s">
        <v>307</v>
      </c>
      <c r="F131" s="472" t="s">
        <v>276</v>
      </c>
      <c r="G131" s="472" t="s">
        <v>527</v>
      </c>
      <c r="H131" s="472"/>
      <c r="I131" s="472" t="s">
        <v>277</v>
      </c>
      <c r="J131" s="472" t="s">
        <v>528</v>
      </c>
      <c r="K131" s="472" t="s">
        <v>301</v>
      </c>
      <c r="L131" s="472" t="s">
        <v>541</v>
      </c>
      <c r="M131" s="472" t="s">
        <v>285</v>
      </c>
      <c r="N131" s="472"/>
      <c r="O131" s="472"/>
      <c r="P131" s="472" t="s">
        <v>528</v>
      </c>
      <c r="Q131" s="472"/>
      <c r="R131" s="473">
        <v>45447</v>
      </c>
      <c r="S131" s="472"/>
      <c r="T131" s="473">
        <v>45443</v>
      </c>
      <c r="U131" s="474">
        <v>0</v>
      </c>
      <c r="V131" s="475">
        <v>0.55000000000000004</v>
      </c>
      <c r="W131" s="259">
        <v>45413</v>
      </c>
    </row>
    <row r="132" spans="1:23" hidden="1" x14ac:dyDescent="0.35">
      <c r="A132" s="472" t="s">
        <v>526</v>
      </c>
      <c r="B132" s="472" t="s">
        <v>159</v>
      </c>
      <c r="C132" s="472" t="s">
        <v>298</v>
      </c>
      <c r="D132" s="472" t="s">
        <v>306</v>
      </c>
      <c r="E132" s="472" t="s">
        <v>307</v>
      </c>
      <c r="F132" s="472" t="s">
        <v>276</v>
      </c>
      <c r="G132" s="472" t="s">
        <v>527</v>
      </c>
      <c r="H132" s="472"/>
      <c r="I132" s="472" t="s">
        <v>277</v>
      </c>
      <c r="J132" s="472" t="s">
        <v>528</v>
      </c>
      <c r="K132" s="472" t="s">
        <v>301</v>
      </c>
      <c r="L132" s="472" t="s">
        <v>541</v>
      </c>
      <c r="M132" s="472" t="s">
        <v>285</v>
      </c>
      <c r="N132" s="472"/>
      <c r="O132" s="472"/>
      <c r="P132" s="472" t="s">
        <v>528</v>
      </c>
      <c r="Q132" s="472"/>
      <c r="R132" s="473">
        <v>45447</v>
      </c>
      <c r="S132" s="472"/>
      <c r="T132" s="473">
        <v>45443</v>
      </c>
      <c r="U132" s="474">
        <v>0</v>
      </c>
      <c r="V132" s="475">
        <v>0.03</v>
      </c>
      <c r="W132" s="259">
        <v>45413</v>
      </c>
    </row>
    <row r="133" spans="1:23" hidden="1" x14ac:dyDescent="0.35">
      <c r="A133" s="472" t="s">
        <v>526</v>
      </c>
      <c r="B133" s="472" t="s">
        <v>159</v>
      </c>
      <c r="C133" s="472" t="s">
        <v>298</v>
      </c>
      <c r="D133" s="472" t="s">
        <v>308</v>
      </c>
      <c r="E133" s="472" t="s">
        <v>309</v>
      </c>
      <c r="F133" s="472" t="s">
        <v>276</v>
      </c>
      <c r="G133" s="472" t="s">
        <v>527</v>
      </c>
      <c r="H133" s="472"/>
      <c r="I133" s="472" t="s">
        <v>277</v>
      </c>
      <c r="J133" s="472" t="s">
        <v>528</v>
      </c>
      <c r="K133" s="472" t="s">
        <v>301</v>
      </c>
      <c r="L133" s="472" t="s">
        <v>541</v>
      </c>
      <c r="M133" s="472" t="s">
        <v>285</v>
      </c>
      <c r="N133" s="472"/>
      <c r="O133" s="472"/>
      <c r="P133" s="472" t="s">
        <v>528</v>
      </c>
      <c r="Q133" s="472"/>
      <c r="R133" s="473">
        <v>45447</v>
      </c>
      <c r="S133" s="472"/>
      <c r="T133" s="473">
        <v>45443</v>
      </c>
      <c r="U133" s="474">
        <v>0</v>
      </c>
      <c r="V133" s="475">
        <v>237.25</v>
      </c>
      <c r="W133" s="259">
        <v>45413</v>
      </c>
    </row>
    <row r="134" spans="1:23" hidden="1" x14ac:dyDescent="0.35">
      <c r="A134" s="472" t="s">
        <v>526</v>
      </c>
      <c r="B134" s="472" t="s">
        <v>159</v>
      </c>
      <c r="C134" s="472" t="s">
        <v>298</v>
      </c>
      <c r="D134" s="472" t="s">
        <v>312</v>
      </c>
      <c r="E134" s="472" t="s">
        <v>313</v>
      </c>
      <c r="F134" s="472" t="s">
        <v>276</v>
      </c>
      <c r="G134" s="472" t="s">
        <v>527</v>
      </c>
      <c r="H134" s="472"/>
      <c r="I134" s="472" t="s">
        <v>277</v>
      </c>
      <c r="J134" s="472" t="s">
        <v>528</v>
      </c>
      <c r="K134" s="472" t="s">
        <v>301</v>
      </c>
      <c r="L134" s="472" t="s">
        <v>541</v>
      </c>
      <c r="M134" s="472" t="s">
        <v>285</v>
      </c>
      <c r="N134" s="472"/>
      <c r="O134" s="472"/>
      <c r="P134" s="472" t="s">
        <v>528</v>
      </c>
      <c r="Q134" s="472"/>
      <c r="R134" s="473">
        <v>45447</v>
      </c>
      <c r="S134" s="472"/>
      <c r="T134" s="473">
        <v>45443</v>
      </c>
      <c r="U134" s="474">
        <v>0</v>
      </c>
      <c r="V134" s="475">
        <v>29.42</v>
      </c>
      <c r="W134" s="259">
        <v>45413</v>
      </c>
    </row>
    <row r="135" spans="1:23" hidden="1" x14ac:dyDescent="0.35">
      <c r="A135" s="472" t="s">
        <v>526</v>
      </c>
      <c r="B135" s="472" t="s">
        <v>159</v>
      </c>
      <c r="C135" s="472" t="s">
        <v>298</v>
      </c>
      <c r="D135" s="472" t="s">
        <v>314</v>
      </c>
      <c r="E135" s="472" t="s">
        <v>315</v>
      </c>
      <c r="F135" s="472" t="s">
        <v>276</v>
      </c>
      <c r="G135" s="472" t="s">
        <v>527</v>
      </c>
      <c r="H135" s="472"/>
      <c r="I135" s="472" t="s">
        <v>277</v>
      </c>
      <c r="J135" s="472" t="s">
        <v>528</v>
      </c>
      <c r="K135" s="472" t="s">
        <v>301</v>
      </c>
      <c r="L135" s="472" t="s">
        <v>541</v>
      </c>
      <c r="M135" s="472" t="s">
        <v>285</v>
      </c>
      <c r="N135" s="472"/>
      <c r="O135" s="472"/>
      <c r="P135" s="472" t="s">
        <v>528</v>
      </c>
      <c r="Q135" s="472"/>
      <c r="R135" s="473">
        <v>45447</v>
      </c>
      <c r="S135" s="472"/>
      <c r="T135" s="473">
        <v>45443</v>
      </c>
      <c r="U135" s="474">
        <v>0</v>
      </c>
      <c r="V135" s="475">
        <v>83.47</v>
      </c>
      <c r="W135" s="259">
        <v>45413</v>
      </c>
    </row>
    <row r="136" spans="1:23" hidden="1" x14ac:dyDescent="0.35">
      <c r="A136" s="472" t="s">
        <v>526</v>
      </c>
      <c r="B136" s="472" t="s">
        <v>159</v>
      </c>
      <c r="C136" s="472" t="s">
        <v>298</v>
      </c>
      <c r="D136" s="472" t="s">
        <v>316</v>
      </c>
      <c r="E136" s="472" t="s">
        <v>317</v>
      </c>
      <c r="F136" s="472" t="s">
        <v>276</v>
      </c>
      <c r="G136" s="472" t="s">
        <v>527</v>
      </c>
      <c r="H136" s="472"/>
      <c r="I136" s="472" t="s">
        <v>277</v>
      </c>
      <c r="J136" s="472" t="s">
        <v>528</v>
      </c>
      <c r="K136" s="472" t="s">
        <v>301</v>
      </c>
      <c r="L136" s="472" t="s">
        <v>541</v>
      </c>
      <c r="M136" s="472" t="s">
        <v>285</v>
      </c>
      <c r="N136" s="472"/>
      <c r="O136" s="472"/>
      <c r="P136" s="472" t="s">
        <v>528</v>
      </c>
      <c r="Q136" s="472"/>
      <c r="R136" s="473">
        <v>45447</v>
      </c>
      <c r="S136" s="472"/>
      <c r="T136" s="473">
        <v>45443</v>
      </c>
      <c r="U136" s="474">
        <v>0</v>
      </c>
      <c r="V136" s="475">
        <v>130.34</v>
      </c>
      <c r="W136" s="259">
        <v>45413</v>
      </c>
    </row>
    <row r="137" spans="1:23" hidden="1" x14ac:dyDescent="0.35">
      <c r="A137" s="472" t="s">
        <v>526</v>
      </c>
      <c r="B137" s="472" t="s">
        <v>159</v>
      </c>
      <c r="C137" s="472" t="s">
        <v>298</v>
      </c>
      <c r="D137" s="472" t="s">
        <v>318</v>
      </c>
      <c r="E137" s="472" t="s">
        <v>319</v>
      </c>
      <c r="F137" s="472" t="s">
        <v>276</v>
      </c>
      <c r="G137" s="472" t="s">
        <v>527</v>
      </c>
      <c r="H137" s="472"/>
      <c r="I137" s="472" t="s">
        <v>277</v>
      </c>
      <c r="J137" s="472" t="s">
        <v>528</v>
      </c>
      <c r="K137" s="472" t="s">
        <v>301</v>
      </c>
      <c r="L137" s="472" t="s">
        <v>541</v>
      </c>
      <c r="M137" s="472" t="s">
        <v>285</v>
      </c>
      <c r="N137" s="472"/>
      <c r="O137" s="472"/>
      <c r="P137" s="472" t="s">
        <v>528</v>
      </c>
      <c r="Q137" s="472"/>
      <c r="R137" s="473">
        <v>45447</v>
      </c>
      <c r="S137" s="472"/>
      <c r="T137" s="473">
        <v>45443</v>
      </c>
      <c r="U137" s="474">
        <v>0</v>
      </c>
      <c r="V137" s="475">
        <v>2.63</v>
      </c>
      <c r="W137" s="259">
        <v>45413</v>
      </c>
    </row>
    <row r="138" spans="1:23" hidden="1" x14ac:dyDescent="0.35">
      <c r="A138" s="472" t="s">
        <v>526</v>
      </c>
      <c r="B138" s="472" t="s">
        <v>159</v>
      </c>
      <c r="C138" s="472" t="s">
        <v>298</v>
      </c>
      <c r="D138" s="472" t="s">
        <v>318</v>
      </c>
      <c r="E138" s="472" t="s">
        <v>319</v>
      </c>
      <c r="F138" s="472" t="s">
        <v>276</v>
      </c>
      <c r="G138" s="472" t="s">
        <v>527</v>
      </c>
      <c r="H138" s="472"/>
      <c r="I138" s="472" t="s">
        <v>277</v>
      </c>
      <c r="J138" s="472" t="s">
        <v>528</v>
      </c>
      <c r="K138" s="472" t="s">
        <v>301</v>
      </c>
      <c r="L138" s="472" t="s">
        <v>541</v>
      </c>
      <c r="M138" s="472" t="s">
        <v>285</v>
      </c>
      <c r="N138" s="472"/>
      <c r="O138" s="472"/>
      <c r="P138" s="472" t="s">
        <v>528</v>
      </c>
      <c r="Q138" s="472"/>
      <c r="R138" s="473">
        <v>45447</v>
      </c>
      <c r="S138" s="472"/>
      <c r="T138" s="473">
        <v>45443</v>
      </c>
      <c r="U138" s="474">
        <v>0</v>
      </c>
      <c r="V138" s="475">
        <v>0.13</v>
      </c>
      <c r="W138" s="259">
        <v>45413</v>
      </c>
    </row>
    <row r="139" spans="1:23" hidden="1" x14ac:dyDescent="0.35">
      <c r="A139" s="472" t="s">
        <v>526</v>
      </c>
      <c r="B139" s="472" t="s">
        <v>159</v>
      </c>
      <c r="C139" s="472" t="s">
        <v>298</v>
      </c>
      <c r="D139" s="472" t="s">
        <v>391</v>
      </c>
      <c r="E139" s="472" t="s">
        <v>392</v>
      </c>
      <c r="F139" s="472" t="s">
        <v>276</v>
      </c>
      <c r="G139" s="472" t="s">
        <v>527</v>
      </c>
      <c r="H139" s="472"/>
      <c r="I139" s="472" t="s">
        <v>277</v>
      </c>
      <c r="J139" s="472" t="s">
        <v>528</v>
      </c>
      <c r="K139" s="472" t="s">
        <v>301</v>
      </c>
      <c r="L139" s="472" t="s">
        <v>541</v>
      </c>
      <c r="M139" s="472" t="s">
        <v>285</v>
      </c>
      <c r="N139" s="472"/>
      <c r="O139" s="472"/>
      <c r="P139" s="472" t="s">
        <v>528</v>
      </c>
      <c r="Q139" s="472"/>
      <c r="R139" s="473">
        <v>45447</v>
      </c>
      <c r="S139" s="472"/>
      <c r="T139" s="473">
        <v>45443</v>
      </c>
      <c r="U139" s="474">
        <v>0</v>
      </c>
      <c r="V139" s="475">
        <v>0.17</v>
      </c>
      <c r="W139" s="259">
        <v>45413</v>
      </c>
    </row>
    <row r="140" spans="1:23" hidden="1" x14ac:dyDescent="0.35">
      <c r="A140" s="472" t="s">
        <v>526</v>
      </c>
      <c r="B140" s="472" t="s">
        <v>159</v>
      </c>
      <c r="C140" s="472" t="s">
        <v>298</v>
      </c>
      <c r="D140" s="472" t="s">
        <v>320</v>
      </c>
      <c r="E140" s="472" t="s">
        <v>321</v>
      </c>
      <c r="F140" s="472" t="s">
        <v>276</v>
      </c>
      <c r="G140" s="472" t="s">
        <v>527</v>
      </c>
      <c r="H140" s="472"/>
      <c r="I140" s="472" t="s">
        <v>277</v>
      </c>
      <c r="J140" s="472" t="s">
        <v>528</v>
      </c>
      <c r="K140" s="472" t="s">
        <v>301</v>
      </c>
      <c r="L140" s="472" t="s">
        <v>541</v>
      </c>
      <c r="M140" s="472" t="s">
        <v>285</v>
      </c>
      <c r="N140" s="472"/>
      <c r="O140" s="472"/>
      <c r="P140" s="472" t="s">
        <v>528</v>
      </c>
      <c r="Q140" s="472"/>
      <c r="R140" s="473">
        <v>45447</v>
      </c>
      <c r="S140" s="472"/>
      <c r="T140" s="473">
        <v>45443</v>
      </c>
      <c r="U140" s="474">
        <v>0</v>
      </c>
      <c r="V140" s="475">
        <v>-86.51</v>
      </c>
      <c r="W140" s="259">
        <v>45413</v>
      </c>
    </row>
    <row r="141" spans="1:23" hidden="1" x14ac:dyDescent="0.35">
      <c r="A141" s="472" t="s">
        <v>526</v>
      </c>
      <c r="B141" s="472" t="s">
        <v>159</v>
      </c>
      <c r="C141" s="472" t="s">
        <v>298</v>
      </c>
      <c r="D141" s="472" t="s">
        <v>322</v>
      </c>
      <c r="E141" s="472" t="s">
        <v>323</v>
      </c>
      <c r="F141" s="472" t="s">
        <v>276</v>
      </c>
      <c r="G141" s="472" t="s">
        <v>527</v>
      </c>
      <c r="H141" s="472"/>
      <c r="I141" s="472" t="s">
        <v>277</v>
      </c>
      <c r="J141" s="472" t="s">
        <v>528</v>
      </c>
      <c r="K141" s="472" t="s">
        <v>301</v>
      </c>
      <c r="L141" s="472" t="s">
        <v>541</v>
      </c>
      <c r="M141" s="472" t="s">
        <v>285</v>
      </c>
      <c r="N141" s="472"/>
      <c r="O141" s="472"/>
      <c r="P141" s="472" t="s">
        <v>528</v>
      </c>
      <c r="Q141" s="472"/>
      <c r="R141" s="473">
        <v>45447</v>
      </c>
      <c r="S141" s="472"/>
      <c r="T141" s="473">
        <v>45443</v>
      </c>
      <c r="U141" s="474">
        <v>0</v>
      </c>
      <c r="V141" s="475">
        <v>0.82</v>
      </c>
      <c r="W141" s="259">
        <v>45413</v>
      </c>
    </row>
    <row r="142" spans="1:23" hidden="1" x14ac:dyDescent="0.35">
      <c r="A142" s="472" t="s">
        <v>526</v>
      </c>
      <c r="B142" s="472" t="s">
        <v>159</v>
      </c>
      <c r="C142" s="472" t="s">
        <v>298</v>
      </c>
      <c r="D142" s="472" t="s">
        <v>322</v>
      </c>
      <c r="E142" s="472" t="s">
        <v>323</v>
      </c>
      <c r="F142" s="472" t="s">
        <v>276</v>
      </c>
      <c r="G142" s="472" t="s">
        <v>527</v>
      </c>
      <c r="H142" s="472"/>
      <c r="I142" s="472" t="s">
        <v>277</v>
      </c>
      <c r="J142" s="472" t="s">
        <v>528</v>
      </c>
      <c r="K142" s="472" t="s">
        <v>301</v>
      </c>
      <c r="L142" s="472" t="s">
        <v>541</v>
      </c>
      <c r="M142" s="472" t="s">
        <v>285</v>
      </c>
      <c r="N142" s="472"/>
      <c r="O142" s="472"/>
      <c r="P142" s="472" t="s">
        <v>528</v>
      </c>
      <c r="Q142" s="472"/>
      <c r="R142" s="473">
        <v>45447</v>
      </c>
      <c r="S142" s="472"/>
      <c r="T142" s="473">
        <v>45443</v>
      </c>
      <c r="U142" s="474">
        <v>0</v>
      </c>
      <c r="V142" s="475">
        <v>0.05</v>
      </c>
      <c r="W142" s="259">
        <v>45413</v>
      </c>
    </row>
    <row r="143" spans="1:23" hidden="1" x14ac:dyDescent="0.35">
      <c r="A143" s="472" t="s">
        <v>526</v>
      </c>
      <c r="B143" s="472" t="s">
        <v>159</v>
      </c>
      <c r="C143" s="472" t="s">
        <v>298</v>
      </c>
      <c r="D143" s="472" t="s">
        <v>324</v>
      </c>
      <c r="E143" s="472" t="s">
        <v>325</v>
      </c>
      <c r="F143" s="472" t="s">
        <v>276</v>
      </c>
      <c r="G143" s="472" t="s">
        <v>527</v>
      </c>
      <c r="H143" s="472"/>
      <c r="I143" s="472" t="s">
        <v>277</v>
      </c>
      <c r="J143" s="472" t="s">
        <v>528</v>
      </c>
      <c r="K143" s="472" t="s">
        <v>301</v>
      </c>
      <c r="L143" s="472" t="s">
        <v>541</v>
      </c>
      <c r="M143" s="472" t="s">
        <v>285</v>
      </c>
      <c r="N143" s="472"/>
      <c r="O143" s="472"/>
      <c r="P143" s="472" t="s">
        <v>528</v>
      </c>
      <c r="Q143" s="472"/>
      <c r="R143" s="473">
        <v>45447</v>
      </c>
      <c r="S143" s="472"/>
      <c r="T143" s="473">
        <v>45443</v>
      </c>
      <c r="U143" s="474">
        <v>0</v>
      </c>
      <c r="V143" s="475">
        <v>852.38</v>
      </c>
      <c r="W143" s="259">
        <v>45413</v>
      </c>
    </row>
    <row r="144" spans="1:23" hidden="1" x14ac:dyDescent="0.35">
      <c r="A144" s="472" t="s">
        <v>526</v>
      </c>
      <c r="B144" s="472" t="s">
        <v>159</v>
      </c>
      <c r="C144" s="472" t="s">
        <v>298</v>
      </c>
      <c r="D144" s="472" t="s">
        <v>326</v>
      </c>
      <c r="E144" s="472" t="s">
        <v>327</v>
      </c>
      <c r="F144" s="472" t="s">
        <v>276</v>
      </c>
      <c r="G144" s="472" t="s">
        <v>527</v>
      </c>
      <c r="H144" s="472"/>
      <c r="I144" s="472" t="s">
        <v>277</v>
      </c>
      <c r="J144" s="472" t="s">
        <v>528</v>
      </c>
      <c r="K144" s="472" t="s">
        <v>301</v>
      </c>
      <c r="L144" s="472" t="s">
        <v>541</v>
      </c>
      <c r="M144" s="472" t="s">
        <v>285</v>
      </c>
      <c r="N144" s="472"/>
      <c r="O144" s="472"/>
      <c r="P144" s="472" t="s">
        <v>528</v>
      </c>
      <c r="Q144" s="472"/>
      <c r="R144" s="473">
        <v>45447</v>
      </c>
      <c r="S144" s="472"/>
      <c r="T144" s="473">
        <v>45443</v>
      </c>
      <c r="U144" s="474">
        <v>0</v>
      </c>
      <c r="V144" s="475">
        <v>0.32</v>
      </c>
      <c r="W144" s="259">
        <v>45413</v>
      </c>
    </row>
    <row r="145" spans="1:23" hidden="1" x14ac:dyDescent="0.35">
      <c r="A145" s="472" t="s">
        <v>526</v>
      </c>
      <c r="B145" s="472" t="s">
        <v>159</v>
      </c>
      <c r="C145" s="472" t="s">
        <v>298</v>
      </c>
      <c r="D145" s="472" t="s">
        <v>326</v>
      </c>
      <c r="E145" s="472" t="s">
        <v>327</v>
      </c>
      <c r="F145" s="472" t="s">
        <v>276</v>
      </c>
      <c r="G145" s="472" t="s">
        <v>527</v>
      </c>
      <c r="H145" s="472"/>
      <c r="I145" s="472" t="s">
        <v>277</v>
      </c>
      <c r="J145" s="472" t="s">
        <v>528</v>
      </c>
      <c r="K145" s="472" t="s">
        <v>301</v>
      </c>
      <c r="L145" s="472" t="s">
        <v>541</v>
      </c>
      <c r="M145" s="472" t="s">
        <v>285</v>
      </c>
      <c r="N145" s="472"/>
      <c r="O145" s="472"/>
      <c r="P145" s="472" t="s">
        <v>528</v>
      </c>
      <c r="Q145" s="472"/>
      <c r="R145" s="473">
        <v>45447</v>
      </c>
      <c r="S145" s="472"/>
      <c r="T145" s="473">
        <v>45443</v>
      </c>
      <c r="U145" s="474">
        <v>0</v>
      </c>
      <c r="V145" s="475">
        <v>5.12</v>
      </c>
      <c r="W145" s="259">
        <v>45413</v>
      </c>
    </row>
    <row r="146" spans="1:23" hidden="1" x14ac:dyDescent="0.35">
      <c r="A146" s="472" t="s">
        <v>526</v>
      </c>
      <c r="B146" s="472" t="s">
        <v>159</v>
      </c>
      <c r="C146" s="472" t="s">
        <v>298</v>
      </c>
      <c r="D146" s="472" t="s">
        <v>395</v>
      </c>
      <c r="E146" s="472" t="s">
        <v>396</v>
      </c>
      <c r="F146" s="472" t="s">
        <v>276</v>
      </c>
      <c r="G146" s="472" t="s">
        <v>527</v>
      </c>
      <c r="H146" s="472"/>
      <c r="I146" s="472" t="s">
        <v>277</v>
      </c>
      <c r="J146" s="472" t="s">
        <v>528</v>
      </c>
      <c r="K146" s="472" t="s">
        <v>301</v>
      </c>
      <c r="L146" s="472" t="s">
        <v>541</v>
      </c>
      <c r="M146" s="472" t="s">
        <v>285</v>
      </c>
      <c r="N146" s="472"/>
      <c r="O146" s="472"/>
      <c r="P146" s="472" t="s">
        <v>528</v>
      </c>
      <c r="Q146" s="472"/>
      <c r="R146" s="473">
        <v>45447</v>
      </c>
      <c r="S146" s="472"/>
      <c r="T146" s="473">
        <v>45443</v>
      </c>
      <c r="U146" s="474">
        <v>0</v>
      </c>
      <c r="V146" s="475">
        <v>0.02</v>
      </c>
      <c r="W146" s="259">
        <v>45413</v>
      </c>
    </row>
    <row r="147" spans="1:23" hidden="1" x14ac:dyDescent="0.35">
      <c r="A147" s="472" t="s">
        <v>526</v>
      </c>
      <c r="B147" s="472" t="s">
        <v>159</v>
      </c>
      <c r="C147" s="472" t="s">
        <v>298</v>
      </c>
      <c r="D147" s="472" t="s">
        <v>558</v>
      </c>
      <c r="E147" s="472" t="s">
        <v>559</v>
      </c>
      <c r="F147" s="472" t="s">
        <v>276</v>
      </c>
      <c r="G147" s="472" t="s">
        <v>527</v>
      </c>
      <c r="H147" s="472"/>
      <c r="I147" s="472" t="s">
        <v>277</v>
      </c>
      <c r="J147" s="472" t="s">
        <v>528</v>
      </c>
      <c r="K147" s="472" t="s">
        <v>301</v>
      </c>
      <c r="L147" s="472" t="s">
        <v>541</v>
      </c>
      <c r="M147" s="472" t="s">
        <v>285</v>
      </c>
      <c r="N147" s="472"/>
      <c r="O147" s="472"/>
      <c r="P147" s="472" t="s">
        <v>528</v>
      </c>
      <c r="Q147" s="472"/>
      <c r="R147" s="473">
        <v>45447</v>
      </c>
      <c r="S147" s="472"/>
      <c r="T147" s="473">
        <v>45443</v>
      </c>
      <c r="U147" s="474">
        <v>0</v>
      </c>
      <c r="V147" s="475">
        <v>1.51</v>
      </c>
      <c r="W147" s="259">
        <v>45413</v>
      </c>
    </row>
    <row r="148" spans="1:23" hidden="1" x14ac:dyDescent="0.35">
      <c r="A148" s="472" t="s">
        <v>526</v>
      </c>
      <c r="B148" s="472" t="s">
        <v>159</v>
      </c>
      <c r="C148" s="472" t="s">
        <v>298</v>
      </c>
      <c r="D148" s="472" t="s">
        <v>328</v>
      </c>
      <c r="E148" s="472" t="s">
        <v>329</v>
      </c>
      <c r="F148" s="472" t="s">
        <v>276</v>
      </c>
      <c r="G148" s="472" t="s">
        <v>527</v>
      </c>
      <c r="H148" s="472"/>
      <c r="I148" s="472" t="s">
        <v>277</v>
      </c>
      <c r="J148" s="472" t="s">
        <v>528</v>
      </c>
      <c r="K148" s="472" t="s">
        <v>301</v>
      </c>
      <c r="L148" s="472" t="s">
        <v>541</v>
      </c>
      <c r="M148" s="472" t="s">
        <v>285</v>
      </c>
      <c r="N148" s="472"/>
      <c r="O148" s="472"/>
      <c r="P148" s="472" t="s">
        <v>528</v>
      </c>
      <c r="Q148" s="472"/>
      <c r="R148" s="473">
        <v>45447</v>
      </c>
      <c r="S148" s="472"/>
      <c r="T148" s="473">
        <v>45443</v>
      </c>
      <c r="U148" s="474">
        <v>0</v>
      </c>
      <c r="V148" s="475">
        <v>-713.38</v>
      </c>
      <c r="W148" s="259">
        <v>45413</v>
      </c>
    </row>
    <row r="149" spans="1:23" hidden="1" x14ac:dyDescent="0.35">
      <c r="A149" s="472" t="s">
        <v>526</v>
      </c>
      <c r="B149" s="472" t="s">
        <v>159</v>
      </c>
      <c r="C149" s="472" t="s">
        <v>298</v>
      </c>
      <c r="D149" s="472" t="s">
        <v>330</v>
      </c>
      <c r="E149" s="472" t="s">
        <v>331</v>
      </c>
      <c r="F149" s="472" t="s">
        <v>276</v>
      </c>
      <c r="G149" s="472" t="s">
        <v>527</v>
      </c>
      <c r="H149" s="472"/>
      <c r="I149" s="472" t="s">
        <v>277</v>
      </c>
      <c r="J149" s="472" t="s">
        <v>528</v>
      </c>
      <c r="K149" s="472" t="s">
        <v>301</v>
      </c>
      <c r="L149" s="472" t="s">
        <v>541</v>
      </c>
      <c r="M149" s="472" t="s">
        <v>285</v>
      </c>
      <c r="N149" s="472"/>
      <c r="O149" s="472"/>
      <c r="P149" s="472" t="s">
        <v>528</v>
      </c>
      <c r="Q149" s="472"/>
      <c r="R149" s="473">
        <v>45447</v>
      </c>
      <c r="S149" s="472"/>
      <c r="T149" s="473">
        <v>45443</v>
      </c>
      <c r="U149" s="474">
        <v>0</v>
      </c>
      <c r="V149" s="475">
        <v>-53.54</v>
      </c>
      <c r="W149" s="259">
        <v>45413</v>
      </c>
    </row>
    <row r="150" spans="1:23" hidden="1" x14ac:dyDescent="0.35">
      <c r="A150" s="472" t="s">
        <v>526</v>
      </c>
      <c r="B150" s="472" t="s">
        <v>159</v>
      </c>
      <c r="C150" s="472" t="s">
        <v>298</v>
      </c>
      <c r="D150" s="472" t="s">
        <v>332</v>
      </c>
      <c r="E150" s="472" t="s">
        <v>333</v>
      </c>
      <c r="F150" s="472" t="s">
        <v>276</v>
      </c>
      <c r="G150" s="472" t="s">
        <v>527</v>
      </c>
      <c r="H150" s="472"/>
      <c r="I150" s="472" t="s">
        <v>277</v>
      </c>
      <c r="J150" s="472" t="s">
        <v>528</v>
      </c>
      <c r="K150" s="472" t="s">
        <v>301</v>
      </c>
      <c r="L150" s="472" t="s">
        <v>541</v>
      </c>
      <c r="M150" s="472" t="s">
        <v>285</v>
      </c>
      <c r="N150" s="472"/>
      <c r="O150" s="472"/>
      <c r="P150" s="472" t="s">
        <v>528</v>
      </c>
      <c r="Q150" s="472"/>
      <c r="R150" s="473">
        <v>45447</v>
      </c>
      <c r="S150" s="472"/>
      <c r="T150" s="473">
        <v>45443</v>
      </c>
      <c r="U150" s="474">
        <v>0</v>
      </c>
      <c r="V150" s="475">
        <v>-157.38</v>
      </c>
      <c r="W150" s="259">
        <v>45413</v>
      </c>
    </row>
    <row r="151" spans="1:23" hidden="1" x14ac:dyDescent="0.35">
      <c r="A151" s="472" t="s">
        <v>526</v>
      </c>
      <c r="B151" s="472" t="s">
        <v>159</v>
      </c>
      <c r="C151" s="472" t="s">
        <v>298</v>
      </c>
      <c r="D151" s="472" t="s">
        <v>334</v>
      </c>
      <c r="E151" s="472" t="s">
        <v>335</v>
      </c>
      <c r="F151" s="472" t="s">
        <v>276</v>
      </c>
      <c r="G151" s="472" t="s">
        <v>527</v>
      </c>
      <c r="H151" s="472"/>
      <c r="I151" s="472" t="s">
        <v>277</v>
      </c>
      <c r="J151" s="472" t="s">
        <v>528</v>
      </c>
      <c r="K151" s="472" t="s">
        <v>301</v>
      </c>
      <c r="L151" s="472" t="s">
        <v>541</v>
      </c>
      <c r="M151" s="472" t="s">
        <v>285</v>
      </c>
      <c r="N151" s="472"/>
      <c r="O151" s="472"/>
      <c r="P151" s="472" t="s">
        <v>528</v>
      </c>
      <c r="Q151" s="472"/>
      <c r="R151" s="473">
        <v>45447</v>
      </c>
      <c r="S151" s="472"/>
      <c r="T151" s="473">
        <v>45443</v>
      </c>
      <c r="U151" s="474">
        <v>0</v>
      </c>
      <c r="V151" s="475">
        <v>1.8</v>
      </c>
      <c r="W151" s="259">
        <v>45413</v>
      </c>
    </row>
    <row r="152" spans="1:23" hidden="1" x14ac:dyDescent="0.35">
      <c r="A152" s="472" t="s">
        <v>526</v>
      </c>
      <c r="B152" s="472" t="s">
        <v>159</v>
      </c>
      <c r="C152" s="472" t="s">
        <v>298</v>
      </c>
      <c r="D152" s="472" t="s">
        <v>336</v>
      </c>
      <c r="E152" s="472" t="s">
        <v>337</v>
      </c>
      <c r="F152" s="472" t="s">
        <v>276</v>
      </c>
      <c r="G152" s="472" t="s">
        <v>527</v>
      </c>
      <c r="H152" s="472"/>
      <c r="I152" s="472" t="s">
        <v>277</v>
      </c>
      <c r="J152" s="472" t="s">
        <v>528</v>
      </c>
      <c r="K152" s="472" t="s">
        <v>301</v>
      </c>
      <c r="L152" s="472" t="s">
        <v>541</v>
      </c>
      <c r="M152" s="472" t="s">
        <v>285</v>
      </c>
      <c r="N152" s="472"/>
      <c r="O152" s="472"/>
      <c r="P152" s="472" t="s">
        <v>528</v>
      </c>
      <c r="Q152" s="472"/>
      <c r="R152" s="473">
        <v>45447</v>
      </c>
      <c r="S152" s="472"/>
      <c r="T152" s="473">
        <v>45443</v>
      </c>
      <c r="U152" s="474">
        <v>0</v>
      </c>
      <c r="V152" s="475">
        <v>0.03</v>
      </c>
      <c r="W152" s="259">
        <v>45413</v>
      </c>
    </row>
    <row r="153" spans="1:23" hidden="1" x14ac:dyDescent="0.35">
      <c r="A153" s="472" t="s">
        <v>526</v>
      </c>
      <c r="B153" s="472" t="s">
        <v>159</v>
      </c>
      <c r="C153" s="472" t="s">
        <v>298</v>
      </c>
      <c r="D153" s="472" t="s">
        <v>397</v>
      </c>
      <c r="E153" s="472" t="s">
        <v>398</v>
      </c>
      <c r="F153" s="472" t="s">
        <v>276</v>
      </c>
      <c r="G153" s="472" t="s">
        <v>527</v>
      </c>
      <c r="H153" s="472"/>
      <c r="I153" s="472" t="s">
        <v>277</v>
      </c>
      <c r="J153" s="472" t="s">
        <v>528</v>
      </c>
      <c r="K153" s="472" t="s">
        <v>301</v>
      </c>
      <c r="L153" s="472" t="s">
        <v>541</v>
      </c>
      <c r="M153" s="472" t="s">
        <v>285</v>
      </c>
      <c r="N153" s="472"/>
      <c r="O153" s="472"/>
      <c r="P153" s="472" t="s">
        <v>528</v>
      </c>
      <c r="Q153" s="472"/>
      <c r="R153" s="473">
        <v>45447</v>
      </c>
      <c r="S153" s="472"/>
      <c r="T153" s="473">
        <v>45443</v>
      </c>
      <c r="U153" s="474">
        <v>0</v>
      </c>
      <c r="V153" s="475">
        <v>0.06</v>
      </c>
      <c r="W153" s="259">
        <v>45413</v>
      </c>
    </row>
    <row r="154" spans="1:23" hidden="1" x14ac:dyDescent="0.35">
      <c r="A154" s="472" t="s">
        <v>526</v>
      </c>
      <c r="B154" s="472" t="s">
        <v>159</v>
      </c>
      <c r="C154" s="472" t="s">
        <v>298</v>
      </c>
      <c r="D154" s="472" t="s">
        <v>338</v>
      </c>
      <c r="E154" s="472" t="s">
        <v>339</v>
      </c>
      <c r="F154" s="472" t="s">
        <v>276</v>
      </c>
      <c r="G154" s="472" t="s">
        <v>527</v>
      </c>
      <c r="H154" s="472"/>
      <c r="I154" s="472" t="s">
        <v>277</v>
      </c>
      <c r="J154" s="472" t="s">
        <v>528</v>
      </c>
      <c r="K154" s="472" t="s">
        <v>301</v>
      </c>
      <c r="L154" s="472" t="s">
        <v>541</v>
      </c>
      <c r="M154" s="472" t="s">
        <v>285</v>
      </c>
      <c r="N154" s="472"/>
      <c r="O154" s="472"/>
      <c r="P154" s="472" t="s">
        <v>528</v>
      </c>
      <c r="Q154" s="472"/>
      <c r="R154" s="473">
        <v>45447</v>
      </c>
      <c r="S154" s="472"/>
      <c r="T154" s="473">
        <v>45443</v>
      </c>
      <c r="U154" s="474">
        <v>0</v>
      </c>
      <c r="V154" s="475">
        <v>7.0000000000000007E-2</v>
      </c>
      <c r="W154" s="259">
        <v>45413</v>
      </c>
    </row>
    <row r="155" spans="1:23" hidden="1" x14ac:dyDescent="0.35">
      <c r="A155" s="472" t="s">
        <v>526</v>
      </c>
      <c r="B155" s="472" t="s">
        <v>159</v>
      </c>
      <c r="C155" s="472" t="s">
        <v>281</v>
      </c>
      <c r="D155" s="472" t="s">
        <v>340</v>
      </c>
      <c r="E155" s="472" t="s">
        <v>283</v>
      </c>
      <c r="F155" s="472" t="s">
        <v>276</v>
      </c>
      <c r="G155" s="472" t="s">
        <v>527</v>
      </c>
      <c r="H155" s="472"/>
      <c r="I155" s="472" t="s">
        <v>277</v>
      </c>
      <c r="J155" s="472" t="s">
        <v>528</v>
      </c>
      <c r="K155" s="472" t="s">
        <v>284</v>
      </c>
      <c r="L155" s="472" t="s">
        <v>541</v>
      </c>
      <c r="M155" s="472" t="s">
        <v>285</v>
      </c>
      <c r="N155" s="472"/>
      <c r="O155" s="472"/>
      <c r="P155" s="472" t="s">
        <v>528</v>
      </c>
      <c r="Q155" s="472"/>
      <c r="R155" s="473">
        <v>45446</v>
      </c>
      <c r="S155" s="472"/>
      <c r="T155" s="473">
        <v>45443</v>
      </c>
      <c r="U155" s="474">
        <v>0</v>
      </c>
      <c r="V155" s="475">
        <v>-41.91</v>
      </c>
      <c r="W155" s="259">
        <v>45413</v>
      </c>
    </row>
    <row r="156" spans="1:23" hidden="1" x14ac:dyDescent="0.35">
      <c r="A156" s="472" t="s">
        <v>526</v>
      </c>
      <c r="B156" s="472" t="s">
        <v>159</v>
      </c>
      <c r="C156" s="472" t="s">
        <v>286</v>
      </c>
      <c r="D156" s="472" t="s">
        <v>341</v>
      </c>
      <c r="E156" s="472" t="s">
        <v>288</v>
      </c>
      <c r="F156" s="472" t="s">
        <v>276</v>
      </c>
      <c r="G156" s="472" t="s">
        <v>527</v>
      </c>
      <c r="H156" s="472"/>
      <c r="I156" s="472" t="s">
        <v>277</v>
      </c>
      <c r="J156" s="472" t="s">
        <v>528</v>
      </c>
      <c r="K156" s="472" t="s">
        <v>289</v>
      </c>
      <c r="L156" s="472" t="s">
        <v>541</v>
      </c>
      <c r="M156" s="472" t="s">
        <v>285</v>
      </c>
      <c r="N156" s="472"/>
      <c r="O156" s="472"/>
      <c r="P156" s="472" t="s">
        <v>528</v>
      </c>
      <c r="Q156" s="472"/>
      <c r="R156" s="473">
        <v>45446</v>
      </c>
      <c r="S156" s="472"/>
      <c r="T156" s="473">
        <v>45443</v>
      </c>
      <c r="U156" s="474">
        <v>0</v>
      </c>
      <c r="V156" s="475">
        <v>71.180000000000007</v>
      </c>
      <c r="W156" s="259">
        <v>45413</v>
      </c>
    </row>
    <row r="157" spans="1:23" hidden="1" x14ac:dyDescent="0.35">
      <c r="A157" s="472" t="s">
        <v>526</v>
      </c>
      <c r="B157" s="472" t="s">
        <v>159</v>
      </c>
      <c r="C157" s="472" t="s">
        <v>281</v>
      </c>
      <c r="D157" s="472" t="s">
        <v>342</v>
      </c>
      <c r="E157" s="472" t="s">
        <v>291</v>
      </c>
      <c r="F157" s="472" t="s">
        <v>276</v>
      </c>
      <c r="G157" s="472" t="s">
        <v>527</v>
      </c>
      <c r="H157" s="472"/>
      <c r="I157" s="472" t="s">
        <v>277</v>
      </c>
      <c r="J157" s="472" t="s">
        <v>528</v>
      </c>
      <c r="K157" s="472" t="s">
        <v>284</v>
      </c>
      <c r="L157" s="472" t="s">
        <v>541</v>
      </c>
      <c r="M157" s="472" t="s">
        <v>285</v>
      </c>
      <c r="N157" s="472"/>
      <c r="O157" s="472"/>
      <c r="P157" s="472" t="s">
        <v>528</v>
      </c>
      <c r="Q157" s="472"/>
      <c r="R157" s="473">
        <v>45446</v>
      </c>
      <c r="S157" s="472"/>
      <c r="T157" s="473">
        <v>45443</v>
      </c>
      <c r="U157" s="474">
        <v>0</v>
      </c>
      <c r="V157" s="475">
        <v>162.22999999999999</v>
      </c>
      <c r="W157" s="259">
        <v>45413</v>
      </c>
    </row>
    <row r="158" spans="1:23" hidden="1" x14ac:dyDescent="0.35">
      <c r="A158" s="472" t="s">
        <v>526</v>
      </c>
      <c r="B158" s="472" t="s">
        <v>159</v>
      </c>
      <c r="C158" s="472" t="s">
        <v>281</v>
      </c>
      <c r="D158" s="472" t="s">
        <v>343</v>
      </c>
      <c r="E158" s="472" t="s">
        <v>293</v>
      </c>
      <c r="F158" s="472" t="s">
        <v>276</v>
      </c>
      <c r="G158" s="472" t="s">
        <v>527</v>
      </c>
      <c r="H158" s="472"/>
      <c r="I158" s="472" t="s">
        <v>277</v>
      </c>
      <c r="J158" s="472" t="s">
        <v>528</v>
      </c>
      <c r="K158" s="472" t="s">
        <v>294</v>
      </c>
      <c r="L158" s="472" t="s">
        <v>541</v>
      </c>
      <c r="M158" s="472" t="s">
        <v>285</v>
      </c>
      <c r="N158" s="472"/>
      <c r="O158" s="472"/>
      <c r="P158" s="472" t="s">
        <v>528</v>
      </c>
      <c r="Q158" s="472"/>
      <c r="R158" s="473">
        <v>45446</v>
      </c>
      <c r="S158" s="472"/>
      <c r="T158" s="473">
        <v>45443</v>
      </c>
      <c r="U158" s="474">
        <v>0</v>
      </c>
      <c r="V158" s="475">
        <v>295.07</v>
      </c>
      <c r="W158" s="259">
        <v>45413</v>
      </c>
    </row>
    <row r="159" spans="1:23" hidden="1" x14ac:dyDescent="0.35">
      <c r="A159" s="472" t="s">
        <v>526</v>
      </c>
      <c r="B159" s="472" t="s">
        <v>159</v>
      </c>
      <c r="C159" s="472" t="s">
        <v>286</v>
      </c>
      <c r="D159" s="472" t="s">
        <v>344</v>
      </c>
      <c r="E159" s="472" t="s">
        <v>296</v>
      </c>
      <c r="F159" s="472" t="s">
        <v>276</v>
      </c>
      <c r="G159" s="472" t="s">
        <v>527</v>
      </c>
      <c r="H159" s="472"/>
      <c r="I159" s="472" t="s">
        <v>277</v>
      </c>
      <c r="J159" s="472" t="s">
        <v>528</v>
      </c>
      <c r="K159" s="472" t="s">
        <v>297</v>
      </c>
      <c r="L159" s="472" t="s">
        <v>541</v>
      </c>
      <c r="M159" s="472" t="s">
        <v>285</v>
      </c>
      <c r="N159" s="472"/>
      <c r="O159" s="472"/>
      <c r="P159" s="472" t="s">
        <v>528</v>
      </c>
      <c r="Q159" s="472"/>
      <c r="R159" s="473">
        <v>45446</v>
      </c>
      <c r="S159" s="472"/>
      <c r="T159" s="473">
        <v>45443</v>
      </c>
      <c r="U159" s="474">
        <v>0</v>
      </c>
      <c r="V159" s="475">
        <v>400.09</v>
      </c>
      <c r="W159" s="259">
        <v>45413</v>
      </c>
    </row>
    <row r="160" spans="1:23" hidden="1" x14ac:dyDescent="0.35">
      <c r="A160" s="472" t="s">
        <v>526</v>
      </c>
      <c r="B160" s="472" t="s">
        <v>159</v>
      </c>
      <c r="C160" s="472" t="s">
        <v>298</v>
      </c>
      <c r="D160" s="472" t="s">
        <v>345</v>
      </c>
      <c r="E160" s="472" t="s">
        <v>346</v>
      </c>
      <c r="F160" s="472" t="s">
        <v>276</v>
      </c>
      <c r="G160" s="472" t="s">
        <v>527</v>
      </c>
      <c r="H160" s="472"/>
      <c r="I160" s="472" t="s">
        <v>277</v>
      </c>
      <c r="J160" s="472" t="s">
        <v>528</v>
      </c>
      <c r="K160" s="472" t="s">
        <v>301</v>
      </c>
      <c r="L160" s="472" t="s">
        <v>541</v>
      </c>
      <c r="M160" s="472" t="s">
        <v>285</v>
      </c>
      <c r="N160" s="472"/>
      <c r="O160" s="472"/>
      <c r="P160" s="472" t="s">
        <v>528</v>
      </c>
      <c r="Q160" s="472"/>
      <c r="R160" s="473">
        <v>45447</v>
      </c>
      <c r="S160" s="472"/>
      <c r="T160" s="473">
        <v>45443</v>
      </c>
      <c r="U160" s="474">
        <v>0</v>
      </c>
      <c r="V160" s="475">
        <v>7.0000000000000007E-2</v>
      </c>
      <c r="W160" s="259">
        <v>45413</v>
      </c>
    </row>
    <row r="161" spans="1:23" hidden="1" x14ac:dyDescent="0.35">
      <c r="A161" s="472" t="s">
        <v>526</v>
      </c>
      <c r="B161" s="472" t="s">
        <v>159</v>
      </c>
      <c r="C161" s="472" t="s">
        <v>298</v>
      </c>
      <c r="D161" s="472" t="s">
        <v>347</v>
      </c>
      <c r="E161" s="472" t="s">
        <v>348</v>
      </c>
      <c r="F161" s="472" t="s">
        <v>276</v>
      </c>
      <c r="G161" s="472" t="s">
        <v>527</v>
      </c>
      <c r="H161" s="472"/>
      <c r="I161" s="472" t="s">
        <v>277</v>
      </c>
      <c r="J161" s="472" t="s">
        <v>528</v>
      </c>
      <c r="K161" s="472" t="s">
        <v>301</v>
      </c>
      <c r="L161" s="472" t="s">
        <v>541</v>
      </c>
      <c r="M161" s="472" t="s">
        <v>285</v>
      </c>
      <c r="N161" s="472"/>
      <c r="O161" s="472"/>
      <c r="P161" s="472" t="s">
        <v>528</v>
      </c>
      <c r="Q161" s="472"/>
      <c r="R161" s="473">
        <v>45447</v>
      </c>
      <c r="S161" s="472"/>
      <c r="T161" s="473">
        <v>45443</v>
      </c>
      <c r="U161" s="474">
        <v>0</v>
      </c>
      <c r="V161" s="475">
        <v>1.59</v>
      </c>
      <c r="W161" s="259">
        <v>45413</v>
      </c>
    </row>
    <row r="162" spans="1:23" hidden="1" x14ac:dyDescent="0.35">
      <c r="A162" s="472" t="s">
        <v>526</v>
      </c>
      <c r="B162" s="472" t="s">
        <v>159</v>
      </c>
      <c r="C162" s="472" t="s">
        <v>298</v>
      </c>
      <c r="D162" s="472" t="s">
        <v>347</v>
      </c>
      <c r="E162" s="472" t="s">
        <v>348</v>
      </c>
      <c r="F162" s="472" t="s">
        <v>276</v>
      </c>
      <c r="G162" s="472" t="s">
        <v>527</v>
      </c>
      <c r="H162" s="472"/>
      <c r="I162" s="472" t="s">
        <v>277</v>
      </c>
      <c r="J162" s="472" t="s">
        <v>528</v>
      </c>
      <c r="K162" s="472" t="s">
        <v>301</v>
      </c>
      <c r="L162" s="472" t="s">
        <v>541</v>
      </c>
      <c r="M162" s="472" t="s">
        <v>285</v>
      </c>
      <c r="N162" s="472"/>
      <c r="O162" s="472"/>
      <c r="P162" s="472" t="s">
        <v>528</v>
      </c>
      <c r="Q162" s="472"/>
      <c r="R162" s="473">
        <v>45447</v>
      </c>
      <c r="S162" s="472"/>
      <c r="T162" s="473">
        <v>45443</v>
      </c>
      <c r="U162" s="474">
        <v>0</v>
      </c>
      <c r="V162" s="475">
        <v>-0.08</v>
      </c>
      <c r="W162" s="259">
        <v>45413</v>
      </c>
    </row>
    <row r="163" spans="1:23" hidden="1" x14ac:dyDescent="0.35">
      <c r="A163" s="472" t="s">
        <v>526</v>
      </c>
      <c r="B163" s="472" t="s">
        <v>159</v>
      </c>
      <c r="C163" s="472" t="s">
        <v>298</v>
      </c>
      <c r="D163" s="472" t="s">
        <v>349</v>
      </c>
      <c r="E163" s="472" t="s">
        <v>350</v>
      </c>
      <c r="F163" s="472" t="s">
        <v>276</v>
      </c>
      <c r="G163" s="472" t="s">
        <v>527</v>
      </c>
      <c r="H163" s="472"/>
      <c r="I163" s="472" t="s">
        <v>277</v>
      </c>
      <c r="J163" s="472" t="s">
        <v>528</v>
      </c>
      <c r="K163" s="472" t="s">
        <v>301</v>
      </c>
      <c r="L163" s="472" t="s">
        <v>541</v>
      </c>
      <c r="M163" s="472" t="s">
        <v>285</v>
      </c>
      <c r="N163" s="472"/>
      <c r="O163" s="472"/>
      <c r="P163" s="472" t="s">
        <v>528</v>
      </c>
      <c r="Q163" s="472"/>
      <c r="R163" s="473">
        <v>45447</v>
      </c>
      <c r="S163" s="472"/>
      <c r="T163" s="473">
        <v>45443</v>
      </c>
      <c r="U163" s="474">
        <v>0</v>
      </c>
      <c r="V163" s="475">
        <v>0.17</v>
      </c>
      <c r="W163" s="259">
        <v>45413</v>
      </c>
    </row>
    <row r="164" spans="1:23" hidden="1" x14ac:dyDescent="0.35">
      <c r="A164" s="472" t="s">
        <v>526</v>
      </c>
      <c r="B164" s="472" t="s">
        <v>159</v>
      </c>
      <c r="C164" s="472" t="s">
        <v>298</v>
      </c>
      <c r="D164" s="472" t="s">
        <v>351</v>
      </c>
      <c r="E164" s="472" t="s">
        <v>352</v>
      </c>
      <c r="F164" s="472" t="s">
        <v>276</v>
      </c>
      <c r="G164" s="472" t="s">
        <v>527</v>
      </c>
      <c r="H164" s="472"/>
      <c r="I164" s="472" t="s">
        <v>277</v>
      </c>
      <c r="J164" s="472" t="s">
        <v>528</v>
      </c>
      <c r="K164" s="472" t="s">
        <v>301</v>
      </c>
      <c r="L164" s="472" t="s">
        <v>541</v>
      </c>
      <c r="M164" s="472" t="s">
        <v>285</v>
      </c>
      <c r="N164" s="472"/>
      <c r="O164" s="472"/>
      <c r="P164" s="472" t="s">
        <v>528</v>
      </c>
      <c r="Q164" s="472"/>
      <c r="R164" s="473">
        <v>45447</v>
      </c>
      <c r="S164" s="472"/>
      <c r="T164" s="473">
        <v>45443</v>
      </c>
      <c r="U164" s="474">
        <v>0</v>
      </c>
      <c r="V164" s="475">
        <v>0.62</v>
      </c>
      <c r="W164" s="259">
        <v>45413</v>
      </c>
    </row>
    <row r="165" spans="1:23" hidden="1" x14ac:dyDescent="0.35">
      <c r="A165" s="472" t="s">
        <v>526</v>
      </c>
      <c r="B165" s="472" t="s">
        <v>159</v>
      </c>
      <c r="C165" s="472" t="s">
        <v>298</v>
      </c>
      <c r="D165" s="472" t="s">
        <v>351</v>
      </c>
      <c r="E165" s="472" t="s">
        <v>352</v>
      </c>
      <c r="F165" s="472" t="s">
        <v>276</v>
      </c>
      <c r="G165" s="472" t="s">
        <v>527</v>
      </c>
      <c r="H165" s="472"/>
      <c r="I165" s="472" t="s">
        <v>277</v>
      </c>
      <c r="J165" s="472" t="s">
        <v>528</v>
      </c>
      <c r="K165" s="472" t="s">
        <v>301</v>
      </c>
      <c r="L165" s="472" t="s">
        <v>541</v>
      </c>
      <c r="M165" s="472" t="s">
        <v>285</v>
      </c>
      <c r="N165" s="472"/>
      <c r="O165" s="472"/>
      <c r="P165" s="472" t="s">
        <v>528</v>
      </c>
      <c r="Q165" s="472"/>
      <c r="R165" s="473">
        <v>45447</v>
      </c>
      <c r="S165" s="472"/>
      <c r="T165" s="473">
        <v>45443</v>
      </c>
      <c r="U165" s="474">
        <v>0</v>
      </c>
      <c r="V165" s="475">
        <v>0.24</v>
      </c>
      <c r="W165" s="259">
        <v>45413</v>
      </c>
    </row>
    <row r="166" spans="1:23" hidden="1" x14ac:dyDescent="0.35">
      <c r="A166" s="472" t="s">
        <v>526</v>
      </c>
      <c r="B166" s="472" t="s">
        <v>159</v>
      </c>
      <c r="C166" s="472" t="s">
        <v>298</v>
      </c>
      <c r="D166" s="472" t="s">
        <v>354</v>
      </c>
      <c r="E166" s="472" t="s">
        <v>355</v>
      </c>
      <c r="F166" s="472" t="s">
        <v>276</v>
      </c>
      <c r="G166" s="472" t="s">
        <v>527</v>
      </c>
      <c r="H166" s="472"/>
      <c r="I166" s="472" t="s">
        <v>277</v>
      </c>
      <c r="J166" s="472" t="s">
        <v>528</v>
      </c>
      <c r="K166" s="472" t="s">
        <v>301</v>
      </c>
      <c r="L166" s="472" t="s">
        <v>541</v>
      </c>
      <c r="M166" s="472" t="s">
        <v>285</v>
      </c>
      <c r="N166" s="472"/>
      <c r="O166" s="472"/>
      <c r="P166" s="472" t="s">
        <v>528</v>
      </c>
      <c r="Q166" s="472"/>
      <c r="R166" s="473">
        <v>45447</v>
      </c>
      <c r="S166" s="472"/>
      <c r="T166" s="473">
        <v>45443</v>
      </c>
      <c r="U166" s="474">
        <v>0</v>
      </c>
      <c r="V166" s="475">
        <v>0.04</v>
      </c>
      <c r="W166" s="259">
        <v>45413</v>
      </c>
    </row>
    <row r="167" spans="1:23" hidden="1" x14ac:dyDescent="0.35">
      <c r="A167" s="472" t="s">
        <v>526</v>
      </c>
      <c r="B167" s="472" t="s">
        <v>159</v>
      </c>
      <c r="C167" s="472" t="s">
        <v>542</v>
      </c>
      <c r="D167" s="472" t="s">
        <v>560</v>
      </c>
      <c r="E167" s="472" t="s">
        <v>544</v>
      </c>
      <c r="F167" s="472" t="s">
        <v>276</v>
      </c>
      <c r="G167" s="472" t="s">
        <v>527</v>
      </c>
      <c r="H167" s="472"/>
      <c r="I167" s="472" t="s">
        <v>277</v>
      </c>
      <c r="J167" s="472" t="s">
        <v>528</v>
      </c>
      <c r="K167" s="472" t="s">
        <v>545</v>
      </c>
      <c r="L167" s="472" t="s">
        <v>541</v>
      </c>
      <c r="M167" s="472" t="s">
        <v>285</v>
      </c>
      <c r="N167" s="472"/>
      <c r="O167" s="472"/>
      <c r="P167" s="472" t="s">
        <v>528</v>
      </c>
      <c r="Q167" s="472"/>
      <c r="R167" s="473">
        <v>45446</v>
      </c>
      <c r="S167" s="472"/>
      <c r="T167" s="473">
        <v>45443</v>
      </c>
      <c r="U167" s="474">
        <v>0</v>
      </c>
      <c r="V167" s="475">
        <v>23.84</v>
      </c>
      <c r="W167" s="259">
        <v>45413</v>
      </c>
    </row>
    <row r="168" spans="1:23" hidden="1" x14ac:dyDescent="0.35">
      <c r="A168" s="472" t="s">
        <v>526</v>
      </c>
      <c r="B168" s="472" t="s">
        <v>159</v>
      </c>
      <c r="C168" s="472" t="s">
        <v>298</v>
      </c>
      <c r="D168" s="472" t="s">
        <v>560</v>
      </c>
      <c r="E168" s="472" t="s">
        <v>544</v>
      </c>
      <c r="F168" s="472" t="s">
        <v>276</v>
      </c>
      <c r="G168" s="472" t="s">
        <v>527</v>
      </c>
      <c r="H168" s="472"/>
      <c r="I168" s="472" t="s">
        <v>277</v>
      </c>
      <c r="J168" s="472" t="s">
        <v>528</v>
      </c>
      <c r="K168" s="472" t="s">
        <v>301</v>
      </c>
      <c r="L168" s="472" t="s">
        <v>541</v>
      </c>
      <c r="M168" s="472" t="s">
        <v>285</v>
      </c>
      <c r="N168" s="472"/>
      <c r="O168" s="472"/>
      <c r="P168" s="472" t="s">
        <v>528</v>
      </c>
      <c r="Q168" s="472"/>
      <c r="R168" s="473">
        <v>45447</v>
      </c>
      <c r="S168" s="472"/>
      <c r="T168" s="473">
        <v>45443</v>
      </c>
      <c r="U168" s="474">
        <v>0</v>
      </c>
      <c r="V168" s="475">
        <v>0.11</v>
      </c>
      <c r="W168" s="259">
        <v>45413</v>
      </c>
    </row>
    <row r="169" spans="1:23" hidden="1" x14ac:dyDescent="0.35">
      <c r="A169" s="472" t="s">
        <v>526</v>
      </c>
      <c r="B169" s="472" t="s">
        <v>159</v>
      </c>
      <c r="C169" s="472" t="s">
        <v>298</v>
      </c>
      <c r="D169" s="472" t="s">
        <v>560</v>
      </c>
      <c r="E169" s="472" t="s">
        <v>544</v>
      </c>
      <c r="F169" s="472" t="s">
        <v>276</v>
      </c>
      <c r="G169" s="472" t="s">
        <v>527</v>
      </c>
      <c r="H169" s="472"/>
      <c r="I169" s="472" t="s">
        <v>277</v>
      </c>
      <c r="J169" s="472" t="s">
        <v>528</v>
      </c>
      <c r="K169" s="472" t="s">
        <v>301</v>
      </c>
      <c r="L169" s="472" t="s">
        <v>541</v>
      </c>
      <c r="M169" s="472" t="s">
        <v>285</v>
      </c>
      <c r="N169" s="472"/>
      <c r="O169" s="472"/>
      <c r="P169" s="472" t="s">
        <v>528</v>
      </c>
      <c r="Q169" s="472"/>
      <c r="R169" s="473">
        <v>45447</v>
      </c>
      <c r="S169" s="472"/>
      <c r="T169" s="473">
        <v>45443</v>
      </c>
      <c r="U169" s="474">
        <v>0</v>
      </c>
      <c r="V169" s="475">
        <v>0.01</v>
      </c>
      <c r="W169" s="259">
        <v>45413</v>
      </c>
    </row>
    <row r="170" spans="1:23" hidden="1" x14ac:dyDescent="0.35">
      <c r="A170" s="472" t="s">
        <v>526</v>
      </c>
      <c r="B170" s="472" t="s">
        <v>159</v>
      </c>
      <c r="C170" s="472" t="s">
        <v>546</v>
      </c>
      <c r="D170" s="472" t="s">
        <v>561</v>
      </c>
      <c r="E170" s="472" t="s">
        <v>548</v>
      </c>
      <c r="F170" s="472" t="s">
        <v>276</v>
      </c>
      <c r="G170" s="472" t="s">
        <v>527</v>
      </c>
      <c r="H170" s="472"/>
      <c r="I170" s="472" t="s">
        <v>277</v>
      </c>
      <c r="J170" s="472" t="s">
        <v>528</v>
      </c>
      <c r="K170" s="472" t="s">
        <v>549</v>
      </c>
      <c r="L170" s="472" t="s">
        <v>541</v>
      </c>
      <c r="M170" s="472" t="s">
        <v>285</v>
      </c>
      <c r="N170" s="472"/>
      <c r="O170" s="472"/>
      <c r="P170" s="472" t="s">
        <v>528</v>
      </c>
      <c r="Q170" s="472"/>
      <c r="R170" s="473">
        <v>45446</v>
      </c>
      <c r="S170" s="472"/>
      <c r="T170" s="473">
        <v>45443</v>
      </c>
      <c r="U170" s="474">
        <v>0</v>
      </c>
      <c r="V170" s="475">
        <v>12.37</v>
      </c>
      <c r="W170" s="259">
        <v>45413</v>
      </c>
    </row>
    <row r="171" spans="1:23" hidden="1" x14ac:dyDescent="0.35">
      <c r="A171" s="472" t="s">
        <v>526</v>
      </c>
      <c r="B171" s="472" t="s">
        <v>159</v>
      </c>
      <c r="C171" s="472" t="s">
        <v>298</v>
      </c>
      <c r="D171" s="472" t="s">
        <v>561</v>
      </c>
      <c r="E171" s="472" t="s">
        <v>548</v>
      </c>
      <c r="F171" s="472" t="s">
        <v>276</v>
      </c>
      <c r="G171" s="472" t="s">
        <v>527</v>
      </c>
      <c r="H171" s="472"/>
      <c r="I171" s="472" t="s">
        <v>277</v>
      </c>
      <c r="J171" s="472" t="s">
        <v>528</v>
      </c>
      <c r="K171" s="472" t="s">
        <v>301</v>
      </c>
      <c r="L171" s="472" t="s">
        <v>541</v>
      </c>
      <c r="M171" s="472" t="s">
        <v>285</v>
      </c>
      <c r="N171" s="472"/>
      <c r="O171" s="472"/>
      <c r="P171" s="472" t="s">
        <v>528</v>
      </c>
      <c r="Q171" s="472"/>
      <c r="R171" s="473">
        <v>45447</v>
      </c>
      <c r="S171" s="472"/>
      <c r="T171" s="473">
        <v>45443</v>
      </c>
      <c r="U171" s="474">
        <v>0</v>
      </c>
      <c r="V171" s="475">
        <v>0.31</v>
      </c>
      <c r="W171" s="259">
        <v>45413</v>
      </c>
    </row>
    <row r="172" spans="1:23" hidden="1" x14ac:dyDescent="0.35">
      <c r="A172" s="472" t="s">
        <v>526</v>
      </c>
      <c r="B172" s="472" t="s">
        <v>159</v>
      </c>
      <c r="C172" s="472" t="s">
        <v>298</v>
      </c>
      <c r="D172" s="472" t="s">
        <v>561</v>
      </c>
      <c r="E172" s="472" t="s">
        <v>548</v>
      </c>
      <c r="F172" s="472" t="s">
        <v>276</v>
      </c>
      <c r="G172" s="472" t="s">
        <v>527</v>
      </c>
      <c r="H172" s="472"/>
      <c r="I172" s="472" t="s">
        <v>277</v>
      </c>
      <c r="J172" s="472" t="s">
        <v>528</v>
      </c>
      <c r="K172" s="472" t="s">
        <v>301</v>
      </c>
      <c r="L172" s="472" t="s">
        <v>541</v>
      </c>
      <c r="M172" s="472" t="s">
        <v>285</v>
      </c>
      <c r="N172" s="472"/>
      <c r="O172" s="472"/>
      <c r="P172" s="472" t="s">
        <v>528</v>
      </c>
      <c r="Q172" s="472"/>
      <c r="R172" s="473">
        <v>45447</v>
      </c>
      <c r="S172" s="472"/>
      <c r="T172" s="473">
        <v>45443</v>
      </c>
      <c r="U172" s="474">
        <v>0</v>
      </c>
      <c r="V172" s="475">
        <v>0.01</v>
      </c>
      <c r="W172" s="259">
        <v>45413</v>
      </c>
    </row>
    <row r="173" spans="1:23" hidden="1" x14ac:dyDescent="0.35">
      <c r="A173" s="472" t="s">
        <v>526</v>
      </c>
      <c r="B173" s="472" t="s">
        <v>159</v>
      </c>
      <c r="C173" s="472" t="s">
        <v>542</v>
      </c>
      <c r="D173" s="472" t="s">
        <v>562</v>
      </c>
      <c r="E173" s="472" t="s">
        <v>551</v>
      </c>
      <c r="F173" s="472" t="s">
        <v>276</v>
      </c>
      <c r="G173" s="472" t="s">
        <v>527</v>
      </c>
      <c r="H173" s="472"/>
      <c r="I173" s="472" t="s">
        <v>277</v>
      </c>
      <c r="J173" s="472" t="s">
        <v>528</v>
      </c>
      <c r="K173" s="472" t="s">
        <v>545</v>
      </c>
      <c r="L173" s="472" t="s">
        <v>541</v>
      </c>
      <c r="M173" s="472" t="s">
        <v>285</v>
      </c>
      <c r="N173" s="472"/>
      <c r="O173" s="472"/>
      <c r="P173" s="472" t="s">
        <v>528</v>
      </c>
      <c r="Q173" s="472"/>
      <c r="R173" s="473">
        <v>45446</v>
      </c>
      <c r="S173" s="472"/>
      <c r="T173" s="473">
        <v>45443</v>
      </c>
      <c r="U173" s="474">
        <v>0</v>
      </c>
      <c r="V173" s="475">
        <v>32.869999999999997</v>
      </c>
      <c r="W173" s="259">
        <v>45413</v>
      </c>
    </row>
    <row r="174" spans="1:23" hidden="1" x14ac:dyDescent="0.35">
      <c r="A174" s="472" t="s">
        <v>526</v>
      </c>
      <c r="B174" s="472" t="s">
        <v>159</v>
      </c>
      <c r="C174" s="472" t="s">
        <v>298</v>
      </c>
      <c r="D174" s="472" t="s">
        <v>562</v>
      </c>
      <c r="E174" s="472" t="s">
        <v>551</v>
      </c>
      <c r="F174" s="472" t="s">
        <v>276</v>
      </c>
      <c r="G174" s="472" t="s">
        <v>527</v>
      </c>
      <c r="H174" s="472"/>
      <c r="I174" s="472" t="s">
        <v>277</v>
      </c>
      <c r="J174" s="472" t="s">
        <v>528</v>
      </c>
      <c r="K174" s="472" t="s">
        <v>301</v>
      </c>
      <c r="L174" s="472" t="s">
        <v>541</v>
      </c>
      <c r="M174" s="472" t="s">
        <v>285</v>
      </c>
      <c r="N174" s="472"/>
      <c r="O174" s="472"/>
      <c r="P174" s="472" t="s">
        <v>528</v>
      </c>
      <c r="Q174" s="472"/>
      <c r="R174" s="473">
        <v>45447</v>
      </c>
      <c r="S174" s="472"/>
      <c r="T174" s="473">
        <v>45443</v>
      </c>
      <c r="U174" s="474">
        <v>0</v>
      </c>
      <c r="V174" s="475">
        <v>7.0000000000000007E-2</v>
      </c>
      <c r="W174" s="259">
        <v>45413</v>
      </c>
    </row>
    <row r="175" spans="1:23" hidden="1" x14ac:dyDescent="0.35">
      <c r="A175" s="472" t="s">
        <v>526</v>
      </c>
      <c r="B175" s="472" t="s">
        <v>159</v>
      </c>
      <c r="C175" s="472" t="s">
        <v>298</v>
      </c>
      <c r="D175" s="472" t="s">
        <v>562</v>
      </c>
      <c r="E175" s="472" t="s">
        <v>551</v>
      </c>
      <c r="F175" s="472" t="s">
        <v>276</v>
      </c>
      <c r="G175" s="472" t="s">
        <v>527</v>
      </c>
      <c r="H175" s="472"/>
      <c r="I175" s="472" t="s">
        <v>277</v>
      </c>
      <c r="J175" s="472" t="s">
        <v>528</v>
      </c>
      <c r="K175" s="472" t="s">
        <v>301</v>
      </c>
      <c r="L175" s="472" t="s">
        <v>541</v>
      </c>
      <c r="M175" s="472" t="s">
        <v>285</v>
      </c>
      <c r="N175" s="472"/>
      <c r="O175" s="472"/>
      <c r="P175" s="472" t="s">
        <v>528</v>
      </c>
      <c r="Q175" s="472"/>
      <c r="R175" s="473">
        <v>45447</v>
      </c>
      <c r="S175" s="472"/>
      <c r="T175" s="473">
        <v>45443</v>
      </c>
      <c r="U175" s="474">
        <v>0</v>
      </c>
      <c r="V175" s="475">
        <v>0.02</v>
      </c>
      <c r="W175" s="259">
        <v>45413</v>
      </c>
    </row>
    <row r="176" spans="1:23" hidden="1" x14ac:dyDescent="0.35">
      <c r="A176" s="472" t="s">
        <v>526</v>
      </c>
      <c r="B176" s="472" t="s">
        <v>159</v>
      </c>
      <c r="C176" s="472" t="s">
        <v>542</v>
      </c>
      <c r="D176" s="472" t="s">
        <v>563</v>
      </c>
      <c r="E176" s="472" t="s">
        <v>553</v>
      </c>
      <c r="F176" s="472" t="s">
        <v>276</v>
      </c>
      <c r="G176" s="472" t="s">
        <v>527</v>
      </c>
      <c r="H176" s="472"/>
      <c r="I176" s="472" t="s">
        <v>277</v>
      </c>
      <c r="J176" s="472" t="s">
        <v>528</v>
      </c>
      <c r="K176" s="472" t="s">
        <v>554</v>
      </c>
      <c r="L176" s="472" t="s">
        <v>541</v>
      </c>
      <c r="M176" s="472" t="s">
        <v>285</v>
      </c>
      <c r="N176" s="472"/>
      <c r="O176" s="472"/>
      <c r="P176" s="472" t="s">
        <v>528</v>
      </c>
      <c r="Q176" s="472"/>
      <c r="R176" s="473">
        <v>45446</v>
      </c>
      <c r="S176" s="472"/>
      <c r="T176" s="473">
        <v>45443</v>
      </c>
      <c r="U176" s="474">
        <v>0</v>
      </c>
      <c r="V176" s="475">
        <v>54.82</v>
      </c>
      <c r="W176" s="259">
        <v>45413</v>
      </c>
    </row>
    <row r="177" spans="1:24" hidden="1" x14ac:dyDescent="0.35">
      <c r="A177" s="472" t="s">
        <v>526</v>
      </c>
      <c r="B177" s="472" t="s">
        <v>159</v>
      </c>
      <c r="C177" s="472" t="s">
        <v>298</v>
      </c>
      <c r="D177" s="472" t="s">
        <v>563</v>
      </c>
      <c r="E177" s="472" t="s">
        <v>553</v>
      </c>
      <c r="F177" s="472" t="s">
        <v>276</v>
      </c>
      <c r="G177" s="472" t="s">
        <v>527</v>
      </c>
      <c r="H177" s="472"/>
      <c r="I177" s="472" t="s">
        <v>277</v>
      </c>
      <c r="J177" s="472" t="s">
        <v>528</v>
      </c>
      <c r="K177" s="472" t="s">
        <v>301</v>
      </c>
      <c r="L177" s="472" t="s">
        <v>541</v>
      </c>
      <c r="M177" s="472" t="s">
        <v>285</v>
      </c>
      <c r="N177" s="472"/>
      <c r="O177" s="472"/>
      <c r="P177" s="472" t="s">
        <v>528</v>
      </c>
      <c r="Q177" s="472"/>
      <c r="R177" s="473">
        <v>45447</v>
      </c>
      <c r="S177" s="472"/>
      <c r="T177" s="473">
        <v>45443</v>
      </c>
      <c r="U177" s="474">
        <v>0</v>
      </c>
      <c r="V177" s="475">
        <v>0.1</v>
      </c>
      <c r="W177" s="259">
        <v>45413</v>
      </c>
    </row>
    <row r="178" spans="1:24" hidden="1" x14ac:dyDescent="0.35">
      <c r="A178" s="472" t="s">
        <v>526</v>
      </c>
      <c r="B178" s="472" t="s">
        <v>159</v>
      </c>
      <c r="C178" s="472" t="s">
        <v>298</v>
      </c>
      <c r="D178" s="472" t="s">
        <v>563</v>
      </c>
      <c r="E178" s="472" t="s">
        <v>553</v>
      </c>
      <c r="F178" s="472" t="s">
        <v>276</v>
      </c>
      <c r="G178" s="472" t="s">
        <v>527</v>
      </c>
      <c r="H178" s="472"/>
      <c r="I178" s="472" t="s">
        <v>277</v>
      </c>
      <c r="J178" s="472" t="s">
        <v>528</v>
      </c>
      <c r="K178" s="472" t="s">
        <v>301</v>
      </c>
      <c r="L178" s="472" t="s">
        <v>541</v>
      </c>
      <c r="M178" s="472" t="s">
        <v>285</v>
      </c>
      <c r="N178" s="472"/>
      <c r="O178" s="472"/>
      <c r="P178" s="472" t="s">
        <v>528</v>
      </c>
      <c r="Q178" s="472"/>
      <c r="R178" s="473">
        <v>45447</v>
      </c>
      <c r="S178" s="472"/>
      <c r="T178" s="473">
        <v>45443</v>
      </c>
      <c r="U178" s="474">
        <v>0</v>
      </c>
      <c r="V178" s="475">
        <v>0.03</v>
      </c>
      <c r="W178" s="259">
        <v>45413</v>
      </c>
    </row>
    <row r="179" spans="1:24" hidden="1" x14ac:dyDescent="0.35">
      <c r="A179" s="472" t="s">
        <v>526</v>
      </c>
      <c r="B179" s="472" t="s">
        <v>159</v>
      </c>
      <c r="C179" s="472" t="s">
        <v>546</v>
      </c>
      <c r="D179" s="472" t="s">
        <v>564</v>
      </c>
      <c r="E179" s="472" t="s">
        <v>556</v>
      </c>
      <c r="F179" s="472" t="s">
        <v>276</v>
      </c>
      <c r="G179" s="472" t="s">
        <v>527</v>
      </c>
      <c r="H179" s="472"/>
      <c r="I179" s="472" t="s">
        <v>277</v>
      </c>
      <c r="J179" s="472" t="s">
        <v>528</v>
      </c>
      <c r="K179" s="472" t="s">
        <v>557</v>
      </c>
      <c r="L179" s="472" t="s">
        <v>541</v>
      </c>
      <c r="M179" s="472" t="s">
        <v>285</v>
      </c>
      <c r="N179" s="472"/>
      <c r="O179" s="472"/>
      <c r="P179" s="472" t="s">
        <v>528</v>
      </c>
      <c r="Q179" s="472"/>
      <c r="R179" s="473">
        <v>45446</v>
      </c>
      <c r="S179" s="472"/>
      <c r="T179" s="473">
        <v>45443</v>
      </c>
      <c r="U179" s="474">
        <v>0</v>
      </c>
      <c r="V179" s="475">
        <v>79.92</v>
      </c>
      <c r="W179" s="259">
        <v>45413</v>
      </c>
    </row>
    <row r="180" spans="1:24" hidden="1" x14ac:dyDescent="0.35">
      <c r="A180" s="472" t="s">
        <v>526</v>
      </c>
      <c r="B180" s="472" t="s">
        <v>159</v>
      </c>
      <c r="C180" s="472" t="s">
        <v>298</v>
      </c>
      <c r="D180" s="472" t="s">
        <v>564</v>
      </c>
      <c r="E180" s="472" t="s">
        <v>556</v>
      </c>
      <c r="F180" s="472" t="s">
        <v>276</v>
      </c>
      <c r="G180" s="472" t="s">
        <v>527</v>
      </c>
      <c r="H180" s="472"/>
      <c r="I180" s="472" t="s">
        <v>277</v>
      </c>
      <c r="J180" s="472" t="s">
        <v>528</v>
      </c>
      <c r="K180" s="472" t="s">
        <v>301</v>
      </c>
      <c r="L180" s="472" t="s">
        <v>541</v>
      </c>
      <c r="M180" s="472" t="s">
        <v>285</v>
      </c>
      <c r="N180" s="472"/>
      <c r="O180" s="472"/>
      <c r="P180" s="472" t="s">
        <v>528</v>
      </c>
      <c r="Q180" s="472"/>
      <c r="R180" s="473">
        <v>45447</v>
      </c>
      <c r="S180" s="472"/>
      <c r="T180" s="473">
        <v>45443</v>
      </c>
      <c r="U180" s="474">
        <v>0</v>
      </c>
      <c r="V180" s="475">
        <v>0.12</v>
      </c>
      <c r="W180" s="259">
        <v>45413</v>
      </c>
    </row>
    <row r="181" spans="1:24" hidden="1" x14ac:dyDescent="0.35">
      <c r="A181" s="472" t="s">
        <v>526</v>
      </c>
      <c r="B181" s="472" t="s">
        <v>159</v>
      </c>
      <c r="C181" s="472" t="s">
        <v>298</v>
      </c>
      <c r="D181" s="472" t="s">
        <v>564</v>
      </c>
      <c r="E181" s="472" t="s">
        <v>556</v>
      </c>
      <c r="F181" s="472" t="s">
        <v>276</v>
      </c>
      <c r="G181" s="472" t="s">
        <v>527</v>
      </c>
      <c r="H181" s="472"/>
      <c r="I181" s="472" t="s">
        <v>277</v>
      </c>
      <c r="J181" s="472" t="s">
        <v>528</v>
      </c>
      <c r="K181" s="472" t="s">
        <v>301</v>
      </c>
      <c r="L181" s="472" t="s">
        <v>541</v>
      </c>
      <c r="M181" s="472" t="s">
        <v>285</v>
      </c>
      <c r="N181" s="472"/>
      <c r="O181" s="472"/>
      <c r="P181" s="472" t="s">
        <v>528</v>
      </c>
      <c r="Q181" s="472"/>
      <c r="R181" s="473">
        <v>45447</v>
      </c>
      <c r="S181" s="472"/>
      <c r="T181" s="473">
        <v>45443</v>
      </c>
      <c r="U181" s="474">
        <v>0</v>
      </c>
      <c r="V181" s="475">
        <v>0.04</v>
      </c>
      <c r="W181" s="259">
        <v>45413</v>
      </c>
    </row>
    <row r="182" spans="1:24" hidden="1" x14ac:dyDescent="0.35">
      <c r="A182" s="472" t="s">
        <v>526</v>
      </c>
      <c r="B182" s="472" t="s">
        <v>159</v>
      </c>
      <c r="C182" s="472" t="s">
        <v>530</v>
      </c>
      <c r="D182" s="472" t="s">
        <v>531</v>
      </c>
      <c r="E182" s="472" t="s">
        <v>532</v>
      </c>
      <c r="F182" s="472" t="s">
        <v>276</v>
      </c>
      <c r="G182" s="472" t="s">
        <v>527</v>
      </c>
      <c r="H182" s="472" t="s">
        <v>533</v>
      </c>
      <c r="I182" s="472" t="s">
        <v>277</v>
      </c>
      <c r="J182" s="472" t="s">
        <v>528</v>
      </c>
      <c r="K182" s="472" t="s">
        <v>534</v>
      </c>
      <c r="L182" s="472" t="s">
        <v>541</v>
      </c>
      <c r="M182" s="472" t="s">
        <v>535</v>
      </c>
      <c r="N182" s="472"/>
      <c r="O182" s="472"/>
      <c r="P182" s="472" t="s">
        <v>528</v>
      </c>
      <c r="Q182" s="472"/>
      <c r="R182" s="473">
        <v>45413</v>
      </c>
      <c r="S182" s="472" t="s">
        <v>278</v>
      </c>
      <c r="T182" s="473">
        <v>45418</v>
      </c>
      <c r="U182" s="474">
        <v>3.5</v>
      </c>
      <c r="V182" s="475">
        <v>352.17</v>
      </c>
      <c r="W182" s="259">
        <v>45413</v>
      </c>
    </row>
    <row r="183" spans="1:24" hidden="1" x14ac:dyDescent="0.35">
      <c r="A183" s="472" t="s">
        <v>526</v>
      </c>
      <c r="B183" s="472" t="s">
        <v>159</v>
      </c>
      <c r="C183" s="472" t="s">
        <v>530</v>
      </c>
      <c r="D183" s="472" t="s">
        <v>531</v>
      </c>
      <c r="E183" s="472" t="s">
        <v>532</v>
      </c>
      <c r="F183" s="472" t="s">
        <v>276</v>
      </c>
      <c r="G183" s="472" t="s">
        <v>527</v>
      </c>
      <c r="H183" s="472" t="s">
        <v>533</v>
      </c>
      <c r="I183" s="472" t="s">
        <v>277</v>
      </c>
      <c r="J183" s="472" t="s">
        <v>528</v>
      </c>
      <c r="K183" s="472" t="s">
        <v>534</v>
      </c>
      <c r="L183" s="472" t="s">
        <v>541</v>
      </c>
      <c r="M183" s="472" t="s">
        <v>535</v>
      </c>
      <c r="N183" s="472"/>
      <c r="O183" s="472"/>
      <c r="P183" s="472" t="s">
        <v>528</v>
      </c>
      <c r="Q183" s="472"/>
      <c r="R183" s="473">
        <v>45415</v>
      </c>
      <c r="S183" s="472" t="s">
        <v>278</v>
      </c>
      <c r="T183" s="473">
        <v>45418</v>
      </c>
      <c r="U183" s="474">
        <v>2</v>
      </c>
      <c r="V183" s="475">
        <v>201.24</v>
      </c>
      <c r="W183" s="259">
        <v>45413</v>
      </c>
    </row>
    <row r="184" spans="1:24" hidden="1" x14ac:dyDescent="0.35">
      <c r="A184" s="472" t="s">
        <v>526</v>
      </c>
      <c r="B184" s="472" t="s">
        <v>159</v>
      </c>
      <c r="C184" s="472" t="s">
        <v>530</v>
      </c>
      <c r="D184" s="472" t="s">
        <v>531</v>
      </c>
      <c r="E184" s="472" t="s">
        <v>532</v>
      </c>
      <c r="F184" s="472" t="s">
        <v>276</v>
      </c>
      <c r="G184" s="472" t="s">
        <v>527</v>
      </c>
      <c r="H184" s="472" t="s">
        <v>533</v>
      </c>
      <c r="I184" s="472" t="s">
        <v>277</v>
      </c>
      <c r="J184" s="472" t="s">
        <v>528</v>
      </c>
      <c r="K184" s="472" t="s">
        <v>534</v>
      </c>
      <c r="L184" s="472" t="s">
        <v>541</v>
      </c>
      <c r="M184" s="472" t="s">
        <v>535</v>
      </c>
      <c r="N184" s="472"/>
      <c r="O184" s="472"/>
      <c r="P184" s="472" t="s">
        <v>528</v>
      </c>
      <c r="Q184" s="472"/>
      <c r="R184" s="473">
        <v>45414</v>
      </c>
      <c r="S184" s="472" t="s">
        <v>278</v>
      </c>
      <c r="T184" s="473">
        <v>45418</v>
      </c>
      <c r="U184" s="474">
        <v>3</v>
      </c>
      <c r="V184" s="475">
        <v>301.86</v>
      </c>
      <c r="W184" s="259">
        <v>45413</v>
      </c>
    </row>
    <row r="185" spans="1:24" hidden="1" x14ac:dyDescent="0.35">
      <c r="A185" s="472" t="s">
        <v>526</v>
      </c>
      <c r="B185" s="472" t="s">
        <v>159</v>
      </c>
      <c r="C185" s="472" t="s">
        <v>530</v>
      </c>
      <c r="D185" s="472" t="s">
        <v>531</v>
      </c>
      <c r="E185" s="472" t="s">
        <v>532</v>
      </c>
      <c r="F185" s="472" t="s">
        <v>276</v>
      </c>
      <c r="G185" s="472" t="s">
        <v>527</v>
      </c>
      <c r="H185" s="472" t="s">
        <v>565</v>
      </c>
      <c r="I185" s="472" t="s">
        <v>277</v>
      </c>
      <c r="J185" s="472" t="s">
        <v>528</v>
      </c>
      <c r="K185" s="472" t="s">
        <v>534</v>
      </c>
      <c r="L185" s="472" t="s">
        <v>541</v>
      </c>
      <c r="M185" s="472" t="s">
        <v>566</v>
      </c>
      <c r="N185" s="472"/>
      <c r="O185" s="472"/>
      <c r="P185" s="472" t="s">
        <v>528</v>
      </c>
      <c r="Q185" s="472"/>
      <c r="R185" s="473">
        <v>45413</v>
      </c>
      <c r="S185" s="472" t="s">
        <v>278</v>
      </c>
      <c r="T185" s="473">
        <v>45418</v>
      </c>
      <c r="U185" s="474">
        <v>7</v>
      </c>
      <c r="V185" s="475">
        <v>704.34</v>
      </c>
      <c r="W185" s="259">
        <v>45413</v>
      </c>
      <c r="X185">
        <f>V185/U185</f>
        <v>100.62</v>
      </c>
    </row>
    <row r="186" spans="1:24" hidden="1" x14ac:dyDescent="0.35">
      <c r="A186" s="472" t="s">
        <v>526</v>
      </c>
      <c r="B186" s="472" t="s">
        <v>159</v>
      </c>
      <c r="C186" s="472" t="s">
        <v>530</v>
      </c>
      <c r="D186" s="472" t="s">
        <v>531</v>
      </c>
      <c r="E186" s="472" t="s">
        <v>532</v>
      </c>
      <c r="F186" s="472" t="s">
        <v>276</v>
      </c>
      <c r="G186" s="472" t="s">
        <v>527</v>
      </c>
      <c r="H186" s="472" t="s">
        <v>565</v>
      </c>
      <c r="I186" s="472" t="s">
        <v>277</v>
      </c>
      <c r="J186" s="472" t="s">
        <v>528</v>
      </c>
      <c r="K186" s="472" t="s">
        <v>534</v>
      </c>
      <c r="L186" s="472" t="s">
        <v>541</v>
      </c>
      <c r="M186" s="472" t="s">
        <v>566</v>
      </c>
      <c r="N186" s="472"/>
      <c r="O186" s="472"/>
      <c r="P186" s="472" t="s">
        <v>528</v>
      </c>
      <c r="Q186" s="472"/>
      <c r="R186" s="473">
        <v>45411</v>
      </c>
      <c r="S186" s="472" t="s">
        <v>278</v>
      </c>
      <c r="T186" s="473">
        <v>45418</v>
      </c>
      <c r="U186" s="474">
        <v>8</v>
      </c>
      <c r="V186" s="475">
        <v>804.96</v>
      </c>
      <c r="W186" s="259">
        <v>45413</v>
      </c>
    </row>
    <row r="187" spans="1:24" hidden="1" x14ac:dyDescent="0.35">
      <c r="A187" s="472" t="s">
        <v>526</v>
      </c>
      <c r="B187" s="472" t="s">
        <v>159</v>
      </c>
      <c r="C187" s="472" t="s">
        <v>530</v>
      </c>
      <c r="D187" s="472" t="s">
        <v>531</v>
      </c>
      <c r="E187" s="472" t="s">
        <v>532</v>
      </c>
      <c r="F187" s="472" t="s">
        <v>276</v>
      </c>
      <c r="G187" s="472" t="s">
        <v>527</v>
      </c>
      <c r="H187" s="472" t="s">
        <v>533</v>
      </c>
      <c r="I187" s="472" t="s">
        <v>277</v>
      </c>
      <c r="J187" s="472" t="s">
        <v>528</v>
      </c>
      <c r="K187" s="472" t="s">
        <v>534</v>
      </c>
      <c r="L187" s="472" t="s">
        <v>541</v>
      </c>
      <c r="M187" s="472" t="s">
        <v>535</v>
      </c>
      <c r="N187" s="472"/>
      <c r="O187" s="472"/>
      <c r="P187" s="472" t="s">
        <v>528</v>
      </c>
      <c r="Q187" s="472"/>
      <c r="R187" s="473">
        <v>45412</v>
      </c>
      <c r="S187" s="472" t="s">
        <v>278</v>
      </c>
      <c r="T187" s="473">
        <v>45418</v>
      </c>
      <c r="U187" s="474">
        <v>3</v>
      </c>
      <c r="V187" s="475">
        <v>301.86</v>
      </c>
      <c r="W187" s="259">
        <v>45413</v>
      </c>
    </row>
    <row r="188" spans="1:24" hidden="1" x14ac:dyDescent="0.35">
      <c r="A188" s="472" t="s">
        <v>526</v>
      </c>
      <c r="B188" s="472" t="s">
        <v>159</v>
      </c>
      <c r="C188" s="472" t="s">
        <v>530</v>
      </c>
      <c r="D188" s="472" t="s">
        <v>531</v>
      </c>
      <c r="E188" s="472" t="s">
        <v>532</v>
      </c>
      <c r="F188" s="472" t="s">
        <v>276</v>
      </c>
      <c r="G188" s="472" t="s">
        <v>527</v>
      </c>
      <c r="H188" s="472" t="s">
        <v>533</v>
      </c>
      <c r="I188" s="472" t="s">
        <v>277</v>
      </c>
      <c r="J188" s="472" t="s">
        <v>528</v>
      </c>
      <c r="K188" s="472" t="s">
        <v>534</v>
      </c>
      <c r="L188" s="472" t="s">
        <v>541</v>
      </c>
      <c r="M188" s="472" t="s">
        <v>535</v>
      </c>
      <c r="N188" s="472"/>
      <c r="O188" s="472"/>
      <c r="P188" s="472" t="s">
        <v>528</v>
      </c>
      <c r="Q188" s="472"/>
      <c r="R188" s="473">
        <v>45411</v>
      </c>
      <c r="S188" s="472" t="s">
        <v>278</v>
      </c>
      <c r="T188" s="473">
        <v>45418</v>
      </c>
      <c r="U188" s="474">
        <v>3</v>
      </c>
      <c r="V188" s="475">
        <v>301.86</v>
      </c>
      <c r="W188" s="259">
        <v>45413</v>
      </c>
    </row>
    <row r="189" spans="1:24" hidden="1" x14ac:dyDescent="0.35">
      <c r="A189" s="472" t="s">
        <v>526</v>
      </c>
      <c r="B189" s="472" t="s">
        <v>159</v>
      </c>
      <c r="C189" s="472" t="s">
        <v>530</v>
      </c>
      <c r="D189" s="472" t="s">
        <v>531</v>
      </c>
      <c r="E189" s="472" t="s">
        <v>532</v>
      </c>
      <c r="F189" s="472" t="s">
        <v>276</v>
      </c>
      <c r="G189" s="472" t="s">
        <v>527</v>
      </c>
      <c r="H189" s="472" t="s">
        <v>565</v>
      </c>
      <c r="I189" s="472" t="s">
        <v>277</v>
      </c>
      <c r="J189" s="472" t="s">
        <v>528</v>
      </c>
      <c r="K189" s="472" t="s">
        <v>534</v>
      </c>
      <c r="L189" s="472" t="s">
        <v>541</v>
      </c>
      <c r="M189" s="472" t="s">
        <v>566</v>
      </c>
      <c r="N189" s="472"/>
      <c r="O189" s="472"/>
      <c r="P189" s="472" t="s">
        <v>528</v>
      </c>
      <c r="Q189" s="472"/>
      <c r="R189" s="473">
        <v>45418</v>
      </c>
      <c r="S189" s="472" t="s">
        <v>278</v>
      </c>
      <c r="T189" s="473">
        <v>45425</v>
      </c>
      <c r="U189" s="474">
        <v>8</v>
      </c>
      <c r="V189" s="475">
        <v>804.96</v>
      </c>
      <c r="W189" s="259">
        <v>45413</v>
      </c>
    </row>
    <row r="190" spans="1:24" hidden="1" x14ac:dyDescent="0.35">
      <c r="A190" s="472" t="s">
        <v>526</v>
      </c>
      <c r="B190" s="472" t="s">
        <v>159</v>
      </c>
      <c r="C190" s="472" t="s">
        <v>530</v>
      </c>
      <c r="D190" s="472" t="s">
        <v>531</v>
      </c>
      <c r="E190" s="472" t="s">
        <v>532</v>
      </c>
      <c r="F190" s="472" t="s">
        <v>276</v>
      </c>
      <c r="G190" s="472" t="s">
        <v>527</v>
      </c>
      <c r="H190" s="472" t="s">
        <v>533</v>
      </c>
      <c r="I190" s="472" t="s">
        <v>277</v>
      </c>
      <c r="J190" s="472" t="s">
        <v>528</v>
      </c>
      <c r="K190" s="472" t="s">
        <v>534</v>
      </c>
      <c r="L190" s="472" t="s">
        <v>541</v>
      </c>
      <c r="M190" s="472" t="s">
        <v>535</v>
      </c>
      <c r="N190" s="472"/>
      <c r="O190" s="472"/>
      <c r="P190" s="472" t="s">
        <v>528</v>
      </c>
      <c r="Q190" s="472"/>
      <c r="R190" s="473">
        <v>45419</v>
      </c>
      <c r="S190" s="472" t="s">
        <v>278</v>
      </c>
      <c r="T190" s="473">
        <v>45425</v>
      </c>
      <c r="U190" s="474">
        <v>3</v>
      </c>
      <c r="V190" s="475">
        <v>301.86</v>
      </c>
      <c r="W190" s="259">
        <v>45413</v>
      </c>
    </row>
    <row r="191" spans="1:24" hidden="1" x14ac:dyDescent="0.35">
      <c r="A191" s="472" t="s">
        <v>526</v>
      </c>
      <c r="B191" s="472" t="s">
        <v>159</v>
      </c>
      <c r="C191" s="472" t="s">
        <v>530</v>
      </c>
      <c r="D191" s="472" t="s">
        <v>531</v>
      </c>
      <c r="E191" s="472" t="s">
        <v>532</v>
      </c>
      <c r="F191" s="472" t="s">
        <v>276</v>
      </c>
      <c r="G191" s="472" t="s">
        <v>527</v>
      </c>
      <c r="H191" s="472" t="s">
        <v>533</v>
      </c>
      <c r="I191" s="472" t="s">
        <v>277</v>
      </c>
      <c r="J191" s="472" t="s">
        <v>528</v>
      </c>
      <c r="K191" s="472" t="s">
        <v>534</v>
      </c>
      <c r="L191" s="472" t="s">
        <v>541</v>
      </c>
      <c r="M191" s="472" t="s">
        <v>535</v>
      </c>
      <c r="N191" s="472"/>
      <c r="O191" s="472"/>
      <c r="P191" s="472" t="s">
        <v>528</v>
      </c>
      <c r="Q191" s="472"/>
      <c r="R191" s="473">
        <v>45422</v>
      </c>
      <c r="S191" s="472" t="s">
        <v>278</v>
      </c>
      <c r="T191" s="473">
        <v>45425</v>
      </c>
      <c r="U191" s="474">
        <v>2</v>
      </c>
      <c r="V191" s="475">
        <v>201.24</v>
      </c>
      <c r="W191" s="259">
        <v>45413</v>
      </c>
    </row>
    <row r="192" spans="1:24" hidden="1" x14ac:dyDescent="0.35">
      <c r="A192" s="472" t="s">
        <v>526</v>
      </c>
      <c r="B192" s="472" t="s">
        <v>159</v>
      </c>
      <c r="C192" s="472" t="s">
        <v>530</v>
      </c>
      <c r="D192" s="472" t="s">
        <v>531</v>
      </c>
      <c r="E192" s="472" t="s">
        <v>532</v>
      </c>
      <c r="F192" s="472" t="s">
        <v>276</v>
      </c>
      <c r="G192" s="472" t="s">
        <v>527</v>
      </c>
      <c r="H192" s="472" t="s">
        <v>533</v>
      </c>
      <c r="I192" s="472" t="s">
        <v>277</v>
      </c>
      <c r="J192" s="472" t="s">
        <v>528</v>
      </c>
      <c r="K192" s="472" t="s">
        <v>534</v>
      </c>
      <c r="L192" s="472" t="s">
        <v>541</v>
      </c>
      <c r="M192" s="472" t="s">
        <v>535</v>
      </c>
      <c r="N192" s="472"/>
      <c r="O192" s="472"/>
      <c r="P192" s="472" t="s">
        <v>528</v>
      </c>
      <c r="Q192" s="472"/>
      <c r="R192" s="473">
        <v>45421</v>
      </c>
      <c r="S192" s="472" t="s">
        <v>278</v>
      </c>
      <c r="T192" s="473">
        <v>45425</v>
      </c>
      <c r="U192" s="474">
        <v>3</v>
      </c>
      <c r="V192" s="475">
        <v>301.86</v>
      </c>
      <c r="W192" s="259">
        <v>45413</v>
      </c>
    </row>
    <row r="193" spans="1:23" hidden="1" x14ac:dyDescent="0.35">
      <c r="A193" s="472" t="s">
        <v>526</v>
      </c>
      <c r="B193" s="472" t="s">
        <v>159</v>
      </c>
      <c r="C193" s="472" t="s">
        <v>530</v>
      </c>
      <c r="D193" s="472" t="s">
        <v>531</v>
      </c>
      <c r="E193" s="472" t="s">
        <v>532</v>
      </c>
      <c r="F193" s="472" t="s">
        <v>276</v>
      </c>
      <c r="G193" s="472" t="s">
        <v>527</v>
      </c>
      <c r="H193" s="472" t="s">
        <v>533</v>
      </c>
      <c r="I193" s="472" t="s">
        <v>277</v>
      </c>
      <c r="J193" s="472" t="s">
        <v>528</v>
      </c>
      <c r="K193" s="472" t="s">
        <v>534</v>
      </c>
      <c r="L193" s="472" t="s">
        <v>541</v>
      </c>
      <c r="M193" s="472" t="s">
        <v>535</v>
      </c>
      <c r="N193" s="472"/>
      <c r="O193" s="472"/>
      <c r="P193" s="472" t="s">
        <v>528</v>
      </c>
      <c r="Q193" s="472"/>
      <c r="R193" s="473">
        <v>45418</v>
      </c>
      <c r="S193" s="472" t="s">
        <v>278</v>
      </c>
      <c r="T193" s="473">
        <v>45425</v>
      </c>
      <c r="U193" s="474">
        <v>3</v>
      </c>
      <c r="V193" s="475">
        <v>301.86</v>
      </c>
      <c r="W193" s="259">
        <v>45413</v>
      </c>
    </row>
    <row r="194" spans="1:23" hidden="1" x14ac:dyDescent="0.35">
      <c r="A194" s="472" t="s">
        <v>526</v>
      </c>
      <c r="B194" s="472" t="s">
        <v>159</v>
      </c>
      <c r="C194" s="472" t="s">
        <v>530</v>
      </c>
      <c r="D194" s="472" t="s">
        <v>531</v>
      </c>
      <c r="E194" s="472" t="s">
        <v>532</v>
      </c>
      <c r="F194" s="472" t="s">
        <v>276</v>
      </c>
      <c r="G194" s="472" t="s">
        <v>527</v>
      </c>
      <c r="H194" s="472" t="s">
        <v>567</v>
      </c>
      <c r="I194" s="472" t="s">
        <v>277</v>
      </c>
      <c r="J194" s="472" t="s">
        <v>528</v>
      </c>
      <c r="K194" s="472" t="s">
        <v>534</v>
      </c>
      <c r="L194" s="472" t="s">
        <v>541</v>
      </c>
      <c r="M194" s="472" t="s">
        <v>568</v>
      </c>
      <c r="N194" s="472"/>
      <c r="O194" s="472"/>
      <c r="P194" s="472" t="s">
        <v>528</v>
      </c>
      <c r="Q194" s="472"/>
      <c r="R194" s="473">
        <v>45412</v>
      </c>
      <c r="S194" s="472" t="s">
        <v>278</v>
      </c>
      <c r="T194" s="473">
        <v>45425</v>
      </c>
      <c r="U194" s="474">
        <v>8</v>
      </c>
      <c r="V194" s="475">
        <v>804.96</v>
      </c>
      <c r="W194" s="259">
        <v>45413</v>
      </c>
    </row>
    <row r="195" spans="1:23" hidden="1" x14ac:dyDescent="0.35">
      <c r="A195" s="472" t="s">
        <v>526</v>
      </c>
      <c r="B195" s="472" t="s">
        <v>159</v>
      </c>
      <c r="C195" s="472" t="s">
        <v>530</v>
      </c>
      <c r="D195" s="472" t="s">
        <v>531</v>
      </c>
      <c r="E195" s="472" t="s">
        <v>532</v>
      </c>
      <c r="F195" s="472" t="s">
        <v>276</v>
      </c>
      <c r="G195" s="472" t="s">
        <v>527</v>
      </c>
      <c r="H195" s="472" t="s">
        <v>533</v>
      </c>
      <c r="I195" s="472" t="s">
        <v>277</v>
      </c>
      <c r="J195" s="472" t="s">
        <v>528</v>
      </c>
      <c r="K195" s="472" t="s">
        <v>534</v>
      </c>
      <c r="L195" s="472" t="s">
        <v>541</v>
      </c>
      <c r="M195" s="472" t="s">
        <v>535</v>
      </c>
      <c r="N195" s="472"/>
      <c r="O195" s="472"/>
      <c r="P195" s="472" t="s">
        <v>528</v>
      </c>
      <c r="Q195" s="472"/>
      <c r="R195" s="473">
        <v>45425</v>
      </c>
      <c r="S195" s="472" t="s">
        <v>278</v>
      </c>
      <c r="T195" s="473">
        <v>45432</v>
      </c>
      <c r="U195" s="474">
        <v>4</v>
      </c>
      <c r="V195" s="475">
        <v>402.48</v>
      </c>
      <c r="W195" s="259">
        <v>45413</v>
      </c>
    </row>
    <row r="196" spans="1:23" hidden="1" x14ac:dyDescent="0.35">
      <c r="A196" s="472" t="s">
        <v>526</v>
      </c>
      <c r="B196" s="472" t="s">
        <v>159</v>
      </c>
      <c r="C196" s="472" t="s">
        <v>530</v>
      </c>
      <c r="D196" s="472" t="s">
        <v>531</v>
      </c>
      <c r="E196" s="472" t="s">
        <v>532</v>
      </c>
      <c r="F196" s="472" t="s">
        <v>276</v>
      </c>
      <c r="G196" s="472" t="s">
        <v>527</v>
      </c>
      <c r="H196" s="472" t="s">
        <v>533</v>
      </c>
      <c r="I196" s="472" t="s">
        <v>277</v>
      </c>
      <c r="J196" s="472" t="s">
        <v>528</v>
      </c>
      <c r="K196" s="472" t="s">
        <v>534</v>
      </c>
      <c r="L196" s="472" t="s">
        <v>541</v>
      </c>
      <c r="M196" s="472" t="s">
        <v>535</v>
      </c>
      <c r="N196" s="472"/>
      <c r="O196" s="472"/>
      <c r="P196" s="472" t="s">
        <v>528</v>
      </c>
      <c r="Q196" s="472"/>
      <c r="R196" s="473">
        <v>45429</v>
      </c>
      <c r="S196" s="472" t="s">
        <v>278</v>
      </c>
      <c r="T196" s="473">
        <v>45432</v>
      </c>
      <c r="U196" s="474">
        <v>1</v>
      </c>
      <c r="V196" s="475">
        <v>100.62</v>
      </c>
      <c r="W196" s="259">
        <v>45413</v>
      </c>
    </row>
    <row r="197" spans="1:23" hidden="1" x14ac:dyDescent="0.35">
      <c r="A197" s="472" t="s">
        <v>526</v>
      </c>
      <c r="B197" s="472" t="s">
        <v>159</v>
      </c>
      <c r="C197" s="472" t="s">
        <v>530</v>
      </c>
      <c r="D197" s="472" t="s">
        <v>531</v>
      </c>
      <c r="E197" s="472" t="s">
        <v>532</v>
      </c>
      <c r="F197" s="472" t="s">
        <v>276</v>
      </c>
      <c r="G197" s="472" t="s">
        <v>527</v>
      </c>
      <c r="H197" s="472" t="s">
        <v>533</v>
      </c>
      <c r="I197" s="472" t="s">
        <v>277</v>
      </c>
      <c r="J197" s="472" t="s">
        <v>528</v>
      </c>
      <c r="K197" s="472" t="s">
        <v>534</v>
      </c>
      <c r="L197" s="472" t="s">
        <v>541</v>
      </c>
      <c r="M197" s="472" t="s">
        <v>535</v>
      </c>
      <c r="N197" s="472"/>
      <c r="O197" s="472"/>
      <c r="P197" s="472" t="s">
        <v>528</v>
      </c>
      <c r="Q197" s="472"/>
      <c r="R197" s="473">
        <v>45428</v>
      </c>
      <c r="S197" s="472" t="s">
        <v>278</v>
      </c>
      <c r="T197" s="473">
        <v>45432</v>
      </c>
      <c r="U197" s="474">
        <v>4</v>
      </c>
      <c r="V197" s="475">
        <v>402.48</v>
      </c>
      <c r="W197" s="259">
        <v>45413</v>
      </c>
    </row>
    <row r="198" spans="1:23" hidden="1" x14ac:dyDescent="0.35">
      <c r="A198" s="472" t="s">
        <v>526</v>
      </c>
      <c r="B198" s="472" t="s">
        <v>159</v>
      </c>
      <c r="C198" s="472" t="s">
        <v>530</v>
      </c>
      <c r="D198" s="472" t="s">
        <v>531</v>
      </c>
      <c r="E198" s="472" t="s">
        <v>532</v>
      </c>
      <c r="F198" s="472" t="s">
        <v>276</v>
      </c>
      <c r="G198" s="472" t="s">
        <v>527</v>
      </c>
      <c r="H198" s="472" t="s">
        <v>533</v>
      </c>
      <c r="I198" s="472" t="s">
        <v>277</v>
      </c>
      <c r="J198" s="472" t="s">
        <v>528</v>
      </c>
      <c r="K198" s="472" t="s">
        <v>534</v>
      </c>
      <c r="L198" s="472" t="s">
        <v>541</v>
      </c>
      <c r="M198" s="472" t="s">
        <v>535</v>
      </c>
      <c r="N198" s="472"/>
      <c r="O198" s="472"/>
      <c r="P198" s="472" t="s">
        <v>528</v>
      </c>
      <c r="Q198" s="472"/>
      <c r="R198" s="473">
        <v>45427</v>
      </c>
      <c r="S198" s="472" t="s">
        <v>278</v>
      </c>
      <c r="T198" s="473">
        <v>45432</v>
      </c>
      <c r="U198" s="474">
        <v>3</v>
      </c>
      <c r="V198" s="475">
        <v>301.86</v>
      </c>
      <c r="W198" s="259">
        <v>45413</v>
      </c>
    </row>
    <row r="199" spans="1:23" hidden="1" x14ac:dyDescent="0.35">
      <c r="A199" s="472" t="s">
        <v>526</v>
      </c>
      <c r="B199" s="472" t="s">
        <v>159</v>
      </c>
      <c r="C199" s="472" t="s">
        <v>530</v>
      </c>
      <c r="D199" s="472" t="s">
        <v>531</v>
      </c>
      <c r="E199" s="472" t="s">
        <v>532</v>
      </c>
      <c r="F199" s="472" t="s">
        <v>276</v>
      </c>
      <c r="G199" s="472" t="s">
        <v>527</v>
      </c>
      <c r="H199" s="472" t="s">
        <v>533</v>
      </c>
      <c r="I199" s="472" t="s">
        <v>277</v>
      </c>
      <c r="J199" s="472" t="s">
        <v>528</v>
      </c>
      <c r="K199" s="472" t="s">
        <v>534</v>
      </c>
      <c r="L199" s="472" t="s">
        <v>541</v>
      </c>
      <c r="M199" s="472" t="s">
        <v>535</v>
      </c>
      <c r="N199" s="472"/>
      <c r="O199" s="472"/>
      <c r="P199" s="472" t="s">
        <v>528</v>
      </c>
      <c r="Q199" s="472"/>
      <c r="R199" s="473">
        <v>45426</v>
      </c>
      <c r="S199" s="472" t="s">
        <v>278</v>
      </c>
      <c r="T199" s="473">
        <v>45432</v>
      </c>
      <c r="U199" s="474">
        <v>3</v>
      </c>
      <c r="V199" s="475">
        <v>301.86</v>
      </c>
      <c r="W199" s="259">
        <v>45413</v>
      </c>
    </row>
    <row r="200" spans="1:23" hidden="1" x14ac:dyDescent="0.35">
      <c r="A200" s="472" t="s">
        <v>526</v>
      </c>
      <c r="B200" s="472" t="s">
        <v>159</v>
      </c>
      <c r="C200" s="472" t="s">
        <v>530</v>
      </c>
      <c r="D200" s="472" t="s">
        <v>531</v>
      </c>
      <c r="E200" s="472" t="s">
        <v>532</v>
      </c>
      <c r="F200" s="472" t="s">
        <v>276</v>
      </c>
      <c r="G200" s="472" t="s">
        <v>527</v>
      </c>
      <c r="H200" s="472" t="s">
        <v>567</v>
      </c>
      <c r="I200" s="472" t="s">
        <v>277</v>
      </c>
      <c r="J200" s="472" t="s">
        <v>528</v>
      </c>
      <c r="K200" s="472" t="s">
        <v>534</v>
      </c>
      <c r="L200" s="472" t="s">
        <v>541</v>
      </c>
      <c r="M200" s="472" t="s">
        <v>568</v>
      </c>
      <c r="N200" s="472"/>
      <c r="O200" s="472"/>
      <c r="P200" s="472" t="s">
        <v>528</v>
      </c>
      <c r="Q200" s="472"/>
      <c r="R200" s="473">
        <v>45426</v>
      </c>
      <c r="S200" s="472" t="s">
        <v>278</v>
      </c>
      <c r="T200" s="473">
        <v>45432</v>
      </c>
      <c r="U200" s="474">
        <v>8</v>
      </c>
      <c r="V200" s="475">
        <v>804.96</v>
      </c>
      <c r="W200" s="259">
        <v>45413</v>
      </c>
    </row>
    <row r="201" spans="1:23" hidden="1" x14ac:dyDescent="0.35">
      <c r="A201" s="472" t="s">
        <v>526</v>
      </c>
      <c r="B201" s="472" t="s">
        <v>159</v>
      </c>
      <c r="C201" s="472" t="s">
        <v>530</v>
      </c>
      <c r="D201" s="472" t="s">
        <v>531</v>
      </c>
      <c r="E201" s="472" t="s">
        <v>532</v>
      </c>
      <c r="F201" s="472" t="s">
        <v>276</v>
      </c>
      <c r="G201" s="472" t="s">
        <v>527</v>
      </c>
      <c r="H201" s="472" t="s">
        <v>567</v>
      </c>
      <c r="I201" s="472" t="s">
        <v>277</v>
      </c>
      <c r="J201" s="472" t="s">
        <v>528</v>
      </c>
      <c r="K201" s="472" t="s">
        <v>534</v>
      </c>
      <c r="L201" s="472" t="s">
        <v>541</v>
      </c>
      <c r="M201" s="472" t="s">
        <v>568</v>
      </c>
      <c r="N201" s="472"/>
      <c r="O201" s="472"/>
      <c r="P201" s="472" t="s">
        <v>528</v>
      </c>
      <c r="Q201" s="472"/>
      <c r="R201" s="473">
        <v>45428</v>
      </c>
      <c r="S201" s="472" t="s">
        <v>278</v>
      </c>
      <c r="T201" s="473">
        <v>45432</v>
      </c>
      <c r="U201" s="474">
        <v>8</v>
      </c>
      <c r="V201" s="475">
        <v>804.96</v>
      </c>
      <c r="W201" s="259">
        <v>45413</v>
      </c>
    </row>
    <row r="202" spans="1:23" hidden="1" x14ac:dyDescent="0.35">
      <c r="A202" s="472" t="s">
        <v>526</v>
      </c>
      <c r="B202" s="472" t="s">
        <v>159</v>
      </c>
      <c r="C202" s="472" t="s">
        <v>530</v>
      </c>
      <c r="D202" s="472" t="s">
        <v>531</v>
      </c>
      <c r="E202" s="472" t="s">
        <v>532</v>
      </c>
      <c r="F202" s="472" t="s">
        <v>276</v>
      </c>
      <c r="G202" s="472" t="s">
        <v>527</v>
      </c>
      <c r="H202" s="472" t="s">
        <v>565</v>
      </c>
      <c r="I202" s="472" t="s">
        <v>277</v>
      </c>
      <c r="J202" s="472" t="s">
        <v>528</v>
      </c>
      <c r="K202" s="472" t="s">
        <v>534</v>
      </c>
      <c r="L202" s="472" t="s">
        <v>541</v>
      </c>
      <c r="M202" s="472" t="s">
        <v>566</v>
      </c>
      <c r="N202" s="472"/>
      <c r="O202" s="472"/>
      <c r="P202" s="472" t="s">
        <v>528</v>
      </c>
      <c r="Q202" s="472"/>
      <c r="R202" s="473">
        <v>45425</v>
      </c>
      <c r="S202" s="472" t="s">
        <v>278</v>
      </c>
      <c r="T202" s="473">
        <v>45432</v>
      </c>
      <c r="U202" s="474">
        <v>8</v>
      </c>
      <c r="V202" s="475">
        <v>804.96</v>
      </c>
      <c r="W202" s="259">
        <v>45413</v>
      </c>
    </row>
    <row r="203" spans="1:23" hidden="1" x14ac:dyDescent="0.35">
      <c r="A203" s="472" t="s">
        <v>526</v>
      </c>
      <c r="B203" s="472" t="s">
        <v>159</v>
      </c>
      <c r="C203" s="472" t="s">
        <v>530</v>
      </c>
      <c r="D203" s="472" t="s">
        <v>531</v>
      </c>
      <c r="E203" s="472" t="s">
        <v>532</v>
      </c>
      <c r="F203" s="472" t="s">
        <v>276</v>
      </c>
      <c r="G203" s="472" t="s">
        <v>527</v>
      </c>
      <c r="H203" s="472" t="s">
        <v>565</v>
      </c>
      <c r="I203" s="472" t="s">
        <v>277</v>
      </c>
      <c r="J203" s="472" t="s">
        <v>528</v>
      </c>
      <c r="K203" s="472" t="s">
        <v>534</v>
      </c>
      <c r="L203" s="472" t="s">
        <v>541</v>
      </c>
      <c r="M203" s="472" t="s">
        <v>566</v>
      </c>
      <c r="N203" s="472"/>
      <c r="O203" s="472"/>
      <c r="P203" s="472" t="s">
        <v>528</v>
      </c>
      <c r="Q203" s="472"/>
      <c r="R203" s="473">
        <v>45427</v>
      </c>
      <c r="S203" s="472" t="s">
        <v>278</v>
      </c>
      <c r="T203" s="473">
        <v>45432</v>
      </c>
      <c r="U203" s="474">
        <v>8</v>
      </c>
      <c r="V203" s="475">
        <v>804.96</v>
      </c>
      <c r="W203" s="259">
        <v>45413</v>
      </c>
    </row>
    <row r="204" spans="1:23" hidden="1" x14ac:dyDescent="0.35">
      <c r="A204" s="472" t="s">
        <v>526</v>
      </c>
      <c r="B204" s="472" t="s">
        <v>159</v>
      </c>
      <c r="C204" s="472" t="s">
        <v>530</v>
      </c>
      <c r="D204" s="472" t="s">
        <v>531</v>
      </c>
      <c r="E204" s="472" t="s">
        <v>532</v>
      </c>
      <c r="F204" s="472" t="s">
        <v>276</v>
      </c>
      <c r="G204" s="472" t="s">
        <v>527</v>
      </c>
      <c r="H204" s="472" t="s">
        <v>567</v>
      </c>
      <c r="I204" s="472" t="s">
        <v>277</v>
      </c>
      <c r="J204" s="472" t="s">
        <v>528</v>
      </c>
      <c r="K204" s="472" t="s">
        <v>534</v>
      </c>
      <c r="L204" s="472" t="s">
        <v>541</v>
      </c>
      <c r="M204" s="472" t="s">
        <v>568</v>
      </c>
      <c r="N204" s="472"/>
      <c r="O204" s="472"/>
      <c r="P204" s="472" t="s">
        <v>528</v>
      </c>
      <c r="Q204" s="472"/>
      <c r="R204" s="473">
        <v>45432</v>
      </c>
      <c r="S204" s="472" t="s">
        <v>278</v>
      </c>
      <c r="T204" s="473">
        <v>45440</v>
      </c>
      <c r="U204" s="474">
        <v>4</v>
      </c>
      <c r="V204" s="475">
        <v>402.48</v>
      </c>
      <c r="W204" s="259">
        <v>45413</v>
      </c>
    </row>
    <row r="205" spans="1:23" hidden="1" x14ac:dyDescent="0.35">
      <c r="A205" s="472" t="s">
        <v>526</v>
      </c>
      <c r="B205" s="472" t="s">
        <v>159</v>
      </c>
      <c r="C205" s="472" t="s">
        <v>530</v>
      </c>
      <c r="D205" s="472" t="s">
        <v>531</v>
      </c>
      <c r="E205" s="472" t="s">
        <v>532</v>
      </c>
      <c r="F205" s="472" t="s">
        <v>276</v>
      </c>
      <c r="G205" s="472" t="s">
        <v>527</v>
      </c>
      <c r="H205" s="472" t="s">
        <v>533</v>
      </c>
      <c r="I205" s="472" t="s">
        <v>277</v>
      </c>
      <c r="J205" s="472" t="s">
        <v>528</v>
      </c>
      <c r="K205" s="472" t="s">
        <v>534</v>
      </c>
      <c r="L205" s="472" t="s">
        <v>541</v>
      </c>
      <c r="M205" s="472" t="s">
        <v>535</v>
      </c>
      <c r="N205" s="472"/>
      <c r="O205" s="472"/>
      <c r="P205" s="472" t="s">
        <v>528</v>
      </c>
      <c r="Q205" s="472"/>
      <c r="R205" s="473">
        <v>45436</v>
      </c>
      <c r="S205" s="472" t="s">
        <v>278</v>
      </c>
      <c r="T205" s="473">
        <v>45440</v>
      </c>
      <c r="U205" s="474">
        <v>1</v>
      </c>
      <c r="V205" s="475">
        <v>100.62</v>
      </c>
      <c r="W205" s="259">
        <v>45413</v>
      </c>
    </row>
    <row r="206" spans="1:23" hidden="1" x14ac:dyDescent="0.35">
      <c r="A206" s="472" t="s">
        <v>526</v>
      </c>
      <c r="B206" s="472" t="s">
        <v>159</v>
      </c>
      <c r="C206" s="472" t="s">
        <v>530</v>
      </c>
      <c r="D206" s="472" t="s">
        <v>531</v>
      </c>
      <c r="E206" s="472" t="s">
        <v>532</v>
      </c>
      <c r="F206" s="472" t="s">
        <v>276</v>
      </c>
      <c r="G206" s="472" t="s">
        <v>527</v>
      </c>
      <c r="H206" s="472" t="s">
        <v>533</v>
      </c>
      <c r="I206" s="472" t="s">
        <v>277</v>
      </c>
      <c r="J206" s="472" t="s">
        <v>528</v>
      </c>
      <c r="K206" s="472" t="s">
        <v>534</v>
      </c>
      <c r="L206" s="472" t="s">
        <v>541</v>
      </c>
      <c r="M206" s="472" t="s">
        <v>535</v>
      </c>
      <c r="N206" s="472"/>
      <c r="O206" s="472"/>
      <c r="P206" s="472" t="s">
        <v>528</v>
      </c>
      <c r="Q206" s="472"/>
      <c r="R206" s="473">
        <v>45433</v>
      </c>
      <c r="S206" s="472" t="s">
        <v>278</v>
      </c>
      <c r="T206" s="473">
        <v>45440</v>
      </c>
      <c r="U206" s="474">
        <v>2</v>
      </c>
      <c r="V206" s="475">
        <v>201.24</v>
      </c>
      <c r="W206" s="259">
        <v>45413</v>
      </c>
    </row>
    <row r="207" spans="1:23" hidden="1" x14ac:dyDescent="0.35">
      <c r="A207" s="472" t="s">
        <v>526</v>
      </c>
      <c r="B207" s="472" t="s">
        <v>159</v>
      </c>
      <c r="C207" s="472" t="s">
        <v>530</v>
      </c>
      <c r="D207" s="472" t="s">
        <v>531</v>
      </c>
      <c r="E207" s="472" t="s">
        <v>532</v>
      </c>
      <c r="F207" s="472" t="s">
        <v>276</v>
      </c>
      <c r="G207" s="472" t="s">
        <v>527</v>
      </c>
      <c r="H207" s="472" t="s">
        <v>533</v>
      </c>
      <c r="I207" s="472" t="s">
        <v>277</v>
      </c>
      <c r="J207" s="472" t="s">
        <v>528</v>
      </c>
      <c r="K207" s="472" t="s">
        <v>534</v>
      </c>
      <c r="L207" s="472" t="s">
        <v>541</v>
      </c>
      <c r="M207" s="472" t="s">
        <v>535</v>
      </c>
      <c r="N207" s="472"/>
      <c r="O207" s="472"/>
      <c r="P207" s="472" t="s">
        <v>528</v>
      </c>
      <c r="Q207" s="472"/>
      <c r="R207" s="473">
        <v>45434</v>
      </c>
      <c r="S207" s="472" t="s">
        <v>278</v>
      </c>
      <c r="T207" s="473">
        <v>45440</v>
      </c>
      <c r="U207" s="474">
        <v>4</v>
      </c>
      <c r="V207" s="475">
        <v>402.48</v>
      </c>
      <c r="W207" s="259">
        <v>45413</v>
      </c>
    </row>
    <row r="208" spans="1:23" hidden="1" x14ac:dyDescent="0.35">
      <c r="A208" s="472" t="s">
        <v>526</v>
      </c>
      <c r="B208" s="472" t="s">
        <v>159</v>
      </c>
      <c r="C208" s="472" t="s">
        <v>530</v>
      </c>
      <c r="D208" s="472" t="s">
        <v>531</v>
      </c>
      <c r="E208" s="472" t="s">
        <v>532</v>
      </c>
      <c r="F208" s="472" t="s">
        <v>276</v>
      </c>
      <c r="G208" s="472" t="s">
        <v>527</v>
      </c>
      <c r="H208" s="472" t="s">
        <v>533</v>
      </c>
      <c r="I208" s="472" t="s">
        <v>277</v>
      </c>
      <c r="J208" s="472" t="s">
        <v>528</v>
      </c>
      <c r="K208" s="472" t="s">
        <v>534</v>
      </c>
      <c r="L208" s="472" t="s">
        <v>541</v>
      </c>
      <c r="M208" s="472" t="s">
        <v>535</v>
      </c>
      <c r="N208" s="472"/>
      <c r="O208" s="472"/>
      <c r="P208" s="472" t="s">
        <v>528</v>
      </c>
      <c r="Q208" s="472"/>
      <c r="R208" s="473">
        <v>45435</v>
      </c>
      <c r="S208" s="472" t="s">
        <v>278</v>
      </c>
      <c r="T208" s="473">
        <v>45440</v>
      </c>
      <c r="U208" s="474">
        <v>2</v>
      </c>
      <c r="V208" s="475">
        <v>201.24</v>
      </c>
      <c r="W208" s="259">
        <v>45413</v>
      </c>
    </row>
    <row r="209" spans="1:23" hidden="1" x14ac:dyDescent="0.35">
      <c r="A209" s="472" t="s">
        <v>526</v>
      </c>
      <c r="B209" s="472" t="s">
        <v>159</v>
      </c>
      <c r="C209" s="472" t="s">
        <v>569</v>
      </c>
      <c r="D209" s="472" t="s">
        <v>570</v>
      </c>
      <c r="E209" s="472" t="s">
        <v>571</v>
      </c>
      <c r="F209" s="472" t="s">
        <v>276</v>
      </c>
      <c r="G209" s="472" t="s">
        <v>527</v>
      </c>
      <c r="H209" s="472" t="s">
        <v>572</v>
      </c>
      <c r="I209" s="472" t="s">
        <v>277</v>
      </c>
      <c r="J209" s="472" t="s">
        <v>528</v>
      </c>
      <c r="K209" s="472" t="s">
        <v>573</v>
      </c>
      <c r="L209" s="472" t="s">
        <v>541</v>
      </c>
      <c r="M209" s="472" t="s">
        <v>574</v>
      </c>
      <c r="N209" s="472"/>
      <c r="O209" s="472"/>
      <c r="P209" s="472" t="s">
        <v>528</v>
      </c>
      <c r="Q209" s="472"/>
      <c r="R209" s="473">
        <v>45413</v>
      </c>
      <c r="S209" s="472" t="s">
        <v>278</v>
      </c>
      <c r="T209" s="473">
        <v>45415</v>
      </c>
      <c r="U209" s="474">
        <v>3</v>
      </c>
      <c r="V209" s="475">
        <v>225.15</v>
      </c>
      <c r="W209" s="259">
        <v>45413</v>
      </c>
    </row>
    <row r="210" spans="1:23" hidden="1" x14ac:dyDescent="0.35">
      <c r="A210" s="472" t="s">
        <v>526</v>
      </c>
      <c r="B210" s="472" t="s">
        <v>159</v>
      </c>
      <c r="C210" s="472" t="s">
        <v>569</v>
      </c>
      <c r="D210" s="472" t="s">
        <v>570</v>
      </c>
      <c r="E210" s="472" t="s">
        <v>571</v>
      </c>
      <c r="F210" s="472" t="s">
        <v>276</v>
      </c>
      <c r="G210" s="472" t="s">
        <v>527</v>
      </c>
      <c r="H210" s="472" t="s">
        <v>572</v>
      </c>
      <c r="I210" s="472" t="s">
        <v>277</v>
      </c>
      <c r="J210" s="472" t="s">
        <v>528</v>
      </c>
      <c r="K210" s="472" t="s">
        <v>573</v>
      </c>
      <c r="L210" s="472" t="s">
        <v>541</v>
      </c>
      <c r="M210" s="472" t="s">
        <v>574</v>
      </c>
      <c r="N210" s="472"/>
      <c r="O210" s="472"/>
      <c r="P210" s="472" t="s">
        <v>528</v>
      </c>
      <c r="Q210" s="472"/>
      <c r="R210" s="473">
        <v>45415</v>
      </c>
      <c r="S210" s="472" t="s">
        <v>278</v>
      </c>
      <c r="T210" s="473">
        <v>45415</v>
      </c>
      <c r="U210" s="474">
        <v>3</v>
      </c>
      <c r="V210" s="475">
        <v>225.15</v>
      </c>
      <c r="W210" s="259">
        <v>45413</v>
      </c>
    </row>
    <row r="211" spans="1:23" hidden="1" x14ac:dyDescent="0.35">
      <c r="A211" s="472" t="s">
        <v>526</v>
      </c>
      <c r="B211" s="472" t="s">
        <v>159</v>
      </c>
      <c r="C211" s="472" t="s">
        <v>569</v>
      </c>
      <c r="D211" s="472" t="s">
        <v>570</v>
      </c>
      <c r="E211" s="472" t="s">
        <v>571</v>
      </c>
      <c r="F211" s="472" t="s">
        <v>276</v>
      </c>
      <c r="G211" s="472" t="s">
        <v>527</v>
      </c>
      <c r="H211" s="472" t="s">
        <v>572</v>
      </c>
      <c r="I211" s="472" t="s">
        <v>277</v>
      </c>
      <c r="J211" s="472" t="s">
        <v>528</v>
      </c>
      <c r="K211" s="472" t="s">
        <v>573</v>
      </c>
      <c r="L211" s="472" t="s">
        <v>541</v>
      </c>
      <c r="M211" s="472" t="s">
        <v>574</v>
      </c>
      <c r="N211" s="472"/>
      <c r="O211" s="472"/>
      <c r="P211" s="472" t="s">
        <v>528</v>
      </c>
      <c r="Q211" s="472"/>
      <c r="R211" s="473">
        <v>45421</v>
      </c>
      <c r="S211" s="472" t="s">
        <v>278</v>
      </c>
      <c r="T211" s="473">
        <v>45425</v>
      </c>
      <c r="U211" s="474">
        <v>2</v>
      </c>
      <c r="V211" s="475">
        <v>150.1</v>
      </c>
      <c r="W211" s="259">
        <v>45413</v>
      </c>
    </row>
    <row r="212" spans="1:23" hidden="1" x14ac:dyDescent="0.35">
      <c r="A212" s="472" t="s">
        <v>526</v>
      </c>
      <c r="B212" s="472" t="s">
        <v>159</v>
      </c>
      <c r="C212" s="472" t="s">
        <v>569</v>
      </c>
      <c r="D212" s="472" t="s">
        <v>570</v>
      </c>
      <c r="E212" s="472" t="s">
        <v>571</v>
      </c>
      <c r="F212" s="472" t="s">
        <v>276</v>
      </c>
      <c r="G212" s="472" t="s">
        <v>527</v>
      </c>
      <c r="H212" s="578" t="s">
        <v>572</v>
      </c>
      <c r="I212" s="472" t="s">
        <v>277</v>
      </c>
      <c r="J212" s="472" t="s">
        <v>528</v>
      </c>
      <c r="K212" s="472" t="s">
        <v>573</v>
      </c>
      <c r="L212" s="472" t="s">
        <v>541</v>
      </c>
      <c r="M212" s="472" t="s">
        <v>574</v>
      </c>
      <c r="N212" s="472"/>
      <c r="O212" s="472"/>
      <c r="P212" s="472" t="s">
        <v>528</v>
      </c>
      <c r="Q212" s="472"/>
      <c r="R212" s="473">
        <v>45422</v>
      </c>
      <c r="S212" s="472" t="s">
        <v>278</v>
      </c>
      <c r="T212" s="473">
        <v>45425</v>
      </c>
      <c r="U212" s="474">
        <v>2</v>
      </c>
      <c r="V212" s="475">
        <v>150.1</v>
      </c>
      <c r="W212" s="259">
        <v>45413</v>
      </c>
    </row>
    <row r="213" spans="1:23" hidden="1" x14ac:dyDescent="0.35">
      <c r="A213" s="472" t="s">
        <v>526</v>
      </c>
      <c r="B213" s="472" t="s">
        <v>159</v>
      </c>
      <c r="C213" s="472" t="s">
        <v>569</v>
      </c>
      <c r="D213" s="472" t="s">
        <v>570</v>
      </c>
      <c r="E213" s="472" t="s">
        <v>571</v>
      </c>
      <c r="F213" s="472" t="s">
        <v>276</v>
      </c>
      <c r="G213" s="472" t="s">
        <v>527</v>
      </c>
      <c r="H213" s="472" t="s">
        <v>572</v>
      </c>
      <c r="I213" s="472" t="s">
        <v>277</v>
      </c>
      <c r="J213" s="472" t="s">
        <v>528</v>
      </c>
      <c r="K213" s="472" t="s">
        <v>573</v>
      </c>
      <c r="L213" s="472" t="s">
        <v>541</v>
      </c>
      <c r="M213" s="472" t="s">
        <v>574</v>
      </c>
      <c r="N213" s="472"/>
      <c r="O213" s="472"/>
      <c r="P213" s="472" t="s">
        <v>528</v>
      </c>
      <c r="Q213" s="472"/>
      <c r="R213" s="473">
        <v>45442</v>
      </c>
      <c r="S213" s="472" t="s">
        <v>278</v>
      </c>
      <c r="T213" s="473">
        <v>45443</v>
      </c>
      <c r="U213" s="474">
        <v>2</v>
      </c>
      <c r="V213" s="475">
        <v>150.1</v>
      </c>
      <c r="W213" s="259">
        <v>45413</v>
      </c>
    </row>
    <row r="214" spans="1:23" hidden="1" x14ac:dyDescent="0.35">
      <c r="A214" s="472" t="s">
        <v>526</v>
      </c>
      <c r="B214" s="472" t="s">
        <v>159</v>
      </c>
      <c r="C214" s="472" t="s">
        <v>569</v>
      </c>
      <c r="D214" s="472" t="s">
        <v>570</v>
      </c>
      <c r="E214" s="472" t="s">
        <v>571</v>
      </c>
      <c r="F214" s="472" t="s">
        <v>276</v>
      </c>
      <c r="G214" s="472" t="s">
        <v>527</v>
      </c>
      <c r="H214" s="472" t="s">
        <v>572</v>
      </c>
      <c r="I214" s="472" t="s">
        <v>277</v>
      </c>
      <c r="J214" s="472" t="s">
        <v>528</v>
      </c>
      <c r="K214" s="472" t="s">
        <v>573</v>
      </c>
      <c r="L214" s="472" t="s">
        <v>541</v>
      </c>
      <c r="M214" s="472" t="s">
        <v>574</v>
      </c>
      <c r="N214" s="472"/>
      <c r="O214" s="472"/>
      <c r="P214" s="472" t="s">
        <v>528</v>
      </c>
      <c r="Q214" s="472"/>
      <c r="R214" s="473">
        <v>45440</v>
      </c>
      <c r="S214" s="472" t="s">
        <v>278</v>
      </c>
      <c r="T214" s="473">
        <v>45443</v>
      </c>
      <c r="U214" s="474">
        <v>8</v>
      </c>
      <c r="V214" s="475">
        <v>600.4</v>
      </c>
      <c r="W214" s="259">
        <v>45413</v>
      </c>
    </row>
    <row r="215" spans="1:23" hidden="1" x14ac:dyDescent="0.35">
      <c r="A215" s="472" t="s">
        <v>526</v>
      </c>
      <c r="B215" s="472" t="s">
        <v>159</v>
      </c>
      <c r="C215" s="472" t="s">
        <v>569</v>
      </c>
      <c r="D215" s="472" t="s">
        <v>570</v>
      </c>
      <c r="E215" s="472" t="s">
        <v>571</v>
      </c>
      <c r="F215" s="472" t="s">
        <v>276</v>
      </c>
      <c r="G215" s="472" t="s">
        <v>527</v>
      </c>
      <c r="H215" s="472" t="s">
        <v>572</v>
      </c>
      <c r="I215" s="472" t="s">
        <v>277</v>
      </c>
      <c r="J215" s="472" t="s">
        <v>528</v>
      </c>
      <c r="K215" s="472" t="s">
        <v>573</v>
      </c>
      <c r="L215" s="472" t="s">
        <v>541</v>
      </c>
      <c r="M215" s="472" t="s">
        <v>574</v>
      </c>
      <c r="N215" s="472"/>
      <c r="O215" s="472"/>
      <c r="P215" s="472" t="s">
        <v>528</v>
      </c>
      <c r="Q215" s="472"/>
      <c r="R215" s="473">
        <v>45441</v>
      </c>
      <c r="S215" s="472" t="s">
        <v>278</v>
      </c>
      <c r="T215" s="473">
        <v>45443</v>
      </c>
      <c r="U215" s="474">
        <v>8</v>
      </c>
      <c r="V215" s="475">
        <v>600.4</v>
      </c>
      <c r="W215" s="259">
        <v>45413</v>
      </c>
    </row>
    <row r="216" spans="1:23" hidden="1" x14ac:dyDescent="0.35">
      <c r="A216" s="472" t="s">
        <v>526</v>
      </c>
      <c r="B216" s="472" t="s">
        <v>159</v>
      </c>
      <c r="C216" s="472" t="s">
        <v>569</v>
      </c>
      <c r="D216" s="472" t="s">
        <v>570</v>
      </c>
      <c r="E216" s="472" t="s">
        <v>571</v>
      </c>
      <c r="F216" s="472" t="s">
        <v>276</v>
      </c>
      <c r="G216" s="472" t="s">
        <v>527</v>
      </c>
      <c r="H216" s="472" t="s">
        <v>572</v>
      </c>
      <c r="I216" s="472" t="s">
        <v>277</v>
      </c>
      <c r="J216" s="472" t="s">
        <v>528</v>
      </c>
      <c r="K216" s="472" t="s">
        <v>573</v>
      </c>
      <c r="L216" s="472" t="s">
        <v>541</v>
      </c>
      <c r="M216" s="472" t="s">
        <v>574</v>
      </c>
      <c r="N216" s="472"/>
      <c r="O216" s="472"/>
      <c r="P216" s="472" t="s">
        <v>528</v>
      </c>
      <c r="Q216" s="472"/>
      <c r="R216" s="473">
        <v>45443</v>
      </c>
      <c r="S216" s="472" t="s">
        <v>278</v>
      </c>
      <c r="T216" s="473">
        <v>45443</v>
      </c>
      <c r="U216" s="474">
        <v>2</v>
      </c>
      <c r="V216" s="475">
        <v>150.1</v>
      </c>
      <c r="W216" s="259">
        <v>45413</v>
      </c>
    </row>
    <row r="217" spans="1:23" hidden="1" x14ac:dyDescent="0.35">
      <c r="A217" s="472" t="s">
        <v>526</v>
      </c>
      <c r="B217" s="472" t="s">
        <v>159</v>
      </c>
      <c r="C217" s="472" t="s">
        <v>569</v>
      </c>
      <c r="D217" s="472" t="s">
        <v>570</v>
      </c>
      <c r="E217" s="472" t="s">
        <v>571</v>
      </c>
      <c r="F217" s="472" t="s">
        <v>276</v>
      </c>
      <c r="G217" s="472" t="s">
        <v>527</v>
      </c>
      <c r="H217" s="472" t="s">
        <v>572</v>
      </c>
      <c r="I217" s="472" t="s">
        <v>277</v>
      </c>
      <c r="J217" s="578" t="s">
        <v>528</v>
      </c>
      <c r="K217" s="472" t="s">
        <v>573</v>
      </c>
      <c r="L217" s="472" t="s">
        <v>541</v>
      </c>
      <c r="M217" s="472" t="s">
        <v>574</v>
      </c>
      <c r="N217" s="472"/>
      <c r="O217" s="472"/>
      <c r="P217" s="472" t="s">
        <v>528</v>
      </c>
      <c r="Q217" s="472"/>
      <c r="R217" s="473">
        <v>45435</v>
      </c>
      <c r="S217" s="472" t="s">
        <v>278</v>
      </c>
      <c r="T217" s="473">
        <v>45440</v>
      </c>
      <c r="U217" s="474">
        <v>3</v>
      </c>
      <c r="V217" s="475">
        <v>225.15</v>
      </c>
      <c r="W217" s="259">
        <v>45413</v>
      </c>
    </row>
    <row r="218" spans="1:23" hidden="1" x14ac:dyDescent="0.35">
      <c r="A218" s="472" t="s">
        <v>526</v>
      </c>
      <c r="B218" s="472" t="s">
        <v>159</v>
      </c>
      <c r="C218" s="472" t="s">
        <v>569</v>
      </c>
      <c r="D218" s="472" t="s">
        <v>570</v>
      </c>
      <c r="E218" s="472" t="s">
        <v>571</v>
      </c>
      <c r="F218" s="472" t="s">
        <v>276</v>
      </c>
      <c r="G218" s="472" t="s">
        <v>527</v>
      </c>
      <c r="H218" s="472" t="s">
        <v>572</v>
      </c>
      <c r="I218" s="472" t="s">
        <v>277</v>
      </c>
      <c r="J218" s="472" t="s">
        <v>528</v>
      </c>
      <c r="K218" s="472" t="s">
        <v>573</v>
      </c>
      <c r="L218" s="472" t="s">
        <v>541</v>
      </c>
      <c r="M218" s="472" t="s">
        <v>574</v>
      </c>
      <c r="N218" s="472"/>
      <c r="O218" s="472"/>
      <c r="P218" s="472" t="s">
        <v>528</v>
      </c>
      <c r="Q218" s="472"/>
      <c r="R218" s="473">
        <v>45428</v>
      </c>
      <c r="S218" s="472" t="s">
        <v>278</v>
      </c>
      <c r="T218" s="473">
        <v>45434</v>
      </c>
      <c r="U218" s="474">
        <v>2</v>
      </c>
      <c r="V218" s="475">
        <v>150.1</v>
      </c>
      <c r="W218" s="259">
        <v>45413</v>
      </c>
    </row>
    <row r="219" spans="1:23" hidden="1" x14ac:dyDescent="0.35">
      <c r="A219" s="472" t="s">
        <v>526</v>
      </c>
      <c r="B219" s="472" t="s">
        <v>159</v>
      </c>
      <c r="C219" s="472" t="s">
        <v>569</v>
      </c>
      <c r="D219" s="472" t="s">
        <v>570</v>
      </c>
      <c r="E219" s="472" t="s">
        <v>571</v>
      </c>
      <c r="F219" s="472" t="s">
        <v>276</v>
      </c>
      <c r="G219" s="472" t="s">
        <v>527</v>
      </c>
      <c r="H219" s="472" t="s">
        <v>572</v>
      </c>
      <c r="I219" s="472" t="s">
        <v>277</v>
      </c>
      <c r="J219" s="472" t="s">
        <v>528</v>
      </c>
      <c r="K219" s="472" t="s">
        <v>573</v>
      </c>
      <c r="L219" s="472" t="s">
        <v>541</v>
      </c>
      <c r="M219" s="472" t="s">
        <v>574</v>
      </c>
      <c r="N219" s="472"/>
      <c r="O219" s="472"/>
      <c r="P219" s="472" t="s">
        <v>528</v>
      </c>
      <c r="Q219" s="472"/>
      <c r="R219" s="473">
        <v>45429</v>
      </c>
      <c r="S219" s="472" t="s">
        <v>278</v>
      </c>
      <c r="T219" s="473">
        <v>45434</v>
      </c>
      <c r="U219" s="474">
        <v>2</v>
      </c>
      <c r="V219" s="475">
        <v>150.1</v>
      </c>
      <c r="W219" s="259">
        <v>45413</v>
      </c>
    </row>
    <row r="220" spans="1:23" hidden="1" x14ac:dyDescent="0.35">
      <c r="A220" s="472" t="s">
        <v>526</v>
      </c>
      <c r="B220" s="472" t="s">
        <v>53</v>
      </c>
      <c r="C220" s="472"/>
      <c r="D220" s="472" t="s">
        <v>575</v>
      </c>
      <c r="E220" s="472" t="s">
        <v>576</v>
      </c>
      <c r="F220" s="472" t="s">
        <v>276</v>
      </c>
      <c r="G220" s="472" t="s">
        <v>527</v>
      </c>
      <c r="H220" s="472"/>
      <c r="I220" s="472" t="s">
        <v>277</v>
      </c>
      <c r="J220" s="472" t="s">
        <v>577</v>
      </c>
      <c r="K220" s="472"/>
      <c r="L220" s="472" t="s">
        <v>541</v>
      </c>
      <c r="M220" s="472" t="s">
        <v>285</v>
      </c>
      <c r="N220" s="472"/>
      <c r="O220" s="472" t="s">
        <v>578</v>
      </c>
      <c r="P220" s="472" t="s">
        <v>577</v>
      </c>
      <c r="Q220" s="472" t="s">
        <v>400</v>
      </c>
      <c r="R220" s="473">
        <v>45440</v>
      </c>
      <c r="S220" s="472"/>
      <c r="T220" s="473">
        <v>45443</v>
      </c>
      <c r="U220" s="474">
        <v>0</v>
      </c>
      <c r="V220" s="475">
        <v>72402</v>
      </c>
      <c r="W220" s="259">
        <v>45413</v>
      </c>
    </row>
    <row r="221" spans="1:23" hidden="1" x14ac:dyDescent="0.35">
      <c r="A221" s="472" t="s">
        <v>526</v>
      </c>
      <c r="B221" s="472" t="s">
        <v>53</v>
      </c>
      <c r="C221" s="472"/>
      <c r="D221" s="472" t="s">
        <v>575</v>
      </c>
      <c r="E221" s="472" t="s">
        <v>576</v>
      </c>
      <c r="F221" s="472" t="s">
        <v>276</v>
      </c>
      <c r="G221" s="472" t="s">
        <v>527</v>
      </c>
      <c r="H221" s="472"/>
      <c r="I221" s="472" t="s">
        <v>277</v>
      </c>
      <c r="J221" s="472" t="s">
        <v>577</v>
      </c>
      <c r="K221" s="472"/>
      <c r="L221" s="472" t="s">
        <v>541</v>
      </c>
      <c r="M221" s="472" t="s">
        <v>285</v>
      </c>
      <c r="N221" s="472"/>
      <c r="O221" s="472" t="s">
        <v>579</v>
      </c>
      <c r="P221" s="472" t="s">
        <v>577</v>
      </c>
      <c r="Q221" s="472" t="s">
        <v>400</v>
      </c>
      <c r="R221" s="473">
        <v>45440</v>
      </c>
      <c r="S221" s="472"/>
      <c r="T221" s="473">
        <v>45443</v>
      </c>
      <c r="U221" s="474">
        <v>0</v>
      </c>
      <c r="V221" s="475">
        <v>4320</v>
      </c>
      <c r="W221" s="259">
        <v>45413</v>
      </c>
    </row>
    <row r="222" spans="1:23" hidden="1" x14ac:dyDescent="0.35">
      <c r="A222" s="472" t="s">
        <v>526</v>
      </c>
      <c r="B222" s="472" t="s">
        <v>53</v>
      </c>
      <c r="C222" s="472"/>
      <c r="D222" s="472" t="s">
        <v>575</v>
      </c>
      <c r="E222" s="472" t="s">
        <v>576</v>
      </c>
      <c r="F222" s="472" t="s">
        <v>276</v>
      </c>
      <c r="G222" s="472" t="s">
        <v>527</v>
      </c>
      <c r="H222" s="472"/>
      <c r="I222" s="472" t="s">
        <v>277</v>
      </c>
      <c r="J222" s="472" t="s">
        <v>577</v>
      </c>
      <c r="K222" s="472"/>
      <c r="L222" s="472" t="s">
        <v>541</v>
      </c>
      <c r="M222" s="472" t="s">
        <v>285</v>
      </c>
      <c r="N222" s="472"/>
      <c r="O222" s="472" t="s">
        <v>580</v>
      </c>
      <c r="P222" s="472" t="s">
        <v>577</v>
      </c>
      <c r="Q222" s="472" t="s">
        <v>400</v>
      </c>
      <c r="R222" s="473">
        <v>45440</v>
      </c>
      <c r="S222" s="472"/>
      <c r="T222" s="473">
        <v>45443</v>
      </c>
      <c r="U222" s="474">
        <v>0</v>
      </c>
      <c r="V222" s="475">
        <v>2880</v>
      </c>
      <c r="W222" s="259">
        <v>45413</v>
      </c>
    </row>
    <row r="223" spans="1:23" hidden="1" x14ac:dyDescent="0.35">
      <c r="A223" s="472" t="s">
        <v>526</v>
      </c>
      <c r="B223" s="472" t="s">
        <v>159</v>
      </c>
      <c r="C223" s="472" t="s">
        <v>281</v>
      </c>
      <c r="D223" s="472" t="s">
        <v>282</v>
      </c>
      <c r="E223" s="472" t="s">
        <v>283</v>
      </c>
      <c r="F223" s="472" t="s">
        <v>276</v>
      </c>
      <c r="G223" s="472" t="s">
        <v>527</v>
      </c>
      <c r="H223" s="472"/>
      <c r="I223" s="472" t="s">
        <v>277</v>
      </c>
      <c r="J223" s="472" t="s">
        <v>528</v>
      </c>
      <c r="K223" s="472" t="s">
        <v>284</v>
      </c>
      <c r="L223" s="472" t="s">
        <v>581</v>
      </c>
      <c r="M223" s="472" t="s">
        <v>285</v>
      </c>
      <c r="N223" s="472"/>
      <c r="O223" s="472"/>
      <c r="P223" s="472" t="s">
        <v>528</v>
      </c>
      <c r="Q223" s="472"/>
      <c r="R223" s="473">
        <v>45474</v>
      </c>
      <c r="S223" s="472"/>
      <c r="T223" s="473">
        <v>45473</v>
      </c>
      <c r="U223" s="474">
        <v>0</v>
      </c>
      <c r="V223" s="475">
        <v>413.59</v>
      </c>
      <c r="W223" s="259">
        <v>45444</v>
      </c>
    </row>
    <row r="224" spans="1:23" hidden="1" x14ac:dyDescent="0.35">
      <c r="A224" s="472" t="s">
        <v>526</v>
      </c>
      <c r="B224" s="472" t="s">
        <v>159</v>
      </c>
      <c r="C224" s="472" t="s">
        <v>286</v>
      </c>
      <c r="D224" s="472" t="s">
        <v>287</v>
      </c>
      <c r="E224" s="472" t="s">
        <v>288</v>
      </c>
      <c r="F224" s="472" t="s">
        <v>276</v>
      </c>
      <c r="G224" s="472" t="s">
        <v>527</v>
      </c>
      <c r="H224" s="472"/>
      <c r="I224" s="472" t="s">
        <v>277</v>
      </c>
      <c r="J224" s="472" t="s">
        <v>528</v>
      </c>
      <c r="K224" s="472" t="s">
        <v>289</v>
      </c>
      <c r="L224" s="472" t="s">
        <v>581</v>
      </c>
      <c r="M224" s="472" t="s">
        <v>285</v>
      </c>
      <c r="N224" s="472"/>
      <c r="O224" s="472"/>
      <c r="P224" s="472" t="s">
        <v>528</v>
      </c>
      <c r="Q224" s="472"/>
      <c r="R224" s="473">
        <v>45474</v>
      </c>
      <c r="S224" s="472"/>
      <c r="T224" s="473">
        <v>45473</v>
      </c>
      <c r="U224" s="474">
        <v>0</v>
      </c>
      <c r="V224" s="475">
        <v>1186.48</v>
      </c>
      <c r="W224" s="259">
        <v>45444</v>
      </c>
    </row>
    <row r="225" spans="1:23" hidden="1" x14ac:dyDescent="0.35">
      <c r="A225" s="472" t="s">
        <v>526</v>
      </c>
      <c r="B225" s="472" t="s">
        <v>159</v>
      </c>
      <c r="C225" s="472" t="s">
        <v>281</v>
      </c>
      <c r="D225" s="472" t="s">
        <v>290</v>
      </c>
      <c r="E225" s="472" t="s">
        <v>291</v>
      </c>
      <c r="F225" s="472" t="s">
        <v>276</v>
      </c>
      <c r="G225" s="472" t="s">
        <v>527</v>
      </c>
      <c r="H225" s="472"/>
      <c r="I225" s="472" t="s">
        <v>277</v>
      </c>
      <c r="J225" s="472" t="s">
        <v>528</v>
      </c>
      <c r="K225" s="472" t="s">
        <v>284</v>
      </c>
      <c r="L225" s="472" t="s">
        <v>581</v>
      </c>
      <c r="M225" s="472" t="s">
        <v>285</v>
      </c>
      <c r="N225" s="472"/>
      <c r="O225" s="472"/>
      <c r="P225" s="472" t="s">
        <v>528</v>
      </c>
      <c r="Q225" s="472"/>
      <c r="R225" s="473">
        <v>45474</v>
      </c>
      <c r="S225" s="472"/>
      <c r="T225" s="473">
        <v>45473</v>
      </c>
      <c r="U225" s="474">
        <v>0</v>
      </c>
      <c r="V225" s="475">
        <v>257.05</v>
      </c>
      <c r="W225" s="259">
        <v>45444</v>
      </c>
    </row>
    <row r="226" spans="1:23" hidden="1" x14ac:dyDescent="0.35">
      <c r="A226" s="472" t="s">
        <v>526</v>
      </c>
      <c r="B226" s="472" t="s">
        <v>159</v>
      </c>
      <c r="C226" s="472" t="s">
        <v>281</v>
      </c>
      <c r="D226" s="472" t="s">
        <v>292</v>
      </c>
      <c r="E226" s="472" t="s">
        <v>293</v>
      </c>
      <c r="F226" s="472" t="s">
        <v>276</v>
      </c>
      <c r="G226" s="472" t="s">
        <v>527</v>
      </c>
      <c r="H226" s="472"/>
      <c r="I226" s="472" t="s">
        <v>277</v>
      </c>
      <c r="J226" s="472" t="s">
        <v>528</v>
      </c>
      <c r="K226" s="472" t="s">
        <v>294</v>
      </c>
      <c r="L226" s="472" t="s">
        <v>581</v>
      </c>
      <c r="M226" s="472" t="s">
        <v>285</v>
      </c>
      <c r="N226" s="472"/>
      <c r="O226" s="472"/>
      <c r="P226" s="472" t="s">
        <v>528</v>
      </c>
      <c r="Q226" s="472"/>
      <c r="R226" s="473">
        <v>45474</v>
      </c>
      <c r="S226" s="472"/>
      <c r="T226" s="473">
        <v>45473</v>
      </c>
      <c r="U226" s="474">
        <v>0</v>
      </c>
      <c r="V226" s="475">
        <v>364.49</v>
      </c>
      <c r="W226" s="259">
        <v>45444</v>
      </c>
    </row>
    <row r="227" spans="1:23" hidden="1" x14ac:dyDescent="0.35">
      <c r="A227" s="472" t="s">
        <v>526</v>
      </c>
      <c r="B227" s="472" t="s">
        <v>159</v>
      </c>
      <c r="C227" s="472" t="s">
        <v>286</v>
      </c>
      <c r="D227" s="472" t="s">
        <v>295</v>
      </c>
      <c r="E227" s="472" t="s">
        <v>296</v>
      </c>
      <c r="F227" s="472" t="s">
        <v>276</v>
      </c>
      <c r="G227" s="472" t="s">
        <v>527</v>
      </c>
      <c r="H227" s="472"/>
      <c r="I227" s="472" t="s">
        <v>277</v>
      </c>
      <c r="J227" s="472" t="s">
        <v>528</v>
      </c>
      <c r="K227" s="472" t="s">
        <v>297</v>
      </c>
      <c r="L227" s="472" t="s">
        <v>581</v>
      </c>
      <c r="M227" s="472" t="s">
        <v>285</v>
      </c>
      <c r="N227" s="472"/>
      <c r="O227" s="472"/>
      <c r="P227" s="472" t="s">
        <v>528</v>
      </c>
      <c r="Q227" s="472"/>
      <c r="R227" s="473">
        <v>45474</v>
      </c>
      <c r="S227" s="472"/>
      <c r="T227" s="473">
        <v>45473</v>
      </c>
      <c r="U227" s="474">
        <v>0</v>
      </c>
      <c r="V227" s="475">
        <v>459.23</v>
      </c>
      <c r="W227" s="259">
        <v>45444</v>
      </c>
    </row>
    <row r="228" spans="1:23" hidden="1" x14ac:dyDescent="0.35">
      <c r="A228" s="472" t="s">
        <v>526</v>
      </c>
      <c r="B228" s="472" t="s">
        <v>159</v>
      </c>
      <c r="C228" s="472" t="s">
        <v>542</v>
      </c>
      <c r="D228" s="472" t="s">
        <v>543</v>
      </c>
      <c r="E228" s="472" t="s">
        <v>544</v>
      </c>
      <c r="F228" s="472" t="s">
        <v>276</v>
      </c>
      <c r="G228" s="472" t="s">
        <v>527</v>
      </c>
      <c r="H228" s="472"/>
      <c r="I228" s="472" t="s">
        <v>277</v>
      </c>
      <c r="J228" s="472" t="s">
        <v>528</v>
      </c>
      <c r="K228" s="472" t="s">
        <v>545</v>
      </c>
      <c r="L228" s="472" t="s">
        <v>581</v>
      </c>
      <c r="M228" s="472" t="s">
        <v>285</v>
      </c>
      <c r="N228" s="472"/>
      <c r="O228" s="472"/>
      <c r="P228" s="472" t="s">
        <v>528</v>
      </c>
      <c r="Q228" s="472"/>
      <c r="R228" s="473">
        <v>45474</v>
      </c>
      <c r="S228" s="472"/>
      <c r="T228" s="473">
        <v>45473</v>
      </c>
      <c r="U228" s="474">
        <v>0</v>
      </c>
      <c r="V228" s="475">
        <v>10.75</v>
      </c>
      <c r="W228" s="259">
        <v>45444</v>
      </c>
    </row>
    <row r="229" spans="1:23" hidden="1" x14ac:dyDescent="0.35">
      <c r="A229" s="472" t="s">
        <v>526</v>
      </c>
      <c r="B229" s="472" t="s">
        <v>159</v>
      </c>
      <c r="C229" s="472" t="s">
        <v>546</v>
      </c>
      <c r="D229" s="472" t="s">
        <v>547</v>
      </c>
      <c r="E229" s="472" t="s">
        <v>548</v>
      </c>
      <c r="F229" s="472" t="s">
        <v>276</v>
      </c>
      <c r="G229" s="472" t="s">
        <v>527</v>
      </c>
      <c r="H229" s="472"/>
      <c r="I229" s="472" t="s">
        <v>277</v>
      </c>
      <c r="J229" s="472" t="s">
        <v>528</v>
      </c>
      <c r="K229" s="472" t="s">
        <v>549</v>
      </c>
      <c r="L229" s="472" t="s">
        <v>581</v>
      </c>
      <c r="M229" s="472" t="s">
        <v>285</v>
      </c>
      <c r="N229" s="472"/>
      <c r="O229" s="472"/>
      <c r="P229" s="472" t="s">
        <v>528</v>
      </c>
      <c r="Q229" s="472"/>
      <c r="R229" s="473">
        <v>45474</v>
      </c>
      <c r="S229" s="472"/>
      <c r="T229" s="473">
        <v>45473</v>
      </c>
      <c r="U229" s="474">
        <v>0</v>
      </c>
      <c r="V229" s="475">
        <v>30.83</v>
      </c>
      <c r="W229" s="259">
        <v>45444</v>
      </c>
    </row>
    <row r="230" spans="1:23" hidden="1" x14ac:dyDescent="0.35">
      <c r="A230" s="472" t="s">
        <v>526</v>
      </c>
      <c r="B230" s="472" t="s">
        <v>159</v>
      </c>
      <c r="C230" s="472" t="s">
        <v>542</v>
      </c>
      <c r="D230" s="472" t="s">
        <v>550</v>
      </c>
      <c r="E230" s="472" t="s">
        <v>551</v>
      </c>
      <c r="F230" s="472" t="s">
        <v>276</v>
      </c>
      <c r="G230" s="472" t="s">
        <v>527</v>
      </c>
      <c r="H230" s="472"/>
      <c r="I230" s="472" t="s">
        <v>277</v>
      </c>
      <c r="J230" s="472" t="s">
        <v>528</v>
      </c>
      <c r="K230" s="472" t="s">
        <v>545</v>
      </c>
      <c r="L230" s="472" t="s">
        <v>581</v>
      </c>
      <c r="M230" s="472" t="s">
        <v>285</v>
      </c>
      <c r="N230" s="472"/>
      <c r="O230" s="472"/>
      <c r="P230" s="472" t="s">
        <v>528</v>
      </c>
      <c r="Q230" s="472"/>
      <c r="R230" s="473">
        <v>45474</v>
      </c>
      <c r="S230" s="472"/>
      <c r="T230" s="473">
        <v>45473</v>
      </c>
      <c r="U230" s="474">
        <v>0</v>
      </c>
      <c r="V230" s="475">
        <v>6.68</v>
      </c>
      <c r="W230" s="259">
        <v>45444</v>
      </c>
    </row>
    <row r="231" spans="1:23" hidden="1" x14ac:dyDescent="0.35">
      <c r="A231" s="472" t="s">
        <v>526</v>
      </c>
      <c r="B231" s="472" t="s">
        <v>159</v>
      </c>
      <c r="C231" s="472" t="s">
        <v>542</v>
      </c>
      <c r="D231" s="472" t="s">
        <v>552</v>
      </c>
      <c r="E231" s="472" t="s">
        <v>553</v>
      </c>
      <c r="F231" s="472" t="s">
        <v>276</v>
      </c>
      <c r="G231" s="472" t="s">
        <v>527</v>
      </c>
      <c r="H231" s="472"/>
      <c r="I231" s="472" t="s">
        <v>277</v>
      </c>
      <c r="J231" s="472" t="s">
        <v>528</v>
      </c>
      <c r="K231" s="472" t="s">
        <v>554</v>
      </c>
      <c r="L231" s="472" t="s">
        <v>581</v>
      </c>
      <c r="M231" s="472" t="s">
        <v>285</v>
      </c>
      <c r="N231" s="472"/>
      <c r="O231" s="472"/>
      <c r="P231" s="472" t="s">
        <v>528</v>
      </c>
      <c r="Q231" s="472"/>
      <c r="R231" s="473">
        <v>45474</v>
      </c>
      <c r="S231" s="472"/>
      <c r="T231" s="473">
        <v>45473</v>
      </c>
      <c r="U231" s="474">
        <v>0</v>
      </c>
      <c r="V231" s="475">
        <v>9.4700000000000006</v>
      </c>
      <c r="W231" s="259">
        <v>45444</v>
      </c>
    </row>
    <row r="232" spans="1:23" hidden="1" x14ac:dyDescent="0.35">
      <c r="A232" s="472" t="s">
        <v>526</v>
      </c>
      <c r="B232" s="472" t="s">
        <v>159</v>
      </c>
      <c r="C232" s="472" t="s">
        <v>546</v>
      </c>
      <c r="D232" s="472" t="s">
        <v>555</v>
      </c>
      <c r="E232" s="472" t="s">
        <v>556</v>
      </c>
      <c r="F232" s="472" t="s">
        <v>276</v>
      </c>
      <c r="G232" s="472" t="s">
        <v>527</v>
      </c>
      <c r="H232" s="472"/>
      <c r="I232" s="472" t="s">
        <v>277</v>
      </c>
      <c r="J232" s="472" t="s">
        <v>528</v>
      </c>
      <c r="K232" s="472" t="s">
        <v>557</v>
      </c>
      <c r="L232" s="472" t="s">
        <v>581</v>
      </c>
      <c r="M232" s="472" t="s">
        <v>285</v>
      </c>
      <c r="N232" s="472"/>
      <c r="O232" s="472"/>
      <c r="P232" s="472" t="s">
        <v>528</v>
      </c>
      <c r="Q232" s="472"/>
      <c r="R232" s="473">
        <v>45474</v>
      </c>
      <c r="S232" s="472"/>
      <c r="T232" s="473">
        <v>45473</v>
      </c>
      <c r="U232" s="474">
        <v>0</v>
      </c>
      <c r="V232" s="475">
        <v>11.93</v>
      </c>
      <c r="W232" s="259">
        <v>45444</v>
      </c>
    </row>
    <row r="233" spans="1:23" hidden="1" x14ac:dyDescent="0.35">
      <c r="A233" s="472" t="s">
        <v>526</v>
      </c>
      <c r="B233" s="472" t="s">
        <v>159</v>
      </c>
      <c r="C233" s="472" t="s">
        <v>298</v>
      </c>
      <c r="D233" s="472" t="s">
        <v>299</v>
      </c>
      <c r="E233" s="472" t="s">
        <v>300</v>
      </c>
      <c r="F233" s="472" t="s">
        <v>276</v>
      </c>
      <c r="G233" s="472" t="s">
        <v>527</v>
      </c>
      <c r="H233" s="472"/>
      <c r="I233" s="472" t="s">
        <v>277</v>
      </c>
      <c r="J233" s="472" t="s">
        <v>528</v>
      </c>
      <c r="K233" s="472" t="s">
        <v>301</v>
      </c>
      <c r="L233" s="472" t="s">
        <v>581</v>
      </c>
      <c r="M233" s="472" t="s">
        <v>285</v>
      </c>
      <c r="N233" s="472"/>
      <c r="O233" s="472"/>
      <c r="P233" s="472" t="s">
        <v>528</v>
      </c>
      <c r="Q233" s="472"/>
      <c r="R233" s="473">
        <v>45475</v>
      </c>
      <c r="S233" s="472"/>
      <c r="T233" s="473">
        <v>45473</v>
      </c>
      <c r="U233" s="474">
        <v>0</v>
      </c>
      <c r="V233" s="475">
        <v>0.01</v>
      </c>
      <c r="W233" s="259">
        <v>45444</v>
      </c>
    </row>
    <row r="234" spans="1:23" hidden="1" x14ac:dyDescent="0.35">
      <c r="A234" s="472" t="s">
        <v>526</v>
      </c>
      <c r="B234" s="472" t="s">
        <v>159</v>
      </c>
      <c r="C234" s="472" t="s">
        <v>298</v>
      </c>
      <c r="D234" s="472" t="s">
        <v>299</v>
      </c>
      <c r="E234" s="472" t="s">
        <v>300</v>
      </c>
      <c r="F234" s="472" t="s">
        <v>276</v>
      </c>
      <c r="G234" s="472" t="s">
        <v>527</v>
      </c>
      <c r="H234" s="472"/>
      <c r="I234" s="472" t="s">
        <v>277</v>
      </c>
      <c r="J234" s="472" t="s">
        <v>528</v>
      </c>
      <c r="K234" s="472" t="s">
        <v>301</v>
      </c>
      <c r="L234" s="472" t="s">
        <v>581</v>
      </c>
      <c r="M234" s="472" t="s">
        <v>285</v>
      </c>
      <c r="N234" s="472"/>
      <c r="O234" s="472"/>
      <c r="P234" s="472" t="s">
        <v>528</v>
      </c>
      <c r="Q234" s="472"/>
      <c r="R234" s="473">
        <v>45475</v>
      </c>
      <c r="S234" s="472"/>
      <c r="T234" s="473">
        <v>45473</v>
      </c>
      <c r="U234" s="474">
        <v>0</v>
      </c>
      <c r="V234" s="475">
        <v>0.18</v>
      </c>
      <c r="W234" s="259">
        <v>45444</v>
      </c>
    </row>
    <row r="235" spans="1:23" hidden="1" x14ac:dyDescent="0.35">
      <c r="A235" s="472" t="s">
        <v>526</v>
      </c>
      <c r="B235" s="472" t="s">
        <v>159</v>
      </c>
      <c r="C235" s="472" t="s">
        <v>298</v>
      </c>
      <c r="D235" s="472" t="s">
        <v>304</v>
      </c>
      <c r="E235" s="472" t="s">
        <v>305</v>
      </c>
      <c r="F235" s="472" t="s">
        <v>276</v>
      </c>
      <c r="G235" s="472" t="s">
        <v>527</v>
      </c>
      <c r="H235" s="472"/>
      <c r="I235" s="472" t="s">
        <v>277</v>
      </c>
      <c r="J235" s="472" t="s">
        <v>528</v>
      </c>
      <c r="K235" s="472" t="s">
        <v>301</v>
      </c>
      <c r="L235" s="472" t="s">
        <v>581</v>
      </c>
      <c r="M235" s="472" t="s">
        <v>285</v>
      </c>
      <c r="N235" s="472"/>
      <c r="O235" s="472"/>
      <c r="P235" s="472" t="s">
        <v>528</v>
      </c>
      <c r="Q235" s="472"/>
      <c r="R235" s="473">
        <v>45475</v>
      </c>
      <c r="S235" s="472"/>
      <c r="T235" s="473">
        <v>45473</v>
      </c>
      <c r="U235" s="474">
        <v>0</v>
      </c>
      <c r="V235" s="475">
        <v>0.25</v>
      </c>
      <c r="W235" s="259">
        <v>45444</v>
      </c>
    </row>
    <row r="236" spans="1:23" hidden="1" x14ac:dyDescent="0.35">
      <c r="A236" s="472" t="s">
        <v>526</v>
      </c>
      <c r="B236" s="472" t="s">
        <v>159</v>
      </c>
      <c r="C236" s="472" t="s">
        <v>298</v>
      </c>
      <c r="D236" s="472" t="s">
        <v>306</v>
      </c>
      <c r="E236" s="472" t="s">
        <v>307</v>
      </c>
      <c r="F236" s="472" t="s">
        <v>276</v>
      </c>
      <c r="G236" s="472" t="s">
        <v>527</v>
      </c>
      <c r="H236" s="472"/>
      <c r="I236" s="472" t="s">
        <v>277</v>
      </c>
      <c r="J236" s="472" t="s">
        <v>528</v>
      </c>
      <c r="K236" s="472" t="s">
        <v>301</v>
      </c>
      <c r="L236" s="472" t="s">
        <v>581</v>
      </c>
      <c r="M236" s="472" t="s">
        <v>285</v>
      </c>
      <c r="N236" s="472"/>
      <c r="O236" s="472"/>
      <c r="P236" s="472" t="s">
        <v>528</v>
      </c>
      <c r="Q236" s="472"/>
      <c r="R236" s="473">
        <v>45475</v>
      </c>
      <c r="S236" s="472"/>
      <c r="T236" s="473">
        <v>45473</v>
      </c>
      <c r="U236" s="474">
        <v>0</v>
      </c>
      <c r="V236" s="475">
        <v>0.02</v>
      </c>
      <c r="W236" s="259">
        <v>45444</v>
      </c>
    </row>
    <row r="237" spans="1:23" hidden="1" x14ac:dyDescent="0.35">
      <c r="A237" s="472" t="s">
        <v>526</v>
      </c>
      <c r="B237" s="472" t="s">
        <v>159</v>
      </c>
      <c r="C237" s="472" t="s">
        <v>298</v>
      </c>
      <c r="D237" s="472" t="s">
        <v>306</v>
      </c>
      <c r="E237" s="472" t="s">
        <v>307</v>
      </c>
      <c r="F237" s="472" t="s">
        <v>276</v>
      </c>
      <c r="G237" s="472" t="s">
        <v>527</v>
      </c>
      <c r="H237" s="472"/>
      <c r="I237" s="472" t="s">
        <v>277</v>
      </c>
      <c r="J237" s="472" t="s">
        <v>528</v>
      </c>
      <c r="K237" s="472" t="s">
        <v>301</v>
      </c>
      <c r="L237" s="472" t="s">
        <v>581</v>
      </c>
      <c r="M237" s="472" t="s">
        <v>285</v>
      </c>
      <c r="N237" s="472"/>
      <c r="O237" s="472"/>
      <c r="P237" s="472" t="s">
        <v>528</v>
      </c>
      <c r="Q237" s="472"/>
      <c r="R237" s="473">
        <v>45475</v>
      </c>
      <c r="S237" s="472"/>
      <c r="T237" s="473">
        <v>45473</v>
      </c>
      <c r="U237" s="474">
        <v>0</v>
      </c>
      <c r="V237" s="475">
        <v>0.28000000000000003</v>
      </c>
      <c r="W237" s="259">
        <v>45444</v>
      </c>
    </row>
    <row r="238" spans="1:23" hidden="1" x14ac:dyDescent="0.35">
      <c r="A238" s="472" t="s">
        <v>526</v>
      </c>
      <c r="B238" s="472" t="s">
        <v>159</v>
      </c>
      <c r="C238" s="472" t="s">
        <v>298</v>
      </c>
      <c r="D238" s="472" t="s">
        <v>312</v>
      </c>
      <c r="E238" s="472" t="s">
        <v>313</v>
      </c>
      <c r="F238" s="472" t="s">
        <v>276</v>
      </c>
      <c r="G238" s="472" t="s">
        <v>527</v>
      </c>
      <c r="H238" s="472"/>
      <c r="I238" s="472" t="s">
        <v>277</v>
      </c>
      <c r="J238" s="472" t="s">
        <v>528</v>
      </c>
      <c r="K238" s="472" t="s">
        <v>301</v>
      </c>
      <c r="L238" s="472" t="s">
        <v>581</v>
      </c>
      <c r="M238" s="472" t="s">
        <v>285</v>
      </c>
      <c r="N238" s="472"/>
      <c r="O238" s="472"/>
      <c r="P238" s="472" t="s">
        <v>528</v>
      </c>
      <c r="Q238" s="472"/>
      <c r="R238" s="473">
        <v>45475</v>
      </c>
      <c r="S238" s="472"/>
      <c r="T238" s="473">
        <v>45473</v>
      </c>
      <c r="U238" s="474">
        <v>0</v>
      </c>
      <c r="V238" s="475">
        <v>23.69</v>
      </c>
      <c r="W238" s="259">
        <v>45444</v>
      </c>
    </row>
    <row r="239" spans="1:23" hidden="1" x14ac:dyDescent="0.35">
      <c r="A239" s="472" t="s">
        <v>526</v>
      </c>
      <c r="B239" s="472" t="s">
        <v>159</v>
      </c>
      <c r="C239" s="472" t="s">
        <v>298</v>
      </c>
      <c r="D239" s="472" t="s">
        <v>312</v>
      </c>
      <c r="E239" s="472" t="s">
        <v>313</v>
      </c>
      <c r="F239" s="472" t="s">
        <v>276</v>
      </c>
      <c r="G239" s="472" t="s">
        <v>527</v>
      </c>
      <c r="H239" s="472"/>
      <c r="I239" s="472" t="s">
        <v>277</v>
      </c>
      <c r="J239" s="472" t="s">
        <v>528</v>
      </c>
      <c r="K239" s="472" t="s">
        <v>301</v>
      </c>
      <c r="L239" s="472" t="s">
        <v>581</v>
      </c>
      <c r="M239" s="472" t="s">
        <v>285</v>
      </c>
      <c r="N239" s="472"/>
      <c r="O239" s="472"/>
      <c r="P239" s="472" t="s">
        <v>528</v>
      </c>
      <c r="Q239" s="472"/>
      <c r="R239" s="473">
        <v>45475</v>
      </c>
      <c r="S239" s="472"/>
      <c r="T239" s="473">
        <v>45473</v>
      </c>
      <c r="U239" s="474">
        <v>0</v>
      </c>
      <c r="V239" s="475">
        <v>187.57</v>
      </c>
      <c r="W239" s="259">
        <v>45444</v>
      </c>
    </row>
    <row r="240" spans="1:23" hidden="1" x14ac:dyDescent="0.35">
      <c r="A240" s="472" t="s">
        <v>526</v>
      </c>
      <c r="B240" s="472" t="s">
        <v>159</v>
      </c>
      <c r="C240" s="472" t="s">
        <v>298</v>
      </c>
      <c r="D240" s="472" t="s">
        <v>318</v>
      </c>
      <c r="E240" s="472" t="s">
        <v>319</v>
      </c>
      <c r="F240" s="472" t="s">
        <v>276</v>
      </c>
      <c r="G240" s="472" t="s">
        <v>527</v>
      </c>
      <c r="H240" s="472"/>
      <c r="I240" s="472" t="s">
        <v>277</v>
      </c>
      <c r="J240" s="472" t="s">
        <v>528</v>
      </c>
      <c r="K240" s="472" t="s">
        <v>301</v>
      </c>
      <c r="L240" s="472" t="s">
        <v>581</v>
      </c>
      <c r="M240" s="472" t="s">
        <v>285</v>
      </c>
      <c r="N240" s="472"/>
      <c r="O240" s="472"/>
      <c r="P240" s="472" t="s">
        <v>528</v>
      </c>
      <c r="Q240" s="472"/>
      <c r="R240" s="473">
        <v>45475</v>
      </c>
      <c r="S240" s="472"/>
      <c r="T240" s="473">
        <v>45473</v>
      </c>
      <c r="U240" s="474">
        <v>0</v>
      </c>
      <c r="V240" s="475">
        <v>1.2</v>
      </c>
      <c r="W240" s="259">
        <v>45444</v>
      </c>
    </row>
    <row r="241" spans="1:23" hidden="1" x14ac:dyDescent="0.35">
      <c r="A241" s="472" t="s">
        <v>526</v>
      </c>
      <c r="B241" s="472" t="s">
        <v>159</v>
      </c>
      <c r="C241" s="472" t="s">
        <v>298</v>
      </c>
      <c r="D241" s="472" t="s">
        <v>318</v>
      </c>
      <c r="E241" s="472" t="s">
        <v>319</v>
      </c>
      <c r="F241" s="472" t="s">
        <v>276</v>
      </c>
      <c r="G241" s="472" t="s">
        <v>527</v>
      </c>
      <c r="H241" s="472"/>
      <c r="I241" s="472" t="s">
        <v>277</v>
      </c>
      <c r="J241" s="472" t="s">
        <v>528</v>
      </c>
      <c r="K241" s="472" t="s">
        <v>301</v>
      </c>
      <c r="L241" s="472" t="s">
        <v>581</v>
      </c>
      <c r="M241" s="472" t="s">
        <v>285</v>
      </c>
      <c r="N241" s="472"/>
      <c r="O241" s="472"/>
      <c r="P241" s="472" t="s">
        <v>528</v>
      </c>
      <c r="Q241" s="472"/>
      <c r="R241" s="473">
        <v>45475</v>
      </c>
      <c r="S241" s="472"/>
      <c r="T241" s="473">
        <v>45473</v>
      </c>
      <c r="U241" s="474">
        <v>0</v>
      </c>
      <c r="V241" s="475">
        <v>0.06</v>
      </c>
      <c r="W241" s="259">
        <v>45444</v>
      </c>
    </row>
    <row r="242" spans="1:23" hidden="1" x14ac:dyDescent="0.35">
      <c r="A242" s="472" t="s">
        <v>526</v>
      </c>
      <c r="B242" s="472" t="s">
        <v>159</v>
      </c>
      <c r="C242" s="472" t="s">
        <v>298</v>
      </c>
      <c r="D242" s="472" t="s">
        <v>391</v>
      </c>
      <c r="E242" s="472" t="s">
        <v>392</v>
      </c>
      <c r="F242" s="472" t="s">
        <v>276</v>
      </c>
      <c r="G242" s="472" t="s">
        <v>527</v>
      </c>
      <c r="H242" s="472"/>
      <c r="I242" s="472" t="s">
        <v>277</v>
      </c>
      <c r="J242" s="472" t="s">
        <v>528</v>
      </c>
      <c r="K242" s="472" t="s">
        <v>301</v>
      </c>
      <c r="L242" s="472" t="s">
        <v>581</v>
      </c>
      <c r="M242" s="472" t="s">
        <v>285</v>
      </c>
      <c r="N242" s="472"/>
      <c r="O242" s="472"/>
      <c r="P242" s="472" t="s">
        <v>528</v>
      </c>
      <c r="Q242" s="472"/>
      <c r="R242" s="473">
        <v>45475</v>
      </c>
      <c r="S242" s="472"/>
      <c r="T242" s="473">
        <v>45473</v>
      </c>
      <c r="U242" s="474">
        <v>0</v>
      </c>
      <c r="V242" s="475">
        <v>0.39</v>
      </c>
      <c r="W242" s="259">
        <v>45444</v>
      </c>
    </row>
    <row r="243" spans="1:23" hidden="1" x14ac:dyDescent="0.35">
      <c r="A243" s="472" t="s">
        <v>526</v>
      </c>
      <c r="B243" s="472" t="s">
        <v>159</v>
      </c>
      <c r="C243" s="472" t="s">
        <v>298</v>
      </c>
      <c r="D243" s="472" t="s">
        <v>320</v>
      </c>
      <c r="E243" s="472" t="s">
        <v>321</v>
      </c>
      <c r="F243" s="472" t="s">
        <v>276</v>
      </c>
      <c r="G243" s="472" t="s">
        <v>527</v>
      </c>
      <c r="H243" s="472"/>
      <c r="I243" s="472" t="s">
        <v>277</v>
      </c>
      <c r="J243" s="472" t="s">
        <v>528</v>
      </c>
      <c r="K243" s="472" t="s">
        <v>301</v>
      </c>
      <c r="L243" s="472" t="s">
        <v>581</v>
      </c>
      <c r="M243" s="472" t="s">
        <v>285</v>
      </c>
      <c r="N243" s="472"/>
      <c r="O243" s="472"/>
      <c r="P243" s="472" t="s">
        <v>528</v>
      </c>
      <c r="Q243" s="472"/>
      <c r="R243" s="473">
        <v>45475</v>
      </c>
      <c r="S243" s="472"/>
      <c r="T243" s="473">
        <v>45473</v>
      </c>
      <c r="U243" s="474">
        <v>0</v>
      </c>
      <c r="V243" s="475">
        <v>52.67</v>
      </c>
      <c r="W243" s="259">
        <v>45444</v>
      </c>
    </row>
    <row r="244" spans="1:23" hidden="1" x14ac:dyDescent="0.35">
      <c r="A244" s="472" t="s">
        <v>526</v>
      </c>
      <c r="B244" s="472" t="s">
        <v>159</v>
      </c>
      <c r="C244" s="472" t="s">
        <v>298</v>
      </c>
      <c r="D244" s="472" t="s">
        <v>322</v>
      </c>
      <c r="E244" s="472" t="s">
        <v>323</v>
      </c>
      <c r="F244" s="472" t="s">
        <v>276</v>
      </c>
      <c r="G244" s="472" t="s">
        <v>527</v>
      </c>
      <c r="H244" s="472"/>
      <c r="I244" s="472" t="s">
        <v>277</v>
      </c>
      <c r="J244" s="472" t="s">
        <v>528</v>
      </c>
      <c r="K244" s="472" t="s">
        <v>301</v>
      </c>
      <c r="L244" s="472" t="s">
        <v>581</v>
      </c>
      <c r="M244" s="472" t="s">
        <v>285</v>
      </c>
      <c r="N244" s="472"/>
      <c r="O244" s="472"/>
      <c r="P244" s="472" t="s">
        <v>528</v>
      </c>
      <c r="Q244" s="472"/>
      <c r="R244" s="473">
        <v>45475</v>
      </c>
      <c r="S244" s="472"/>
      <c r="T244" s="473">
        <v>45473</v>
      </c>
      <c r="U244" s="474">
        <v>0</v>
      </c>
      <c r="V244" s="475">
        <v>0.15</v>
      </c>
      <c r="W244" s="259">
        <v>45444</v>
      </c>
    </row>
    <row r="245" spans="1:23" hidden="1" x14ac:dyDescent="0.35">
      <c r="A245" s="472" t="s">
        <v>526</v>
      </c>
      <c r="B245" s="472" t="s">
        <v>159</v>
      </c>
      <c r="C245" s="472" t="s">
        <v>298</v>
      </c>
      <c r="D245" s="472" t="s">
        <v>322</v>
      </c>
      <c r="E245" s="472" t="s">
        <v>323</v>
      </c>
      <c r="F245" s="472" t="s">
        <v>276</v>
      </c>
      <c r="G245" s="472" t="s">
        <v>527</v>
      </c>
      <c r="H245" s="472"/>
      <c r="I245" s="472" t="s">
        <v>277</v>
      </c>
      <c r="J245" s="472" t="s">
        <v>528</v>
      </c>
      <c r="K245" s="472" t="s">
        <v>301</v>
      </c>
      <c r="L245" s="472" t="s">
        <v>581</v>
      </c>
      <c r="M245" s="472" t="s">
        <v>285</v>
      </c>
      <c r="N245" s="472"/>
      <c r="O245" s="472"/>
      <c r="P245" s="472" t="s">
        <v>528</v>
      </c>
      <c r="Q245" s="472"/>
      <c r="R245" s="473">
        <v>45475</v>
      </c>
      <c r="S245" s="472"/>
      <c r="T245" s="473">
        <v>45473</v>
      </c>
      <c r="U245" s="474">
        <v>0</v>
      </c>
      <c r="V245" s="475">
        <v>2.1</v>
      </c>
      <c r="W245" s="259">
        <v>45444</v>
      </c>
    </row>
    <row r="246" spans="1:23" hidden="1" x14ac:dyDescent="0.35">
      <c r="A246" s="472" t="s">
        <v>526</v>
      </c>
      <c r="B246" s="472" t="s">
        <v>159</v>
      </c>
      <c r="C246" s="472" t="s">
        <v>298</v>
      </c>
      <c r="D246" s="472" t="s">
        <v>324</v>
      </c>
      <c r="E246" s="472" t="s">
        <v>325</v>
      </c>
      <c r="F246" s="472" t="s">
        <v>276</v>
      </c>
      <c r="G246" s="472" t="s">
        <v>527</v>
      </c>
      <c r="H246" s="472"/>
      <c r="I246" s="472" t="s">
        <v>277</v>
      </c>
      <c r="J246" s="472" t="s">
        <v>528</v>
      </c>
      <c r="K246" s="472" t="s">
        <v>301</v>
      </c>
      <c r="L246" s="472" t="s">
        <v>581</v>
      </c>
      <c r="M246" s="472" t="s">
        <v>285</v>
      </c>
      <c r="N246" s="472"/>
      <c r="O246" s="472"/>
      <c r="P246" s="472" t="s">
        <v>528</v>
      </c>
      <c r="Q246" s="472"/>
      <c r="R246" s="473">
        <v>45475</v>
      </c>
      <c r="S246" s="472"/>
      <c r="T246" s="473">
        <v>45473</v>
      </c>
      <c r="U246" s="474">
        <v>0</v>
      </c>
      <c r="V246" s="475">
        <v>108.16</v>
      </c>
      <c r="W246" s="259">
        <v>45444</v>
      </c>
    </row>
    <row r="247" spans="1:23" hidden="1" x14ac:dyDescent="0.35">
      <c r="A247" s="472" t="s">
        <v>526</v>
      </c>
      <c r="B247" s="472" t="s">
        <v>159</v>
      </c>
      <c r="C247" s="472" t="s">
        <v>298</v>
      </c>
      <c r="D247" s="472" t="s">
        <v>326</v>
      </c>
      <c r="E247" s="472" t="s">
        <v>327</v>
      </c>
      <c r="F247" s="472" t="s">
        <v>276</v>
      </c>
      <c r="G247" s="472" t="s">
        <v>527</v>
      </c>
      <c r="H247" s="472"/>
      <c r="I247" s="472" t="s">
        <v>277</v>
      </c>
      <c r="J247" s="472" t="s">
        <v>528</v>
      </c>
      <c r="K247" s="472" t="s">
        <v>301</v>
      </c>
      <c r="L247" s="472" t="s">
        <v>581</v>
      </c>
      <c r="M247" s="472" t="s">
        <v>285</v>
      </c>
      <c r="N247" s="472"/>
      <c r="O247" s="472"/>
      <c r="P247" s="472" t="s">
        <v>528</v>
      </c>
      <c r="Q247" s="472"/>
      <c r="R247" s="473">
        <v>45475</v>
      </c>
      <c r="S247" s="472"/>
      <c r="T247" s="473">
        <v>45473</v>
      </c>
      <c r="U247" s="474">
        <v>0</v>
      </c>
      <c r="V247" s="475">
        <v>2.78</v>
      </c>
      <c r="W247" s="259">
        <v>45444</v>
      </c>
    </row>
    <row r="248" spans="1:23" hidden="1" x14ac:dyDescent="0.35">
      <c r="A248" s="472" t="s">
        <v>526</v>
      </c>
      <c r="B248" s="472" t="s">
        <v>159</v>
      </c>
      <c r="C248" s="472" t="s">
        <v>298</v>
      </c>
      <c r="D248" s="472" t="s">
        <v>326</v>
      </c>
      <c r="E248" s="472" t="s">
        <v>327</v>
      </c>
      <c r="F248" s="472" t="s">
        <v>276</v>
      </c>
      <c r="G248" s="472" t="s">
        <v>527</v>
      </c>
      <c r="H248" s="472"/>
      <c r="I248" s="472" t="s">
        <v>277</v>
      </c>
      <c r="J248" s="472" t="s">
        <v>528</v>
      </c>
      <c r="K248" s="472" t="s">
        <v>301</v>
      </c>
      <c r="L248" s="472" t="s">
        <v>581</v>
      </c>
      <c r="M248" s="472" t="s">
        <v>285</v>
      </c>
      <c r="N248" s="472"/>
      <c r="O248" s="472"/>
      <c r="P248" s="472" t="s">
        <v>528</v>
      </c>
      <c r="Q248" s="472"/>
      <c r="R248" s="473">
        <v>45475</v>
      </c>
      <c r="S248" s="472"/>
      <c r="T248" s="473">
        <v>45473</v>
      </c>
      <c r="U248" s="474">
        <v>0</v>
      </c>
      <c r="V248" s="475">
        <v>0.17</v>
      </c>
      <c r="W248" s="259">
        <v>45444</v>
      </c>
    </row>
    <row r="249" spans="1:23" hidden="1" x14ac:dyDescent="0.35">
      <c r="A249" s="472" t="s">
        <v>526</v>
      </c>
      <c r="B249" s="472" t="s">
        <v>159</v>
      </c>
      <c r="C249" s="472" t="s">
        <v>298</v>
      </c>
      <c r="D249" s="472" t="s">
        <v>328</v>
      </c>
      <c r="E249" s="472" t="s">
        <v>329</v>
      </c>
      <c r="F249" s="472" t="s">
        <v>276</v>
      </c>
      <c r="G249" s="472" t="s">
        <v>527</v>
      </c>
      <c r="H249" s="472"/>
      <c r="I249" s="472" t="s">
        <v>277</v>
      </c>
      <c r="J249" s="472" t="s">
        <v>528</v>
      </c>
      <c r="K249" s="472" t="s">
        <v>301</v>
      </c>
      <c r="L249" s="472" t="s">
        <v>581</v>
      </c>
      <c r="M249" s="472" t="s">
        <v>285</v>
      </c>
      <c r="N249" s="472"/>
      <c r="O249" s="472"/>
      <c r="P249" s="472" t="s">
        <v>528</v>
      </c>
      <c r="Q249" s="472"/>
      <c r="R249" s="473">
        <v>45475</v>
      </c>
      <c r="S249" s="472"/>
      <c r="T249" s="473">
        <v>45473</v>
      </c>
      <c r="U249" s="474">
        <v>0</v>
      </c>
      <c r="V249" s="475">
        <v>288.86</v>
      </c>
      <c r="W249" s="259">
        <v>45444</v>
      </c>
    </row>
    <row r="250" spans="1:23" hidden="1" x14ac:dyDescent="0.35">
      <c r="A250" s="472" t="s">
        <v>526</v>
      </c>
      <c r="B250" s="472" t="s">
        <v>159</v>
      </c>
      <c r="C250" s="472" t="s">
        <v>298</v>
      </c>
      <c r="D250" s="472" t="s">
        <v>330</v>
      </c>
      <c r="E250" s="472" t="s">
        <v>331</v>
      </c>
      <c r="F250" s="472" t="s">
        <v>276</v>
      </c>
      <c r="G250" s="472" t="s">
        <v>527</v>
      </c>
      <c r="H250" s="472"/>
      <c r="I250" s="472" t="s">
        <v>277</v>
      </c>
      <c r="J250" s="472" t="s">
        <v>528</v>
      </c>
      <c r="K250" s="472" t="s">
        <v>301</v>
      </c>
      <c r="L250" s="472" t="s">
        <v>581</v>
      </c>
      <c r="M250" s="472" t="s">
        <v>285</v>
      </c>
      <c r="N250" s="472"/>
      <c r="O250" s="472"/>
      <c r="P250" s="472" t="s">
        <v>528</v>
      </c>
      <c r="Q250" s="472"/>
      <c r="R250" s="473">
        <v>45475</v>
      </c>
      <c r="S250" s="472"/>
      <c r="T250" s="473">
        <v>45473</v>
      </c>
      <c r="U250" s="474">
        <v>0</v>
      </c>
      <c r="V250" s="475">
        <v>-1.17</v>
      </c>
      <c r="W250" s="259">
        <v>45444</v>
      </c>
    </row>
    <row r="251" spans="1:23" hidden="1" x14ac:dyDescent="0.35">
      <c r="A251" s="472" t="s">
        <v>526</v>
      </c>
      <c r="B251" s="472" t="s">
        <v>159</v>
      </c>
      <c r="C251" s="472" t="s">
        <v>298</v>
      </c>
      <c r="D251" s="472" t="s">
        <v>332</v>
      </c>
      <c r="E251" s="472" t="s">
        <v>333</v>
      </c>
      <c r="F251" s="472" t="s">
        <v>276</v>
      </c>
      <c r="G251" s="472" t="s">
        <v>527</v>
      </c>
      <c r="H251" s="472"/>
      <c r="I251" s="472" t="s">
        <v>277</v>
      </c>
      <c r="J251" s="472" t="s">
        <v>528</v>
      </c>
      <c r="K251" s="472" t="s">
        <v>301</v>
      </c>
      <c r="L251" s="472" t="s">
        <v>581</v>
      </c>
      <c r="M251" s="472" t="s">
        <v>285</v>
      </c>
      <c r="N251" s="472"/>
      <c r="O251" s="472"/>
      <c r="P251" s="472" t="s">
        <v>528</v>
      </c>
      <c r="Q251" s="472"/>
      <c r="R251" s="473">
        <v>45475</v>
      </c>
      <c r="S251" s="472"/>
      <c r="T251" s="473">
        <v>45473</v>
      </c>
      <c r="U251" s="474">
        <v>0</v>
      </c>
      <c r="V251" s="475">
        <v>35.44</v>
      </c>
      <c r="W251" s="259">
        <v>45444</v>
      </c>
    </row>
    <row r="252" spans="1:23" hidden="1" x14ac:dyDescent="0.35">
      <c r="A252" s="472" t="s">
        <v>526</v>
      </c>
      <c r="B252" s="472" t="s">
        <v>159</v>
      </c>
      <c r="C252" s="472" t="s">
        <v>298</v>
      </c>
      <c r="D252" s="472" t="s">
        <v>334</v>
      </c>
      <c r="E252" s="472" t="s">
        <v>335</v>
      </c>
      <c r="F252" s="472" t="s">
        <v>276</v>
      </c>
      <c r="G252" s="472" t="s">
        <v>527</v>
      </c>
      <c r="H252" s="472"/>
      <c r="I252" s="472" t="s">
        <v>277</v>
      </c>
      <c r="J252" s="472" t="s">
        <v>528</v>
      </c>
      <c r="K252" s="472" t="s">
        <v>301</v>
      </c>
      <c r="L252" s="472" t="s">
        <v>581</v>
      </c>
      <c r="M252" s="472" t="s">
        <v>285</v>
      </c>
      <c r="N252" s="472"/>
      <c r="O252" s="472"/>
      <c r="P252" s="472" t="s">
        <v>528</v>
      </c>
      <c r="Q252" s="472"/>
      <c r="R252" s="473">
        <v>45475</v>
      </c>
      <c r="S252" s="472"/>
      <c r="T252" s="473">
        <v>45473</v>
      </c>
      <c r="U252" s="474">
        <v>0</v>
      </c>
      <c r="V252" s="475">
        <v>-9.0399999999999991</v>
      </c>
      <c r="W252" s="259">
        <v>45444</v>
      </c>
    </row>
    <row r="253" spans="1:23" hidden="1" x14ac:dyDescent="0.35">
      <c r="A253" s="472" t="s">
        <v>526</v>
      </c>
      <c r="B253" s="472" t="s">
        <v>159</v>
      </c>
      <c r="C253" s="472" t="s">
        <v>298</v>
      </c>
      <c r="D253" s="472" t="s">
        <v>336</v>
      </c>
      <c r="E253" s="472" t="s">
        <v>337</v>
      </c>
      <c r="F253" s="472" t="s">
        <v>276</v>
      </c>
      <c r="G253" s="472" t="s">
        <v>527</v>
      </c>
      <c r="H253" s="472"/>
      <c r="I253" s="472" t="s">
        <v>277</v>
      </c>
      <c r="J253" s="472" t="s">
        <v>528</v>
      </c>
      <c r="K253" s="472" t="s">
        <v>301</v>
      </c>
      <c r="L253" s="472" t="s">
        <v>581</v>
      </c>
      <c r="M253" s="472" t="s">
        <v>285</v>
      </c>
      <c r="N253" s="472"/>
      <c r="O253" s="472"/>
      <c r="P253" s="472" t="s">
        <v>528</v>
      </c>
      <c r="Q253" s="472"/>
      <c r="R253" s="473">
        <v>45475</v>
      </c>
      <c r="S253" s="472"/>
      <c r="T253" s="473">
        <v>45473</v>
      </c>
      <c r="U253" s="474">
        <v>0</v>
      </c>
      <c r="V253" s="475">
        <v>-0.01</v>
      </c>
      <c r="W253" s="259">
        <v>45444</v>
      </c>
    </row>
    <row r="254" spans="1:23" hidden="1" x14ac:dyDescent="0.35">
      <c r="A254" s="472" t="s">
        <v>526</v>
      </c>
      <c r="B254" s="472" t="s">
        <v>159</v>
      </c>
      <c r="C254" s="472" t="s">
        <v>298</v>
      </c>
      <c r="D254" s="472" t="s">
        <v>397</v>
      </c>
      <c r="E254" s="472" t="s">
        <v>398</v>
      </c>
      <c r="F254" s="472" t="s">
        <v>276</v>
      </c>
      <c r="G254" s="472" t="s">
        <v>527</v>
      </c>
      <c r="H254" s="472"/>
      <c r="I254" s="472" t="s">
        <v>277</v>
      </c>
      <c r="J254" s="472" t="s">
        <v>528</v>
      </c>
      <c r="K254" s="472" t="s">
        <v>301</v>
      </c>
      <c r="L254" s="472" t="s">
        <v>581</v>
      </c>
      <c r="M254" s="472" t="s">
        <v>285</v>
      </c>
      <c r="N254" s="472"/>
      <c r="O254" s="472"/>
      <c r="P254" s="472" t="s">
        <v>528</v>
      </c>
      <c r="Q254" s="472"/>
      <c r="R254" s="473">
        <v>45475</v>
      </c>
      <c r="S254" s="472"/>
      <c r="T254" s="473">
        <v>45473</v>
      </c>
      <c r="U254" s="474">
        <v>0</v>
      </c>
      <c r="V254" s="475">
        <v>0.27</v>
      </c>
      <c r="W254" s="259">
        <v>45444</v>
      </c>
    </row>
    <row r="255" spans="1:23" hidden="1" x14ac:dyDescent="0.35">
      <c r="A255" s="472" t="s">
        <v>526</v>
      </c>
      <c r="B255" s="472" t="s">
        <v>159</v>
      </c>
      <c r="C255" s="472" t="s">
        <v>298</v>
      </c>
      <c r="D255" s="472" t="s">
        <v>338</v>
      </c>
      <c r="E255" s="472" t="s">
        <v>339</v>
      </c>
      <c r="F255" s="472" t="s">
        <v>276</v>
      </c>
      <c r="G255" s="472" t="s">
        <v>527</v>
      </c>
      <c r="H255" s="472"/>
      <c r="I255" s="472" t="s">
        <v>277</v>
      </c>
      <c r="J255" s="472" t="s">
        <v>528</v>
      </c>
      <c r="K255" s="472" t="s">
        <v>301</v>
      </c>
      <c r="L255" s="472" t="s">
        <v>581</v>
      </c>
      <c r="M255" s="472" t="s">
        <v>285</v>
      </c>
      <c r="N255" s="472"/>
      <c r="O255" s="472"/>
      <c r="P255" s="472" t="s">
        <v>528</v>
      </c>
      <c r="Q255" s="472"/>
      <c r="R255" s="473">
        <v>45475</v>
      </c>
      <c r="S255" s="472"/>
      <c r="T255" s="473">
        <v>45473</v>
      </c>
      <c r="U255" s="474">
        <v>0</v>
      </c>
      <c r="V255" s="475">
        <v>-0.03</v>
      </c>
      <c r="W255" s="259">
        <v>45444</v>
      </c>
    </row>
    <row r="256" spans="1:23" hidden="1" x14ac:dyDescent="0.35">
      <c r="A256" s="472" t="s">
        <v>526</v>
      </c>
      <c r="B256" s="472" t="s">
        <v>159</v>
      </c>
      <c r="C256" s="472" t="s">
        <v>281</v>
      </c>
      <c r="D256" s="472" t="s">
        <v>340</v>
      </c>
      <c r="E256" s="472" t="s">
        <v>283</v>
      </c>
      <c r="F256" s="472" t="s">
        <v>276</v>
      </c>
      <c r="G256" s="472" t="s">
        <v>527</v>
      </c>
      <c r="H256" s="472"/>
      <c r="I256" s="472" t="s">
        <v>277</v>
      </c>
      <c r="J256" s="472" t="s">
        <v>528</v>
      </c>
      <c r="K256" s="472" t="s">
        <v>284</v>
      </c>
      <c r="L256" s="472" t="s">
        <v>581</v>
      </c>
      <c r="M256" s="472" t="s">
        <v>285</v>
      </c>
      <c r="N256" s="472"/>
      <c r="O256" s="472"/>
      <c r="P256" s="472" t="s">
        <v>528</v>
      </c>
      <c r="Q256" s="472"/>
      <c r="R256" s="473">
        <v>45474</v>
      </c>
      <c r="S256" s="472"/>
      <c r="T256" s="473">
        <v>45473</v>
      </c>
      <c r="U256" s="474">
        <v>0</v>
      </c>
      <c r="V256" s="475">
        <v>109.24</v>
      </c>
      <c r="W256" s="259">
        <v>45444</v>
      </c>
    </row>
    <row r="257" spans="1:23" hidden="1" x14ac:dyDescent="0.35">
      <c r="A257" s="472" t="s">
        <v>526</v>
      </c>
      <c r="B257" s="472" t="s">
        <v>159</v>
      </c>
      <c r="C257" s="472" t="s">
        <v>286</v>
      </c>
      <c r="D257" s="472" t="s">
        <v>341</v>
      </c>
      <c r="E257" s="472" t="s">
        <v>288</v>
      </c>
      <c r="F257" s="472" t="s">
        <v>276</v>
      </c>
      <c r="G257" s="472" t="s">
        <v>527</v>
      </c>
      <c r="H257" s="472"/>
      <c r="I257" s="472" t="s">
        <v>277</v>
      </c>
      <c r="J257" s="472" t="s">
        <v>528</v>
      </c>
      <c r="K257" s="472" t="s">
        <v>289</v>
      </c>
      <c r="L257" s="472" t="s">
        <v>581</v>
      </c>
      <c r="M257" s="472" t="s">
        <v>285</v>
      </c>
      <c r="N257" s="472"/>
      <c r="O257" s="472"/>
      <c r="P257" s="472" t="s">
        <v>528</v>
      </c>
      <c r="Q257" s="472"/>
      <c r="R257" s="473">
        <v>45474</v>
      </c>
      <c r="S257" s="472"/>
      <c r="T257" s="473">
        <v>45473</v>
      </c>
      <c r="U257" s="474">
        <v>0</v>
      </c>
      <c r="V257" s="475">
        <v>264.81</v>
      </c>
      <c r="W257" s="259">
        <v>45444</v>
      </c>
    </row>
    <row r="258" spans="1:23" hidden="1" x14ac:dyDescent="0.35">
      <c r="A258" s="472" t="s">
        <v>526</v>
      </c>
      <c r="B258" s="472" t="s">
        <v>159</v>
      </c>
      <c r="C258" s="472" t="s">
        <v>281</v>
      </c>
      <c r="D258" s="472" t="s">
        <v>342</v>
      </c>
      <c r="E258" s="472" t="s">
        <v>291</v>
      </c>
      <c r="F258" s="472" t="s">
        <v>276</v>
      </c>
      <c r="G258" s="472" t="s">
        <v>527</v>
      </c>
      <c r="H258" s="472"/>
      <c r="I258" s="472" t="s">
        <v>277</v>
      </c>
      <c r="J258" s="472" t="s">
        <v>528</v>
      </c>
      <c r="K258" s="472" t="s">
        <v>284</v>
      </c>
      <c r="L258" s="472" t="s">
        <v>581</v>
      </c>
      <c r="M258" s="472" t="s">
        <v>285</v>
      </c>
      <c r="N258" s="472"/>
      <c r="O258" s="472"/>
      <c r="P258" s="472" t="s">
        <v>528</v>
      </c>
      <c r="Q258" s="472"/>
      <c r="R258" s="473">
        <v>45474</v>
      </c>
      <c r="S258" s="472"/>
      <c r="T258" s="473">
        <v>45473</v>
      </c>
      <c r="U258" s="474">
        <v>0</v>
      </c>
      <c r="V258" s="475">
        <v>129.79</v>
      </c>
      <c r="W258" s="259">
        <v>45444</v>
      </c>
    </row>
    <row r="259" spans="1:23" hidden="1" x14ac:dyDescent="0.35">
      <c r="A259" s="472" t="s">
        <v>526</v>
      </c>
      <c r="B259" s="472" t="s">
        <v>159</v>
      </c>
      <c r="C259" s="472" t="s">
        <v>281</v>
      </c>
      <c r="D259" s="472" t="s">
        <v>343</v>
      </c>
      <c r="E259" s="472" t="s">
        <v>293</v>
      </c>
      <c r="F259" s="472" t="s">
        <v>276</v>
      </c>
      <c r="G259" s="472" t="s">
        <v>527</v>
      </c>
      <c r="H259" s="472"/>
      <c r="I259" s="472" t="s">
        <v>277</v>
      </c>
      <c r="J259" s="472" t="s">
        <v>528</v>
      </c>
      <c r="K259" s="472" t="s">
        <v>294</v>
      </c>
      <c r="L259" s="472" t="s">
        <v>581</v>
      </c>
      <c r="M259" s="472" t="s">
        <v>285</v>
      </c>
      <c r="N259" s="472"/>
      <c r="O259" s="472"/>
      <c r="P259" s="472" t="s">
        <v>528</v>
      </c>
      <c r="Q259" s="472"/>
      <c r="R259" s="473">
        <v>45474</v>
      </c>
      <c r="S259" s="472"/>
      <c r="T259" s="473">
        <v>45473</v>
      </c>
      <c r="U259" s="474">
        <v>0</v>
      </c>
      <c r="V259" s="475">
        <v>298.89999999999998</v>
      </c>
      <c r="W259" s="259">
        <v>45444</v>
      </c>
    </row>
    <row r="260" spans="1:23" hidden="1" x14ac:dyDescent="0.35">
      <c r="A260" s="472" t="s">
        <v>526</v>
      </c>
      <c r="B260" s="472" t="s">
        <v>159</v>
      </c>
      <c r="C260" s="472" t="s">
        <v>286</v>
      </c>
      <c r="D260" s="472" t="s">
        <v>344</v>
      </c>
      <c r="E260" s="472" t="s">
        <v>296</v>
      </c>
      <c r="F260" s="472" t="s">
        <v>276</v>
      </c>
      <c r="G260" s="472" t="s">
        <v>527</v>
      </c>
      <c r="H260" s="472"/>
      <c r="I260" s="472" t="s">
        <v>277</v>
      </c>
      <c r="J260" s="472" t="s">
        <v>528</v>
      </c>
      <c r="K260" s="472" t="s">
        <v>297</v>
      </c>
      <c r="L260" s="472" t="s">
        <v>581</v>
      </c>
      <c r="M260" s="472" t="s">
        <v>285</v>
      </c>
      <c r="N260" s="472"/>
      <c r="O260" s="472"/>
      <c r="P260" s="472" t="s">
        <v>528</v>
      </c>
      <c r="Q260" s="472"/>
      <c r="R260" s="473">
        <v>45474</v>
      </c>
      <c r="S260" s="472"/>
      <c r="T260" s="473">
        <v>45473</v>
      </c>
      <c r="U260" s="474">
        <v>0</v>
      </c>
      <c r="V260" s="475">
        <v>403.77</v>
      </c>
      <c r="W260" s="259">
        <v>45444</v>
      </c>
    </row>
    <row r="261" spans="1:23" hidden="1" x14ac:dyDescent="0.35">
      <c r="A261" s="472" t="s">
        <v>526</v>
      </c>
      <c r="B261" s="472" t="s">
        <v>159</v>
      </c>
      <c r="C261" s="472" t="s">
        <v>298</v>
      </c>
      <c r="D261" s="472" t="s">
        <v>345</v>
      </c>
      <c r="E261" s="472" t="s">
        <v>346</v>
      </c>
      <c r="F261" s="472" t="s">
        <v>276</v>
      </c>
      <c r="G261" s="472" t="s">
        <v>527</v>
      </c>
      <c r="H261" s="472"/>
      <c r="I261" s="472" t="s">
        <v>277</v>
      </c>
      <c r="J261" s="472" t="s">
        <v>528</v>
      </c>
      <c r="K261" s="472" t="s">
        <v>301</v>
      </c>
      <c r="L261" s="472" t="s">
        <v>581</v>
      </c>
      <c r="M261" s="472" t="s">
        <v>285</v>
      </c>
      <c r="N261" s="472"/>
      <c r="O261" s="472"/>
      <c r="P261" s="472" t="s">
        <v>528</v>
      </c>
      <c r="Q261" s="472"/>
      <c r="R261" s="473">
        <v>45475</v>
      </c>
      <c r="S261" s="472"/>
      <c r="T261" s="473">
        <v>45473</v>
      </c>
      <c r="U261" s="474">
        <v>0</v>
      </c>
      <c r="V261" s="475">
        <v>0.03</v>
      </c>
      <c r="W261" s="259">
        <v>45444</v>
      </c>
    </row>
    <row r="262" spans="1:23" hidden="1" x14ac:dyDescent="0.35">
      <c r="A262" s="472" t="s">
        <v>526</v>
      </c>
      <c r="B262" s="472" t="s">
        <v>159</v>
      </c>
      <c r="C262" s="472" t="s">
        <v>298</v>
      </c>
      <c r="D262" s="472" t="s">
        <v>347</v>
      </c>
      <c r="E262" s="472" t="s">
        <v>348</v>
      </c>
      <c r="F262" s="472" t="s">
        <v>276</v>
      </c>
      <c r="G262" s="472" t="s">
        <v>527</v>
      </c>
      <c r="H262" s="472"/>
      <c r="I262" s="472" t="s">
        <v>277</v>
      </c>
      <c r="J262" s="472" t="s">
        <v>528</v>
      </c>
      <c r="K262" s="472" t="s">
        <v>301</v>
      </c>
      <c r="L262" s="472" t="s">
        <v>581</v>
      </c>
      <c r="M262" s="472" t="s">
        <v>285</v>
      </c>
      <c r="N262" s="472"/>
      <c r="O262" s="472"/>
      <c r="P262" s="472" t="s">
        <v>528</v>
      </c>
      <c r="Q262" s="472"/>
      <c r="R262" s="473">
        <v>45475</v>
      </c>
      <c r="S262" s="472"/>
      <c r="T262" s="473">
        <v>45473</v>
      </c>
      <c r="U262" s="474">
        <v>0</v>
      </c>
      <c r="V262" s="475">
        <v>-0.1</v>
      </c>
      <c r="W262" s="259">
        <v>45444</v>
      </c>
    </row>
    <row r="263" spans="1:23" hidden="1" x14ac:dyDescent="0.35">
      <c r="A263" s="472" t="s">
        <v>526</v>
      </c>
      <c r="B263" s="472" t="s">
        <v>159</v>
      </c>
      <c r="C263" s="472" t="s">
        <v>298</v>
      </c>
      <c r="D263" s="472" t="s">
        <v>347</v>
      </c>
      <c r="E263" s="472" t="s">
        <v>348</v>
      </c>
      <c r="F263" s="472" t="s">
        <v>276</v>
      </c>
      <c r="G263" s="472" t="s">
        <v>527</v>
      </c>
      <c r="H263" s="472"/>
      <c r="I263" s="472" t="s">
        <v>277</v>
      </c>
      <c r="J263" s="472" t="s">
        <v>528</v>
      </c>
      <c r="K263" s="472" t="s">
        <v>301</v>
      </c>
      <c r="L263" s="472" t="s">
        <v>581</v>
      </c>
      <c r="M263" s="472" t="s">
        <v>285</v>
      </c>
      <c r="N263" s="472"/>
      <c r="O263" s="472"/>
      <c r="P263" s="472" t="s">
        <v>528</v>
      </c>
      <c r="Q263" s="472"/>
      <c r="R263" s="473">
        <v>45475</v>
      </c>
      <c r="S263" s="472"/>
      <c r="T263" s="473">
        <v>45473</v>
      </c>
      <c r="U263" s="474">
        <v>0</v>
      </c>
      <c r="V263" s="475">
        <v>0.82</v>
      </c>
      <c r="W263" s="259">
        <v>45444</v>
      </c>
    </row>
    <row r="264" spans="1:23" hidden="1" x14ac:dyDescent="0.35">
      <c r="A264" s="472" t="s">
        <v>526</v>
      </c>
      <c r="B264" s="472" t="s">
        <v>159</v>
      </c>
      <c r="C264" s="472" t="s">
        <v>298</v>
      </c>
      <c r="D264" s="472" t="s">
        <v>349</v>
      </c>
      <c r="E264" s="472" t="s">
        <v>350</v>
      </c>
      <c r="F264" s="472" t="s">
        <v>276</v>
      </c>
      <c r="G264" s="472" t="s">
        <v>527</v>
      </c>
      <c r="H264" s="472"/>
      <c r="I264" s="472" t="s">
        <v>277</v>
      </c>
      <c r="J264" s="472" t="s">
        <v>528</v>
      </c>
      <c r="K264" s="472" t="s">
        <v>301</v>
      </c>
      <c r="L264" s="472" t="s">
        <v>581</v>
      </c>
      <c r="M264" s="472" t="s">
        <v>285</v>
      </c>
      <c r="N264" s="472"/>
      <c r="O264" s="472"/>
      <c r="P264" s="472" t="s">
        <v>528</v>
      </c>
      <c r="Q264" s="472"/>
      <c r="R264" s="473">
        <v>45475</v>
      </c>
      <c r="S264" s="472"/>
      <c r="T264" s="473">
        <v>45473</v>
      </c>
      <c r="U264" s="474">
        <v>0</v>
      </c>
      <c r="V264" s="475">
        <v>0.16</v>
      </c>
      <c r="W264" s="259">
        <v>45444</v>
      </c>
    </row>
    <row r="265" spans="1:23" hidden="1" x14ac:dyDescent="0.35">
      <c r="A265" s="472" t="s">
        <v>526</v>
      </c>
      <c r="B265" s="472" t="s">
        <v>159</v>
      </c>
      <c r="C265" s="472" t="s">
        <v>298</v>
      </c>
      <c r="D265" s="472" t="s">
        <v>351</v>
      </c>
      <c r="E265" s="472" t="s">
        <v>352</v>
      </c>
      <c r="F265" s="472" t="s">
        <v>276</v>
      </c>
      <c r="G265" s="472" t="s">
        <v>527</v>
      </c>
      <c r="H265" s="472"/>
      <c r="I265" s="472" t="s">
        <v>277</v>
      </c>
      <c r="J265" s="472" t="s">
        <v>528</v>
      </c>
      <c r="K265" s="472" t="s">
        <v>301</v>
      </c>
      <c r="L265" s="472" t="s">
        <v>581</v>
      </c>
      <c r="M265" s="472" t="s">
        <v>285</v>
      </c>
      <c r="N265" s="472"/>
      <c r="O265" s="472"/>
      <c r="P265" s="472" t="s">
        <v>528</v>
      </c>
      <c r="Q265" s="472"/>
      <c r="R265" s="473">
        <v>45475</v>
      </c>
      <c r="S265" s="472"/>
      <c r="T265" s="473">
        <v>45473</v>
      </c>
      <c r="U265" s="474">
        <v>0</v>
      </c>
      <c r="V265" s="475">
        <v>0.22</v>
      </c>
      <c r="W265" s="259">
        <v>45444</v>
      </c>
    </row>
    <row r="266" spans="1:23" hidden="1" x14ac:dyDescent="0.35">
      <c r="A266" s="472" t="s">
        <v>526</v>
      </c>
      <c r="B266" s="472" t="s">
        <v>159</v>
      </c>
      <c r="C266" s="472" t="s">
        <v>298</v>
      </c>
      <c r="D266" s="472" t="s">
        <v>351</v>
      </c>
      <c r="E266" s="472" t="s">
        <v>352</v>
      </c>
      <c r="F266" s="472" t="s">
        <v>276</v>
      </c>
      <c r="G266" s="472" t="s">
        <v>527</v>
      </c>
      <c r="H266" s="472"/>
      <c r="I266" s="472" t="s">
        <v>277</v>
      </c>
      <c r="J266" s="472" t="s">
        <v>528</v>
      </c>
      <c r="K266" s="472" t="s">
        <v>301</v>
      </c>
      <c r="L266" s="472" t="s">
        <v>581</v>
      </c>
      <c r="M266" s="472" t="s">
        <v>285</v>
      </c>
      <c r="N266" s="472"/>
      <c r="O266" s="472"/>
      <c r="P266" s="472" t="s">
        <v>528</v>
      </c>
      <c r="Q266" s="472"/>
      <c r="R266" s="473">
        <v>45475</v>
      </c>
      <c r="S266" s="472"/>
      <c r="T266" s="473">
        <v>45473</v>
      </c>
      <c r="U266" s="474">
        <v>0</v>
      </c>
      <c r="V266" s="475">
        <v>0.32</v>
      </c>
      <c r="W266" s="259">
        <v>45444</v>
      </c>
    </row>
    <row r="267" spans="1:23" hidden="1" x14ac:dyDescent="0.35">
      <c r="A267" s="472" t="s">
        <v>526</v>
      </c>
      <c r="B267" s="472" t="s">
        <v>159</v>
      </c>
      <c r="C267" s="472" t="s">
        <v>298</v>
      </c>
      <c r="D267" s="472" t="s">
        <v>354</v>
      </c>
      <c r="E267" s="472" t="s">
        <v>355</v>
      </c>
      <c r="F267" s="472" t="s">
        <v>276</v>
      </c>
      <c r="G267" s="472" t="s">
        <v>527</v>
      </c>
      <c r="H267" s="472"/>
      <c r="I267" s="472" t="s">
        <v>277</v>
      </c>
      <c r="J267" s="472" t="s">
        <v>528</v>
      </c>
      <c r="K267" s="472" t="s">
        <v>301</v>
      </c>
      <c r="L267" s="472" t="s">
        <v>581</v>
      </c>
      <c r="M267" s="472" t="s">
        <v>285</v>
      </c>
      <c r="N267" s="472"/>
      <c r="O267" s="472"/>
      <c r="P267" s="472" t="s">
        <v>528</v>
      </c>
      <c r="Q267" s="472"/>
      <c r="R267" s="473">
        <v>45475</v>
      </c>
      <c r="S267" s="472"/>
      <c r="T267" s="473">
        <v>45473</v>
      </c>
      <c r="U267" s="474">
        <v>0</v>
      </c>
      <c r="V267" s="475">
        <v>0.05</v>
      </c>
      <c r="W267" s="259">
        <v>45444</v>
      </c>
    </row>
    <row r="268" spans="1:23" hidden="1" x14ac:dyDescent="0.35">
      <c r="A268" s="472" t="s">
        <v>526</v>
      </c>
      <c r="B268" s="472" t="s">
        <v>159</v>
      </c>
      <c r="C268" s="472" t="s">
        <v>542</v>
      </c>
      <c r="D268" s="472" t="s">
        <v>560</v>
      </c>
      <c r="E268" s="472" t="s">
        <v>544</v>
      </c>
      <c r="F268" s="472" t="s">
        <v>276</v>
      </c>
      <c r="G268" s="472" t="s">
        <v>527</v>
      </c>
      <c r="H268" s="472"/>
      <c r="I268" s="472" t="s">
        <v>277</v>
      </c>
      <c r="J268" s="472" t="s">
        <v>528</v>
      </c>
      <c r="K268" s="472" t="s">
        <v>545</v>
      </c>
      <c r="L268" s="472" t="s">
        <v>581</v>
      </c>
      <c r="M268" s="472" t="s">
        <v>285</v>
      </c>
      <c r="N268" s="472"/>
      <c r="O268" s="472"/>
      <c r="P268" s="472" t="s">
        <v>528</v>
      </c>
      <c r="Q268" s="472"/>
      <c r="R268" s="473">
        <v>45474</v>
      </c>
      <c r="S268" s="472"/>
      <c r="T268" s="473">
        <v>45473</v>
      </c>
      <c r="U268" s="474">
        <v>0</v>
      </c>
      <c r="V268" s="475">
        <v>0.54</v>
      </c>
      <c r="W268" s="259">
        <v>45444</v>
      </c>
    </row>
    <row r="269" spans="1:23" hidden="1" x14ac:dyDescent="0.35">
      <c r="A269" s="472" t="s">
        <v>526</v>
      </c>
      <c r="B269" s="472" t="s">
        <v>159</v>
      </c>
      <c r="C269" s="472" t="s">
        <v>546</v>
      </c>
      <c r="D269" s="472" t="s">
        <v>561</v>
      </c>
      <c r="E269" s="472" t="s">
        <v>548</v>
      </c>
      <c r="F269" s="472" t="s">
        <v>276</v>
      </c>
      <c r="G269" s="472" t="s">
        <v>527</v>
      </c>
      <c r="H269" s="472"/>
      <c r="I269" s="472" t="s">
        <v>277</v>
      </c>
      <c r="J269" s="472" t="s">
        <v>528</v>
      </c>
      <c r="K269" s="472" t="s">
        <v>549</v>
      </c>
      <c r="L269" s="472" t="s">
        <v>581</v>
      </c>
      <c r="M269" s="472" t="s">
        <v>285</v>
      </c>
      <c r="N269" s="472"/>
      <c r="O269" s="472"/>
      <c r="P269" s="472" t="s">
        <v>528</v>
      </c>
      <c r="Q269" s="472"/>
      <c r="R269" s="473">
        <v>45474</v>
      </c>
      <c r="S269" s="472"/>
      <c r="T269" s="473">
        <v>45473</v>
      </c>
      <c r="U269" s="474">
        <v>0</v>
      </c>
      <c r="V269" s="475">
        <v>-3.82</v>
      </c>
      <c r="W269" s="259">
        <v>45444</v>
      </c>
    </row>
    <row r="270" spans="1:23" hidden="1" x14ac:dyDescent="0.35">
      <c r="A270" s="472" t="s">
        <v>526</v>
      </c>
      <c r="B270" s="472" t="s">
        <v>159</v>
      </c>
      <c r="C270" s="472" t="s">
        <v>542</v>
      </c>
      <c r="D270" s="472" t="s">
        <v>562</v>
      </c>
      <c r="E270" s="472" t="s">
        <v>551</v>
      </c>
      <c r="F270" s="472" t="s">
        <v>276</v>
      </c>
      <c r="G270" s="472" t="s">
        <v>527</v>
      </c>
      <c r="H270" s="472"/>
      <c r="I270" s="472" t="s">
        <v>277</v>
      </c>
      <c r="J270" s="472" t="s">
        <v>528</v>
      </c>
      <c r="K270" s="472" t="s">
        <v>545</v>
      </c>
      <c r="L270" s="472" t="s">
        <v>581</v>
      </c>
      <c r="M270" s="472" t="s">
        <v>285</v>
      </c>
      <c r="N270" s="472"/>
      <c r="O270" s="472"/>
      <c r="P270" s="472" t="s">
        <v>528</v>
      </c>
      <c r="Q270" s="472"/>
      <c r="R270" s="473">
        <v>45474</v>
      </c>
      <c r="S270" s="472"/>
      <c r="T270" s="473">
        <v>45473</v>
      </c>
      <c r="U270" s="474">
        <v>0</v>
      </c>
      <c r="V270" s="475">
        <v>0.08</v>
      </c>
      <c r="W270" s="259">
        <v>45444</v>
      </c>
    </row>
    <row r="271" spans="1:23" hidden="1" x14ac:dyDescent="0.35">
      <c r="A271" s="472" t="s">
        <v>526</v>
      </c>
      <c r="B271" s="472" t="s">
        <v>159</v>
      </c>
      <c r="C271" s="472" t="s">
        <v>542</v>
      </c>
      <c r="D271" s="472" t="s">
        <v>563</v>
      </c>
      <c r="E271" s="472" t="s">
        <v>553</v>
      </c>
      <c r="F271" s="472" t="s">
        <v>276</v>
      </c>
      <c r="G271" s="472" t="s">
        <v>527</v>
      </c>
      <c r="H271" s="472"/>
      <c r="I271" s="472" t="s">
        <v>277</v>
      </c>
      <c r="J271" s="472" t="s">
        <v>528</v>
      </c>
      <c r="K271" s="472" t="s">
        <v>554</v>
      </c>
      <c r="L271" s="472" t="s">
        <v>581</v>
      </c>
      <c r="M271" s="472" t="s">
        <v>285</v>
      </c>
      <c r="N271" s="472"/>
      <c r="O271" s="472"/>
      <c r="P271" s="472" t="s">
        <v>528</v>
      </c>
      <c r="Q271" s="472"/>
      <c r="R271" s="473">
        <v>45474</v>
      </c>
      <c r="S271" s="472"/>
      <c r="T271" s="473">
        <v>45473</v>
      </c>
      <c r="U271" s="474">
        <v>0</v>
      </c>
      <c r="V271" s="475">
        <v>3.07</v>
      </c>
      <c r="W271" s="259">
        <v>45444</v>
      </c>
    </row>
    <row r="272" spans="1:23" hidden="1" x14ac:dyDescent="0.35">
      <c r="A272" s="472" t="s">
        <v>526</v>
      </c>
      <c r="B272" s="472" t="s">
        <v>159</v>
      </c>
      <c r="C272" s="472" t="s">
        <v>546</v>
      </c>
      <c r="D272" s="472" t="s">
        <v>564</v>
      </c>
      <c r="E272" s="472" t="s">
        <v>556</v>
      </c>
      <c r="F272" s="472" t="s">
        <v>276</v>
      </c>
      <c r="G272" s="472" t="s">
        <v>527</v>
      </c>
      <c r="H272" s="472"/>
      <c r="I272" s="472" t="s">
        <v>277</v>
      </c>
      <c r="J272" s="472" t="s">
        <v>528</v>
      </c>
      <c r="K272" s="472" t="s">
        <v>557</v>
      </c>
      <c r="L272" s="472" t="s">
        <v>581</v>
      </c>
      <c r="M272" s="472" t="s">
        <v>285</v>
      </c>
      <c r="N272" s="472"/>
      <c r="O272" s="472"/>
      <c r="P272" s="472" t="s">
        <v>528</v>
      </c>
      <c r="Q272" s="472"/>
      <c r="R272" s="473">
        <v>45474</v>
      </c>
      <c r="S272" s="472"/>
      <c r="T272" s="473">
        <v>45473</v>
      </c>
      <c r="U272" s="474">
        <v>0</v>
      </c>
      <c r="V272" s="475">
        <v>5.43</v>
      </c>
      <c r="W272" s="259">
        <v>45444</v>
      </c>
    </row>
    <row r="273" spans="1:23" hidden="1" x14ac:dyDescent="0.35">
      <c r="A273" s="472" t="s">
        <v>526</v>
      </c>
      <c r="B273" s="472" t="s">
        <v>159</v>
      </c>
      <c r="C273" s="472" t="s">
        <v>530</v>
      </c>
      <c r="D273" s="472" t="s">
        <v>531</v>
      </c>
      <c r="E273" s="472" t="s">
        <v>532</v>
      </c>
      <c r="F273" s="472" t="s">
        <v>276</v>
      </c>
      <c r="G273" s="472" t="s">
        <v>527</v>
      </c>
      <c r="H273" s="472" t="s">
        <v>565</v>
      </c>
      <c r="I273" s="472" t="s">
        <v>277</v>
      </c>
      <c r="J273" s="472" t="s">
        <v>528</v>
      </c>
      <c r="K273" s="472" t="s">
        <v>534</v>
      </c>
      <c r="L273" s="472" t="s">
        <v>581</v>
      </c>
      <c r="M273" s="472" t="s">
        <v>566</v>
      </c>
      <c r="N273" s="472"/>
      <c r="O273" s="472"/>
      <c r="P273" s="472" t="s">
        <v>528</v>
      </c>
      <c r="Q273" s="472"/>
      <c r="R273" s="473">
        <v>45447</v>
      </c>
      <c r="S273" s="472" t="s">
        <v>278</v>
      </c>
      <c r="T273" s="473">
        <v>45453</v>
      </c>
      <c r="U273" s="474">
        <v>6</v>
      </c>
      <c r="V273" s="475">
        <v>603.72</v>
      </c>
      <c r="W273" s="259">
        <v>45444</v>
      </c>
    </row>
    <row r="274" spans="1:23" hidden="1" x14ac:dyDescent="0.35">
      <c r="A274" s="472" t="s">
        <v>526</v>
      </c>
      <c r="B274" s="472" t="s">
        <v>159</v>
      </c>
      <c r="C274" s="472" t="s">
        <v>530</v>
      </c>
      <c r="D274" s="472" t="s">
        <v>531</v>
      </c>
      <c r="E274" s="472" t="s">
        <v>532</v>
      </c>
      <c r="F274" s="472" t="s">
        <v>276</v>
      </c>
      <c r="G274" s="472" t="s">
        <v>527</v>
      </c>
      <c r="H274" s="472" t="s">
        <v>533</v>
      </c>
      <c r="I274" s="472" t="s">
        <v>277</v>
      </c>
      <c r="J274" s="472" t="s">
        <v>528</v>
      </c>
      <c r="K274" s="472" t="s">
        <v>534</v>
      </c>
      <c r="L274" s="472" t="s">
        <v>581</v>
      </c>
      <c r="M274" s="472" t="s">
        <v>535</v>
      </c>
      <c r="N274" s="472"/>
      <c r="O274" s="472"/>
      <c r="P274" s="472" t="s">
        <v>528</v>
      </c>
      <c r="Q274" s="472"/>
      <c r="R274" s="473">
        <v>45442</v>
      </c>
      <c r="S274" s="472" t="s">
        <v>278</v>
      </c>
      <c r="T274" s="473">
        <v>45448</v>
      </c>
      <c r="U274" s="474">
        <v>4</v>
      </c>
      <c r="V274" s="475">
        <v>402.48</v>
      </c>
      <c r="W274" s="259">
        <v>45444</v>
      </c>
    </row>
    <row r="275" spans="1:23" hidden="1" x14ac:dyDescent="0.35">
      <c r="A275" s="472" t="s">
        <v>526</v>
      </c>
      <c r="B275" s="472" t="s">
        <v>159</v>
      </c>
      <c r="C275" s="472" t="s">
        <v>530</v>
      </c>
      <c r="D275" s="472" t="s">
        <v>531</v>
      </c>
      <c r="E275" s="472" t="s">
        <v>532</v>
      </c>
      <c r="F275" s="472" t="s">
        <v>276</v>
      </c>
      <c r="G275" s="472" t="s">
        <v>527</v>
      </c>
      <c r="H275" s="472" t="s">
        <v>533</v>
      </c>
      <c r="I275" s="472" t="s">
        <v>277</v>
      </c>
      <c r="J275" s="472" t="s">
        <v>528</v>
      </c>
      <c r="K275" s="472" t="s">
        <v>534</v>
      </c>
      <c r="L275" s="472" t="s">
        <v>581</v>
      </c>
      <c r="M275" s="472" t="s">
        <v>535</v>
      </c>
      <c r="N275" s="472"/>
      <c r="O275" s="472"/>
      <c r="P275" s="472" t="s">
        <v>528</v>
      </c>
      <c r="Q275" s="472"/>
      <c r="R275" s="473">
        <v>45441</v>
      </c>
      <c r="S275" s="472" t="s">
        <v>278</v>
      </c>
      <c r="T275" s="473">
        <v>45448</v>
      </c>
      <c r="U275" s="474">
        <v>2</v>
      </c>
      <c r="V275" s="475">
        <v>201.24</v>
      </c>
      <c r="W275" s="259">
        <v>45444</v>
      </c>
    </row>
    <row r="276" spans="1:23" hidden="1" x14ac:dyDescent="0.35">
      <c r="A276" s="472" t="s">
        <v>526</v>
      </c>
      <c r="B276" s="472" t="s">
        <v>159</v>
      </c>
      <c r="C276" s="472" t="s">
        <v>530</v>
      </c>
      <c r="D276" s="472" t="s">
        <v>531</v>
      </c>
      <c r="E276" s="472" t="s">
        <v>532</v>
      </c>
      <c r="F276" s="472" t="s">
        <v>276</v>
      </c>
      <c r="G276" s="472" t="s">
        <v>527</v>
      </c>
      <c r="H276" s="472" t="s">
        <v>533</v>
      </c>
      <c r="I276" s="472" t="s">
        <v>277</v>
      </c>
      <c r="J276" s="472" t="s">
        <v>528</v>
      </c>
      <c r="K276" s="472" t="s">
        <v>534</v>
      </c>
      <c r="L276" s="472" t="s">
        <v>581</v>
      </c>
      <c r="M276" s="472" t="s">
        <v>535</v>
      </c>
      <c r="N276" s="472"/>
      <c r="O276" s="472"/>
      <c r="P276" s="472" t="s">
        <v>528</v>
      </c>
      <c r="Q276" s="472"/>
      <c r="R276" s="473">
        <v>45443</v>
      </c>
      <c r="S276" s="472" t="s">
        <v>278</v>
      </c>
      <c r="T276" s="473">
        <v>45448</v>
      </c>
      <c r="U276" s="474">
        <v>2</v>
      </c>
      <c r="V276" s="475">
        <v>201.24</v>
      </c>
      <c r="W276" s="259">
        <v>45444</v>
      </c>
    </row>
    <row r="277" spans="1:23" hidden="1" x14ac:dyDescent="0.35">
      <c r="A277" s="472" t="s">
        <v>526</v>
      </c>
      <c r="B277" s="472" t="s">
        <v>159</v>
      </c>
      <c r="C277" s="472" t="s">
        <v>530</v>
      </c>
      <c r="D277" s="472" t="s">
        <v>531</v>
      </c>
      <c r="E277" s="472" t="s">
        <v>532</v>
      </c>
      <c r="F277" s="472" t="s">
        <v>276</v>
      </c>
      <c r="G277" s="472" t="s">
        <v>527</v>
      </c>
      <c r="H277" s="472" t="s">
        <v>567</v>
      </c>
      <c r="I277" s="472" t="s">
        <v>277</v>
      </c>
      <c r="J277" s="472" t="s">
        <v>528</v>
      </c>
      <c r="K277" s="472" t="s">
        <v>534</v>
      </c>
      <c r="L277" s="472" t="s">
        <v>581</v>
      </c>
      <c r="M277" s="472" t="s">
        <v>568</v>
      </c>
      <c r="N277" s="472"/>
      <c r="O277" s="472"/>
      <c r="P277" s="472" t="s">
        <v>528</v>
      </c>
      <c r="Q277" s="472"/>
      <c r="R277" s="473">
        <v>45443</v>
      </c>
      <c r="S277" s="472" t="s">
        <v>278</v>
      </c>
      <c r="T277" s="473">
        <v>45448</v>
      </c>
      <c r="U277" s="474">
        <v>8</v>
      </c>
      <c r="V277" s="475">
        <v>804.96</v>
      </c>
      <c r="W277" s="259">
        <v>45444</v>
      </c>
    </row>
    <row r="278" spans="1:23" hidden="1" x14ac:dyDescent="0.35">
      <c r="A278" s="472" t="s">
        <v>526</v>
      </c>
      <c r="B278" s="472" t="s">
        <v>159</v>
      </c>
      <c r="C278" s="472" t="s">
        <v>530</v>
      </c>
      <c r="D278" s="472" t="s">
        <v>531</v>
      </c>
      <c r="E278" s="472" t="s">
        <v>532</v>
      </c>
      <c r="F278" s="472" t="s">
        <v>276</v>
      </c>
      <c r="G278" s="472" t="s">
        <v>527</v>
      </c>
      <c r="H278" s="472" t="s">
        <v>565</v>
      </c>
      <c r="I278" s="472" t="s">
        <v>277</v>
      </c>
      <c r="J278" s="472" t="s">
        <v>528</v>
      </c>
      <c r="K278" s="472" t="s">
        <v>534</v>
      </c>
      <c r="L278" s="472" t="s">
        <v>581</v>
      </c>
      <c r="M278" s="472" t="s">
        <v>566</v>
      </c>
      <c r="N278" s="472"/>
      <c r="O278" s="472"/>
      <c r="P278" s="472" t="s">
        <v>528</v>
      </c>
      <c r="Q278" s="472"/>
      <c r="R278" s="473">
        <v>45442</v>
      </c>
      <c r="S278" s="472" t="s">
        <v>278</v>
      </c>
      <c r="T278" s="473">
        <v>45448</v>
      </c>
      <c r="U278" s="474">
        <v>6</v>
      </c>
      <c r="V278" s="475">
        <v>603.72</v>
      </c>
      <c r="W278" s="259">
        <v>45444</v>
      </c>
    </row>
    <row r="279" spans="1:23" hidden="1" x14ac:dyDescent="0.35">
      <c r="A279" s="472" t="s">
        <v>526</v>
      </c>
      <c r="B279" s="472" t="s">
        <v>159</v>
      </c>
      <c r="C279" s="472" t="s">
        <v>530</v>
      </c>
      <c r="D279" s="472" t="s">
        <v>531</v>
      </c>
      <c r="E279" s="472" t="s">
        <v>532</v>
      </c>
      <c r="F279" s="472" t="s">
        <v>276</v>
      </c>
      <c r="G279" s="472" t="s">
        <v>527</v>
      </c>
      <c r="H279" s="472" t="s">
        <v>567</v>
      </c>
      <c r="I279" s="472" t="s">
        <v>277</v>
      </c>
      <c r="J279" s="472" t="s">
        <v>528</v>
      </c>
      <c r="K279" s="472" t="s">
        <v>534</v>
      </c>
      <c r="L279" s="472" t="s">
        <v>581</v>
      </c>
      <c r="M279" s="472" t="s">
        <v>568</v>
      </c>
      <c r="N279" s="472"/>
      <c r="O279" s="472"/>
      <c r="P279" s="472" t="s">
        <v>528</v>
      </c>
      <c r="Q279" s="472"/>
      <c r="R279" s="473">
        <v>45446</v>
      </c>
      <c r="S279" s="472" t="s">
        <v>278</v>
      </c>
      <c r="T279" s="473">
        <v>45453</v>
      </c>
      <c r="U279" s="474">
        <v>4</v>
      </c>
      <c r="V279" s="475">
        <v>402.48</v>
      </c>
      <c r="W279" s="259">
        <v>45444</v>
      </c>
    </row>
    <row r="280" spans="1:23" hidden="1" x14ac:dyDescent="0.35">
      <c r="A280" s="472" t="s">
        <v>526</v>
      </c>
      <c r="B280" s="472" t="s">
        <v>159</v>
      </c>
      <c r="C280" s="472" t="s">
        <v>530</v>
      </c>
      <c r="D280" s="472" t="s">
        <v>531</v>
      </c>
      <c r="E280" s="472" t="s">
        <v>532</v>
      </c>
      <c r="F280" s="472" t="s">
        <v>276</v>
      </c>
      <c r="G280" s="472" t="s">
        <v>527</v>
      </c>
      <c r="H280" s="472" t="s">
        <v>533</v>
      </c>
      <c r="I280" s="472" t="s">
        <v>277</v>
      </c>
      <c r="J280" s="472" t="s">
        <v>528</v>
      </c>
      <c r="K280" s="472" t="s">
        <v>534</v>
      </c>
      <c r="L280" s="472" t="s">
        <v>581</v>
      </c>
      <c r="M280" s="472" t="s">
        <v>535</v>
      </c>
      <c r="N280" s="472"/>
      <c r="O280" s="472"/>
      <c r="P280" s="472" t="s">
        <v>528</v>
      </c>
      <c r="Q280" s="472"/>
      <c r="R280" s="473">
        <v>45449</v>
      </c>
      <c r="S280" s="472" t="s">
        <v>278</v>
      </c>
      <c r="T280" s="473">
        <v>45453</v>
      </c>
      <c r="U280" s="474">
        <v>3</v>
      </c>
      <c r="V280" s="475">
        <v>301.86</v>
      </c>
      <c r="W280" s="259">
        <v>45444</v>
      </c>
    </row>
    <row r="281" spans="1:23" hidden="1" x14ac:dyDescent="0.35">
      <c r="A281" s="472" t="s">
        <v>526</v>
      </c>
      <c r="B281" s="472" t="s">
        <v>159</v>
      </c>
      <c r="C281" s="472" t="s">
        <v>530</v>
      </c>
      <c r="D281" s="472" t="s">
        <v>531</v>
      </c>
      <c r="E281" s="472" t="s">
        <v>532</v>
      </c>
      <c r="F281" s="472" t="s">
        <v>276</v>
      </c>
      <c r="G281" s="472" t="s">
        <v>527</v>
      </c>
      <c r="H281" s="472" t="s">
        <v>533</v>
      </c>
      <c r="I281" s="472" t="s">
        <v>277</v>
      </c>
      <c r="J281" s="472" t="s">
        <v>528</v>
      </c>
      <c r="K281" s="472" t="s">
        <v>534</v>
      </c>
      <c r="L281" s="472" t="s">
        <v>581</v>
      </c>
      <c r="M281" s="472" t="s">
        <v>535</v>
      </c>
      <c r="N281" s="472"/>
      <c r="O281" s="472"/>
      <c r="P281" s="472" t="s">
        <v>528</v>
      </c>
      <c r="Q281" s="472"/>
      <c r="R281" s="473">
        <v>45447</v>
      </c>
      <c r="S281" s="472" t="s">
        <v>278</v>
      </c>
      <c r="T281" s="473">
        <v>45453</v>
      </c>
      <c r="U281" s="474">
        <v>3</v>
      </c>
      <c r="V281" s="475">
        <v>301.86</v>
      </c>
      <c r="W281" s="259">
        <v>45444</v>
      </c>
    </row>
    <row r="282" spans="1:23" hidden="1" x14ac:dyDescent="0.35">
      <c r="A282" s="472" t="s">
        <v>526</v>
      </c>
      <c r="B282" s="472" t="s">
        <v>159</v>
      </c>
      <c r="C282" s="472" t="s">
        <v>530</v>
      </c>
      <c r="D282" s="472" t="s">
        <v>531</v>
      </c>
      <c r="E282" s="472" t="s">
        <v>532</v>
      </c>
      <c r="F282" s="472" t="s">
        <v>276</v>
      </c>
      <c r="G282" s="472" t="s">
        <v>527</v>
      </c>
      <c r="H282" s="472" t="s">
        <v>533</v>
      </c>
      <c r="I282" s="472" t="s">
        <v>277</v>
      </c>
      <c r="J282" s="472" t="s">
        <v>528</v>
      </c>
      <c r="K282" s="472" t="s">
        <v>534</v>
      </c>
      <c r="L282" s="472" t="s">
        <v>581</v>
      </c>
      <c r="M282" s="472" t="s">
        <v>535</v>
      </c>
      <c r="N282" s="472"/>
      <c r="O282" s="472"/>
      <c r="P282" s="472" t="s">
        <v>528</v>
      </c>
      <c r="Q282" s="472"/>
      <c r="R282" s="473">
        <v>45448</v>
      </c>
      <c r="S282" s="472" t="s">
        <v>278</v>
      </c>
      <c r="T282" s="473">
        <v>45453</v>
      </c>
      <c r="U282" s="474">
        <v>2</v>
      </c>
      <c r="V282" s="475">
        <v>201.24</v>
      </c>
      <c r="W282" s="259">
        <v>45444</v>
      </c>
    </row>
    <row r="283" spans="1:23" hidden="1" x14ac:dyDescent="0.35">
      <c r="A283" s="472" t="s">
        <v>526</v>
      </c>
      <c r="B283" s="472" t="s">
        <v>159</v>
      </c>
      <c r="C283" s="472" t="s">
        <v>530</v>
      </c>
      <c r="D283" s="472" t="s">
        <v>531</v>
      </c>
      <c r="E283" s="472" t="s">
        <v>532</v>
      </c>
      <c r="F283" s="472" t="s">
        <v>276</v>
      </c>
      <c r="G283" s="472" t="s">
        <v>527</v>
      </c>
      <c r="H283" s="472" t="s">
        <v>533</v>
      </c>
      <c r="I283" s="472" t="s">
        <v>277</v>
      </c>
      <c r="J283" s="472" t="s">
        <v>528</v>
      </c>
      <c r="K283" s="472" t="s">
        <v>534</v>
      </c>
      <c r="L283" s="472" t="s">
        <v>581</v>
      </c>
      <c r="M283" s="472" t="s">
        <v>535</v>
      </c>
      <c r="N283" s="472"/>
      <c r="O283" s="472"/>
      <c r="P283" s="472" t="s">
        <v>528</v>
      </c>
      <c r="Q283" s="472"/>
      <c r="R283" s="473">
        <v>45450</v>
      </c>
      <c r="S283" s="472" t="s">
        <v>278</v>
      </c>
      <c r="T283" s="473">
        <v>45453</v>
      </c>
      <c r="U283" s="474">
        <v>2</v>
      </c>
      <c r="V283" s="475">
        <v>201.24</v>
      </c>
      <c r="W283" s="259">
        <v>45444</v>
      </c>
    </row>
    <row r="284" spans="1:23" hidden="1" x14ac:dyDescent="0.35">
      <c r="A284" s="472" t="s">
        <v>526</v>
      </c>
      <c r="B284" s="472" t="s">
        <v>159</v>
      </c>
      <c r="C284" s="472" t="s">
        <v>569</v>
      </c>
      <c r="D284" s="472" t="s">
        <v>570</v>
      </c>
      <c r="E284" s="472" t="s">
        <v>571</v>
      </c>
      <c r="F284" s="472" t="s">
        <v>276</v>
      </c>
      <c r="G284" s="472" t="s">
        <v>527</v>
      </c>
      <c r="H284" s="472" t="s">
        <v>582</v>
      </c>
      <c r="I284" s="472" t="s">
        <v>277</v>
      </c>
      <c r="J284" s="472" t="s">
        <v>528</v>
      </c>
      <c r="K284" s="472" t="s">
        <v>573</v>
      </c>
      <c r="L284" s="472" t="s">
        <v>581</v>
      </c>
      <c r="M284" s="472" t="s">
        <v>583</v>
      </c>
      <c r="N284" s="472"/>
      <c r="O284" s="472"/>
      <c r="P284" s="472" t="s">
        <v>528</v>
      </c>
      <c r="Q284" s="472"/>
      <c r="R284" s="473">
        <v>45468</v>
      </c>
      <c r="S284" s="472" t="s">
        <v>278</v>
      </c>
      <c r="T284" s="473">
        <v>45471</v>
      </c>
      <c r="U284" s="474">
        <v>2</v>
      </c>
      <c r="V284" s="475">
        <v>150.1</v>
      </c>
      <c r="W284" s="259">
        <v>45444</v>
      </c>
    </row>
    <row r="285" spans="1:23" hidden="1" x14ac:dyDescent="0.35">
      <c r="A285" s="472" t="s">
        <v>526</v>
      </c>
      <c r="B285" s="472" t="s">
        <v>159</v>
      </c>
      <c r="C285" s="472" t="s">
        <v>584</v>
      </c>
      <c r="D285" s="472" t="s">
        <v>585</v>
      </c>
      <c r="E285" s="472" t="s">
        <v>586</v>
      </c>
      <c r="F285" s="472" t="s">
        <v>276</v>
      </c>
      <c r="G285" s="472" t="s">
        <v>527</v>
      </c>
      <c r="H285" s="472" t="s">
        <v>533</v>
      </c>
      <c r="I285" s="472" t="s">
        <v>277</v>
      </c>
      <c r="J285" s="472" t="s">
        <v>528</v>
      </c>
      <c r="K285" s="472" t="s">
        <v>587</v>
      </c>
      <c r="L285" s="472" t="s">
        <v>581</v>
      </c>
      <c r="M285" s="472" t="s">
        <v>535</v>
      </c>
      <c r="N285" s="472"/>
      <c r="O285" s="472"/>
      <c r="P285" s="472" t="s">
        <v>528</v>
      </c>
      <c r="Q285" s="472"/>
      <c r="R285" s="473">
        <v>45456</v>
      </c>
      <c r="S285" s="472" t="s">
        <v>278</v>
      </c>
      <c r="T285" s="473">
        <v>45460</v>
      </c>
      <c r="U285" s="474">
        <v>1</v>
      </c>
      <c r="V285" s="475">
        <v>103.36</v>
      </c>
      <c r="W285" s="259">
        <v>45444</v>
      </c>
    </row>
    <row r="286" spans="1:23" hidden="1" x14ac:dyDescent="0.35">
      <c r="A286" s="472" t="s">
        <v>526</v>
      </c>
      <c r="B286" s="472" t="s">
        <v>159</v>
      </c>
      <c r="C286" s="472" t="s">
        <v>584</v>
      </c>
      <c r="D286" s="472" t="s">
        <v>585</v>
      </c>
      <c r="E286" s="472" t="s">
        <v>586</v>
      </c>
      <c r="F286" s="472" t="s">
        <v>276</v>
      </c>
      <c r="G286" s="472" t="s">
        <v>527</v>
      </c>
      <c r="H286" s="472" t="s">
        <v>533</v>
      </c>
      <c r="I286" s="472" t="s">
        <v>277</v>
      </c>
      <c r="J286" s="472" t="s">
        <v>528</v>
      </c>
      <c r="K286" s="472" t="s">
        <v>587</v>
      </c>
      <c r="L286" s="472" t="s">
        <v>581</v>
      </c>
      <c r="M286" s="472" t="s">
        <v>535</v>
      </c>
      <c r="N286" s="472"/>
      <c r="O286" s="472"/>
      <c r="P286" s="472" t="s">
        <v>528</v>
      </c>
      <c r="Q286" s="472"/>
      <c r="R286" s="473">
        <v>45455</v>
      </c>
      <c r="S286" s="472" t="s">
        <v>278</v>
      </c>
      <c r="T286" s="473">
        <v>45460</v>
      </c>
      <c r="U286" s="474">
        <v>3</v>
      </c>
      <c r="V286" s="475">
        <v>310.08</v>
      </c>
      <c r="W286" s="259">
        <v>45444</v>
      </c>
    </row>
    <row r="287" spans="1:23" hidden="1" x14ac:dyDescent="0.35">
      <c r="A287" s="472" t="s">
        <v>526</v>
      </c>
      <c r="B287" s="472" t="s">
        <v>159</v>
      </c>
      <c r="C287" s="472" t="s">
        <v>584</v>
      </c>
      <c r="D287" s="472" t="s">
        <v>585</v>
      </c>
      <c r="E287" s="472" t="s">
        <v>586</v>
      </c>
      <c r="F287" s="472" t="s">
        <v>276</v>
      </c>
      <c r="G287" s="472" t="s">
        <v>527</v>
      </c>
      <c r="H287" s="472" t="s">
        <v>533</v>
      </c>
      <c r="I287" s="472" t="s">
        <v>277</v>
      </c>
      <c r="J287" s="472" t="s">
        <v>528</v>
      </c>
      <c r="K287" s="472" t="s">
        <v>587</v>
      </c>
      <c r="L287" s="472" t="s">
        <v>581</v>
      </c>
      <c r="M287" s="472" t="s">
        <v>535</v>
      </c>
      <c r="N287" s="472"/>
      <c r="O287" s="472"/>
      <c r="P287" s="472" t="s">
        <v>528</v>
      </c>
      <c r="Q287" s="472"/>
      <c r="R287" s="473">
        <v>45454</v>
      </c>
      <c r="S287" s="472" t="s">
        <v>278</v>
      </c>
      <c r="T287" s="473">
        <v>45460</v>
      </c>
      <c r="U287" s="474">
        <v>4</v>
      </c>
      <c r="V287" s="475">
        <v>413.44</v>
      </c>
      <c r="W287" s="259">
        <v>45444</v>
      </c>
    </row>
    <row r="288" spans="1:23" hidden="1" x14ac:dyDescent="0.35">
      <c r="A288" s="472" t="s">
        <v>526</v>
      </c>
      <c r="B288" s="472" t="s">
        <v>159</v>
      </c>
      <c r="C288" s="472" t="s">
        <v>584</v>
      </c>
      <c r="D288" s="472" t="s">
        <v>585</v>
      </c>
      <c r="E288" s="472" t="s">
        <v>586</v>
      </c>
      <c r="F288" s="472" t="s">
        <v>276</v>
      </c>
      <c r="G288" s="472" t="s">
        <v>527</v>
      </c>
      <c r="H288" s="472" t="s">
        <v>533</v>
      </c>
      <c r="I288" s="472" t="s">
        <v>277</v>
      </c>
      <c r="J288" s="472" t="s">
        <v>528</v>
      </c>
      <c r="K288" s="472" t="s">
        <v>587</v>
      </c>
      <c r="L288" s="472" t="s">
        <v>581</v>
      </c>
      <c r="M288" s="472" t="s">
        <v>535</v>
      </c>
      <c r="N288" s="472"/>
      <c r="O288" s="472"/>
      <c r="P288" s="472" t="s">
        <v>528</v>
      </c>
      <c r="Q288" s="472"/>
      <c r="R288" s="473">
        <v>45460</v>
      </c>
      <c r="S288" s="472" t="s">
        <v>278</v>
      </c>
      <c r="T288" s="473">
        <v>45467</v>
      </c>
      <c r="U288" s="474">
        <v>2</v>
      </c>
      <c r="V288" s="475">
        <v>206.72</v>
      </c>
      <c r="W288" s="259">
        <v>45444</v>
      </c>
    </row>
    <row r="289" spans="1:23" hidden="1" x14ac:dyDescent="0.35">
      <c r="A289" s="472" t="s">
        <v>526</v>
      </c>
      <c r="B289" s="472" t="s">
        <v>159</v>
      </c>
      <c r="C289" s="472" t="s">
        <v>584</v>
      </c>
      <c r="D289" s="472" t="s">
        <v>585</v>
      </c>
      <c r="E289" s="472" t="s">
        <v>586</v>
      </c>
      <c r="F289" s="472" t="s">
        <v>276</v>
      </c>
      <c r="G289" s="472" t="s">
        <v>527</v>
      </c>
      <c r="H289" s="472" t="s">
        <v>533</v>
      </c>
      <c r="I289" s="472" t="s">
        <v>277</v>
      </c>
      <c r="J289" s="472" t="s">
        <v>528</v>
      </c>
      <c r="K289" s="472" t="s">
        <v>587</v>
      </c>
      <c r="L289" s="472" t="s">
        <v>581</v>
      </c>
      <c r="M289" s="472" t="s">
        <v>535</v>
      </c>
      <c r="N289" s="472"/>
      <c r="O289" s="472"/>
      <c r="P289" s="472" t="s">
        <v>528</v>
      </c>
      <c r="Q289" s="472"/>
      <c r="R289" s="473">
        <v>45464</v>
      </c>
      <c r="S289" s="472" t="s">
        <v>278</v>
      </c>
      <c r="T289" s="473">
        <v>45467</v>
      </c>
      <c r="U289" s="474">
        <v>1</v>
      </c>
      <c r="V289" s="475">
        <v>103.36</v>
      </c>
      <c r="W289" s="259">
        <v>45444</v>
      </c>
    </row>
    <row r="290" spans="1:23" hidden="1" x14ac:dyDescent="0.35">
      <c r="A290" s="472" t="s">
        <v>526</v>
      </c>
      <c r="B290" s="472" t="s">
        <v>159</v>
      </c>
      <c r="C290" s="472" t="s">
        <v>584</v>
      </c>
      <c r="D290" s="472" t="s">
        <v>585</v>
      </c>
      <c r="E290" s="472" t="s">
        <v>586</v>
      </c>
      <c r="F290" s="472" t="s">
        <v>276</v>
      </c>
      <c r="G290" s="472" t="s">
        <v>527</v>
      </c>
      <c r="H290" s="472" t="s">
        <v>533</v>
      </c>
      <c r="I290" s="472" t="s">
        <v>277</v>
      </c>
      <c r="J290" s="472" t="s">
        <v>528</v>
      </c>
      <c r="K290" s="472" t="s">
        <v>587</v>
      </c>
      <c r="L290" s="472" t="s">
        <v>581</v>
      </c>
      <c r="M290" s="472" t="s">
        <v>535</v>
      </c>
      <c r="N290" s="472"/>
      <c r="O290" s="472"/>
      <c r="P290" s="472" t="s">
        <v>528</v>
      </c>
      <c r="Q290" s="472"/>
      <c r="R290" s="473">
        <v>45461</v>
      </c>
      <c r="S290" s="472" t="s">
        <v>278</v>
      </c>
      <c r="T290" s="473">
        <v>45467</v>
      </c>
      <c r="U290" s="474">
        <v>3</v>
      </c>
      <c r="V290" s="475">
        <v>310.08</v>
      </c>
      <c r="W290" s="259">
        <v>45444</v>
      </c>
    </row>
    <row r="291" spans="1:23" hidden="1" x14ac:dyDescent="0.35">
      <c r="A291" s="472" t="s">
        <v>526</v>
      </c>
      <c r="B291" s="472" t="s">
        <v>159</v>
      </c>
      <c r="C291" s="472" t="s">
        <v>584</v>
      </c>
      <c r="D291" s="472" t="s">
        <v>585</v>
      </c>
      <c r="E291" s="472" t="s">
        <v>586</v>
      </c>
      <c r="F291" s="472" t="s">
        <v>276</v>
      </c>
      <c r="G291" s="472" t="s">
        <v>527</v>
      </c>
      <c r="H291" s="472" t="s">
        <v>533</v>
      </c>
      <c r="I291" s="472" t="s">
        <v>277</v>
      </c>
      <c r="J291" s="472" t="s">
        <v>528</v>
      </c>
      <c r="K291" s="472" t="s">
        <v>587</v>
      </c>
      <c r="L291" s="472" t="s">
        <v>581</v>
      </c>
      <c r="M291" s="472" t="s">
        <v>535</v>
      </c>
      <c r="N291" s="472"/>
      <c r="O291" s="472"/>
      <c r="P291" s="472" t="s">
        <v>528</v>
      </c>
      <c r="Q291" s="472"/>
      <c r="R291" s="473">
        <v>45463</v>
      </c>
      <c r="S291" s="472" t="s">
        <v>278</v>
      </c>
      <c r="T291" s="473">
        <v>45467</v>
      </c>
      <c r="U291" s="474">
        <v>1</v>
      </c>
      <c r="V291" s="475">
        <v>103.36</v>
      </c>
      <c r="W291" s="259">
        <v>45444</v>
      </c>
    </row>
    <row r="292" spans="1:23" hidden="1" x14ac:dyDescent="0.35">
      <c r="A292" s="472" t="s">
        <v>526</v>
      </c>
      <c r="B292" s="472" t="s">
        <v>53</v>
      </c>
      <c r="C292" s="472"/>
      <c r="D292" s="472" t="s">
        <v>575</v>
      </c>
      <c r="E292" s="472" t="s">
        <v>576</v>
      </c>
      <c r="F292" s="472" t="s">
        <v>588</v>
      </c>
      <c r="G292" s="472" t="s">
        <v>527</v>
      </c>
      <c r="H292" s="472"/>
      <c r="I292" s="472" t="s">
        <v>277</v>
      </c>
      <c r="J292" s="472" t="s">
        <v>577</v>
      </c>
      <c r="K292" s="472"/>
      <c r="L292" s="472" t="s">
        <v>581</v>
      </c>
      <c r="M292" s="472" t="s">
        <v>285</v>
      </c>
      <c r="N292" s="472"/>
      <c r="O292" s="472" t="s">
        <v>578</v>
      </c>
      <c r="P292" s="472" t="s">
        <v>577</v>
      </c>
      <c r="Q292" s="472" t="s">
        <v>589</v>
      </c>
      <c r="R292" s="473">
        <v>45440</v>
      </c>
      <c r="S292" s="472"/>
      <c r="T292" s="473">
        <v>45444</v>
      </c>
      <c r="U292" s="474">
        <v>0</v>
      </c>
      <c r="V292" s="475">
        <v>-72402</v>
      </c>
      <c r="W292" s="259">
        <v>45444</v>
      </c>
    </row>
    <row r="293" spans="1:23" hidden="1" x14ac:dyDescent="0.35">
      <c r="A293" s="472" t="s">
        <v>526</v>
      </c>
      <c r="B293" s="472" t="s">
        <v>53</v>
      </c>
      <c r="C293" s="472"/>
      <c r="D293" s="472" t="s">
        <v>575</v>
      </c>
      <c r="E293" s="472" t="s">
        <v>576</v>
      </c>
      <c r="F293" s="472" t="s">
        <v>588</v>
      </c>
      <c r="G293" s="472" t="s">
        <v>527</v>
      </c>
      <c r="H293" s="472"/>
      <c r="I293" s="472" t="s">
        <v>277</v>
      </c>
      <c r="J293" s="472" t="s">
        <v>577</v>
      </c>
      <c r="K293" s="472"/>
      <c r="L293" s="472" t="s">
        <v>581</v>
      </c>
      <c r="M293" s="472" t="s">
        <v>285</v>
      </c>
      <c r="N293" s="472"/>
      <c r="O293" s="472" t="s">
        <v>579</v>
      </c>
      <c r="P293" s="472" t="s">
        <v>577</v>
      </c>
      <c r="Q293" s="472" t="s">
        <v>589</v>
      </c>
      <c r="R293" s="473">
        <v>45440</v>
      </c>
      <c r="S293" s="472"/>
      <c r="T293" s="473">
        <v>45444</v>
      </c>
      <c r="U293" s="474">
        <v>0</v>
      </c>
      <c r="V293" s="475">
        <v>-4320</v>
      </c>
      <c r="W293" s="259">
        <v>45444</v>
      </c>
    </row>
    <row r="294" spans="1:23" hidden="1" x14ac:dyDescent="0.35">
      <c r="A294" s="472" t="s">
        <v>526</v>
      </c>
      <c r="B294" s="472" t="s">
        <v>53</v>
      </c>
      <c r="C294" s="472"/>
      <c r="D294" s="472" t="s">
        <v>575</v>
      </c>
      <c r="E294" s="472" t="s">
        <v>576</v>
      </c>
      <c r="F294" s="472" t="s">
        <v>588</v>
      </c>
      <c r="G294" s="472" t="s">
        <v>527</v>
      </c>
      <c r="H294" s="472"/>
      <c r="I294" s="472" t="s">
        <v>277</v>
      </c>
      <c r="J294" s="472" t="s">
        <v>577</v>
      </c>
      <c r="K294" s="472"/>
      <c r="L294" s="472" t="s">
        <v>581</v>
      </c>
      <c r="M294" s="472" t="s">
        <v>285</v>
      </c>
      <c r="N294" s="472"/>
      <c r="O294" s="472" t="s">
        <v>580</v>
      </c>
      <c r="P294" s="472" t="s">
        <v>577</v>
      </c>
      <c r="Q294" s="472" t="s">
        <v>589</v>
      </c>
      <c r="R294" s="473">
        <v>45440</v>
      </c>
      <c r="S294" s="472"/>
      <c r="T294" s="473">
        <v>45444</v>
      </c>
      <c r="U294" s="474">
        <v>0</v>
      </c>
      <c r="V294" s="475">
        <v>-2880</v>
      </c>
      <c r="W294" s="259">
        <v>45444</v>
      </c>
    </row>
    <row r="295" spans="1:23" hidden="1" x14ac:dyDescent="0.35">
      <c r="A295" s="472" t="s">
        <v>526</v>
      </c>
      <c r="B295" s="472" t="s">
        <v>53</v>
      </c>
      <c r="C295" s="472"/>
      <c r="D295" s="472" t="s">
        <v>575</v>
      </c>
      <c r="E295" s="472" t="s">
        <v>576</v>
      </c>
      <c r="F295" s="472" t="s">
        <v>276</v>
      </c>
      <c r="G295" s="472" t="s">
        <v>527</v>
      </c>
      <c r="H295" s="472"/>
      <c r="I295" s="472" t="s">
        <v>277</v>
      </c>
      <c r="J295" s="472" t="s">
        <v>577</v>
      </c>
      <c r="K295" s="472"/>
      <c r="L295" s="472" t="s">
        <v>581</v>
      </c>
      <c r="M295" s="472" t="s">
        <v>285</v>
      </c>
      <c r="N295" s="472"/>
      <c r="O295" s="472" t="s">
        <v>578</v>
      </c>
      <c r="P295" s="472" t="s">
        <v>577</v>
      </c>
      <c r="Q295" s="472" t="s">
        <v>400</v>
      </c>
      <c r="R295" s="473">
        <v>45468</v>
      </c>
      <c r="S295" s="472"/>
      <c r="T295" s="473">
        <v>45473</v>
      </c>
      <c r="U295" s="474">
        <v>0</v>
      </c>
      <c r="V295" s="475">
        <v>72402</v>
      </c>
      <c r="W295" s="259">
        <v>45444</v>
      </c>
    </row>
    <row r="296" spans="1:23" hidden="1" x14ac:dyDescent="0.35">
      <c r="A296" s="472" t="s">
        <v>526</v>
      </c>
      <c r="B296" s="472" t="s">
        <v>159</v>
      </c>
      <c r="C296" s="472" t="s">
        <v>281</v>
      </c>
      <c r="D296" s="472" t="s">
        <v>282</v>
      </c>
      <c r="E296" s="472" t="s">
        <v>283</v>
      </c>
      <c r="F296" s="472" t="s">
        <v>276</v>
      </c>
      <c r="G296" s="472" t="s">
        <v>527</v>
      </c>
      <c r="H296" s="472"/>
      <c r="I296" s="472" t="s">
        <v>277</v>
      </c>
      <c r="J296" s="472" t="s">
        <v>528</v>
      </c>
      <c r="K296" s="472" t="s">
        <v>284</v>
      </c>
      <c r="L296" s="472" t="s">
        <v>590</v>
      </c>
      <c r="M296" s="472" t="s">
        <v>285</v>
      </c>
      <c r="N296" s="472"/>
      <c r="O296" s="472"/>
      <c r="P296" s="472" t="s">
        <v>528</v>
      </c>
      <c r="Q296" s="472"/>
      <c r="R296" s="473">
        <v>45505</v>
      </c>
      <c r="S296" s="472"/>
      <c r="T296" s="473">
        <v>45504</v>
      </c>
      <c r="U296" s="474">
        <v>0</v>
      </c>
      <c r="V296" s="475">
        <v>429.23</v>
      </c>
      <c r="W296" s="260">
        <v>45474</v>
      </c>
    </row>
    <row r="297" spans="1:23" hidden="1" x14ac:dyDescent="0.35">
      <c r="A297" s="472" t="s">
        <v>526</v>
      </c>
      <c r="B297" s="472" t="s">
        <v>159</v>
      </c>
      <c r="C297" s="472" t="s">
        <v>286</v>
      </c>
      <c r="D297" s="472" t="s">
        <v>287</v>
      </c>
      <c r="E297" s="472" t="s">
        <v>288</v>
      </c>
      <c r="F297" s="472" t="s">
        <v>276</v>
      </c>
      <c r="G297" s="472" t="s">
        <v>527</v>
      </c>
      <c r="H297" s="472"/>
      <c r="I297" s="472" t="s">
        <v>277</v>
      </c>
      <c r="J297" s="472" t="s">
        <v>528</v>
      </c>
      <c r="K297" s="472" t="s">
        <v>289</v>
      </c>
      <c r="L297" s="472" t="s">
        <v>590</v>
      </c>
      <c r="M297" s="472" t="s">
        <v>285</v>
      </c>
      <c r="N297" s="472"/>
      <c r="O297" s="472"/>
      <c r="P297" s="472" t="s">
        <v>528</v>
      </c>
      <c r="Q297" s="472"/>
      <c r="R297" s="473">
        <v>45505</v>
      </c>
      <c r="S297" s="472"/>
      <c r="T297" s="473">
        <v>45504</v>
      </c>
      <c r="U297" s="474">
        <v>0</v>
      </c>
      <c r="V297" s="475">
        <v>1231.3499999999999</v>
      </c>
      <c r="W297" s="260">
        <v>45474</v>
      </c>
    </row>
    <row r="298" spans="1:23" hidden="1" x14ac:dyDescent="0.35">
      <c r="A298" s="472" t="s">
        <v>526</v>
      </c>
      <c r="B298" s="472" t="s">
        <v>159</v>
      </c>
      <c r="C298" s="472" t="s">
        <v>281</v>
      </c>
      <c r="D298" s="472" t="s">
        <v>290</v>
      </c>
      <c r="E298" s="472" t="s">
        <v>291</v>
      </c>
      <c r="F298" s="472" t="s">
        <v>276</v>
      </c>
      <c r="G298" s="472" t="s">
        <v>527</v>
      </c>
      <c r="H298" s="472"/>
      <c r="I298" s="472" t="s">
        <v>277</v>
      </c>
      <c r="J298" s="472" t="s">
        <v>528</v>
      </c>
      <c r="K298" s="472" t="s">
        <v>284</v>
      </c>
      <c r="L298" s="472" t="s">
        <v>590</v>
      </c>
      <c r="M298" s="472" t="s">
        <v>285</v>
      </c>
      <c r="N298" s="472"/>
      <c r="O298" s="472"/>
      <c r="P298" s="472" t="s">
        <v>528</v>
      </c>
      <c r="Q298" s="472"/>
      <c r="R298" s="473">
        <v>45505</v>
      </c>
      <c r="S298" s="472"/>
      <c r="T298" s="473">
        <v>45504</v>
      </c>
      <c r="U298" s="474">
        <v>0</v>
      </c>
      <c r="V298" s="475">
        <v>266.77</v>
      </c>
      <c r="W298" s="260">
        <v>45474</v>
      </c>
    </row>
    <row r="299" spans="1:23" hidden="1" x14ac:dyDescent="0.35">
      <c r="A299" s="472" t="s">
        <v>526</v>
      </c>
      <c r="B299" s="472" t="s">
        <v>159</v>
      </c>
      <c r="C299" s="472" t="s">
        <v>281</v>
      </c>
      <c r="D299" s="472" t="s">
        <v>292</v>
      </c>
      <c r="E299" s="472" t="s">
        <v>293</v>
      </c>
      <c r="F299" s="472" t="s">
        <v>276</v>
      </c>
      <c r="G299" s="472" t="s">
        <v>527</v>
      </c>
      <c r="H299" s="472"/>
      <c r="I299" s="472" t="s">
        <v>277</v>
      </c>
      <c r="J299" s="472" t="s">
        <v>528</v>
      </c>
      <c r="K299" s="472" t="s">
        <v>294</v>
      </c>
      <c r="L299" s="472" t="s">
        <v>590</v>
      </c>
      <c r="M299" s="472" t="s">
        <v>285</v>
      </c>
      <c r="N299" s="472"/>
      <c r="O299" s="472"/>
      <c r="P299" s="472" t="s">
        <v>528</v>
      </c>
      <c r="Q299" s="472"/>
      <c r="R299" s="473">
        <v>45505</v>
      </c>
      <c r="S299" s="472"/>
      <c r="T299" s="473">
        <v>45504</v>
      </c>
      <c r="U299" s="474">
        <v>0</v>
      </c>
      <c r="V299" s="475">
        <v>378.28</v>
      </c>
      <c r="W299" s="260">
        <v>45474</v>
      </c>
    </row>
    <row r="300" spans="1:23" hidden="1" x14ac:dyDescent="0.35">
      <c r="A300" s="472" t="s">
        <v>526</v>
      </c>
      <c r="B300" s="472" t="s">
        <v>159</v>
      </c>
      <c r="C300" s="472" t="s">
        <v>286</v>
      </c>
      <c r="D300" s="472" t="s">
        <v>295</v>
      </c>
      <c r="E300" s="472" t="s">
        <v>296</v>
      </c>
      <c r="F300" s="472" t="s">
        <v>276</v>
      </c>
      <c r="G300" s="472" t="s">
        <v>527</v>
      </c>
      <c r="H300" s="472"/>
      <c r="I300" s="472" t="s">
        <v>277</v>
      </c>
      <c r="J300" s="472" t="s">
        <v>528</v>
      </c>
      <c r="K300" s="472" t="s">
        <v>297</v>
      </c>
      <c r="L300" s="472" t="s">
        <v>590</v>
      </c>
      <c r="M300" s="472" t="s">
        <v>285</v>
      </c>
      <c r="N300" s="472"/>
      <c r="O300" s="472"/>
      <c r="P300" s="472" t="s">
        <v>528</v>
      </c>
      <c r="Q300" s="472"/>
      <c r="R300" s="473">
        <v>45505</v>
      </c>
      <c r="S300" s="472"/>
      <c r="T300" s="473">
        <v>45504</v>
      </c>
      <c r="U300" s="474">
        <v>0</v>
      </c>
      <c r="V300" s="475">
        <v>476.59</v>
      </c>
      <c r="W300" s="260">
        <v>45474</v>
      </c>
    </row>
    <row r="301" spans="1:23" hidden="1" x14ac:dyDescent="0.35">
      <c r="A301" s="472" t="s">
        <v>526</v>
      </c>
      <c r="B301" s="472" t="s">
        <v>159</v>
      </c>
      <c r="C301" s="472" t="s">
        <v>302</v>
      </c>
      <c r="D301" s="472" t="s">
        <v>299</v>
      </c>
      <c r="E301" s="472" t="s">
        <v>300</v>
      </c>
      <c r="F301" s="472" t="s">
        <v>276</v>
      </c>
      <c r="G301" s="472" t="s">
        <v>527</v>
      </c>
      <c r="H301" s="472"/>
      <c r="I301" s="472" t="s">
        <v>277</v>
      </c>
      <c r="J301" s="472" t="s">
        <v>528</v>
      </c>
      <c r="K301" s="472" t="s">
        <v>303</v>
      </c>
      <c r="L301" s="472" t="s">
        <v>590</v>
      </c>
      <c r="M301" s="472" t="s">
        <v>285</v>
      </c>
      <c r="N301" s="472"/>
      <c r="O301" s="472"/>
      <c r="P301" s="472" t="s">
        <v>528</v>
      </c>
      <c r="Q301" s="472"/>
      <c r="R301" s="473">
        <v>45506</v>
      </c>
      <c r="S301" s="472"/>
      <c r="T301" s="473">
        <v>45504</v>
      </c>
      <c r="U301" s="474">
        <v>0</v>
      </c>
      <c r="V301" s="475">
        <v>0.02</v>
      </c>
      <c r="W301" s="260">
        <v>45474</v>
      </c>
    </row>
    <row r="302" spans="1:23" hidden="1" x14ac:dyDescent="0.35">
      <c r="A302" s="472" t="s">
        <v>526</v>
      </c>
      <c r="B302" s="472" t="s">
        <v>159</v>
      </c>
      <c r="C302" s="472" t="s">
        <v>302</v>
      </c>
      <c r="D302" s="472" t="s">
        <v>304</v>
      </c>
      <c r="E302" s="472" t="s">
        <v>305</v>
      </c>
      <c r="F302" s="472" t="s">
        <v>276</v>
      </c>
      <c r="G302" s="472" t="s">
        <v>527</v>
      </c>
      <c r="H302" s="472"/>
      <c r="I302" s="472" t="s">
        <v>277</v>
      </c>
      <c r="J302" s="472" t="s">
        <v>528</v>
      </c>
      <c r="K302" s="472" t="s">
        <v>303</v>
      </c>
      <c r="L302" s="472" t="s">
        <v>590</v>
      </c>
      <c r="M302" s="472" t="s">
        <v>285</v>
      </c>
      <c r="N302" s="472"/>
      <c r="O302" s="472"/>
      <c r="P302" s="472" t="s">
        <v>528</v>
      </c>
      <c r="Q302" s="472"/>
      <c r="R302" s="473">
        <v>45506</v>
      </c>
      <c r="S302" s="472"/>
      <c r="T302" s="473">
        <v>45504</v>
      </c>
      <c r="U302" s="474">
        <v>0</v>
      </c>
      <c r="V302" s="475">
        <v>0.02</v>
      </c>
      <c r="W302" s="260">
        <v>45474</v>
      </c>
    </row>
    <row r="303" spans="1:23" hidden="1" x14ac:dyDescent="0.35">
      <c r="A303" s="472" t="s">
        <v>526</v>
      </c>
      <c r="B303" s="472" t="s">
        <v>159</v>
      </c>
      <c r="C303" s="472" t="s">
        <v>302</v>
      </c>
      <c r="D303" s="472" t="s">
        <v>306</v>
      </c>
      <c r="E303" s="472" t="s">
        <v>307</v>
      </c>
      <c r="F303" s="472" t="s">
        <v>276</v>
      </c>
      <c r="G303" s="472" t="s">
        <v>527</v>
      </c>
      <c r="H303" s="472"/>
      <c r="I303" s="472" t="s">
        <v>277</v>
      </c>
      <c r="J303" s="472" t="s">
        <v>528</v>
      </c>
      <c r="K303" s="472" t="s">
        <v>303</v>
      </c>
      <c r="L303" s="472" t="s">
        <v>590</v>
      </c>
      <c r="M303" s="472" t="s">
        <v>285</v>
      </c>
      <c r="N303" s="472"/>
      <c r="O303" s="472"/>
      <c r="P303" s="472" t="s">
        <v>528</v>
      </c>
      <c r="Q303" s="472"/>
      <c r="R303" s="473">
        <v>45506</v>
      </c>
      <c r="S303" s="472"/>
      <c r="T303" s="473">
        <v>45504</v>
      </c>
      <c r="U303" s="474">
        <v>0</v>
      </c>
      <c r="V303" s="475">
        <v>0.03</v>
      </c>
      <c r="W303" s="260">
        <v>45474</v>
      </c>
    </row>
    <row r="304" spans="1:23" hidden="1" x14ac:dyDescent="0.35">
      <c r="A304" s="472" t="s">
        <v>526</v>
      </c>
      <c r="B304" s="472" t="s">
        <v>159</v>
      </c>
      <c r="C304" s="472" t="s">
        <v>302</v>
      </c>
      <c r="D304" s="472" t="s">
        <v>308</v>
      </c>
      <c r="E304" s="472" t="s">
        <v>309</v>
      </c>
      <c r="F304" s="472" t="s">
        <v>276</v>
      </c>
      <c r="G304" s="472" t="s">
        <v>527</v>
      </c>
      <c r="H304" s="472"/>
      <c r="I304" s="472" t="s">
        <v>277</v>
      </c>
      <c r="J304" s="472" t="s">
        <v>528</v>
      </c>
      <c r="K304" s="472" t="s">
        <v>303</v>
      </c>
      <c r="L304" s="472" t="s">
        <v>590</v>
      </c>
      <c r="M304" s="472" t="s">
        <v>285</v>
      </c>
      <c r="N304" s="472"/>
      <c r="O304" s="472"/>
      <c r="P304" s="472" t="s">
        <v>528</v>
      </c>
      <c r="Q304" s="472"/>
      <c r="R304" s="473">
        <v>45506</v>
      </c>
      <c r="S304" s="472"/>
      <c r="T304" s="473">
        <v>45504</v>
      </c>
      <c r="U304" s="474">
        <v>0</v>
      </c>
      <c r="V304" s="475">
        <v>301.73</v>
      </c>
      <c r="W304" s="260">
        <v>45474</v>
      </c>
    </row>
    <row r="305" spans="1:23" hidden="1" x14ac:dyDescent="0.35">
      <c r="A305" s="472" t="s">
        <v>526</v>
      </c>
      <c r="B305" s="472" t="s">
        <v>159</v>
      </c>
      <c r="C305" s="472" t="s">
        <v>302</v>
      </c>
      <c r="D305" s="472" t="s">
        <v>308</v>
      </c>
      <c r="E305" s="472" t="s">
        <v>309</v>
      </c>
      <c r="F305" s="472" t="s">
        <v>276</v>
      </c>
      <c r="G305" s="472" t="s">
        <v>527</v>
      </c>
      <c r="H305" s="472"/>
      <c r="I305" s="472" t="s">
        <v>277</v>
      </c>
      <c r="J305" s="472" t="s">
        <v>528</v>
      </c>
      <c r="K305" s="472" t="s">
        <v>303</v>
      </c>
      <c r="L305" s="472" t="s">
        <v>590</v>
      </c>
      <c r="M305" s="472" t="s">
        <v>285</v>
      </c>
      <c r="N305" s="472"/>
      <c r="O305" s="472"/>
      <c r="P305" s="472" t="s">
        <v>528</v>
      </c>
      <c r="Q305" s="472"/>
      <c r="R305" s="473">
        <v>45506</v>
      </c>
      <c r="S305" s="472"/>
      <c r="T305" s="473">
        <v>45504</v>
      </c>
      <c r="U305" s="474">
        <v>0</v>
      </c>
      <c r="V305" s="475">
        <v>14.81</v>
      </c>
      <c r="W305" s="260">
        <v>45474</v>
      </c>
    </row>
    <row r="306" spans="1:23" hidden="1" x14ac:dyDescent="0.35">
      <c r="A306" s="472" t="s">
        <v>526</v>
      </c>
      <c r="B306" s="472" t="s">
        <v>159</v>
      </c>
      <c r="C306" s="472" t="s">
        <v>302</v>
      </c>
      <c r="D306" s="472" t="s">
        <v>310</v>
      </c>
      <c r="E306" s="472" t="s">
        <v>311</v>
      </c>
      <c r="F306" s="472" t="s">
        <v>276</v>
      </c>
      <c r="G306" s="472" t="s">
        <v>527</v>
      </c>
      <c r="H306" s="472"/>
      <c r="I306" s="472" t="s">
        <v>277</v>
      </c>
      <c r="J306" s="472" t="s">
        <v>528</v>
      </c>
      <c r="K306" s="472" t="s">
        <v>303</v>
      </c>
      <c r="L306" s="472" t="s">
        <v>590</v>
      </c>
      <c r="M306" s="472" t="s">
        <v>285</v>
      </c>
      <c r="N306" s="472"/>
      <c r="O306" s="472"/>
      <c r="P306" s="472" t="s">
        <v>528</v>
      </c>
      <c r="Q306" s="472"/>
      <c r="R306" s="473">
        <v>45506</v>
      </c>
      <c r="S306" s="472"/>
      <c r="T306" s="473">
        <v>45504</v>
      </c>
      <c r="U306" s="474">
        <v>0</v>
      </c>
      <c r="V306" s="475">
        <v>656.93</v>
      </c>
      <c r="W306" s="260">
        <v>45474</v>
      </c>
    </row>
    <row r="307" spans="1:23" hidden="1" x14ac:dyDescent="0.35">
      <c r="A307" s="472" t="s">
        <v>526</v>
      </c>
      <c r="B307" s="472" t="s">
        <v>159</v>
      </c>
      <c r="C307" s="472" t="s">
        <v>302</v>
      </c>
      <c r="D307" s="472" t="s">
        <v>312</v>
      </c>
      <c r="E307" s="472" t="s">
        <v>313</v>
      </c>
      <c r="F307" s="472" t="s">
        <v>276</v>
      </c>
      <c r="G307" s="472" t="s">
        <v>527</v>
      </c>
      <c r="H307" s="472"/>
      <c r="I307" s="472" t="s">
        <v>277</v>
      </c>
      <c r="J307" s="472" t="s">
        <v>528</v>
      </c>
      <c r="K307" s="472" t="s">
        <v>303</v>
      </c>
      <c r="L307" s="472" t="s">
        <v>590</v>
      </c>
      <c r="M307" s="472" t="s">
        <v>285</v>
      </c>
      <c r="N307" s="472"/>
      <c r="O307" s="472"/>
      <c r="P307" s="472" t="s">
        <v>528</v>
      </c>
      <c r="Q307" s="472"/>
      <c r="R307" s="473">
        <v>45506</v>
      </c>
      <c r="S307" s="472"/>
      <c r="T307" s="473">
        <v>45504</v>
      </c>
      <c r="U307" s="474">
        <v>0</v>
      </c>
      <c r="V307" s="475">
        <v>-12.86</v>
      </c>
      <c r="W307" s="260">
        <v>45474</v>
      </c>
    </row>
    <row r="308" spans="1:23" hidden="1" x14ac:dyDescent="0.35">
      <c r="A308" s="472" t="s">
        <v>526</v>
      </c>
      <c r="B308" s="472" t="s">
        <v>159</v>
      </c>
      <c r="C308" s="472" t="s">
        <v>302</v>
      </c>
      <c r="D308" s="472" t="s">
        <v>314</v>
      </c>
      <c r="E308" s="472" t="s">
        <v>315</v>
      </c>
      <c r="F308" s="472" t="s">
        <v>276</v>
      </c>
      <c r="G308" s="472" t="s">
        <v>527</v>
      </c>
      <c r="H308" s="472"/>
      <c r="I308" s="472" t="s">
        <v>277</v>
      </c>
      <c r="J308" s="472" t="s">
        <v>528</v>
      </c>
      <c r="K308" s="472" t="s">
        <v>303</v>
      </c>
      <c r="L308" s="472" t="s">
        <v>590</v>
      </c>
      <c r="M308" s="472" t="s">
        <v>285</v>
      </c>
      <c r="N308" s="472"/>
      <c r="O308" s="472"/>
      <c r="P308" s="472" t="s">
        <v>528</v>
      </c>
      <c r="Q308" s="472"/>
      <c r="R308" s="473">
        <v>45506</v>
      </c>
      <c r="S308" s="472"/>
      <c r="T308" s="473">
        <v>45504</v>
      </c>
      <c r="U308" s="474">
        <v>0</v>
      </c>
      <c r="V308" s="475">
        <v>5.21</v>
      </c>
      <c r="W308" s="260">
        <v>45474</v>
      </c>
    </row>
    <row r="309" spans="1:23" hidden="1" x14ac:dyDescent="0.35">
      <c r="A309" s="472" t="s">
        <v>526</v>
      </c>
      <c r="B309" s="472" t="s">
        <v>159</v>
      </c>
      <c r="C309" s="472" t="s">
        <v>302</v>
      </c>
      <c r="D309" s="472" t="s">
        <v>316</v>
      </c>
      <c r="E309" s="472" t="s">
        <v>317</v>
      </c>
      <c r="F309" s="472" t="s">
        <v>276</v>
      </c>
      <c r="G309" s="472" t="s">
        <v>527</v>
      </c>
      <c r="H309" s="472"/>
      <c r="I309" s="472" t="s">
        <v>277</v>
      </c>
      <c r="J309" s="472" t="s">
        <v>528</v>
      </c>
      <c r="K309" s="472" t="s">
        <v>303</v>
      </c>
      <c r="L309" s="472" t="s">
        <v>590</v>
      </c>
      <c r="M309" s="472" t="s">
        <v>285</v>
      </c>
      <c r="N309" s="472"/>
      <c r="O309" s="472"/>
      <c r="P309" s="472" t="s">
        <v>528</v>
      </c>
      <c r="Q309" s="472"/>
      <c r="R309" s="473">
        <v>45506</v>
      </c>
      <c r="S309" s="472"/>
      <c r="T309" s="473">
        <v>45504</v>
      </c>
      <c r="U309" s="474">
        <v>0</v>
      </c>
      <c r="V309" s="475">
        <v>8.14</v>
      </c>
      <c r="W309" s="260">
        <v>45474</v>
      </c>
    </row>
    <row r="310" spans="1:23" hidden="1" x14ac:dyDescent="0.35">
      <c r="A310" s="472" t="s">
        <v>526</v>
      </c>
      <c r="B310" s="472" t="s">
        <v>159</v>
      </c>
      <c r="C310" s="472" t="s">
        <v>302</v>
      </c>
      <c r="D310" s="472" t="s">
        <v>318</v>
      </c>
      <c r="E310" s="472" t="s">
        <v>319</v>
      </c>
      <c r="F310" s="472" t="s">
        <v>276</v>
      </c>
      <c r="G310" s="472" t="s">
        <v>527</v>
      </c>
      <c r="H310" s="472"/>
      <c r="I310" s="472" t="s">
        <v>277</v>
      </c>
      <c r="J310" s="472" t="s">
        <v>528</v>
      </c>
      <c r="K310" s="472" t="s">
        <v>303</v>
      </c>
      <c r="L310" s="472" t="s">
        <v>590</v>
      </c>
      <c r="M310" s="472" t="s">
        <v>285</v>
      </c>
      <c r="N310" s="472"/>
      <c r="O310" s="472"/>
      <c r="P310" s="472" t="s">
        <v>528</v>
      </c>
      <c r="Q310" s="472"/>
      <c r="R310" s="473">
        <v>45506</v>
      </c>
      <c r="S310" s="472"/>
      <c r="T310" s="473">
        <v>45504</v>
      </c>
      <c r="U310" s="474">
        <v>0</v>
      </c>
      <c r="V310" s="475">
        <v>0.1</v>
      </c>
      <c r="W310" s="260">
        <v>45474</v>
      </c>
    </row>
    <row r="311" spans="1:23" hidden="1" x14ac:dyDescent="0.35">
      <c r="A311" s="472" t="s">
        <v>526</v>
      </c>
      <c r="B311" s="472" t="s">
        <v>159</v>
      </c>
      <c r="C311" s="472" t="s">
        <v>302</v>
      </c>
      <c r="D311" s="472" t="s">
        <v>391</v>
      </c>
      <c r="E311" s="472" t="s">
        <v>392</v>
      </c>
      <c r="F311" s="472" t="s">
        <v>276</v>
      </c>
      <c r="G311" s="472" t="s">
        <v>527</v>
      </c>
      <c r="H311" s="472"/>
      <c r="I311" s="472" t="s">
        <v>277</v>
      </c>
      <c r="J311" s="472" t="s">
        <v>528</v>
      </c>
      <c r="K311" s="472" t="s">
        <v>303</v>
      </c>
      <c r="L311" s="472" t="s">
        <v>590</v>
      </c>
      <c r="M311" s="472" t="s">
        <v>285</v>
      </c>
      <c r="N311" s="472"/>
      <c r="O311" s="472"/>
      <c r="P311" s="472" t="s">
        <v>528</v>
      </c>
      <c r="Q311" s="472"/>
      <c r="R311" s="473">
        <v>45506</v>
      </c>
      <c r="S311" s="472"/>
      <c r="T311" s="473">
        <v>45504</v>
      </c>
      <c r="U311" s="474">
        <v>0</v>
      </c>
      <c r="V311" s="475">
        <v>0.01</v>
      </c>
      <c r="W311" s="260">
        <v>45474</v>
      </c>
    </row>
    <row r="312" spans="1:23" hidden="1" x14ac:dyDescent="0.35">
      <c r="A312" s="472" t="s">
        <v>526</v>
      </c>
      <c r="B312" s="472" t="s">
        <v>159</v>
      </c>
      <c r="C312" s="472" t="s">
        <v>302</v>
      </c>
      <c r="D312" s="472" t="s">
        <v>320</v>
      </c>
      <c r="E312" s="472" t="s">
        <v>321</v>
      </c>
      <c r="F312" s="472" t="s">
        <v>276</v>
      </c>
      <c r="G312" s="472" t="s">
        <v>527</v>
      </c>
      <c r="H312" s="472"/>
      <c r="I312" s="472" t="s">
        <v>277</v>
      </c>
      <c r="J312" s="472" t="s">
        <v>528</v>
      </c>
      <c r="K312" s="472" t="s">
        <v>303</v>
      </c>
      <c r="L312" s="472" t="s">
        <v>590</v>
      </c>
      <c r="M312" s="472" t="s">
        <v>285</v>
      </c>
      <c r="N312" s="472"/>
      <c r="O312" s="472"/>
      <c r="P312" s="472" t="s">
        <v>528</v>
      </c>
      <c r="Q312" s="472"/>
      <c r="R312" s="473">
        <v>45506</v>
      </c>
      <c r="S312" s="472"/>
      <c r="T312" s="473">
        <v>45504</v>
      </c>
      <c r="U312" s="474">
        <v>0</v>
      </c>
      <c r="V312" s="475">
        <v>6.46</v>
      </c>
      <c r="W312" s="260">
        <v>45474</v>
      </c>
    </row>
    <row r="313" spans="1:23" hidden="1" x14ac:dyDescent="0.35">
      <c r="A313" s="472" t="s">
        <v>526</v>
      </c>
      <c r="B313" s="472" t="s">
        <v>159</v>
      </c>
      <c r="C313" s="472" t="s">
        <v>302</v>
      </c>
      <c r="D313" s="472" t="s">
        <v>322</v>
      </c>
      <c r="E313" s="472" t="s">
        <v>323</v>
      </c>
      <c r="F313" s="472" t="s">
        <v>276</v>
      </c>
      <c r="G313" s="472" t="s">
        <v>527</v>
      </c>
      <c r="H313" s="472"/>
      <c r="I313" s="472" t="s">
        <v>277</v>
      </c>
      <c r="J313" s="472" t="s">
        <v>528</v>
      </c>
      <c r="K313" s="472" t="s">
        <v>303</v>
      </c>
      <c r="L313" s="472" t="s">
        <v>590</v>
      </c>
      <c r="M313" s="472" t="s">
        <v>285</v>
      </c>
      <c r="N313" s="472"/>
      <c r="O313" s="472"/>
      <c r="P313" s="472" t="s">
        <v>528</v>
      </c>
      <c r="Q313" s="472"/>
      <c r="R313" s="473">
        <v>45506</v>
      </c>
      <c r="S313" s="472"/>
      <c r="T313" s="473">
        <v>45504</v>
      </c>
      <c r="U313" s="474">
        <v>0</v>
      </c>
      <c r="V313" s="475">
        <v>0.05</v>
      </c>
      <c r="W313" s="260">
        <v>45474</v>
      </c>
    </row>
    <row r="314" spans="1:23" hidden="1" x14ac:dyDescent="0.35">
      <c r="A314" s="472" t="s">
        <v>526</v>
      </c>
      <c r="B314" s="472" t="s">
        <v>159</v>
      </c>
      <c r="C314" s="472" t="s">
        <v>302</v>
      </c>
      <c r="D314" s="472" t="s">
        <v>324</v>
      </c>
      <c r="E314" s="472" t="s">
        <v>325</v>
      </c>
      <c r="F314" s="472" t="s">
        <v>276</v>
      </c>
      <c r="G314" s="472" t="s">
        <v>527</v>
      </c>
      <c r="H314" s="472"/>
      <c r="I314" s="472" t="s">
        <v>277</v>
      </c>
      <c r="J314" s="472" t="s">
        <v>528</v>
      </c>
      <c r="K314" s="472" t="s">
        <v>303</v>
      </c>
      <c r="L314" s="472" t="s">
        <v>590</v>
      </c>
      <c r="M314" s="472" t="s">
        <v>285</v>
      </c>
      <c r="N314" s="472"/>
      <c r="O314" s="472"/>
      <c r="P314" s="472" t="s">
        <v>528</v>
      </c>
      <c r="Q314" s="472"/>
      <c r="R314" s="473">
        <v>45506</v>
      </c>
      <c r="S314" s="472"/>
      <c r="T314" s="473">
        <v>45504</v>
      </c>
      <c r="U314" s="474">
        <v>0</v>
      </c>
      <c r="V314" s="475">
        <v>18.989999999999998</v>
      </c>
      <c r="W314" s="260">
        <v>45474</v>
      </c>
    </row>
    <row r="315" spans="1:23" hidden="1" x14ac:dyDescent="0.35">
      <c r="A315" s="472" t="s">
        <v>526</v>
      </c>
      <c r="B315" s="472" t="s">
        <v>159</v>
      </c>
      <c r="C315" s="472" t="s">
        <v>302</v>
      </c>
      <c r="D315" s="472" t="s">
        <v>326</v>
      </c>
      <c r="E315" s="472" t="s">
        <v>327</v>
      </c>
      <c r="F315" s="472" t="s">
        <v>276</v>
      </c>
      <c r="G315" s="472" t="s">
        <v>527</v>
      </c>
      <c r="H315" s="472"/>
      <c r="I315" s="472" t="s">
        <v>277</v>
      </c>
      <c r="J315" s="472" t="s">
        <v>528</v>
      </c>
      <c r="K315" s="472" t="s">
        <v>303</v>
      </c>
      <c r="L315" s="472" t="s">
        <v>590</v>
      </c>
      <c r="M315" s="472" t="s">
        <v>285</v>
      </c>
      <c r="N315" s="472"/>
      <c r="O315" s="472"/>
      <c r="P315" s="472" t="s">
        <v>528</v>
      </c>
      <c r="Q315" s="472"/>
      <c r="R315" s="473">
        <v>45506</v>
      </c>
      <c r="S315" s="472"/>
      <c r="T315" s="473">
        <v>45504</v>
      </c>
      <c r="U315" s="474">
        <v>0</v>
      </c>
      <c r="V315" s="475">
        <v>0.28999999999999998</v>
      </c>
      <c r="W315" s="260">
        <v>45474</v>
      </c>
    </row>
    <row r="316" spans="1:23" hidden="1" x14ac:dyDescent="0.35">
      <c r="A316" s="472" t="s">
        <v>526</v>
      </c>
      <c r="B316" s="472" t="s">
        <v>159</v>
      </c>
      <c r="C316" s="472" t="s">
        <v>302</v>
      </c>
      <c r="D316" s="472" t="s">
        <v>328</v>
      </c>
      <c r="E316" s="472" t="s">
        <v>329</v>
      </c>
      <c r="F316" s="472" t="s">
        <v>276</v>
      </c>
      <c r="G316" s="472" t="s">
        <v>527</v>
      </c>
      <c r="H316" s="472"/>
      <c r="I316" s="472" t="s">
        <v>277</v>
      </c>
      <c r="J316" s="472" t="s">
        <v>528</v>
      </c>
      <c r="K316" s="472" t="s">
        <v>303</v>
      </c>
      <c r="L316" s="472" t="s">
        <v>590</v>
      </c>
      <c r="M316" s="472" t="s">
        <v>285</v>
      </c>
      <c r="N316" s="472"/>
      <c r="O316" s="472"/>
      <c r="P316" s="472" t="s">
        <v>528</v>
      </c>
      <c r="Q316" s="472"/>
      <c r="R316" s="473">
        <v>45506</v>
      </c>
      <c r="S316" s="472"/>
      <c r="T316" s="473">
        <v>45504</v>
      </c>
      <c r="U316" s="474">
        <v>0</v>
      </c>
      <c r="V316" s="475">
        <v>26.86</v>
      </c>
      <c r="W316" s="260">
        <v>45474</v>
      </c>
    </row>
    <row r="317" spans="1:23" hidden="1" x14ac:dyDescent="0.35">
      <c r="A317" s="472" t="s">
        <v>526</v>
      </c>
      <c r="B317" s="472" t="s">
        <v>159</v>
      </c>
      <c r="C317" s="472" t="s">
        <v>302</v>
      </c>
      <c r="D317" s="472" t="s">
        <v>330</v>
      </c>
      <c r="E317" s="472" t="s">
        <v>331</v>
      </c>
      <c r="F317" s="472" t="s">
        <v>276</v>
      </c>
      <c r="G317" s="472" t="s">
        <v>527</v>
      </c>
      <c r="H317" s="472"/>
      <c r="I317" s="472" t="s">
        <v>277</v>
      </c>
      <c r="J317" s="472" t="s">
        <v>528</v>
      </c>
      <c r="K317" s="472" t="s">
        <v>303</v>
      </c>
      <c r="L317" s="472" t="s">
        <v>590</v>
      </c>
      <c r="M317" s="472" t="s">
        <v>285</v>
      </c>
      <c r="N317" s="472"/>
      <c r="O317" s="472"/>
      <c r="P317" s="472" t="s">
        <v>528</v>
      </c>
      <c r="Q317" s="472"/>
      <c r="R317" s="473">
        <v>45506</v>
      </c>
      <c r="S317" s="472"/>
      <c r="T317" s="473">
        <v>45504</v>
      </c>
      <c r="U317" s="474">
        <v>0</v>
      </c>
      <c r="V317" s="475">
        <v>-0.06</v>
      </c>
      <c r="W317" s="260">
        <v>45474</v>
      </c>
    </row>
    <row r="318" spans="1:23" hidden="1" x14ac:dyDescent="0.35">
      <c r="A318" s="472" t="s">
        <v>526</v>
      </c>
      <c r="B318" s="472" t="s">
        <v>159</v>
      </c>
      <c r="C318" s="472" t="s">
        <v>302</v>
      </c>
      <c r="D318" s="472" t="s">
        <v>332</v>
      </c>
      <c r="E318" s="472" t="s">
        <v>333</v>
      </c>
      <c r="F318" s="472" t="s">
        <v>276</v>
      </c>
      <c r="G318" s="472" t="s">
        <v>527</v>
      </c>
      <c r="H318" s="472"/>
      <c r="I318" s="472" t="s">
        <v>277</v>
      </c>
      <c r="J318" s="472" t="s">
        <v>528</v>
      </c>
      <c r="K318" s="472" t="s">
        <v>303</v>
      </c>
      <c r="L318" s="472" t="s">
        <v>590</v>
      </c>
      <c r="M318" s="472" t="s">
        <v>285</v>
      </c>
      <c r="N318" s="472"/>
      <c r="O318" s="472"/>
      <c r="P318" s="472" t="s">
        <v>528</v>
      </c>
      <c r="Q318" s="472"/>
      <c r="R318" s="473">
        <v>45506</v>
      </c>
      <c r="S318" s="472"/>
      <c r="T318" s="473">
        <v>45504</v>
      </c>
      <c r="U318" s="474">
        <v>0</v>
      </c>
      <c r="V318" s="475">
        <v>11.9</v>
      </c>
      <c r="W318" s="260">
        <v>45474</v>
      </c>
    </row>
    <row r="319" spans="1:23" hidden="1" x14ac:dyDescent="0.35">
      <c r="A319" s="472" t="s">
        <v>526</v>
      </c>
      <c r="B319" s="472" t="s">
        <v>159</v>
      </c>
      <c r="C319" s="472" t="s">
        <v>302</v>
      </c>
      <c r="D319" s="472" t="s">
        <v>334</v>
      </c>
      <c r="E319" s="472" t="s">
        <v>335</v>
      </c>
      <c r="F319" s="472" t="s">
        <v>276</v>
      </c>
      <c r="G319" s="472" t="s">
        <v>527</v>
      </c>
      <c r="H319" s="472"/>
      <c r="I319" s="472" t="s">
        <v>277</v>
      </c>
      <c r="J319" s="472" t="s">
        <v>528</v>
      </c>
      <c r="K319" s="472" t="s">
        <v>303</v>
      </c>
      <c r="L319" s="472" t="s">
        <v>590</v>
      </c>
      <c r="M319" s="472" t="s">
        <v>285</v>
      </c>
      <c r="N319" s="472"/>
      <c r="O319" s="472"/>
      <c r="P319" s="472" t="s">
        <v>528</v>
      </c>
      <c r="Q319" s="472"/>
      <c r="R319" s="473">
        <v>45506</v>
      </c>
      <c r="S319" s="472"/>
      <c r="T319" s="473">
        <v>45504</v>
      </c>
      <c r="U319" s="474">
        <v>0</v>
      </c>
      <c r="V319" s="475">
        <v>0.93</v>
      </c>
      <c r="W319" s="260">
        <v>45474</v>
      </c>
    </row>
    <row r="320" spans="1:23" hidden="1" x14ac:dyDescent="0.35">
      <c r="A320" s="472" t="s">
        <v>526</v>
      </c>
      <c r="B320" s="472" t="s">
        <v>159</v>
      </c>
      <c r="C320" s="472" t="s">
        <v>302</v>
      </c>
      <c r="D320" s="472" t="s">
        <v>397</v>
      </c>
      <c r="E320" s="472" t="s">
        <v>398</v>
      </c>
      <c r="F320" s="472" t="s">
        <v>276</v>
      </c>
      <c r="G320" s="472" t="s">
        <v>527</v>
      </c>
      <c r="H320" s="472"/>
      <c r="I320" s="472" t="s">
        <v>277</v>
      </c>
      <c r="J320" s="472" t="s">
        <v>528</v>
      </c>
      <c r="K320" s="472" t="s">
        <v>303</v>
      </c>
      <c r="L320" s="472" t="s">
        <v>590</v>
      </c>
      <c r="M320" s="472" t="s">
        <v>285</v>
      </c>
      <c r="N320" s="472"/>
      <c r="O320" s="472"/>
      <c r="P320" s="472" t="s">
        <v>528</v>
      </c>
      <c r="Q320" s="472"/>
      <c r="R320" s="473">
        <v>45506</v>
      </c>
      <c r="S320" s="472"/>
      <c r="T320" s="473">
        <v>45504</v>
      </c>
      <c r="U320" s="474">
        <v>0</v>
      </c>
      <c r="V320" s="475">
        <v>0.02</v>
      </c>
      <c r="W320" s="260">
        <v>45474</v>
      </c>
    </row>
    <row r="321" spans="1:23" hidden="1" x14ac:dyDescent="0.35">
      <c r="A321" s="472" t="s">
        <v>526</v>
      </c>
      <c r="B321" s="472" t="s">
        <v>159</v>
      </c>
      <c r="C321" s="472" t="s">
        <v>281</v>
      </c>
      <c r="D321" s="472" t="s">
        <v>340</v>
      </c>
      <c r="E321" s="472" t="s">
        <v>283</v>
      </c>
      <c r="F321" s="472" t="s">
        <v>276</v>
      </c>
      <c r="G321" s="472" t="s">
        <v>527</v>
      </c>
      <c r="H321" s="472"/>
      <c r="I321" s="472" t="s">
        <v>277</v>
      </c>
      <c r="J321" s="472" t="s">
        <v>528</v>
      </c>
      <c r="K321" s="472" t="s">
        <v>284</v>
      </c>
      <c r="L321" s="472" t="s">
        <v>590</v>
      </c>
      <c r="M321" s="472" t="s">
        <v>285</v>
      </c>
      <c r="N321" s="472"/>
      <c r="O321" s="472"/>
      <c r="P321" s="472" t="s">
        <v>528</v>
      </c>
      <c r="Q321" s="472"/>
      <c r="R321" s="473">
        <v>45505</v>
      </c>
      <c r="S321" s="472"/>
      <c r="T321" s="473">
        <v>45504</v>
      </c>
      <c r="U321" s="474">
        <v>0</v>
      </c>
      <c r="V321" s="475">
        <v>139.41</v>
      </c>
      <c r="W321" s="260">
        <v>45474</v>
      </c>
    </row>
    <row r="322" spans="1:23" hidden="1" x14ac:dyDescent="0.35">
      <c r="A322" s="472" t="s">
        <v>526</v>
      </c>
      <c r="B322" s="472" t="s">
        <v>159</v>
      </c>
      <c r="C322" s="472" t="s">
        <v>302</v>
      </c>
      <c r="D322" s="472" t="s">
        <v>340</v>
      </c>
      <c r="E322" s="472" t="s">
        <v>283</v>
      </c>
      <c r="F322" s="472" t="s">
        <v>276</v>
      </c>
      <c r="G322" s="472" t="s">
        <v>527</v>
      </c>
      <c r="H322" s="472"/>
      <c r="I322" s="472" t="s">
        <v>277</v>
      </c>
      <c r="J322" s="472" t="s">
        <v>528</v>
      </c>
      <c r="K322" s="472" t="s">
        <v>303</v>
      </c>
      <c r="L322" s="472" t="s">
        <v>590</v>
      </c>
      <c r="M322" s="472" t="s">
        <v>285</v>
      </c>
      <c r="N322" s="472"/>
      <c r="O322" s="472"/>
      <c r="P322" s="472" t="s">
        <v>528</v>
      </c>
      <c r="Q322" s="472"/>
      <c r="R322" s="473">
        <v>45506</v>
      </c>
      <c r="S322" s="472"/>
      <c r="T322" s="473">
        <v>45504</v>
      </c>
      <c r="U322" s="474">
        <v>0</v>
      </c>
      <c r="V322" s="475">
        <v>21.6</v>
      </c>
      <c r="W322" s="260">
        <v>45474</v>
      </c>
    </row>
    <row r="323" spans="1:23" hidden="1" x14ac:dyDescent="0.35">
      <c r="A323" s="472" t="s">
        <v>526</v>
      </c>
      <c r="B323" s="472" t="s">
        <v>159</v>
      </c>
      <c r="C323" s="472" t="s">
        <v>302</v>
      </c>
      <c r="D323" s="472" t="s">
        <v>340</v>
      </c>
      <c r="E323" s="472" t="s">
        <v>283</v>
      </c>
      <c r="F323" s="472" t="s">
        <v>276</v>
      </c>
      <c r="G323" s="472" t="s">
        <v>527</v>
      </c>
      <c r="H323" s="472"/>
      <c r="I323" s="472" t="s">
        <v>277</v>
      </c>
      <c r="J323" s="472" t="s">
        <v>528</v>
      </c>
      <c r="K323" s="472" t="s">
        <v>303</v>
      </c>
      <c r="L323" s="472" t="s">
        <v>590</v>
      </c>
      <c r="M323" s="472" t="s">
        <v>285</v>
      </c>
      <c r="N323" s="472"/>
      <c r="O323" s="472"/>
      <c r="P323" s="472" t="s">
        <v>528</v>
      </c>
      <c r="Q323" s="472"/>
      <c r="R323" s="473">
        <v>45506</v>
      </c>
      <c r="S323" s="472"/>
      <c r="T323" s="473">
        <v>45504</v>
      </c>
      <c r="U323" s="474">
        <v>0</v>
      </c>
      <c r="V323" s="475">
        <v>7.02</v>
      </c>
      <c r="W323" s="260">
        <v>45474</v>
      </c>
    </row>
    <row r="324" spans="1:23" hidden="1" x14ac:dyDescent="0.35">
      <c r="A324" s="472" t="s">
        <v>526</v>
      </c>
      <c r="B324" s="472" t="s">
        <v>159</v>
      </c>
      <c r="C324" s="472" t="s">
        <v>286</v>
      </c>
      <c r="D324" s="472" t="s">
        <v>341</v>
      </c>
      <c r="E324" s="472" t="s">
        <v>288</v>
      </c>
      <c r="F324" s="472" t="s">
        <v>276</v>
      </c>
      <c r="G324" s="472" t="s">
        <v>527</v>
      </c>
      <c r="H324" s="472"/>
      <c r="I324" s="472" t="s">
        <v>277</v>
      </c>
      <c r="J324" s="472" t="s">
        <v>528</v>
      </c>
      <c r="K324" s="472" t="s">
        <v>289</v>
      </c>
      <c r="L324" s="472" t="s">
        <v>590</v>
      </c>
      <c r="M324" s="472" t="s">
        <v>285</v>
      </c>
      <c r="N324" s="472"/>
      <c r="O324" s="472"/>
      <c r="P324" s="472" t="s">
        <v>528</v>
      </c>
      <c r="Q324" s="472"/>
      <c r="R324" s="473">
        <v>45505</v>
      </c>
      <c r="S324" s="472"/>
      <c r="T324" s="473">
        <v>45504</v>
      </c>
      <c r="U324" s="474">
        <v>0</v>
      </c>
      <c r="V324" s="475">
        <v>779.37</v>
      </c>
      <c r="W324" s="260">
        <v>45474</v>
      </c>
    </row>
    <row r="325" spans="1:23" hidden="1" x14ac:dyDescent="0.35">
      <c r="A325" s="472" t="s">
        <v>526</v>
      </c>
      <c r="B325" s="472" t="s">
        <v>159</v>
      </c>
      <c r="C325" s="472" t="s">
        <v>302</v>
      </c>
      <c r="D325" s="472" t="s">
        <v>341</v>
      </c>
      <c r="E325" s="472" t="s">
        <v>288</v>
      </c>
      <c r="F325" s="472" t="s">
        <v>276</v>
      </c>
      <c r="G325" s="472" t="s">
        <v>527</v>
      </c>
      <c r="H325" s="472"/>
      <c r="I325" s="472" t="s">
        <v>277</v>
      </c>
      <c r="J325" s="472" t="s">
        <v>528</v>
      </c>
      <c r="K325" s="472" t="s">
        <v>303</v>
      </c>
      <c r="L325" s="472" t="s">
        <v>590</v>
      </c>
      <c r="M325" s="472" t="s">
        <v>285</v>
      </c>
      <c r="N325" s="472"/>
      <c r="O325" s="472"/>
      <c r="P325" s="472" t="s">
        <v>528</v>
      </c>
      <c r="Q325" s="472"/>
      <c r="R325" s="473">
        <v>45506</v>
      </c>
      <c r="S325" s="472"/>
      <c r="T325" s="473">
        <v>45504</v>
      </c>
      <c r="U325" s="474">
        <v>0</v>
      </c>
      <c r="V325" s="475">
        <v>61.98</v>
      </c>
      <c r="W325" s="260">
        <v>45474</v>
      </c>
    </row>
    <row r="326" spans="1:23" hidden="1" x14ac:dyDescent="0.35">
      <c r="A326" s="472" t="s">
        <v>526</v>
      </c>
      <c r="B326" s="472" t="s">
        <v>159</v>
      </c>
      <c r="C326" s="472" t="s">
        <v>302</v>
      </c>
      <c r="D326" s="472" t="s">
        <v>341</v>
      </c>
      <c r="E326" s="472" t="s">
        <v>288</v>
      </c>
      <c r="F326" s="472" t="s">
        <v>276</v>
      </c>
      <c r="G326" s="472" t="s">
        <v>527</v>
      </c>
      <c r="H326" s="472"/>
      <c r="I326" s="472" t="s">
        <v>277</v>
      </c>
      <c r="J326" s="472" t="s">
        <v>528</v>
      </c>
      <c r="K326" s="472" t="s">
        <v>303</v>
      </c>
      <c r="L326" s="472" t="s">
        <v>590</v>
      </c>
      <c r="M326" s="472" t="s">
        <v>285</v>
      </c>
      <c r="N326" s="472"/>
      <c r="O326" s="472"/>
      <c r="P326" s="472" t="s">
        <v>528</v>
      </c>
      <c r="Q326" s="472"/>
      <c r="R326" s="473">
        <v>45506</v>
      </c>
      <c r="S326" s="472"/>
      <c r="T326" s="473">
        <v>45504</v>
      </c>
      <c r="U326" s="474">
        <v>0</v>
      </c>
      <c r="V326" s="475">
        <v>39.229999999999997</v>
      </c>
      <c r="W326" s="260">
        <v>45474</v>
      </c>
    </row>
    <row r="327" spans="1:23" hidden="1" x14ac:dyDescent="0.35">
      <c r="A327" s="472" t="s">
        <v>526</v>
      </c>
      <c r="B327" s="472" t="s">
        <v>159</v>
      </c>
      <c r="C327" s="472" t="s">
        <v>281</v>
      </c>
      <c r="D327" s="472" t="s">
        <v>342</v>
      </c>
      <c r="E327" s="472" t="s">
        <v>291</v>
      </c>
      <c r="F327" s="472" t="s">
        <v>276</v>
      </c>
      <c r="G327" s="472" t="s">
        <v>527</v>
      </c>
      <c r="H327" s="472"/>
      <c r="I327" s="472" t="s">
        <v>277</v>
      </c>
      <c r="J327" s="472" t="s">
        <v>528</v>
      </c>
      <c r="K327" s="472" t="s">
        <v>284</v>
      </c>
      <c r="L327" s="472" t="s">
        <v>590</v>
      </c>
      <c r="M327" s="472" t="s">
        <v>285</v>
      </c>
      <c r="N327" s="472"/>
      <c r="O327" s="472"/>
      <c r="P327" s="472" t="s">
        <v>528</v>
      </c>
      <c r="Q327" s="472"/>
      <c r="R327" s="473">
        <v>45505</v>
      </c>
      <c r="S327" s="472"/>
      <c r="T327" s="473">
        <v>45504</v>
      </c>
      <c r="U327" s="474">
        <v>0</v>
      </c>
      <c r="V327" s="475">
        <v>105.1</v>
      </c>
      <c r="W327" s="260">
        <v>45474</v>
      </c>
    </row>
    <row r="328" spans="1:23" hidden="1" x14ac:dyDescent="0.35">
      <c r="A328" s="472" t="s">
        <v>526</v>
      </c>
      <c r="B328" s="472" t="s">
        <v>159</v>
      </c>
      <c r="C328" s="472" t="s">
        <v>302</v>
      </c>
      <c r="D328" s="472" t="s">
        <v>342</v>
      </c>
      <c r="E328" s="472" t="s">
        <v>291</v>
      </c>
      <c r="F328" s="472" t="s">
        <v>276</v>
      </c>
      <c r="G328" s="472" t="s">
        <v>527</v>
      </c>
      <c r="H328" s="472"/>
      <c r="I328" s="472" t="s">
        <v>277</v>
      </c>
      <c r="J328" s="472" t="s">
        <v>528</v>
      </c>
      <c r="K328" s="472" t="s">
        <v>303</v>
      </c>
      <c r="L328" s="472" t="s">
        <v>590</v>
      </c>
      <c r="M328" s="472" t="s">
        <v>285</v>
      </c>
      <c r="N328" s="472"/>
      <c r="O328" s="472"/>
      <c r="P328" s="472" t="s">
        <v>528</v>
      </c>
      <c r="Q328" s="472"/>
      <c r="R328" s="473">
        <v>45506</v>
      </c>
      <c r="S328" s="472"/>
      <c r="T328" s="473">
        <v>45504</v>
      </c>
      <c r="U328" s="474">
        <v>0</v>
      </c>
      <c r="V328" s="475">
        <v>13.43</v>
      </c>
      <c r="W328" s="260">
        <v>45474</v>
      </c>
    </row>
    <row r="329" spans="1:23" hidden="1" x14ac:dyDescent="0.35">
      <c r="A329" s="472" t="s">
        <v>526</v>
      </c>
      <c r="B329" s="472" t="s">
        <v>159</v>
      </c>
      <c r="C329" s="472" t="s">
        <v>302</v>
      </c>
      <c r="D329" s="472" t="s">
        <v>342</v>
      </c>
      <c r="E329" s="472" t="s">
        <v>291</v>
      </c>
      <c r="F329" s="472" t="s">
        <v>276</v>
      </c>
      <c r="G329" s="472" t="s">
        <v>527</v>
      </c>
      <c r="H329" s="472"/>
      <c r="I329" s="472" t="s">
        <v>277</v>
      </c>
      <c r="J329" s="472" t="s">
        <v>528</v>
      </c>
      <c r="K329" s="472" t="s">
        <v>303</v>
      </c>
      <c r="L329" s="472" t="s">
        <v>590</v>
      </c>
      <c r="M329" s="472" t="s">
        <v>285</v>
      </c>
      <c r="N329" s="472"/>
      <c r="O329" s="472"/>
      <c r="P329" s="472" t="s">
        <v>528</v>
      </c>
      <c r="Q329" s="472"/>
      <c r="R329" s="473">
        <v>45506</v>
      </c>
      <c r="S329" s="472"/>
      <c r="T329" s="473">
        <v>45504</v>
      </c>
      <c r="U329" s="474">
        <v>0</v>
      </c>
      <c r="V329" s="475">
        <v>5.29</v>
      </c>
      <c r="W329" s="260">
        <v>45474</v>
      </c>
    </row>
    <row r="330" spans="1:23" hidden="1" x14ac:dyDescent="0.35">
      <c r="A330" s="472" t="s">
        <v>526</v>
      </c>
      <c r="B330" s="472" t="s">
        <v>159</v>
      </c>
      <c r="C330" s="472" t="s">
        <v>281</v>
      </c>
      <c r="D330" s="472" t="s">
        <v>343</v>
      </c>
      <c r="E330" s="472" t="s">
        <v>293</v>
      </c>
      <c r="F330" s="472" t="s">
        <v>276</v>
      </c>
      <c r="G330" s="472" t="s">
        <v>527</v>
      </c>
      <c r="H330" s="472"/>
      <c r="I330" s="472" t="s">
        <v>277</v>
      </c>
      <c r="J330" s="472" t="s">
        <v>528</v>
      </c>
      <c r="K330" s="472" t="s">
        <v>294</v>
      </c>
      <c r="L330" s="472" t="s">
        <v>590</v>
      </c>
      <c r="M330" s="472" t="s">
        <v>285</v>
      </c>
      <c r="N330" s="472"/>
      <c r="O330" s="472"/>
      <c r="P330" s="472" t="s">
        <v>528</v>
      </c>
      <c r="Q330" s="472"/>
      <c r="R330" s="473">
        <v>45505</v>
      </c>
      <c r="S330" s="472"/>
      <c r="T330" s="473">
        <v>45504</v>
      </c>
      <c r="U330" s="474">
        <v>0</v>
      </c>
      <c r="V330" s="475">
        <v>264.05</v>
      </c>
      <c r="W330" s="260">
        <v>45474</v>
      </c>
    </row>
    <row r="331" spans="1:23" hidden="1" x14ac:dyDescent="0.35">
      <c r="A331" s="472" t="s">
        <v>526</v>
      </c>
      <c r="B331" s="472" t="s">
        <v>159</v>
      </c>
      <c r="C331" s="472" t="s">
        <v>302</v>
      </c>
      <c r="D331" s="472" t="s">
        <v>343</v>
      </c>
      <c r="E331" s="472" t="s">
        <v>293</v>
      </c>
      <c r="F331" s="472" t="s">
        <v>276</v>
      </c>
      <c r="G331" s="472" t="s">
        <v>527</v>
      </c>
      <c r="H331" s="472"/>
      <c r="I331" s="472" t="s">
        <v>277</v>
      </c>
      <c r="J331" s="472" t="s">
        <v>528</v>
      </c>
      <c r="K331" s="472" t="s">
        <v>303</v>
      </c>
      <c r="L331" s="472" t="s">
        <v>590</v>
      </c>
      <c r="M331" s="472" t="s">
        <v>285</v>
      </c>
      <c r="N331" s="472"/>
      <c r="O331" s="472"/>
      <c r="P331" s="472" t="s">
        <v>528</v>
      </c>
      <c r="Q331" s="472"/>
      <c r="R331" s="473">
        <v>45506</v>
      </c>
      <c r="S331" s="472"/>
      <c r="T331" s="473">
        <v>45504</v>
      </c>
      <c r="U331" s="474">
        <v>0</v>
      </c>
      <c r="V331" s="475">
        <v>19.04</v>
      </c>
      <c r="W331" s="260">
        <v>45474</v>
      </c>
    </row>
    <row r="332" spans="1:23" hidden="1" x14ac:dyDescent="0.35">
      <c r="A332" s="472" t="s">
        <v>526</v>
      </c>
      <c r="B332" s="472" t="s">
        <v>159</v>
      </c>
      <c r="C332" s="472" t="s">
        <v>302</v>
      </c>
      <c r="D332" s="472" t="s">
        <v>343</v>
      </c>
      <c r="E332" s="472" t="s">
        <v>293</v>
      </c>
      <c r="F332" s="472" t="s">
        <v>276</v>
      </c>
      <c r="G332" s="472" t="s">
        <v>527</v>
      </c>
      <c r="H332" s="472"/>
      <c r="I332" s="472" t="s">
        <v>277</v>
      </c>
      <c r="J332" s="472" t="s">
        <v>528</v>
      </c>
      <c r="K332" s="472" t="s">
        <v>303</v>
      </c>
      <c r="L332" s="472" t="s">
        <v>590</v>
      </c>
      <c r="M332" s="472" t="s">
        <v>285</v>
      </c>
      <c r="N332" s="472"/>
      <c r="O332" s="472"/>
      <c r="P332" s="472" t="s">
        <v>528</v>
      </c>
      <c r="Q332" s="472"/>
      <c r="R332" s="473">
        <v>45506</v>
      </c>
      <c r="S332" s="472"/>
      <c r="T332" s="473">
        <v>45504</v>
      </c>
      <c r="U332" s="474">
        <v>0</v>
      </c>
      <c r="V332" s="475">
        <v>13.29</v>
      </c>
      <c r="W332" s="260">
        <v>45474</v>
      </c>
    </row>
    <row r="333" spans="1:23" hidden="1" x14ac:dyDescent="0.35">
      <c r="A333" s="472" t="s">
        <v>526</v>
      </c>
      <c r="B333" s="472" t="s">
        <v>159</v>
      </c>
      <c r="C333" s="472" t="s">
        <v>286</v>
      </c>
      <c r="D333" s="472" t="s">
        <v>344</v>
      </c>
      <c r="E333" s="472" t="s">
        <v>296</v>
      </c>
      <c r="F333" s="472" t="s">
        <v>276</v>
      </c>
      <c r="G333" s="472" t="s">
        <v>527</v>
      </c>
      <c r="H333" s="472"/>
      <c r="I333" s="472" t="s">
        <v>277</v>
      </c>
      <c r="J333" s="472" t="s">
        <v>528</v>
      </c>
      <c r="K333" s="472" t="s">
        <v>297</v>
      </c>
      <c r="L333" s="472" t="s">
        <v>590</v>
      </c>
      <c r="M333" s="472" t="s">
        <v>285</v>
      </c>
      <c r="N333" s="472"/>
      <c r="O333" s="472"/>
      <c r="P333" s="472" t="s">
        <v>528</v>
      </c>
      <c r="Q333" s="472"/>
      <c r="R333" s="473">
        <v>45505</v>
      </c>
      <c r="S333" s="472"/>
      <c r="T333" s="473">
        <v>45504</v>
      </c>
      <c r="U333" s="474">
        <v>0</v>
      </c>
      <c r="V333" s="475">
        <v>354.82</v>
      </c>
      <c r="W333" s="260">
        <v>45474</v>
      </c>
    </row>
    <row r="334" spans="1:23" hidden="1" x14ac:dyDescent="0.35">
      <c r="A334" s="472" t="s">
        <v>526</v>
      </c>
      <c r="B334" s="472" t="s">
        <v>159</v>
      </c>
      <c r="C334" s="472" t="s">
        <v>302</v>
      </c>
      <c r="D334" s="472" t="s">
        <v>344</v>
      </c>
      <c r="E334" s="472" t="s">
        <v>296</v>
      </c>
      <c r="F334" s="472" t="s">
        <v>276</v>
      </c>
      <c r="G334" s="472" t="s">
        <v>527</v>
      </c>
      <c r="H334" s="472"/>
      <c r="I334" s="472" t="s">
        <v>277</v>
      </c>
      <c r="J334" s="472" t="s">
        <v>528</v>
      </c>
      <c r="K334" s="472" t="s">
        <v>303</v>
      </c>
      <c r="L334" s="472" t="s">
        <v>590</v>
      </c>
      <c r="M334" s="472" t="s">
        <v>285</v>
      </c>
      <c r="N334" s="472"/>
      <c r="O334" s="472"/>
      <c r="P334" s="472" t="s">
        <v>528</v>
      </c>
      <c r="Q334" s="472"/>
      <c r="R334" s="473">
        <v>45506</v>
      </c>
      <c r="S334" s="472"/>
      <c r="T334" s="473">
        <v>45504</v>
      </c>
      <c r="U334" s="474">
        <v>0</v>
      </c>
      <c r="V334" s="475">
        <v>17.86</v>
      </c>
      <c r="W334" s="260">
        <v>45474</v>
      </c>
    </row>
    <row r="335" spans="1:23" hidden="1" x14ac:dyDescent="0.35">
      <c r="A335" s="472" t="s">
        <v>526</v>
      </c>
      <c r="B335" s="472" t="s">
        <v>159</v>
      </c>
      <c r="C335" s="472" t="s">
        <v>302</v>
      </c>
      <c r="D335" s="472" t="s">
        <v>344</v>
      </c>
      <c r="E335" s="472" t="s">
        <v>296</v>
      </c>
      <c r="F335" s="472" t="s">
        <v>276</v>
      </c>
      <c r="G335" s="472" t="s">
        <v>527</v>
      </c>
      <c r="H335" s="472"/>
      <c r="I335" s="472" t="s">
        <v>277</v>
      </c>
      <c r="J335" s="472" t="s">
        <v>528</v>
      </c>
      <c r="K335" s="472" t="s">
        <v>303</v>
      </c>
      <c r="L335" s="472" t="s">
        <v>590</v>
      </c>
      <c r="M335" s="472" t="s">
        <v>285</v>
      </c>
      <c r="N335" s="472"/>
      <c r="O335" s="472"/>
      <c r="P335" s="472" t="s">
        <v>528</v>
      </c>
      <c r="Q335" s="472"/>
      <c r="R335" s="473">
        <v>45506</v>
      </c>
      <c r="S335" s="472"/>
      <c r="T335" s="473">
        <v>45504</v>
      </c>
      <c r="U335" s="474">
        <v>0</v>
      </c>
      <c r="V335" s="475">
        <v>23.99</v>
      </c>
      <c r="W335" s="260">
        <v>45474</v>
      </c>
    </row>
    <row r="336" spans="1:23" hidden="1" x14ac:dyDescent="0.35">
      <c r="A336" s="472" t="s">
        <v>526</v>
      </c>
      <c r="B336" s="472" t="s">
        <v>159</v>
      </c>
      <c r="C336" s="472" t="s">
        <v>302</v>
      </c>
      <c r="D336" s="472" t="s">
        <v>347</v>
      </c>
      <c r="E336" s="472" t="s">
        <v>348</v>
      </c>
      <c r="F336" s="472" t="s">
        <v>276</v>
      </c>
      <c r="G336" s="472" t="s">
        <v>527</v>
      </c>
      <c r="H336" s="472"/>
      <c r="I336" s="472" t="s">
        <v>277</v>
      </c>
      <c r="J336" s="472" t="s">
        <v>528</v>
      </c>
      <c r="K336" s="472" t="s">
        <v>303</v>
      </c>
      <c r="L336" s="472" t="s">
        <v>590</v>
      </c>
      <c r="M336" s="472" t="s">
        <v>285</v>
      </c>
      <c r="N336" s="472"/>
      <c r="O336" s="472"/>
      <c r="P336" s="472" t="s">
        <v>528</v>
      </c>
      <c r="Q336" s="472"/>
      <c r="R336" s="473">
        <v>45506</v>
      </c>
      <c r="S336" s="472"/>
      <c r="T336" s="473">
        <v>45504</v>
      </c>
      <c r="U336" s="474">
        <v>0</v>
      </c>
      <c r="V336" s="475">
        <v>0.09</v>
      </c>
      <c r="W336" s="260">
        <v>45474</v>
      </c>
    </row>
    <row r="337" spans="1:23" hidden="1" x14ac:dyDescent="0.35">
      <c r="A337" s="472" t="s">
        <v>526</v>
      </c>
      <c r="B337" s="472" t="s">
        <v>159</v>
      </c>
      <c r="C337" s="472" t="s">
        <v>302</v>
      </c>
      <c r="D337" s="472" t="s">
        <v>349</v>
      </c>
      <c r="E337" s="472" t="s">
        <v>350</v>
      </c>
      <c r="F337" s="472" t="s">
        <v>276</v>
      </c>
      <c r="G337" s="472" t="s">
        <v>527</v>
      </c>
      <c r="H337" s="472"/>
      <c r="I337" s="472" t="s">
        <v>277</v>
      </c>
      <c r="J337" s="472" t="s">
        <v>528</v>
      </c>
      <c r="K337" s="472" t="s">
        <v>303</v>
      </c>
      <c r="L337" s="472" t="s">
        <v>590</v>
      </c>
      <c r="M337" s="472" t="s">
        <v>285</v>
      </c>
      <c r="N337" s="472"/>
      <c r="O337" s="472"/>
      <c r="P337" s="472" t="s">
        <v>528</v>
      </c>
      <c r="Q337" s="472"/>
      <c r="R337" s="473">
        <v>45506</v>
      </c>
      <c r="S337" s="472"/>
      <c r="T337" s="473">
        <v>45504</v>
      </c>
      <c r="U337" s="474">
        <v>0</v>
      </c>
      <c r="V337" s="475">
        <v>0.01</v>
      </c>
      <c r="W337" s="260">
        <v>45474</v>
      </c>
    </row>
    <row r="338" spans="1:23" hidden="1" x14ac:dyDescent="0.35">
      <c r="A338" s="472" t="s">
        <v>526</v>
      </c>
      <c r="B338" s="472" t="s">
        <v>159</v>
      </c>
      <c r="C338" s="472" t="s">
        <v>302</v>
      </c>
      <c r="D338" s="472" t="s">
        <v>351</v>
      </c>
      <c r="E338" s="472" t="s">
        <v>352</v>
      </c>
      <c r="F338" s="472" t="s">
        <v>276</v>
      </c>
      <c r="G338" s="472" t="s">
        <v>527</v>
      </c>
      <c r="H338" s="472"/>
      <c r="I338" s="472" t="s">
        <v>277</v>
      </c>
      <c r="J338" s="472" t="s">
        <v>528</v>
      </c>
      <c r="K338" s="472" t="s">
        <v>303</v>
      </c>
      <c r="L338" s="472" t="s">
        <v>590</v>
      </c>
      <c r="M338" s="472" t="s">
        <v>285</v>
      </c>
      <c r="N338" s="472"/>
      <c r="O338" s="472"/>
      <c r="P338" s="472" t="s">
        <v>528</v>
      </c>
      <c r="Q338" s="472"/>
      <c r="R338" s="473">
        <v>45506</v>
      </c>
      <c r="S338" s="472"/>
      <c r="T338" s="473">
        <v>45504</v>
      </c>
      <c r="U338" s="474">
        <v>0</v>
      </c>
      <c r="V338" s="475">
        <v>0.04</v>
      </c>
      <c r="W338" s="260">
        <v>45474</v>
      </c>
    </row>
    <row r="339" spans="1:23" hidden="1" x14ac:dyDescent="0.35">
      <c r="A339" s="472" t="s">
        <v>526</v>
      </c>
      <c r="B339" s="472" t="s">
        <v>159</v>
      </c>
      <c r="C339" s="472" t="s">
        <v>584</v>
      </c>
      <c r="D339" s="472" t="s">
        <v>585</v>
      </c>
      <c r="E339" s="472" t="s">
        <v>586</v>
      </c>
      <c r="F339" s="472" t="s">
        <v>276</v>
      </c>
      <c r="G339" s="472" t="s">
        <v>527</v>
      </c>
      <c r="H339" s="472" t="s">
        <v>533</v>
      </c>
      <c r="I339" s="472" t="s">
        <v>277</v>
      </c>
      <c r="J339" s="472" t="s">
        <v>528</v>
      </c>
      <c r="K339" s="472" t="s">
        <v>587</v>
      </c>
      <c r="L339" s="472" t="s">
        <v>590</v>
      </c>
      <c r="M339" s="472" t="s">
        <v>535</v>
      </c>
      <c r="N339" s="472"/>
      <c r="O339" s="472"/>
      <c r="P339" s="472" t="s">
        <v>528</v>
      </c>
      <c r="Q339" s="472"/>
      <c r="R339" s="473">
        <v>45489</v>
      </c>
      <c r="S339" s="472" t="s">
        <v>278</v>
      </c>
      <c r="T339" s="473">
        <v>45495</v>
      </c>
      <c r="U339" s="474">
        <v>2</v>
      </c>
      <c r="V339" s="475">
        <v>206.72</v>
      </c>
      <c r="W339" s="260">
        <v>45474</v>
      </c>
    </row>
    <row r="340" spans="1:23" hidden="1" x14ac:dyDescent="0.35">
      <c r="A340" s="472" t="s">
        <v>526</v>
      </c>
      <c r="B340" s="472" t="s">
        <v>159</v>
      </c>
      <c r="C340" s="472" t="s">
        <v>584</v>
      </c>
      <c r="D340" s="472" t="s">
        <v>585</v>
      </c>
      <c r="E340" s="472" t="s">
        <v>586</v>
      </c>
      <c r="F340" s="472" t="s">
        <v>276</v>
      </c>
      <c r="G340" s="472" t="s">
        <v>527</v>
      </c>
      <c r="H340" s="472" t="s">
        <v>533</v>
      </c>
      <c r="I340" s="472" t="s">
        <v>277</v>
      </c>
      <c r="J340" s="472" t="s">
        <v>528</v>
      </c>
      <c r="K340" s="472" t="s">
        <v>587</v>
      </c>
      <c r="L340" s="472" t="s">
        <v>590</v>
      </c>
      <c r="M340" s="472" t="s">
        <v>535</v>
      </c>
      <c r="N340" s="472"/>
      <c r="O340" s="472"/>
      <c r="P340" s="472" t="s">
        <v>528</v>
      </c>
      <c r="Q340" s="472"/>
      <c r="R340" s="473">
        <v>45468</v>
      </c>
      <c r="S340" s="472" t="s">
        <v>278</v>
      </c>
      <c r="T340" s="473">
        <v>45476</v>
      </c>
      <c r="U340" s="474">
        <v>2</v>
      </c>
      <c r="V340" s="475">
        <v>206.72</v>
      </c>
      <c r="W340" s="260">
        <v>45474</v>
      </c>
    </row>
    <row r="341" spans="1:23" hidden="1" x14ac:dyDescent="0.35">
      <c r="A341" s="472" t="s">
        <v>526</v>
      </c>
      <c r="B341" s="472" t="s">
        <v>159</v>
      </c>
      <c r="C341" s="472" t="s">
        <v>584</v>
      </c>
      <c r="D341" s="472" t="s">
        <v>585</v>
      </c>
      <c r="E341" s="472" t="s">
        <v>586</v>
      </c>
      <c r="F341" s="472" t="s">
        <v>276</v>
      </c>
      <c r="G341" s="472" t="s">
        <v>527</v>
      </c>
      <c r="H341" s="472" t="s">
        <v>533</v>
      </c>
      <c r="I341" s="472" t="s">
        <v>277</v>
      </c>
      <c r="J341" s="472" t="s">
        <v>528</v>
      </c>
      <c r="K341" s="472" t="s">
        <v>587</v>
      </c>
      <c r="L341" s="472" t="s">
        <v>590</v>
      </c>
      <c r="M341" s="472" t="s">
        <v>535</v>
      </c>
      <c r="N341" s="472"/>
      <c r="O341" s="472"/>
      <c r="P341" s="472" t="s">
        <v>528</v>
      </c>
      <c r="Q341" s="472"/>
      <c r="R341" s="473">
        <v>45469</v>
      </c>
      <c r="S341" s="472" t="s">
        <v>278</v>
      </c>
      <c r="T341" s="473">
        <v>45476</v>
      </c>
      <c r="U341" s="474">
        <v>2</v>
      </c>
      <c r="V341" s="475">
        <v>206.72</v>
      </c>
      <c r="W341" s="260">
        <v>45474</v>
      </c>
    </row>
    <row r="342" spans="1:23" hidden="1" x14ac:dyDescent="0.35">
      <c r="A342" s="472" t="s">
        <v>526</v>
      </c>
      <c r="B342" s="472" t="s">
        <v>159</v>
      </c>
      <c r="C342" s="472" t="s">
        <v>584</v>
      </c>
      <c r="D342" s="472" t="s">
        <v>585</v>
      </c>
      <c r="E342" s="472" t="s">
        <v>586</v>
      </c>
      <c r="F342" s="472" t="s">
        <v>276</v>
      </c>
      <c r="G342" s="472" t="s">
        <v>527</v>
      </c>
      <c r="H342" s="472" t="s">
        <v>533</v>
      </c>
      <c r="I342" s="472" t="s">
        <v>277</v>
      </c>
      <c r="J342" s="472" t="s">
        <v>528</v>
      </c>
      <c r="K342" s="472" t="s">
        <v>587</v>
      </c>
      <c r="L342" s="472" t="s">
        <v>590</v>
      </c>
      <c r="M342" s="472" t="s">
        <v>535</v>
      </c>
      <c r="N342" s="472"/>
      <c r="O342" s="472"/>
      <c r="P342" s="472" t="s">
        <v>528</v>
      </c>
      <c r="Q342" s="472"/>
      <c r="R342" s="473">
        <v>45471</v>
      </c>
      <c r="S342" s="472" t="s">
        <v>278</v>
      </c>
      <c r="T342" s="473">
        <v>45476</v>
      </c>
      <c r="U342" s="474">
        <v>1</v>
      </c>
      <c r="V342" s="475">
        <v>103.36</v>
      </c>
      <c r="W342" s="260">
        <v>45474</v>
      </c>
    </row>
    <row r="343" spans="1:23" hidden="1" x14ac:dyDescent="0.35">
      <c r="A343" s="472" t="s">
        <v>526</v>
      </c>
      <c r="B343" s="472" t="s">
        <v>159</v>
      </c>
      <c r="C343" s="472" t="s">
        <v>584</v>
      </c>
      <c r="D343" s="472" t="s">
        <v>585</v>
      </c>
      <c r="E343" s="472" t="s">
        <v>586</v>
      </c>
      <c r="F343" s="472" t="s">
        <v>276</v>
      </c>
      <c r="G343" s="472" t="s">
        <v>527</v>
      </c>
      <c r="H343" s="472" t="s">
        <v>533</v>
      </c>
      <c r="I343" s="472" t="s">
        <v>277</v>
      </c>
      <c r="J343" s="472" t="s">
        <v>528</v>
      </c>
      <c r="K343" s="472" t="s">
        <v>587</v>
      </c>
      <c r="L343" s="472" t="s">
        <v>590</v>
      </c>
      <c r="M343" s="472" t="s">
        <v>535</v>
      </c>
      <c r="N343" s="472"/>
      <c r="O343" s="472"/>
      <c r="P343" s="472" t="s">
        <v>528</v>
      </c>
      <c r="Q343" s="472"/>
      <c r="R343" s="473">
        <v>45470</v>
      </c>
      <c r="S343" s="472" t="s">
        <v>278</v>
      </c>
      <c r="T343" s="473">
        <v>45476</v>
      </c>
      <c r="U343" s="474">
        <v>2</v>
      </c>
      <c r="V343" s="475">
        <v>206.72</v>
      </c>
      <c r="W343" s="260">
        <v>45474</v>
      </c>
    </row>
    <row r="344" spans="1:23" hidden="1" x14ac:dyDescent="0.35">
      <c r="A344" s="472" t="s">
        <v>526</v>
      </c>
      <c r="B344" s="472" t="s">
        <v>159</v>
      </c>
      <c r="C344" s="472" t="s">
        <v>584</v>
      </c>
      <c r="D344" s="472" t="s">
        <v>585</v>
      </c>
      <c r="E344" s="472" t="s">
        <v>586</v>
      </c>
      <c r="F344" s="472" t="s">
        <v>276</v>
      </c>
      <c r="G344" s="472" t="s">
        <v>527</v>
      </c>
      <c r="H344" s="472" t="s">
        <v>533</v>
      </c>
      <c r="I344" s="472" t="s">
        <v>277</v>
      </c>
      <c r="J344" s="472" t="s">
        <v>528</v>
      </c>
      <c r="K344" s="472" t="s">
        <v>587</v>
      </c>
      <c r="L344" s="472" t="s">
        <v>590</v>
      </c>
      <c r="M344" s="472" t="s">
        <v>535</v>
      </c>
      <c r="N344" s="472"/>
      <c r="O344" s="472"/>
      <c r="P344" s="472" t="s">
        <v>528</v>
      </c>
      <c r="Q344" s="472"/>
      <c r="R344" s="473">
        <v>45474</v>
      </c>
      <c r="S344" s="472" t="s">
        <v>278</v>
      </c>
      <c r="T344" s="473">
        <v>45476</v>
      </c>
      <c r="U344" s="474">
        <v>1</v>
      </c>
      <c r="V344" s="475">
        <v>103.36</v>
      </c>
      <c r="W344" s="260">
        <v>45474</v>
      </c>
    </row>
    <row r="345" spans="1:23" hidden="1" x14ac:dyDescent="0.35">
      <c r="A345" s="472" t="s">
        <v>526</v>
      </c>
      <c r="B345" s="472" t="s">
        <v>159</v>
      </c>
      <c r="C345" s="472" t="s">
        <v>584</v>
      </c>
      <c r="D345" s="472" t="s">
        <v>585</v>
      </c>
      <c r="E345" s="472" t="s">
        <v>586</v>
      </c>
      <c r="F345" s="472" t="s">
        <v>276</v>
      </c>
      <c r="G345" s="472" t="s">
        <v>527</v>
      </c>
      <c r="H345" s="472" t="s">
        <v>533</v>
      </c>
      <c r="I345" s="472" t="s">
        <v>277</v>
      </c>
      <c r="J345" s="472" t="s">
        <v>528</v>
      </c>
      <c r="K345" s="472" t="s">
        <v>587</v>
      </c>
      <c r="L345" s="472" t="s">
        <v>590</v>
      </c>
      <c r="M345" s="472" t="s">
        <v>535</v>
      </c>
      <c r="N345" s="472"/>
      <c r="O345" s="472"/>
      <c r="P345" s="472" t="s">
        <v>528</v>
      </c>
      <c r="Q345" s="472"/>
      <c r="R345" s="473">
        <v>45475</v>
      </c>
      <c r="S345" s="472" t="s">
        <v>278</v>
      </c>
      <c r="T345" s="473">
        <v>45476</v>
      </c>
      <c r="U345" s="474">
        <v>2</v>
      </c>
      <c r="V345" s="475">
        <v>206.72</v>
      </c>
      <c r="W345" s="260">
        <v>45474</v>
      </c>
    </row>
    <row r="346" spans="1:23" hidden="1" x14ac:dyDescent="0.35">
      <c r="A346" s="472" t="s">
        <v>526</v>
      </c>
      <c r="B346" s="472" t="s">
        <v>159</v>
      </c>
      <c r="C346" s="472" t="s">
        <v>584</v>
      </c>
      <c r="D346" s="472" t="s">
        <v>585</v>
      </c>
      <c r="E346" s="472" t="s">
        <v>586</v>
      </c>
      <c r="F346" s="472" t="s">
        <v>276</v>
      </c>
      <c r="G346" s="472" t="s">
        <v>527</v>
      </c>
      <c r="H346" s="472" t="s">
        <v>533</v>
      </c>
      <c r="I346" s="472" t="s">
        <v>277</v>
      </c>
      <c r="J346" s="472" t="s">
        <v>528</v>
      </c>
      <c r="K346" s="472" t="s">
        <v>587</v>
      </c>
      <c r="L346" s="472" t="s">
        <v>590</v>
      </c>
      <c r="M346" s="472" t="s">
        <v>535</v>
      </c>
      <c r="N346" s="472"/>
      <c r="O346" s="472"/>
      <c r="P346" s="472" t="s">
        <v>528</v>
      </c>
      <c r="Q346" s="472"/>
      <c r="R346" s="473">
        <v>45490</v>
      </c>
      <c r="S346" s="472" t="s">
        <v>278</v>
      </c>
      <c r="T346" s="473">
        <v>45495</v>
      </c>
      <c r="U346" s="474">
        <v>2</v>
      </c>
      <c r="V346" s="475">
        <v>206.72</v>
      </c>
      <c r="W346" s="260">
        <v>45474</v>
      </c>
    </row>
    <row r="347" spans="1:23" hidden="1" x14ac:dyDescent="0.35">
      <c r="A347" s="472" t="s">
        <v>526</v>
      </c>
      <c r="B347" s="472" t="s">
        <v>159</v>
      </c>
      <c r="C347" s="472" t="s">
        <v>584</v>
      </c>
      <c r="D347" s="472" t="s">
        <v>585</v>
      </c>
      <c r="E347" s="472" t="s">
        <v>586</v>
      </c>
      <c r="F347" s="472" t="s">
        <v>276</v>
      </c>
      <c r="G347" s="472" t="s">
        <v>527</v>
      </c>
      <c r="H347" s="472" t="s">
        <v>533</v>
      </c>
      <c r="I347" s="472" t="s">
        <v>277</v>
      </c>
      <c r="J347" s="472" t="s">
        <v>528</v>
      </c>
      <c r="K347" s="472" t="s">
        <v>587</v>
      </c>
      <c r="L347" s="472" t="s">
        <v>590</v>
      </c>
      <c r="M347" s="472" t="s">
        <v>535</v>
      </c>
      <c r="N347" s="472"/>
      <c r="O347" s="472"/>
      <c r="P347" s="472" t="s">
        <v>528</v>
      </c>
      <c r="Q347" s="472"/>
      <c r="R347" s="473">
        <v>45491</v>
      </c>
      <c r="S347" s="472" t="s">
        <v>278</v>
      </c>
      <c r="T347" s="473">
        <v>45495</v>
      </c>
      <c r="U347" s="474">
        <v>6</v>
      </c>
      <c r="V347" s="475">
        <v>620.16</v>
      </c>
      <c r="W347" s="260">
        <v>45474</v>
      </c>
    </row>
    <row r="348" spans="1:23" hidden="1" x14ac:dyDescent="0.35">
      <c r="A348" s="472" t="s">
        <v>526</v>
      </c>
      <c r="B348" s="472" t="s">
        <v>159</v>
      </c>
      <c r="C348" s="472" t="s">
        <v>584</v>
      </c>
      <c r="D348" s="472" t="s">
        <v>585</v>
      </c>
      <c r="E348" s="472" t="s">
        <v>586</v>
      </c>
      <c r="F348" s="472" t="s">
        <v>276</v>
      </c>
      <c r="G348" s="472" t="s">
        <v>527</v>
      </c>
      <c r="H348" s="472" t="s">
        <v>533</v>
      </c>
      <c r="I348" s="472" t="s">
        <v>277</v>
      </c>
      <c r="J348" s="472" t="s">
        <v>528</v>
      </c>
      <c r="K348" s="472" t="s">
        <v>587</v>
      </c>
      <c r="L348" s="472" t="s">
        <v>590</v>
      </c>
      <c r="M348" s="472" t="s">
        <v>535</v>
      </c>
      <c r="N348" s="472"/>
      <c r="O348" s="472"/>
      <c r="P348" s="472" t="s">
        <v>528</v>
      </c>
      <c r="Q348" s="472"/>
      <c r="R348" s="473">
        <v>45492</v>
      </c>
      <c r="S348" s="472" t="s">
        <v>278</v>
      </c>
      <c r="T348" s="473">
        <v>45495</v>
      </c>
      <c r="U348" s="474">
        <v>3</v>
      </c>
      <c r="V348" s="475">
        <v>310.08</v>
      </c>
      <c r="W348" s="260">
        <v>45474</v>
      </c>
    </row>
    <row r="349" spans="1:23" hidden="1" x14ac:dyDescent="0.35">
      <c r="A349" s="472" t="s">
        <v>526</v>
      </c>
      <c r="B349" s="472" t="s">
        <v>159</v>
      </c>
      <c r="C349" s="472" t="s">
        <v>584</v>
      </c>
      <c r="D349" s="472" t="s">
        <v>585</v>
      </c>
      <c r="E349" s="472" t="s">
        <v>586</v>
      </c>
      <c r="F349" s="472" t="s">
        <v>276</v>
      </c>
      <c r="G349" s="472" t="s">
        <v>527</v>
      </c>
      <c r="H349" s="472" t="s">
        <v>533</v>
      </c>
      <c r="I349" s="472" t="s">
        <v>277</v>
      </c>
      <c r="J349" s="472" t="s">
        <v>528</v>
      </c>
      <c r="K349" s="472" t="s">
        <v>587</v>
      </c>
      <c r="L349" s="472" t="s">
        <v>590</v>
      </c>
      <c r="M349" s="472" t="s">
        <v>535</v>
      </c>
      <c r="N349" s="472"/>
      <c r="O349" s="472"/>
      <c r="P349" s="472" t="s">
        <v>528</v>
      </c>
      <c r="Q349" s="472"/>
      <c r="R349" s="473">
        <v>45481</v>
      </c>
      <c r="S349" s="472" t="s">
        <v>278</v>
      </c>
      <c r="T349" s="473">
        <v>45489</v>
      </c>
      <c r="U349" s="474">
        <v>4</v>
      </c>
      <c r="V349" s="475">
        <v>413.44</v>
      </c>
      <c r="W349" s="260">
        <v>45474</v>
      </c>
    </row>
    <row r="350" spans="1:23" hidden="1" x14ac:dyDescent="0.35">
      <c r="A350" s="472" t="s">
        <v>526</v>
      </c>
      <c r="B350" s="472" t="s">
        <v>159</v>
      </c>
      <c r="C350" s="472" t="s">
        <v>584</v>
      </c>
      <c r="D350" s="472" t="s">
        <v>585</v>
      </c>
      <c r="E350" s="472" t="s">
        <v>586</v>
      </c>
      <c r="F350" s="472" t="s">
        <v>276</v>
      </c>
      <c r="G350" s="472" t="s">
        <v>527</v>
      </c>
      <c r="H350" s="472" t="s">
        <v>533</v>
      </c>
      <c r="I350" s="472" t="s">
        <v>277</v>
      </c>
      <c r="J350" s="472" t="s">
        <v>528</v>
      </c>
      <c r="K350" s="472" t="s">
        <v>587</v>
      </c>
      <c r="L350" s="472" t="s">
        <v>590</v>
      </c>
      <c r="M350" s="472" t="s">
        <v>535</v>
      </c>
      <c r="N350" s="472"/>
      <c r="O350" s="472"/>
      <c r="P350" s="472" t="s">
        <v>528</v>
      </c>
      <c r="Q350" s="472"/>
      <c r="R350" s="473">
        <v>45483</v>
      </c>
      <c r="S350" s="472" t="s">
        <v>278</v>
      </c>
      <c r="T350" s="473">
        <v>45489</v>
      </c>
      <c r="U350" s="474">
        <v>4</v>
      </c>
      <c r="V350" s="475">
        <v>413.44</v>
      </c>
      <c r="W350" s="260">
        <v>45474</v>
      </c>
    </row>
    <row r="351" spans="1:23" hidden="1" x14ac:dyDescent="0.35">
      <c r="A351" s="472" t="s">
        <v>526</v>
      </c>
      <c r="B351" s="472" t="s">
        <v>159</v>
      </c>
      <c r="C351" s="472" t="s">
        <v>584</v>
      </c>
      <c r="D351" s="472" t="s">
        <v>585</v>
      </c>
      <c r="E351" s="472" t="s">
        <v>586</v>
      </c>
      <c r="F351" s="472" t="s">
        <v>276</v>
      </c>
      <c r="G351" s="472" t="s">
        <v>527</v>
      </c>
      <c r="H351" s="472" t="s">
        <v>533</v>
      </c>
      <c r="I351" s="472" t="s">
        <v>277</v>
      </c>
      <c r="J351" s="472" t="s">
        <v>528</v>
      </c>
      <c r="K351" s="472" t="s">
        <v>587</v>
      </c>
      <c r="L351" s="472" t="s">
        <v>590</v>
      </c>
      <c r="M351" s="472" t="s">
        <v>535</v>
      </c>
      <c r="N351" s="472"/>
      <c r="O351" s="472"/>
      <c r="P351" s="472" t="s">
        <v>528</v>
      </c>
      <c r="Q351" s="472"/>
      <c r="R351" s="473">
        <v>45482</v>
      </c>
      <c r="S351" s="472" t="s">
        <v>278</v>
      </c>
      <c r="T351" s="473">
        <v>45489</v>
      </c>
      <c r="U351" s="474">
        <v>4</v>
      </c>
      <c r="V351" s="475">
        <v>413.44</v>
      </c>
      <c r="W351" s="260">
        <v>45474</v>
      </c>
    </row>
    <row r="352" spans="1:23" hidden="1" x14ac:dyDescent="0.35">
      <c r="A352" s="472" t="s">
        <v>526</v>
      </c>
      <c r="B352" s="472" t="s">
        <v>159</v>
      </c>
      <c r="C352" s="472" t="s">
        <v>584</v>
      </c>
      <c r="D352" s="472" t="s">
        <v>585</v>
      </c>
      <c r="E352" s="472" t="s">
        <v>586</v>
      </c>
      <c r="F352" s="472" t="s">
        <v>276</v>
      </c>
      <c r="G352" s="472" t="s">
        <v>527</v>
      </c>
      <c r="H352" s="472" t="s">
        <v>533</v>
      </c>
      <c r="I352" s="472" t="s">
        <v>277</v>
      </c>
      <c r="J352" s="472" t="s">
        <v>528</v>
      </c>
      <c r="K352" s="472" t="s">
        <v>587</v>
      </c>
      <c r="L352" s="472" t="s">
        <v>590</v>
      </c>
      <c r="M352" s="472" t="s">
        <v>535</v>
      </c>
      <c r="N352" s="472"/>
      <c r="O352" s="472"/>
      <c r="P352" s="472" t="s">
        <v>528</v>
      </c>
      <c r="Q352" s="472"/>
      <c r="R352" s="473">
        <v>45476</v>
      </c>
      <c r="S352" s="472" t="s">
        <v>278</v>
      </c>
      <c r="T352" s="473">
        <v>45478</v>
      </c>
      <c r="U352" s="474">
        <v>2</v>
      </c>
      <c r="V352" s="475">
        <v>206.72</v>
      </c>
      <c r="W352" s="260">
        <v>45474</v>
      </c>
    </row>
    <row r="353" spans="1:23" hidden="1" x14ac:dyDescent="0.35">
      <c r="A353" s="472" t="s">
        <v>526</v>
      </c>
      <c r="B353" s="472" t="s">
        <v>159</v>
      </c>
      <c r="C353" s="472" t="s">
        <v>584</v>
      </c>
      <c r="D353" s="472" t="s">
        <v>585</v>
      </c>
      <c r="E353" s="472" t="s">
        <v>586</v>
      </c>
      <c r="F353" s="472" t="s">
        <v>276</v>
      </c>
      <c r="G353" s="472" t="s">
        <v>527</v>
      </c>
      <c r="H353" s="472" t="s">
        <v>533</v>
      </c>
      <c r="I353" s="472" t="s">
        <v>277</v>
      </c>
      <c r="J353" s="472" t="s">
        <v>528</v>
      </c>
      <c r="K353" s="472" t="s">
        <v>587</v>
      </c>
      <c r="L353" s="472" t="s">
        <v>590</v>
      </c>
      <c r="M353" s="472" t="s">
        <v>535</v>
      </c>
      <c r="N353" s="472"/>
      <c r="O353" s="472"/>
      <c r="P353" s="472" t="s">
        <v>528</v>
      </c>
      <c r="Q353" s="472"/>
      <c r="R353" s="473">
        <v>45497</v>
      </c>
      <c r="S353" s="472" t="s">
        <v>278</v>
      </c>
      <c r="T353" s="473">
        <v>45502</v>
      </c>
      <c r="U353" s="474">
        <v>4</v>
      </c>
      <c r="V353" s="475">
        <v>413.44</v>
      </c>
      <c r="W353" s="260">
        <v>45474</v>
      </c>
    </row>
    <row r="354" spans="1:23" hidden="1" x14ac:dyDescent="0.35">
      <c r="A354" s="472" t="s">
        <v>526</v>
      </c>
      <c r="B354" s="472" t="s">
        <v>159</v>
      </c>
      <c r="C354" s="472" t="s">
        <v>584</v>
      </c>
      <c r="D354" s="472" t="s">
        <v>585</v>
      </c>
      <c r="E354" s="472" t="s">
        <v>586</v>
      </c>
      <c r="F354" s="472" t="s">
        <v>276</v>
      </c>
      <c r="G354" s="472" t="s">
        <v>527</v>
      </c>
      <c r="H354" s="472" t="s">
        <v>533</v>
      </c>
      <c r="I354" s="472" t="s">
        <v>277</v>
      </c>
      <c r="J354" s="472" t="s">
        <v>528</v>
      </c>
      <c r="K354" s="472" t="s">
        <v>587</v>
      </c>
      <c r="L354" s="472" t="s">
        <v>590</v>
      </c>
      <c r="M354" s="472" t="s">
        <v>535</v>
      </c>
      <c r="N354" s="472"/>
      <c r="O354" s="472"/>
      <c r="P354" s="472" t="s">
        <v>528</v>
      </c>
      <c r="Q354" s="472"/>
      <c r="R354" s="473">
        <v>45495</v>
      </c>
      <c r="S354" s="472" t="s">
        <v>278</v>
      </c>
      <c r="T354" s="473">
        <v>45502</v>
      </c>
      <c r="U354" s="474">
        <v>4</v>
      </c>
      <c r="V354" s="475">
        <v>413.44</v>
      </c>
      <c r="W354" s="260">
        <v>45474</v>
      </c>
    </row>
    <row r="355" spans="1:23" hidden="1" x14ac:dyDescent="0.35">
      <c r="A355" s="472" t="s">
        <v>526</v>
      </c>
      <c r="B355" s="472" t="s">
        <v>159</v>
      </c>
      <c r="C355" s="472" t="s">
        <v>584</v>
      </c>
      <c r="D355" s="472" t="s">
        <v>585</v>
      </c>
      <c r="E355" s="472" t="s">
        <v>586</v>
      </c>
      <c r="F355" s="472" t="s">
        <v>276</v>
      </c>
      <c r="G355" s="472" t="s">
        <v>527</v>
      </c>
      <c r="H355" s="472" t="s">
        <v>533</v>
      </c>
      <c r="I355" s="472" t="s">
        <v>277</v>
      </c>
      <c r="J355" s="472" t="s">
        <v>528</v>
      </c>
      <c r="K355" s="472" t="s">
        <v>587</v>
      </c>
      <c r="L355" s="472" t="s">
        <v>590</v>
      </c>
      <c r="M355" s="472" t="s">
        <v>535</v>
      </c>
      <c r="N355" s="472"/>
      <c r="O355" s="472"/>
      <c r="P355" s="472" t="s">
        <v>528</v>
      </c>
      <c r="Q355" s="472"/>
      <c r="R355" s="473">
        <v>45498</v>
      </c>
      <c r="S355" s="472" t="s">
        <v>278</v>
      </c>
      <c r="T355" s="473">
        <v>45502</v>
      </c>
      <c r="U355" s="474">
        <v>4</v>
      </c>
      <c r="V355" s="475">
        <v>413.44</v>
      </c>
      <c r="W355" s="260">
        <v>45474</v>
      </c>
    </row>
    <row r="356" spans="1:23" hidden="1" x14ac:dyDescent="0.35">
      <c r="A356" s="472" t="s">
        <v>526</v>
      </c>
      <c r="B356" s="472" t="s">
        <v>159</v>
      </c>
      <c r="C356" s="472" t="s">
        <v>584</v>
      </c>
      <c r="D356" s="472" t="s">
        <v>585</v>
      </c>
      <c r="E356" s="472" t="s">
        <v>586</v>
      </c>
      <c r="F356" s="472" t="s">
        <v>276</v>
      </c>
      <c r="G356" s="472" t="s">
        <v>527</v>
      </c>
      <c r="H356" s="472" t="s">
        <v>533</v>
      </c>
      <c r="I356" s="472" t="s">
        <v>277</v>
      </c>
      <c r="J356" s="472" t="s">
        <v>528</v>
      </c>
      <c r="K356" s="472" t="s">
        <v>587</v>
      </c>
      <c r="L356" s="472" t="s">
        <v>590</v>
      </c>
      <c r="M356" s="472" t="s">
        <v>535</v>
      </c>
      <c r="N356" s="472"/>
      <c r="O356" s="472"/>
      <c r="P356" s="472" t="s">
        <v>528</v>
      </c>
      <c r="Q356" s="472"/>
      <c r="R356" s="473">
        <v>45499</v>
      </c>
      <c r="S356" s="472" t="s">
        <v>278</v>
      </c>
      <c r="T356" s="473">
        <v>45502</v>
      </c>
      <c r="U356" s="474">
        <v>5</v>
      </c>
      <c r="V356" s="475">
        <v>516.79999999999995</v>
      </c>
      <c r="W356" s="260">
        <v>45474</v>
      </c>
    </row>
    <row r="357" spans="1:23" hidden="1" x14ac:dyDescent="0.35">
      <c r="A357" s="472" t="s">
        <v>526</v>
      </c>
      <c r="B357" s="472" t="s">
        <v>159</v>
      </c>
      <c r="C357" s="472" t="s">
        <v>584</v>
      </c>
      <c r="D357" s="472" t="s">
        <v>585</v>
      </c>
      <c r="E357" s="472" t="s">
        <v>586</v>
      </c>
      <c r="F357" s="472" t="s">
        <v>276</v>
      </c>
      <c r="G357" s="472" t="s">
        <v>527</v>
      </c>
      <c r="H357" s="472" t="s">
        <v>533</v>
      </c>
      <c r="I357" s="472" t="s">
        <v>277</v>
      </c>
      <c r="J357" s="472" t="s">
        <v>528</v>
      </c>
      <c r="K357" s="472" t="s">
        <v>587</v>
      </c>
      <c r="L357" s="472" t="s">
        <v>590</v>
      </c>
      <c r="M357" s="472" t="s">
        <v>535</v>
      </c>
      <c r="N357" s="472"/>
      <c r="O357" s="472"/>
      <c r="P357" s="472" t="s">
        <v>528</v>
      </c>
      <c r="Q357" s="472"/>
      <c r="R357" s="473">
        <v>45496</v>
      </c>
      <c r="S357" s="472" t="s">
        <v>278</v>
      </c>
      <c r="T357" s="473">
        <v>45502</v>
      </c>
      <c r="U357" s="474">
        <v>4</v>
      </c>
      <c r="V357" s="475">
        <v>413.44</v>
      </c>
      <c r="W357" s="260">
        <v>45474</v>
      </c>
    </row>
    <row r="358" spans="1:23" hidden="1" x14ac:dyDescent="0.35">
      <c r="A358" s="472" t="s">
        <v>526</v>
      </c>
      <c r="B358" s="472" t="s">
        <v>53</v>
      </c>
      <c r="C358" s="472"/>
      <c r="D358" s="472" t="s">
        <v>575</v>
      </c>
      <c r="E358" s="472" t="s">
        <v>576</v>
      </c>
      <c r="F358" s="472" t="s">
        <v>588</v>
      </c>
      <c r="G358" s="472" t="s">
        <v>527</v>
      </c>
      <c r="H358" s="472"/>
      <c r="I358" s="472" t="s">
        <v>277</v>
      </c>
      <c r="J358" s="472" t="s">
        <v>577</v>
      </c>
      <c r="K358" s="472"/>
      <c r="L358" s="472" t="s">
        <v>590</v>
      </c>
      <c r="M358" s="472" t="s">
        <v>285</v>
      </c>
      <c r="N358" s="472"/>
      <c r="O358" s="472" t="s">
        <v>578</v>
      </c>
      <c r="P358" s="472" t="s">
        <v>577</v>
      </c>
      <c r="Q358" s="472" t="s">
        <v>589</v>
      </c>
      <c r="R358" s="473">
        <v>45468</v>
      </c>
      <c r="S358" s="472"/>
      <c r="T358" s="473">
        <v>45474</v>
      </c>
      <c r="U358" s="474">
        <v>0</v>
      </c>
      <c r="V358" s="475">
        <v>-72402</v>
      </c>
      <c r="W358" s="260">
        <v>45474</v>
      </c>
    </row>
    <row r="359" spans="1:23" hidden="1" x14ac:dyDescent="0.35">
      <c r="A359" s="472" t="s">
        <v>526</v>
      </c>
      <c r="B359" s="472" t="s">
        <v>53</v>
      </c>
      <c r="C359" s="472"/>
      <c r="D359" s="472" t="s">
        <v>575</v>
      </c>
      <c r="E359" s="472" t="s">
        <v>576</v>
      </c>
      <c r="F359" s="472" t="s">
        <v>276</v>
      </c>
      <c r="G359" s="472" t="s">
        <v>527</v>
      </c>
      <c r="H359" s="472"/>
      <c r="I359" s="472" t="s">
        <v>277</v>
      </c>
      <c r="J359" s="472" t="s">
        <v>577</v>
      </c>
      <c r="K359" s="472"/>
      <c r="L359" s="472" t="s">
        <v>590</v>
      </c>
      <c r="M359" s="472" t="s">
        <v>285</v>
      </c>
      <c r="N359" s="472"/>
      <c r="O359" s="472" t="s">
        <v>591</v>
      </c>
      <c r="P359" s="472" t="s">
        <v>577</v>
      </c>
      <c r="Q359" s="472" t="s">
        <v>400</v>
      </c>
      <c r="R359" s="473">
        <v>45499</v>
      </c>
      <c r="S359" s="472"/>
      <c r="T359" s="473">
        <v>45504</v>
      </c>
      <c r="U359" s="474">
        <v>0</v>
      </c>
      <c r="V359" s="475">
        <v>72404</v>
      </c>
      <c r="W359" s="260">
        <v>45474</v>
      </c>
    </row>
    <row r="360" spans="1:23" hidden="1" x14ac:dyDescent="0.35">
      <c r="A360" s="472" t="s">
        <v>526</v>
      </c>
      <c r="B360" s="472" t="s">
        <v>53</v>
      </c>
      <c r="C360" s="472"/>
      <c r="D360" s="472" t="s">
        <v>575</v>
      </c>
      <c r="E360" s="472" t="s">
        <v>576</v>
      </c>
      <c r="F360" s="472" t="s">
        <v>276</v>
      </c>
      <c r="G360" s="472" t="s">
        <v>527</v>
      </c>
      <c r="H360" s="472"/>
      <c r="I360" s="472" t="s">
        <v>277</v>
      </c>
      <c r="J360" s="472" t="s">
        <v>577</v>
      </c>
      <c r="K360" s="472"/>
      <c r="L360" s="472" t="s">
        <v>590</v>
      </c>
      <c r="M360" s="472" t="s">
        <v>285</v>
      </c>
      <c r="N360" s="472"/>
      <c r="O360" s="472" t="s">
        <v>591</v>
      </c>
      <c r="P360" s="472" t="s">
        <v>577</v>
      </c>
      <c r="Q360" s="472" t="s">
        <v>400</v>
      </c>
      <c r="R360" s="473">
        <v>45499</v>
      </c>
      <c r="S360" s="472"/>
      <c r="T360" s="473">
        <v>45504</v>
      </c>
      <c r="U360" s="474">
        <v>0</v>
      </c>
      <c r="V360" s="475">
        <v>16250</v>
      </c>
      <c r="W360" s="260">
        <v>45474</v>
      </c>
    </row>
    <row r="361" spans="1:23" hidden="1" x14ac:dyDescent="0.35">
      <c r="A361" s="472" t="s">
        <v>526</v>
      </c>
      <c r="B361" s="472" t="s">
        <v>53</v>
      </c>
      <c r="C361" s="472"/>
      <c r="D361" s="472" t="s">
        <v>575</v>
      </c>
      <c r="E361" s="472" t="s">
        <v>576</v>
      </c>
      <c r="F361" s="472" t="s">
        <v>276</v>
      </c>
      <c r="G361" s="472" t="s">
        <v>527</v>
      </c>
      <c r="H361" s="472"/>
      <c r="I361" s="472" t="s">
        <v>277</v>
      </c>
      <c r="J361" s="472" t="s">
        <v>577</v>
      </c>
      <c r="K361" s="472"/>
      <c r="L361" s="472" t="s">
        <v>590</v>
      </c>
      <c r="M361" s="472" t="s">
        <v>285</v>
      </c>
      <c r="N361" s="472"/>
      <c r="O361" s="472" t="s">
        <v>591</v>
      </c>
      <c r="P361" s="472" t="s">
        <v>577</v>
      </c>
      <c r="Q361" s="472" t="s">
        <v>400</v>
      </c>
      <c r="R361" s="473">
        <v>45499</v>
      </c>
      <c r="S361" s="472"/>
      <c r="T361" s="473">
        <v>45504</v>
      </c>
      <c r="U361" s="474">
        <v>0</v>
      </c>
      <c r="V361" s="475">
        <v>36250</v>
      </c>
      <c r="W361" s="260">
        <v>45474</v>
      </c>
    </row>
    <row r="362" spans="1:23" hidden="1" x14ac:dyDescent="0.35">
      <c r="A362" s="472" t="s">
        <v>526</v>
      </c>
      <c r="B362" s="472" t="s">
        <v>159</v>
      </c>
      <c r="C362" s="472" t="s">
        <v>281</v>
      </c>
      <c r="D362" s="472" t="s">
        <v>282</v>
      </c>
      <c r="E362" s="472" t="s">
        <v>283</v>
      </c>
      <c r="F362" s="472" t="s">
        <v>276</v>
      </c>
      <c r="G362" s="472" t="s">
        <v>527</v>
      </c>
      <c r="H362" s="472"/>
      <c r="I362" s="472" t="s">
        <v>277</v>
      </c>
      <c r="J362" s="472" t="s">
        <v>528</v>
      </c>
      <c r="K362" s="472" t="s">
        <v>284</v>
      </c>
      <c r="L362" s="472" t="s">
        <v>592</v>
      </c>
      <c r="M362" s="472" t="s">
        <v>285</v>
      </c>
      <c r="N362" s="472"/>
      <c r="O362" s="472"/>
      <c r="P362" s="472" t="s">
        <v>528</v>
      </c>
      <c r="Q362" s="472"/>
      <c r="R362" s="473">
        <v>45538</v>
      </c>
      <c r="S362" s="472"/>
      <c r="T362" s="473">
        <v>45535</v>
      </c>
      <c r="U362" s="474">
        <v>0</v>
      </c>
      <c r="V362" s="475">
        <v>592.04999999999995</v>
      </c>
      <c r="W362" s="260">
        <v>45505</v>
      </c>
    </row>
    <row r="363" spans="1:23" hidden="1" x14ac:dyDescent="0.35">
      <c r="A363" s="472" t="s">
        <v>526</v>
      </c>
      <c r="B363" s="472" t="s">
        <v>159</v>
      </c>
      <c r="C363" s="472" t="s">
        <v>286</v>
      </c>
      <c r="D363" s="472" t="s">
        <v>287</v>
      </c>
      <c r="E363" s="472" t="s">
        <v>288</v>
      </c>
      <c r="F363" s="472" t="s">
        <v>276</v>
      </c>
      <c r="G363" s="472" t="s">
        <v>527</v>
      </c>
      <c r="H363" s="472"/>
      <c r="I363" s="472" t="s">
        <v>277</v>
      </c>
      <c r="J363" s="472" t="s">
        <v>528</v>
      </c>
      <c r="K363" s="472" t="s">
        <v>289</v>
      </c>
      <c r="L363" s="472" t="s">
        <v>592</v>
      </c>
      <c r="M363" s="472" t="s">
        <v>285</v>
      </c>
      <c r="N363" s="472"/>
      <c r="O363" s="472"/>
      <c r="P363" s="472" t="s">
        <v>528</v>
      </c>
      <c r="Q363" s="472"/>
      <c r="R363" s="473">
        <v>45538</v>
      </c>
      <c r="S363" s="472"/>
      <c r="T363" s="473">
        <v>45535</v>
      </c>
      <c r="U363" s="474">
        <v>0</v>
      </c>
      <c r="V363" s="475">
        <v>1698.41</v>
      </c>
      <c r="W363" s="260">
        <v>45505</v>
      </c>
    </row>
    <row r="364" spans="1:23" hidden="1" x14ac:dyDescent="0.35">
      <c r="A364" s="472" t="s">
        <v>526</v>
      </c>
      <c r="B364" s="472" t="s">
        <v>159</v>
      </c>
      <c r="C364" s="472" t="s">
        <v>281</v>
      </c>
      <c r="D364" s="472" t="s">
        <v>290</v>
      </c>
      <c r="E364" s="472" t="s">
        <v>291</v>
      </c>
      <c r="F364" s="472" t="s">
        <v>276</v>
      </c>
      <c r="G364" s="472" t="s">
        <v>527</v>
      </c>
      <c r="H364" s="472"/>
      <c r="I364" s="472" t="s">
        <v>277</v>
      </c>
      <c r="J364" s="472" t="s">
        <v>528</v>
      </c>
      <c r="K364" s="472" t="s">
        <v>284</v>
      </c>
      <c r="L364" s="472" t="s">
        <v>592</v>
      </c>
      <c r="M364" s="472" t="s">
        <v>285</v>
      </c>
      <c r="N364" s="472"/>
      <c r="O364" s="472"/>
      <c r="P364" s="472" t="s">
        <v>528</v>
      </c>
      <c r="Q364" s="472"/>
      <c r="R364" s="473">
        <v>45538</v>
      </c>
      <c r="S364" s="472"/>
      <c r="T364" s="473">
        <v>45535</v>
      </c>
      <c r="U364" s="474">
        <v>0</v>
      </c>
      <c r="V364" s="475">
        <v>367.96</v>
      </c>
      <c r="W364" s="260">
        <v>45505</v>
      </c>
    </row>
    <row r="365" spans="1:23" hidden="1" x14ac:dyDescent="0.35">
      <c r="A365" s="472" t="s">
        <v>526</v>
      </c>
      <c r="B365" s="472" t="s">
        <v>159</v>
      </c>
      <c r="C365" s="472" t="s">
        <v>281</v>
      </c>
      <c r="D365" s="472" t="s">
        <v>292</v>
      </c>
      <c r="E365" s="472" t="s">
        <v>293</v>
      </c>
      <c r="F365" s="472" t="s">
        <v>276</v>
      </c>
      <c r="G365" s="472" t="s">
        <v>527</v>
      </c>
      <c r="H365" s="472"/>
      <c r="I365" s="472" t="s">
        <v>277</v>
      </c>
      <c r="J365" s="472" t="s">
        <v>528</v>
      </c>
      <c r="K365" s="472" t="s">
        <v>294</v>
      </c>
      <c r="L365" s="472" t="s">
        <v>592</v>
      </c>
      <c r="M365" s="472" t="s">
        <v>285</v>
      </c>
      <c r="N365" s="472"/>
      <c r="O365" s="472"/>
      <c r="P365" s="472" t="s">
        <v>528</v>
      </c>
      <c r="Q365" s="472"/>
      <c r="R365" s="473">
        <v>45538</v>
      </c>
      <c r="S365" s="472"/>
      <c r="T365" s="473">
        <v>45535</v>
      </c>
      <c r="U365" s="474">
        <v>0</v>
      </c>
      <c r="V365" s="475">
        <v>521.76</v>
      </c>
      <c r="W365" s="260">
        <v>45505</v>
      </c>
    </row>
    <row r="366" spans="1:23" hidden="1" x14ac:dyDescent="0.35">
      <c r="A366" s="472" t="s">
        <v>526</v>
      </c>
      <c r="B366" s="472" t="s">
        <v>159</v>
      </c>
      <c r="C366" s="472" t="s">
        <v>286</v>
      </c>
      <c r="D366" s="472" t="s">
        <v>295</v>
      </c>
      <c r="E366" s="472" t="s">
        <v>296</v>
      </c>
      <c r="F366" s="472" t="s">
        <v>276</v>
      </c>
      <c r="G366" s="472" t="s">
        <v>527</v>
      </c>
      <c r="H366" s="472"/>
      <c r="I366" s="472" t="s">
        <v>277</v>
      </c>
      <c r="J366" s="472" t="s">
        <v>528</v>
      </c>
      <c r="K366" s="472" t="s">
        <v>297</v>
      </c>
      <c r="L366" s="472" t="s">
        <v>592</v>
      </c>
      <c r="M366" s="472" t="s">
        <v>285</v>
      </c>
      <c r="N366" s="472"/>
      <c r="O366" s="472"/>
      <c r="P366" s="472" t="s">
        <v>528</v>
      </c>
      <c r="Q366" s="472"/>
      <c r="R366" s="473">
        <v>45538</v>
      </c>
      <c r="S366" s="472"/>
      <c r="T366" s="473">
        <v>45535</v>
      </c>
      <c r="U366" s="474">
        <v>0</v>
      </c>
      <c r="V366" s="475">
        <v>657.37</v>
      </c>
      <c r="W366" s="260">
        <v>45505</v>
      </c>
    </row>
    <row r="367" spans="1:23" hidden="1" x14ac:dyDescent="0.35">
      <c r="A367" s="472" t="s">
        <v>526</v>
      </c>
      <c r="B367" s="472" t="s">
        <v>159</v>
      </c>
      <c r="C367" s="472" t="s">
        <v>542</v>
      </c>
      <c r="D367" s="472" t="s">
        <v>543</v>
      </c>
      <c r="E367" s="472" t="s">
        <v>544</v>
      </c>
      <c r="F367" s="472" t="s">
        <v>276</v>
      </c>
      <c r="G367" s="472" t="s">
        <v>527</v>
      </c>
      <c r="H367" s="472"/>
      <c r="I367" s="472" t="s">
        <v>277</v>
      </c>
      <c r="J367" s="472" t="s">
        <v>528</v>
      </c>
      <c r="K367" s="472" t="s">
        <v>545</v>
      </c>
      <c r="L367" s="472" t="s">
        <v>592</v>
      </c>
      <c r="M367" s="472" t="s">
        <v>285</v>
      </c>
      <c r="N367" s="472"/>
      <c r="O367" s="472"/>
      <c r="P367" s="472" t="s">
        <v>528</v>
      </c>
      <c r="Q367" s="472"/>
      <c r="R367" s="473">
        <v>45538</v>
      </c>
      <c r="S367" s="472"/>
      <c r="T367" s="473">
        <v>45535</v>
      </c>
      <c r="U367" s="474">
        <v>0</v>
      </c>
      <c r="V367" s="475">
        <v>25.35</v>
      </c>
      <c r="W367" s="260">
        <v>45505</v>
      </c>
    </row>
    <row r="368" spans="1:23" hidden="1" x14ac:dyDescent="0.35">
      <c r="A368" s="472" t="s">
        <v>526</v>
      </c>
      <c r="B368" s="472" t="s">
        <v>159</v>
      </c>
      <c r="C368" s="472" t="s">
        <v>546</v>
      </c>
      <c r="D368" s="472" t="s">
        <v>547</v>
      </c>
      <c r="E368" s="472" t="s">
        <v>548</v>
      </c>
      <c r="F368" s="472" t="s">
        <v>276</v>
      </c>
      <c r="G368" s="472" t="s">
        <v>527</v>
      </c>
      <c r="H368" s="472"/>
      <c r="I368" s="472" t="s">
        <v>277</v>
      </c>
      <c r="J368" s="472" t="s">
        <v>528</v>
      </c>
      <c r="K368" s="472" t="s">
        <v>549</v>
      </c>
      <c r="L368" s="472" t="s">
        <v>592</v>
      </c>
      <c r="M368" s="472" t="s">
        <v>285</v>
      </c>
      <c r="N368" s="472"/>
      <c r="O368" s="472"/>
      <c r="P368" s="472" t="s">
        <v>528</v>
      </c>
      <c r="Q368" s="472"/>
      <c r="R368" s="473">
        <v>45538</v>
      </c>
      <c r="S368" s="472"/>
      <c r="T368" s="473">
        <v>45535</v>
      </c>
      <c r="U368" s="474">
        <v>0</v>
      </c>
      <c r="V368" s="475">
        <v>30.83</v>
      </c>
      <c r="W368" s="260">
        <v>45505</v>
      </c>
    </row>
    <row r="369" spans="1:23" hidden="1" x14ac:dyDescent="0.35">
      <c r="A369" s="472" t="s">
        <v>526</v>
      </c>
      <c r="B369" s="472" t="s">
        <v>159</v>
      </c>
      <c r="C369" s="472" t="s">
        <v>542</v>
      </c>
      <c r="D369" s="472" t="s">
        <v>550</v>
      </c>
      <c r="E369" s="472" t="s">
        <v>551</v>
      </c>
      <c r="F369" s="472" t="s">
        <v>276</v>
      </c>
      <c r="G369" s="472" t="s">
        <v>527</v>
      </c>
      <c r="H369" s="472"/>
      <c r="I369" s="472" t="s">
        <v>277</v>
      </c>
      <c r="J369" s="472" t="s">
        <v>528</v>
      </c>
      <c r="K369" s="472" t="s">
        <v>545</v>
      </c>
      <c r="L369" s="472" t="s">
        <v>592</v>
      </c>
      <c r="M369" s="472" t="s">
        <v>285</v>
      </c>
      <c r="N369" s="472"/>
      <c r="O369" s="472"/>
      <c r="P369" s="472" t="s">
        <v>528</v>
      </c>
      <c r="Q369" s="472"/>
      <c r="R369" s="473">
        <v>45538</v>
      </c>
      <c r="S369" s="472"/>
      <c r="T369" s="473">
        <v>45535</v>
      </c>
      <c r="U369" s="474">
        <v>0</v>
      </c>
      <c r="V369" s="475">
        <v>15.76</v>
      </c>
      <c r="W369" s="260">
        <v>45505</v>
      </c>
    </row>
    <row r="370" spans="1:23" hidden="1" x14ac:dyDescent="0.35">
      <c r="A370" s="472" t="s">
        <v>526</v>
      </c>
      <c r="B370" s="472" t="s">
        <v>159</v>
      </c>
      <c r="C370" s="472" t="s">
        <v>542</v>
      </c>
      <c r="D370" s="472" t="s">
        <v>552</v>
      </c>
      <c r="E370" s="472" t="s">
        <v>553</v>
      </c>
      <c r="F370" s="472" t="s">
        <v>276</v>
      </c>
      <c r="G370" s="472" t="s">
        <v>527</v>
      </c>
      <c r="H370" s="472"/>
      <c r="I370" s="472" t="s">
        <v>277</v>
      </c>
      <c r="J370" s="472" t="s">
        <v>528</v>
      </c>
      <c r="K370" s="472" t="s">
        <v>554</v>
      </c>
      <c r="L370" s="472" t="s">
        <v>592</v>
      </c>
      <c r="M370" s="472" t="s">
        <v>285</v>
      </c>
      <c r="N370" s="472"/>
      <c r="O370" s="472"/>
      <c r="P370" s="472" t="s">
        <v>528</v>
      </c>
      <c r="Q370" s="472"/>
      <c r="R370" s="473">
        <v>45538</v>
      </c>
      <c r="S370" s="472"/>
      <c r="T370" s="473">
        <v>45535</v>
      </c>
      <c r="U370" s="474">
        <v>0</v>
      </c>
      <c r="V370" s="475">
        <v>22.34</v>
      </c>
      <c r="W370" s="260">
        <v>45505</v>
      </c>
    </row>
    <row r="371" spans="1:23" hidden="1" x14ac:dyDescent="0.35">
      <c r="A371" s="472" t="s">
        <v>526</v>
      </c>
      <c r="B371" s="472" t="s">
        <v>159</v>
      </c>
      <c r="C371" s="472" t="s">
        <v>546</v>
      </c>
      <c r="D371" s="472" t="s">
        <v>555</v>
      </c>
      <c r="E371" s="472" t="s">
        <v>556</v>
      </c>
      <c r="F371" s="472" t="s">
        <v>276</v>
      </c>
      <c r="G371" s="472" t="s">
        <v>527</v>
      </c>
      <c r="H371" s="472"/>
      <c r="I371" s="472" t="s">
        <v>277</v>
      </c>
      <c r="J371" s="472" t="s">
        <v>528</v>
      </c>
      <c r="K371" s="472" t="s">
        <v>557</v>
      </c>
      <c r="L371" s="472" t="s">
        <v>592</v>
      </c>
      <c r="M371" s="472" t="s">
        <v>285</v>
      </c>
      <c r="N371" s="472"/>
      <c r="O371" s="472"/>
      <c r="P371" s="472" t="s">
        <v>528</v>
      </c>
      <c r="Q371" s="472"/>
      <c r="R371" s="473">
        <v>45538</v>
      </c>
      <c r="S371" s="472"/>
      <c r="T371" s="473">
        <v>45535</v>
      </c>
      <c r="U371" s="474">
        <v>0</v>
      </c>
      <c r="V371" s="475">
        <v>11.93</v>
      </c>
      <c r="W371" s="260">
        <v>45505</v>
      </c>
    </row>
    <row r="372" spans="1:23" hidden="1" x14ac:dyDescent="0.35">
      <c r="A372" s="472" t="s">
        <v>526</v>
      </c>
      <c r="B372" s="472" t="s">
        <v>159</v>
      </c>
      <c r="C372" s="472" t="s">
        <v>302</v>
      </c>
      <c r="D372" s="472" t="s">
        <v>299</v>
      </c>
      <c r="E372" s="472" t="s">
        <v>300</v>
      </c>
      <c r="F372" s="472" t="s">
        <v>276</v>
      </c>
      <c r="G372" s="472" t="s">
        <v>527</v>
      </c>
      <c r="H372" s="472"/>
      <c r="I372" s="472" t="s">
        <v>277</v>
      </c>
      <c r="J372" s="472" t="s">
        <v>528</v>
      </c>
      <c r="K372" s="472" t="s">
        <v>303</v>
      </c>
      <c r="L372" s="472" t="s">
        <v>592</v>
      </c>
      <c r="M372" s="472" t="s">
        <v>285</v>
      </c>
      <c r="N372" s="472"/>
      <c r="O372" s="472"/>
      <c r="P372" s="472" t="s">
        <v>528</v>
      </c>
      <c r="Q372" s="472"/>
      <c r="R372" s="473">
        <v>45539</v>
      </c>
      <c r="S372" s="472"/>
      <c r="T372" s="473">
        <v>45535</v>
      </c>
      <c r="U372" s="474">
        <v>0</v>
      </c>
      <c r="V372" s="475">
        <v>0.08</v>
      </c>
      <c r="W372" s="260">
        <v>45505</v>
      </c>
    </row>
    <row r="373" spans="1:23" hidden="1" x14ac:dyDescent="0.35">
      <c r="A373" s="472" t="s">
        <v>526</v>
      </c>
      <c r="B373" s="472" t="s">
        <v>159</v>
      </c>
      <c r="C373" s="472" t="s">
        <v>302</v>
      </c>
      <c r="D373" s="472" t="s">
        <v>304</v>
      </c>
      <c r="E373" s="472" t="s">
        <v>305</v>
      </c>
      <c r="F373" s="472" t="s">
        <v>276</v>
      </c>
      <c r="G373" s="472" t="s">
        <v>527</v>
      </c>
      <c r="H373" s="472"/>
      <c r="I373" s="472" t="s">
        <v>277</v>
      </c>
      <c r="J373" s="472" t="s">
        <v>528</v>
      </c>
      <c r="K373" s="472" t="s">
        <v>303</v>
      </c>
      <c r="L373" s="472" t="s">
        <v>592</v>
      </c>
      <c r="M373" s="472" t="s">
        <v>285</v>
      </c>
      <c r="N373" s="472"/>
      <c r="O373" s="472"/>
      <c r="P373" s="472" t="s">
        <v>528</v>
      </c>
      <c r="Q373" s="472"/>
      <c r="R373" s="473">
        <v>45539</v>
      </c>
      <c r="S373" s="472"/>
      <c r="T373" s="473">
        <v>45535</v>
      </c>
      <c r="U373" s="474">
        <v>0</v>
      </c>
      <c r="V373" s="475">
        <v>0.11</v>
      </c>
      <c r="W373" s="260">
        <v>45505</v>
      </c>
    </row>
    <row r="374" spans="1:23" hidden="1" x14ac:dyDescent="0.35">
      <c r="A374" s="472" t="s">
        <v>526</v>
      </c>
      <c r="B374" s="472" t="s">
        <v>159</v>
      </c>
      <c r="C374" s="472" t="s">
        <v>302</v>
      </c>
      <c r="D374" s="472" t="s">
        <v>306</v>
      </c>
      <c r="E374" s="472" t="s">
        <v>307</v>
      </c>
      <c r="F374" s="472" t="s">
        <v>276</v>
      </c>
      <c r="G374" s="472" t="s">
        <v>527</v>
      </c>
      <c r="H374" s="472"/>
      <c r="I374" s="472" t="s">
        <v>277</v>
      </c>
      <c r="J374" s="472" t="s">
        <v>528</v>
      </c>
      <c r="K374" s="472" t="s">
        <v>303</v>
      </c>
      <c r="L374" s="472" t="s">
        <v>592</v>
      </c>
      <c r="M374" s="472" t="s">
        <v>285</v>
      </c>
      <c r="N374" s="472"/>
      <c r="O374" s="472"/>
      <c r="P374" s="472" t="s">
        <v>528</v>
      </c>
      <c r="Q374" s="472"/>
      <c r="R374" s="473">
        <v>45539</v>
      </c>
      <c r="S374" s="472"/>
      <c r="T374" s="473">
        <v>45535</v>
      </c>
      <c r="U374" s="474">
        <v>0</v>
      </c>
      <c r="V374" s="475">
        <v>0.13</v>
      </c>
      <c r="W374" s="260">
        <v>45505</v>
      </c>
    </row>
    <row r="375" spans="1:23" hidden="1" x14ac:dyDescent="0.35">
      <c r="A375" s="472" t="s">
        <v>526</v>
      </c>
      <c r="B375" s="472" t="s">
        <v>159</v>
      </c>
      <c r="C375" s="472" t="s">
        <v>302</v>
      </c>
      <c r="D375" s="472" t="s">
        <v>308</v>
      </c>
      <c r="E375" s="472" t="s">
        <v>309</v>
      </c>
      <c r="F375" s="472" t="s">
        <v>276</v>
      </c>
      <c r="G375" s="472" t="s">
        <v>527</v>
      </c>
      <c r="H375" s="472"/>
      <c r="I375" s="472" t="s">
        <v>277</v>
      </c>
      <c r="J375" s="472" t="s">
        <v>528</v>
      </c>
      <c r="K375" s="472" t="s">
        <v>303</v>
      </c>
      <c r="L375" s="472" t="s">
        <v>592</v>
      </c>
      <c r="M375" s="472" t="s">
        <v>285</v>
      </c>
      <c r="N375" s="472"/>
      <c r="O375" s="472"/>
      <c r="P375" s="472" t="s">
        <v>528</v>
      </c>
      <c r="Q375" s="472"/>
      <c r="R375" s="473">
        <v>45539</v>
      </c>
      <c r="S375" s="472"/>
      <c r="T375" s="473">
        <v>45535</v>
      </c>
      <c r="U375" s="474">
        <v>0</v>
      </c>
      <c r="V375" s="475">
        <v>630.97</v>
      </c>
      <c r="W375" s="260">
        <v>45505</v>
      </c>
    </row>
    <row r="376" spans="1:23" hidden="1" x14ac:dyDescent="0.35">
      <c r="A376" s="472" t="s">
        <v>526</v>
      </c>
      <c r="B376" s="472" t="s">
        <v>159</v>
      </c>
      <c r="C376" s="472" t="s">
        <v>302</v>
      </c>
      <c r="D376" s="472" t="s">
        <v>310</v>
      </c>
      <c r="E376" s="472" t="s">
        <v>311</v>
      </c>
      <c r="F376" s="472" t="s">
        <v>276</v>
      </c>
      <c r="G376" s="472" t="s">
        <v>527</v>
      </c>
      <c r="H376" s="472"/>
      <c r="I376" s="472" t="s">
        <v>277</v>
      </c>
      <c r="J376" s="472" t="s">
        <v>528</v>
      </c>
      <c r="K376" s="472" t="s">
        <v>303</v>
      </c>
      <c r="L376" s="472" t="s">
        <v>592</v>
      </c>
      <c r="M376" s="472" t="s">
        <v>285</v>
      </c>
      <c r="N376" s="472"/>
      <c r="O376" s="472"/>
      <c r="P376" s="472" t="s">
        <v>528</v>
      </c>
      <c r="Q376" s="472"/>
      <c r="R376" s="473">
        <v>45539</v>
      </c>
      <c r="S376" s="472"/>
      <c r="T376" s="473">
        <v>45535</v>
      </c>
      <c r="U376" s="474">
        <v>0</v>
      </c>
      <c r="V376" s="475">
        <v>1711.18</v>
      </c>
      <c r="W376" s="260">
        <v>45505</v>
      </c>
    </row>
    <row r="377" spans="1:23" hidden="1" x14ac:dyDescent="0.35">
      <c r="A377" s="472" t="s">
        <v>526</v>
      </c>
      <c r="B377" s="472" t="s">
        <v>159</v>
      </c>
      <c r="C377" s="472" t="s">
        <v>302</v>
      </c>
      <c r="D377" s="472" t="s">
        <v>312</v>
      </c>
      <c r="E377" s="472" t="s">
        <v>313</v>
      </c>
      <c r="F377" s="472" t="s">
        <v>276</v>
      </c>
      <c r="G377" s="472" t="s">
        <v>527</v>
      </c>
      <c r="H377" s="472"/>
      <c r="I377" s="472" t="s">
        <v>277</v>
      </c>
      <c r="J377" s="472" t="s">
        <v>528</v>
      </c>
      <c r="K377" s="472" t="s">
        <v>303</v>
      </c>
      <c r="L377" s="472" t="s">
        <v>592</v>
      </c>
      <c r="M377" s="472" t="s">
        <v>285</v>
      </c>
      <c r="N377" s="472"/>
      <c r="O377" s="472"/>
      <c r="P377" s="472" t="s">
        <v>528</v>
      </c>
      <c r="Q377" s="472"/>
      <c r="R377" s="473">
        <v>45539</v>
      </c>
      <c r="S377" s="472"/>
      <c r="T377" s="473">
        <v>45535</v>
      </c>
      <c r="U377" s="474">
        <v>0</v>
      </c>
      <c r="V377" s="475">
        <v>40.07</v>
      </c>
      <c r="W377" s="260">
        <v>45505</v>
      </c>
    </row>
    <row r="378" spans="1:23" hidden="1" x14ac:dyDescent="0.35">
      <c r="A378" s="472" t="s">
        <v>526</v>
      </c>
      <c r="B378" s="472" t="s">
        <v>159</v>
      </c>
      <c r="C378" s="472" t="s">
        <v>302</v>
      </c>
      <c r="D378" s="472" t="s">
        <v>318</v>
      </c>
      <c r="E378" s="472" t="s">
        <v>319</v>
      </c>
      <c r="F378" s="472" t="s">
        <v>276</v>
      </c>
      <c r="G378" s="472" t="s">
        <v>527</v>
      </c>
      <c r="H378" s="472"/>
      <c r="I378" s="472" t="s">
        <v>277</v>
      </c>
      <c r="J378" s="472" t="s">
        <v>528</v>
      </c>
      <c r="K378" s="472" t="s">
        <v>303</v>
      </c>
      <c r="L378" s="472" t="s">
        <v>592</v>
      </c>
      <c r="M378" s="472" t="s">
        <v>285</v>
      </c>
      <c r="N378" s="472"/>
      <c r="O378" s="472"/>
      <c r="P378" s="472" t="s">
        <v>528</v>
      </c>
      <c r="Q378" s="472"/>
      <c r="R378" s="473">
        <v>45539</v>
      </c>
      <c r="S378" s="472"/>
      <c r="T378" s="473">
        <v>45535</v>
      </c>
      <c r="U378" s="474">
        <v>0</v>
      </c>
      <c r="V378" s="475">
        <v>0.64</v>
      </c>
      <c r="W378" s="260">
        <v>45505</v>
      </c>
    </row>
    <row r="379" spans="1:23" hidden="1" x14ac:dyDescent="0.35">
      <c r="A379" s="472" t="s">
        <v>526</v>
      </c>
      <c r="B379" s="472" t="s">
        <v>159</v>
      </c>
      <c r="C379" s="472" t="s">
        <v>302</v>
      </c>
      <c r="D379" s="472" t="s">
        <v>391</v>
      </c>
      <c r="E379" s="472" t="s">
        <v>392</v>
      </c>
      <c r="F379" s="472" t="s">
        <v>276</v>
      </c>
      <c r="G379" s="472" t="s">
        <v>527</v>
      </c>
      <c r="H379" s="472"/>
      <c r="I379" s="472" t="s">
        <v>277</v>
      </c>
      <c r="J379" s="472" t="s">
        <v>528</v>
      </c>
      <c r="K379" s="472" t="s">
        <v>303</v>
      </c>
      <c r="L379" s="472" t="s">
        <v>592</v>
      </c>
      <c r="M379" s="472" t="s">
        <v>285</v>
      </c>
      <c r="N379" s="472"/>
      <c r="O379" s="472"/>
      <c r="P379" s="472" t="s">
        <v>528</v>
      </c>
      <c r="Q379" s="472"/>
      <c r="R379" s="473">
        <v>45539</v>
      </c>
      <c r="S379" s="472"/>
      <c r="T379" s="473">
        <v>45535</v>
      </c>
      <c r="U379" s="474">
        <v>0</v>
      </c>
      <c r="V379" s="475">
        <v>0.04</v>
      </c>
      <c r="W379" s="260">
        <v>45505</v>
      </c>
    </row>
    <row r="380" spans="1:23" hidden="1" x14ac:dyDescent="0.35">
      <c r="A380" s="472" t="s">
        <v>526</v>
      </c>
      <c r="B380" s="472" t="s">
        <v>159</v>
      </c>
      <c r="C380" s="472" t="s">
        <v>302</v>
      </c>
      <c r="D380" s="472" t="s">
        <v>320</v>
      </c>
      <c r="E380" s="472" t="s">
        <v>321</v>
      </c>
      <c r="F380" s="472" t="s">
        <v>276</v>
      </c>
      <c r="G380" s="472" t="s">
        <v>527</v>
      </c>
      <c r="H380" s="472"/>
      <c r="I380" s="472" t="s">
        <v>277</v>
      </c>
      <c r="J380" s="472" t="s">
        <v>528</v>
      </c>
      <c r="K380" s="472" t="s">
        <v>303</v>
      </c>
      <c r="L380" s="472" t="s">
        <v>592</v>
      </c>
      <c r="M380" s="472" t="s">
        <v>285</v>
      </c>
      <c r="N380" s="472"/>
      <c r="O380" s="472"/>
      <c r="P380" s="472" t="s">
        <v>528</v>
      </c>
      <c r="Q380" s="472"/>
      <c r="R380" s="473">
        <v>45539</v>
      </c>
      <c r="S380" s="472"/>
      <c r="T380" s="473">
        <v>45535</v>
      </c>
      <c r="U380" s="474">
        <v>0</v>
      </c>
      <c r="V380" s="475">
        <v>8.27</v>
      </c>
      <c r="W380" s="260">
        <v>45505</v>
      </c>
    </row>
    <row r="381" spans="1:23" hidden="1" x14ac:dyDescent="0.35">
      <c r="A381" s="472" t="s">
        <v>526</v>
      </c>
      <c r="B381" s="472" t="s">
        <v>159</v>
      </c>
      <c r="C381" s="472" t="s">
        <v>302</v>
      </c>
      <c r="D381" s="472" t="s">
        <v>322</v>
      </c>
      <c r="E381" s="472" t="s">
        <v>323</v>
      </c>
      <c r="F381" s="472" t="s">
        <v>276</v>
      </c>
      <c r="G381" s="472" t="s">
        <v>527</v>
      </c>
      <c r="H381" s="472"/>
      <c r="I381" s="472" t="s">
        <v>277</v>
      </c>
      <c r="J381" s="472" t="s">
        <v>528</v>
      </c>
      <c r="K381" s="472" t="s">
        <v>303</v>
      </c>
      <c r="L381" s="472" t="s">
        <v>592</v>
      </c>
      <c r="M381" s="472" t="s">
        <v>285</v>
      </c>
      <c r="N381" s="472"/>
      <c r="O381" s="472"/>
      <c r="P381" s="472" t="s">
        <v>528</v>
      </c>
      <c r="Q381" s="472"/>
      <c r="R381" s="473">
        <v>45539</v>
      </c>
      <c r="S381" s="472"/>
      <c r="T381" s="473">
        <v>45535</v>
      </c>
      <c r="U381" s="474">
        <v>0</v>
      </c>
      <c r="V381" s="475">
        <v>0.15</v>
      </c>
      <c r="W381" s="260">
        <v>45505</v>
      </c>
    </row>
    <row r="382" spans="1:23" hidden="1" x14ac:dyDescent="0.35">
      <c r="A382" s="472" t="s">
        <v>526</v>
      </c>
      <c r="B382" s="472" t="s">
        <v>159</v>
      </c>
      <c r="C382" s="472" t="s">
        <v>302</v>
      </c>
      <c r="D382" s="472" t="s">
        <v>324</v>
      </c>
      <c r="E382" s="472" t="s">
        <v>325</v>
      </c>
      <c r="F382" s="472" t="s">
        <v>276</v>
      </c>
      <c r="G382" s="472" t="s">
        <v>527</v>
      </c>
      <c r="H382" s="472"/>
      <c r="I382" s="472" t="s">
        <v>277</v>
      </c>
      <c r="J382" s="472" t="s">
        <v>528</v>
      </c>
      <c r="K382" s="472" t="s">
        <v>303</v>
      </c>
      <c r="L382" s="472" t="s">
        <v>592</v>
      </c>
      <c r="M382" s="472" t="s">
        <v>285</v>
      </c>
      <c r="N382" s="472"/>
      <c r="O382" s="472"/>
      <c r="P382" s="472" t="s">
        <v>528</v>
      </c>
      <c r="Q382" s="472"/>
      <c r="R382" s="473">
        <v>45539</v>
      </c>
      <c r="S382" s="472"/>
      <c r="T382" s="473">
        <v>45535</v>
      </c>
      <c r="U382" s="474">
        <v>0</v>
      </c>
      <c r="V382" s="475">
        <v>-64.260000000000005</v>
      </c>
      <c r="W382" s="260">
        <v>45505</v>
      </c>
    </row>
    <row r="383" spans="1:23" hidden="1" x14ac:dyDescent="0.35">
      <c r="A383" s="472" t="s">
        <v>526</v>
      </c>
      <c r="B383" s="472" t="s">
        <v>159</v>
      </c>
      <c r="C383" s="472" t="s">
        <v>302</v>
      </c>
      <c r="D383" s="472" t="s">
        <v>326</v>
      </c>
      <c r="E383" s="472" t="s">
        <v>327</v>
      </c>
      <c r="F383" s="472" t="s">
        <v>276</v>
      </c>
      <c r="G383" s="472" t="s">
        <v>527</v>
      </c>
      <c r="H383" s="472"/>
      <c r="I383" s="472" t="s">
        <v>277</v>
      </c>
      <c r="J383" s="472" t="s">
        <v>528</v>
      </c>
      <c r="K383" s="472" t="s">
        <v>303</v>
      </c>
      <c r="L383" s="472" t="s">
        <v>592</v>
      </c>
      <c r="M383" s="472" t="s">
        <v>285</v>
      </c>
      <c r="N383" s="472"/>
      <c r="O383" s="472"/>
      <c r="P383" s="472" t="s">
        <v>528</v>
      </c>
      <c r="Q383" s="472"/>
      <c r="R383" s="473">
        <v>45539</v>
      </c>
      <c r="S383" s="472"/>
      <c r="T383" s="473">
        <v>45535</v>
      </c>
      <c r="U383" s="474">
        <v>0</v>
      </c>
      <c r="V383" s="475">
        <v>0.9</v>
      </c>
      <c r="W383" s="260">
        <v>45505</v>
      </c>
    </row>
    <row r="384" spans="1:23" hidden="1" x14ac:dyDescent="0.35">
      <c r="A384" s="472" t="s">
        <v>526</v>
      </c>
      <c r="B384" s="472" t="s">
        <v>159</v>
      </c>
      <c r="C384" s="472" t="s">
        <v>302</v>
      </c>
      <c r="D384" s="472" t="s">
        <v>393</v>
      </c>
      <c r="E384" s="472" t="s">
        <v>394</v>
      </c>
      <c r="F384" s="472" t="s">
        <v>276</v>
      </c>
      <c r="G384" s="472" t="s">
        <v>527</v>
      </c>
      <c r="H384" s="472"/>
      <c r="I384" s="472" t="s">
        <v>277</v>
      </c>
      <c r="J384" s="472" t="s">
        <v>528</v>
      </c>
      <c r="K384" s="472" t="s">
        <v>303</v>
      </c>
      <c r="L384" s="472" t="s">
        <v>592</v>
      </c>
      <c r="M384" s="472" t="s">
        <v>285</v>
      </c>
      <c r="N384" s="472"/>
      <c r="O384" s="472"/>
      <c r="P384" s="472" t="s">
        <v>528</v>
      </c>
      <c r="Q384" s="472"/>
      <c r="R384" s="473">
        <v>45539</v>
      </c>
      <c r="S384" s="472"/>
      <c r="T384" s="473">
        <v>45535</v>
      </c>
      <c r="U384" s="474">
        <v>0</v>
      </c>
      <c r="V384" s="475">
        <v>0.28000000000000003</v>
      </c>
      <c r="W384" s="260">
        <v>45505</v>
      </c>
    </row>
    <row r="385" spans="1:23" hidden="1" x14ac:dyDescent="0.35">
      <c r="A385" s="472" t="s">
        <v>526</v>
      </c>
      <c r="B385" s="472" t="s">
        <v>159</v>
      </c>
      <c r="C385" s="472" t="s">
        <v>302</v>
      </c>
      <c r="D385" s="472" t="s">
        <v>328</v>
      </c>
      <c r="E385" s="472" t="s">
        <v>329</v>
      </c>
      <c r="F385" s="472" t="s">
        <v>276</v>
      </c>
      <c r="G385" s="472" t="s">
        <v>527</v>
      </c>
      <c r="H385" s="472"/>
      <c r="I385" s="472" t="s">
        <v>277</v>
      </c>
      <c r="J385" s="472" t="s">
        <v>528</v>
      </c>
      <c r="K385" s="472" t="s">
        <v>303</v>
      </c>
      <c r="L385" s="472" t="s">
        <v>592</v>
      </c>
      <c r="M385" s="472" t="s">
        <v>285</v>
      </c>
      <c r="N385" s="472"/>
      <c r="O385" s="472"/>
      <c r="P385" s="472" t="s">
        <v>528</v>
      </c>
      <c r="Q385" s="472"/>
      <c r="R385" s="473">
        <v>45539</v>
      </c>
      <c r="S385" s="472"/>
      <c r="T385" s="473">
        <v>45535</v>
      </c>
      <c r="U385" s="474">
        <v>0</v>
      </c>
      <c r="V385" s="475">
        <v>-7.57</v>
      </c>
      <c r="W385" s="260">
        <v>45505</v>
      </c>
    </row>
    <row r="386" spans="1:23" hidden="1" x14ac:dyDescent="0.35">
      <c r="A386" s="472" t="s">
        <v>526</v>
      </c>
      <c r="B386" s="472" t="s">
        <v>159</v>
      </c>
      <c r="C386" s="472" t="s">
        <v>302</v>
      </c>
      <c r="D386" s="472" t="s">
        <v>330</v>
      </c>
      <c r="E386" s="472" t="s">
        <v>331</v>
      </c>
      <c r="F386" s="472" t="s">
        <v>276</v>
      </c>
      <c r="G386" s="472" t="s">
        <v>527</v>
      </c>
      <c r="H386" s="472"/>
      <c r="I386" s="472" t="s">
        <v>277</v>
      </c>
      <c r="J386" s="472" t="s">
        <v>528</v>
      </c>
      <c r="K386" s="472" t="s">
        <v>303</v>
      </c>
      <c r="L386" s="472" t="s">
        <v>592</v>
      </c>
      <c r="M386" s="472" t="s">
        <v>285</v>
      </c>
      <c r="N386" s="472"/>
      <c r="O386" s="472"/>
      <c r="P386" s="472" t="s">
        <v>528</v>
      </c>
      <c r="Q386" s="472"/>
      <c r="R386" s="473">
        <v>45539</v>
      </c>
      <c r="S386" s="472"/>
      <c r="T386" s="473">
        <v>45535</v>
      </c>
      <c r="U386" s="474">
        <v>0</v>
      </c>
      <c r="V386" s="475">
        <v>3.13</v>
      </c>
      <c r="W386" s="260">
        <v>45505</v>
      </c>
    </row>
    <row r="387" spans="1:23" hidden="1" x14ac:dyDescent="0.35">
      <c r="A387" s="472" t="s">
        <v>526</v>
      </c>
      <c r="B387" s="472" t="s">
        <v>159</v>
      </c>
      <c r="C387" s="472" t="s">
        <v>302</v>
      </c>
      <c r="D387" s="472" t="s">
        <v>332</v>
      </c>
      <c r="E387" s="472" t="s">
        <v>333</v>
      </c>
      <c r="F387" s="472" t="s">
        <v>276</v>
      </c>
      <c r="G387" s="472" t="s">
        <v>527</v>
      </c>
      <c r="H387" s="472"/>
      <c r="I387" s="472" t="s">
        <v>277</v>
      </c>
      <c r="J387" s="472" t="s">
        <v>528</v>
      </c>
      <c r="K387" s="472" t="s">
        <v>303</v>
      </c>
      <c r="L387" s="472" t="s">
        <v>592</v>
      </c>
      <c r="M387" s="472" t="s">
        <v>285</v>
      </c>
      <c r="N387" s="472"/>
      <c r="O387" s="472"/>
      <c r="P387" s="472" t="s">
        <v>528</v>
      </c>
      <c r="Q387" s="472"/>
      <c r="R387" s="473">
        <v>45539</v>
      </c>
      <c r="S387" s="472"/>
      <c r="T387" s="473">
        <v>45535</v>
      </c>
      <c r="U387" s="474">
        <v>0</v>
      </c>
      <c r="V387" s="475">
        <v>-13.66</v>
      </c>
      <c r="W387" s="260">
        <v>45505</v>
      </c>
    </row>
    <row r="388" spans="1:23" hidden="1" x14ac:dyDescent="0.35">
      <c r="A388" s="472" t="s">
        <v>526</v>
      </c>
      <c r="B388" s="472" t="s">
        <v>159</v>
      </c>
      <c r="C388" s="472" t="s">
        <v>302</v>
      </c>
      <c r="D388" s="472" t="s">
        <v>334</v>
      </c>
      <c r="E388" s="472" t="s">
        <v>335</v>
      </c>
      <c r="F388" s="472" t="s">
        <v>276</v>
      </c>
      <c r="G388" s="472" t="s">
        <v>527</v>
      </c>
      <c r="H388" s="472"/>
      <c r="I388" s="472" t="s">
        <v>277</v>
      </c>
      <c r="J388" s="472" t="s">
        <v>528</v>
      </c>
      <c r="K388" s="472" t="s">
        <v>303</v>
      </c>
      <c r="L388" s="472" t="s">
        <v>592</v>
      </c>
      <c r="M388" s="472" t="s">
        <v>285</v>
      </c>
      <c r="N388" s="472"/>
      <c r="O388" s="472"/>
      <c r="P388" s="472" t="s">
        <v>528</v>
      </c>
      <c r="Q388" s="472"/>
      <c r="R388" s="473">
        <v>45539</v>
      </c>
      <c r="S388" s="472"/>
      <c r="T388" s="473">
        <v>45535</v>
      </c>
      <c r="U388" s="474">
        <v>0</v>
      </c>
      <c r="V388" s="475">
        <v>-3</v>
      </c>
      <c r="W388" s="260">
        <v>45505</v>
      </c>
    </row>
    <row r="389" spans="1:23" hidden="1" x14ac:dyDescent="0.35">
      <c r="A389" s="472" t="s">
        <v>526</v>
      </c>
      <c r="B389" s="472" t="s">
        <v>159</v>
      </c>
      <c r="C389" s="472" t="s">
        <v>302</v>
      </c>
      <c r="D389" s="472" t="s">
        <v>336</v>
      </c>
      <c r="E389" s="472" t="s">
        <v>337</v>
      </c>
      <c r="F389" s="472" t="s">
        <v>276</v>
      </c>
      <c r="G389" s="472" t="s">
        <v>527</v>
      </c>
      <c r="H389" s="472"/>
      <c r="I389" s="472" t="s">
        <v>277</v>
      </c>
      <c r="J389" s="472" t="s">
        <v>528</v>
      </c>
      <c r="K389" s="472" t="s">
        <v>303</v>
      </c>
      <c r="L389" s="472" t="s">
        <v>592</v>
      </c>
      <c r="M389" s="472" t="s">
        <v>285</v>
      </c>
      <c r="N389" s="472"/>
      <c r="O389" s="472"/>
      <c r="P389" s="472" t="s">
        <v>528</v>
      </c>
      <c r="Q389" s="472"/>
      <c r="R389" s="473">
        <v>45539</v>
      </c>
      <c r="S389" s="472"/>
      <c r="T389" s="473">
        <v>45535</v>
      </c>
      <c r="U389" s="474">
        <v>0</v>
      </c>
      <c r="V389" s="475">
        <v>-0.1</v>
      </c>
      <c r="W389" s="260">
        <v>45505</v>
      </c>
    </row>
    <row r="390" spans="1:23" hidden="1" x14ac:dyDescent="0.35">
      <c r="A390" s="472" t="s">
        <v>526</v>
      </c>
      <c r="B390" s="472" t="s">
        <v>159</v>
      </c>
      <c r="C390" s="472" t="s">
        <v>302</v>
      </c>
      <c r="D390" s="472" t="s">
        <v>397</v>
      </c>
      <c r="E390" s="472" t="s">
        <v>398</v>
      </c>
      <c r="F390" s="472" t="s">
        <v>276</v>
      </c>
      <c r="G390" s="472" t="s">
        <v>527</v>
      </c>
      <c r="H390" s="472"/>
      <c r="I390" s="472" t="s">
        <v>277</v>
      </c>
      <c r="J390" s="472" t="s">
        <v>528</v>
      </c>
      <c r="K390" s="472" t="s">
        <v>303</v>
      </c>
      <c r="L390" s="472" t="s">
        <v>592</v>
      </c>
      <c r="M390" s="472" t="s">
        <v>285</v>
      </c>
      <c r="N390" s="472"/>
      <c r="O390" s="472"/>
      <c r="P390" s="472" t="s">
        <v>528</v>
      </c>
      <c r="Q390" s="472"/>
      <c r="R390" s="473">
        <v>45539</v>
      </c>
      <c r="S390" s="472"/>
      <c r="T390" s="473">
        <v>45535</v>
      </c>
      <c r="U390" s="474">
        <v>0</v>
      </c>
      <c r="V390" s="475">
        <v>0.05</v>
      </c>
      <c r="W390" s="260">
        <v>45505</v>
      </c>
    </row>
    <row r="391" spans="1:23" hidden="1" x14ac:dyDescent="0.35">
      <c r="A391" s="472" t="s">
        <v>526</v>
      </c>
      <c r="B391" s="472" t="s">
        <v>159</v>
      </c>
      <c r="C391" s="472" t="s">
        <v>302</v>
      </c>
      <c r="D391" s="472" t="s">
        <v>338</v>
      </c>
      <c r="E391" s="472" t="s">
        <v>339</v>
      </c>
      <c r="F391" s="472" t="s">
        <v>276</v>
      </c>
      <c r="G391" s="472" t="s">
        <v>527</v>
      </c>
      <c r="H391" s="472"/>
      <c r="I391" s="472" t="s">
        <v>277</v>
      </c>
      <c r="J391" s="472" t="s">
        <v>528</v>
      </c>
      <c r="K391" s="472" t="s">
        <v>303</v>
      </c>
      <c r="L391" s="472" t="s">
        <v>592</v>
      </c>
      <c r="M391" s="472" t="s">
        <v>285</v>
      </c>
      <c r="N391" s="472"/>
      <c r="O391" s="472"/>
      <c r="P391" s="472" t="s">
        <v>528</v>
      </c>
      <c r="Q391" s="472"/>
      <c r="R391" s="473">
        <v>45539</v>
      </c>
      <c r="S391" s="472"/>
      <c r="T391" s="473">
        <v>45535</v>
      </c>
      <c r="U391" s="474">
        <v>0</v>
      </c>
      <c r="V391" s="475">
        <v>-0.06</v>
      </c>
      <c r="W391" s="260">
        <v>45505</v>
      </c>
    </row>
    <row r="392" spans="1:23" hidden="1" x14ac:dyDescent="0.35">
      <c r="A392" s="472" t="s">
        <v>526</v>
      </c>
      <c r="B392" s="472" t="s">
        <v>159</v>
      </c>
      <c r="C392" s="472" t="s">
        <v>281</v>
      </c>
      <c r="D392" s="472" t="s">
        <v>340</v>
      </c>
      <c r="E392" s="472" t="s">
        <v>283</v>
      </c>
      <c r="F392" s="472" t="s">
        <v>276</v>
      </c>
      <c r="G392" s="472" t="s">
        <v>527</v>
      </c>
      <c r="H392" s="472"/>
      <c r="I392" s="472" t="s">
        <v>277</v>
      </c>
      <c r="J392" s="472" t="s">
        <v>528</v>
      </c>
      <c r="K392" s="472" t="s">
        <v>284</v>
      </c>
      <c r="L392" s="472" t="s">
        <v>592</v>
      </c>
      <c r="M392" s="472" t="s">
        <v>285</v>
      </c>
      <c r="N392" s="472"/>
      <c r="O392" s="472"/>
      <c r="P392" s="472" t="s">
        <v>528</v>
      </c>
      <c r="Q392" s="472"/>
      <c r="R392" s="473">
        <v>45538</v>
      </c>
      <c r="S392" s="472"/>
      <c r="T392" s="473">
        <v>45535</v>
      </c>
      <c r="U392" s="474">
        <v>0</v>
      </c>
      <c r="V392" s="475">
        <v>57.11</v>
      </c>
      <c r="W392" s="260">
        <v>45505</v>
      </c>
    </row>
    <row r="393" spans="1:23" hidden="1" x14ac:dyDescent="0.35">
      <c r="A393" s="472" t="s">
        <v>526</v>
      </c>
      <c r="B393" s="472" t="s">
        <v>159</v>
      </c>
      <c r="C393" s="472" t="s">
        <v>281</v>
      </c>
      <c r="D393" s="472" t="s">
        <v>340</v>
      </c>
      <c r="E393" s="472" t="s">
        <v>283</v>
      </c>
      <c r="F393" s="472" t="s">
        <v>276</v>
      </c>
      <c r="G393" s="472" t="s">
        <v>527</v>
      </c>
      <c r="H393" s="472"/>
      <c r="I393" s="472" t="s">
        <v>277</v>
      </c>
      <c r="J393" s="472" t="s">
        <v>528</v>
      </c>
      <c r="K393" s="472" t="s">
        <v>284</v>
      </c>
      <c r="L393" s="472" t="s">
        <v>592</v>
      </c>
      <c r="M393" s="472" t="s">
        <v>285</v>
      </c>
      <c r="N393" s="472"/>
      <c r="O393" s="472"/>
      <c r="P393" s="472" t="s">
        <v>528</v>
      </c>
      <c r="Q393" s="472"/>
      <c r="R393" s="473">
        <v>45538</v>
      </c>
      <c r="S393" s="472"/>
      <c r="T393" s="473">
        <v>45535</v>
      </c>
      <c r="U393" s="474">
        <v>0</v>
      </c>
      <c r="V393" s="475">
        <v>-57.11</v>
      </c>
      <c r="W393" s="260">
        <v>45505</v>
      </c>
    </row>
    <row r="394" spans="1:23" hidden="1" x14ac:dyDescent="0.35">
      <c r="A394" s="472" t="s">
        <v>526</v>
      </c>
      <c r="B394" s="472" t="s">
        <v>159</v>
      </c>
      <c r="C394" s="472" t="s">
        <v>281</v>
      </c>
      <c r="D394" s="472" t="s">
        <v>340</v>
      </c>
      <c r="E394" s="472" t="s">
        <v>283</v>
      </c>
      <c r="F394" s="472" t="s">
        <v>276</v>
      </c>
      <c r="G394" s="472" t="s">
        <v>527</v>
      </c>
      <c r="H394" s="472"/>
      <c r="I394" s="472" t="s">
        <v>277</v>
      </c>
      <c r="J394" s="472" t="s">
        <v>528</v>
      </c>
      <c r="K394" s="472" t="s">
        <v>284</v>
      </c>
      <c r="L394" s="472" t="s">
        <v>592</v>
      </c>
      <c r="M394" s="472" t="s">
        <v>285</v>
      </c>
      <c r="N394" s="472"/>
      <c r="O394" s="472"/>
      <c r="P394" s="472" t="s">
        <v>528</v>
      </c>
      <c r="Q394" s="472"/>
      <c r="R394" s="473">
        <v>45538</v>
      </c>
      <c r="S394" s="472"/>
      <c r="T394" s="473">
        <v>45535</v>
      </c>
      <c r="U394" s="474">
        <v>0</v>
      </c>
      <c r="V394" s="475">
        <v>57.11</v>
      </c>
      <c r="W394" s="260">
        <v>45505</v>
      </c>
    </row>
    <row r="395" spans="1:23" hidden="1" x14ac:dyDescent="0.35">
      <c r="A395" s="472" t="s">
        <v>526</v>
      </c>
      <c r="B395" s="472" t="s">
        <v>159</v>
      </c>
      <c r="C395" s="472" t="s">
        <v>302</v>
      </c>
      <c r="D395" s="472" t="s">
        <v>340</v>
      </c>
      <c r="E395" s="472" t="s">
        <v>283</v>
      </c>
      <c r="F395" s="472" t="s">
        <v>276</v>
      </c>
      <c r="G395" s="472" t="s">
        <v>527</v>
      </c>
      <c r="H395" s="472"/>
      <c r="I395" s="472" t="s">
        <v>277</v>
      </c>
      <c r="J395" s="472" t="s">
        <v>528</v>
      </c>
      <c r="K395" s="472" t="s">
        <v>303</v>
      </c>
      <c r="L395" s="472" t="s">
        <v>592</v>
      </c>
      <c r="M395" s="472" t="s">
        <v>285</v>
      </c>
      <c r="N395" s="472"/>
      <c r="O395" s="472"/>
      <c r="P395" s="472" t="s">
        <v>528</v>
      </c>
      <c r="Q395" s="472"/>
      <c r="R395" s="473">
        <v>45539</v>
      </c>
      <c r="S395" s="472"/>
      <c r="T395" s="473">
        <v>45535</v>
      </c>
      <c r="U395" s="474">
        <v>0</v>
      </c>
      <c r="V395" s="475">
        <v>45.18</v>
      </c>
      <c r="W395" s="260">
        <v>45505</v>
      </c>
    </row>
    <row r="396" spans="1:23" hidden="1" x14ac:dyDescent="0.35">
      <c r="A396" s="472" t="s">
        <v>526</v>
      </c>
      <c r="B396" s="472" t="s">
        <v>159</v>
      </c>
      <c r="C396" s="472" t="s">
        <v>302</v>
      </c>
      <c r="D396" s="472" t="s">
        <v>340</v>
      </c>
      <c r="E396" s="472" t="s">
        <v>283</v>
      </c>
      <c r="F396" s="472" t="s">
        <v>276</v>
      </c>
      <c r="G396" s="472" t="s">
        <v>527</v>
      </c>
      <c r="H396" s="472"/>
      <c r="I396" s="472" t="s">
        <v>277</v>
      </c>
      <c r="J396" s="472" t="s">
        <v>528</v>
      </c>
      <c r="K396" s="472" t="s">
        <v>303</v>
      </c>
      <c r="L396" s="472" t="s">
        <v>592</v>
      </c>
      <c r="M396" s="472" t="s">
        <v>285</v>
      </c>
      <c r="N396" s="472"/>
      <c r="O396" s="472"/>
      <c r="P396" s="472" t="s">
        <v>528</v>
      </c>
      <c r="Q396" s="472"/>
      <c r="R396" s="473">
        <v>45539</v>
      </c>
      <c r="S396" s="472"/>
      <c r="T396" s="473">
        <v>45535</v>
      </c>
      <c r="U396" s="474">
        <v>0</v>
      </c>
      <c r="V396" s="475">
        <v>4.3600000000000003</v>
      </c>
      <c r="W396" s="260">
        <v>45505</v>
      </c>
    </row>
    <row r="397" spans="1:23" hidden="1" x14ac:dyDescent="0.35">
      <c r="A397" s="472" t="s">
        <v>526</v>
      </c>
      <c r="B397" s="472" t="s">
        <v>159</v>
      </c>
      <c r="C397" s="472" t="s">
        <v>286</v>
      </c>
      <c r="D397" s="472" t="s">
        <v>341</v>
      </c>
      <c r="E397" s="472" t="s">
        <v>288</v>
      </c>
      <c r="F397" s="472" t="s">
        <v>276</v>
      </c>
      <c r="G397" s="472" t="s">
        <v>527</v>
      </c>
      <c r="H397" s="472"/>
      <c r="I397" s="472" t="s">
        <v>277</v>
      </c>
      <c r="J397" s="472" t="s">
        <v>528</v>
      </c>
      <c r="K397" s="472" t="s">
        <v>289</v>
      </c>
      <c r="L397" s="472" t="s">
        <v>592</v>
      </c>
      <c r="M397" s="472" t="s">
        <v>285</v>
      </c>
      <c r="N397" s="472"/>
      <c r="O397" s="472"/>
      <c r="P397" s="472" t="s">
        <v>528</v>
      </c>
      <c r="Q397" s="472"/>
      <c r="R397" s="473">
        <v>45538</v>
      </c>
      <c r="S397" s="472"/>
      <c r="T397" s="473">
        <v>45535</v>
      </c>
      <c r="U397" s="474">
        <v>0</v>
      </c>
      <c r="V397" s="475">
        <v>681.55</v>
      </c>
      <c r="W397" s="260">
        <v>45505</v>
      </c>
    </row>
    <row r="398" spans="1:23" hidden="1" x14ac:dyDescent="0.35">
      <c r="A398" s="472" t="s">
        <v>526</v>
      </c>
      <c r="B398" s="472" t="s">
        <v>159</v>
      </c>
      <c r="C398" s="472" t="s">
        <v>286</v>
      </c>
      <c r="D398" s="472" t="s">
        <v>341</v>
      </c>
      <c r="E398" s="472" t="s">
        <v>288</v>
      </c>
      <c r="F398" s="472" t="s">
        <v>276</v>
      </c>
      <c r="G398" s="472" t="s">
        <v>527</v>
      </c>
      <c r="H398" s="472"/>
      <c r="I398" s="472" t="s">
        <v>277</v>
      </c>
      <c r="J398" s="472" t="s">
        <v>528</v>
      </c>
      <c r="K398" s="472" t="s">
        <v>289</v>
      </c>
      <c r="L398" s="472" t="s">
        <v>592</v>
      </c>
      <c r="M398" s="472" t="s">
        <v>285</v>
      </c>
      <c r="N398" s="472"/>
      <c r="O398" s="472"/>
      <c r="P398" s="472" t="s">
        <v>528</v>
      </c>
      <c r="Q398" s="472"/>
      <c r="R398" s="473">
        <v>45538</v>
      </c>
      <c r="S398" s="472"/>
      <c r="T398" s="473">
        <v>45535</v>
      </c>
      <c r="U398" s="474">
        <v>0</v>
      </c>
      <c r="V398" s="475">
        <v>-681.55</v>
      </c>
      <c r="W398" s="260">
        <v>45505</v>
      </c>
    </row>
    <row r="399" spans="1:23" hidden="1" x14ac:dyDescent="0.35">
      <c r="A399" s="472" t="s">
        <v>526</v>
      </c>
      <c r="B399" s="472" t="s">
        <v>159</v>
      </c>
      <c r="C399" s="472" t="s">
        <v>286</v>
      </c>
      <c r="D399" s="472" t="s">
        <v>341</v>
      </c>
      <c r="E399" s="472" t="s">
        <v>288</v>
      </c>
      <c r="F399" s="472" t="s">
        <v>276</v>
      </c>
      <c r="G399" s="472" t="s">
        <v>527</v>
      </c>
      <c r="H399" s="472"/>
      <c r="I399" s="472" t="s">
        <v>277</v>
      </c>
      <c r="J399" s="472" t="s">
        <v>528</v>
      </c>
      <c r="K399" s="472" t="s">
        <v>289</v>
      </c>
      <c r="L399" s="472" t="s">
        <v>592</v>
      </c>
      <c r="M399" s="472" t="s">
        <v>285</v>
      </c>
      <c r="N399" s="472"/>
      <c r="O399" s="472"/>
      <c r="P399" s="472" t="s">
        <v>528</v>
      </c>
      <c r="Q399" s="472"/>
      <c r="R399" s="473">
        <v>45538</v>
      </c>
      <c r="S399" s="472"/>
      <c r="T399" s="473">
        <v>45535</v>
      </c>
      <c r="U399" s="474">
        <v>0</v>
      </c>
      <c r="V399" s="475">
        <v>681.55</v>
      </c>
      <c r="W399" s="260">
        <v>45505</v>
      </c>
    </row>
    <row r="400" spans="1:23" hidden="1" x14ac:dyDescent="0.35">
      <c r="A400" s="472" t="s">
        <v>526</v>
      </c>
      <c r="B400" s="472" t="s">
        <v>159</v>
      </c>
      <c r="C400" s="472" t="s">
        <v>302</v>
      </c>
      <c r="D400" s="472" t="s">
        <v>341</v>
      </c>
      <c r="E400" s="472" t="s">
        <v>288</v>
      </c>
      <c r="F400" s="472" t="s">
        <v>276</v>
      </c>
      <c r="G400" s="472" t="s">
        <v>527</v>
      </c>
      <c r="H400" s="472"/>
      <c r="I400" s="472" t="s">
        <v>277</v>
      </c>
      <c r="J400" s="472" t="s">
        <v>528</v>
      </c>
      <c r="K400" s="472" t="s">
        <v>303</v>
      </c>
      <c r="L400" s="472" t="s">
        <v>592</v>
      </c>
      <c r="M400" s="472" t="s">
        <v>285</v>
      </c>
      <c r="N400" s="472"/>
      <c r="O400" s="472"/>
      <c r="P400" s="472" t="s">
        <v>528</v>
      </c>
      <c r="Q400" s="472"/>
      <c r="R400" s="473">
        <v>45539</v>
      </c>
      <c r="S400" s="472"/>
      <c r="T400" s="473">
        <v>45535</v>
      </c>
      <c r="U400" s="474">
        <v>0</v>
      </c>
      <c r="V400" s="475">
        <v>52.01</v>
      </c>
      <c r="W400" s="260">
        <v>45505</v>
      </c>
    </row>
    <row r="401" spans="1:23" hidden="1" x14ac:dyDescent="0.35">
      <c r="A401" s="472" t="s">
        <v>526</v>
      </c>
      <c r="B401" s="472" t="s">
        <v>159</v>
      </c>
      <c r="C401" s="472" t="s">
        <v>302</v>
      </c>
      <c r="D401" s="472" t="s">
        <v>341</v>
      </c>
      <c r="E401" s="472" t="s">
        <v>288</v>
      </c>
      <c r="F401" s="472" t="s">
        <v>276</v>
      </c>
      <c r="G401" s="472" t="s">
        <v>527</v>
      </c>
      <c r="H401" s="472"/>
      <c r="I401" s="472" t="s">
        <v>277</v>
      </c>
      <c r="J401" s="472" t="s">
        <v>528</v>
      </c>
      <c r="K401" s="472" t="s">
        <v>303</v>
      </c>
      <c r="L401" s="472" t="s">
        <v>592</v>
      </c>
      <c r="M401" s="472" t="s">
        <v>285</v>
      </c>
      <c r="N401" s="472"/>
      <c r="O401" s="472"/>
      <c r="P401" s="472" t="s">
        <v>528</v>
      </c>
      <c r="Q401" s="472"/>
      <c r="R401" s="473">
        <v>45539</v>
      </c>
      <c r="S401" s="472"/>
      <c r="T401" s="473">
        <v>45535</v>
      </c>
      <c r="U401" s="474">
        <v>0</v>
      </c>
      <c r="V401" s="475">
        <v>129.6</v>
      </c>
      <c r="W401" s="260">
        <v>45505</v>
      </c>
    </row>
    <row r="402" spans="1:23" hidden="1" x14ac:dyDescent="0.35">
      <c r="A402" s="472" t="s">
        <v>526</v>
      </c>
      <c r="B402" s="472" t="s">
        <v>159</v>
      </c>
      <c r="C402" s="472" t="s">
        <v>281</v>
      </c>
      <c r="D402" s="472" t="s">
        <v>342</v>
      </c>
      <c r="E402" s="472" t="s">
        <v>291</v>
      </c>
      <c r="F402" s="472" t="s">
        <v>276</v>
      </c>
      <c r="G402" s="472" t="s">
        <v>527</v>
      </c>
      <c r="H402" s="472"/>
      <c r="I402" s="472" t="s">
        <v>277</v>
      </c>
      <c r="J402" s="472" t="s">
        <v>528</v>
      </c>
      <c r="K402" s="472" t="s">
        <v>284</v>
      </c>
      <c r="L402" s="472" t="s">
        <v>592</v>
      </c>
      <c r="M402" s="472" t="s">
        <v>285</v>
      </c>
      <c r="N402" s="472"/>
      <c r="O402" s="472"/>
      <c r="P402" s="472" t="s">
        <v>528</v>
      </c>
      <c r="Q402" s="472"/>
      <c r="R402" s="473">
        <v>45538</v>
      </c>
      <c r="S402" s="472"/>
      <c r="T402" s="473">
        <v>45535</v>
      </c>
      <c r="U402" s="474">
        <v>0</v>
      </c>
      <c r="V402" s="475">
        <v>41.07</v>
      </c>
      <c r="W402" s="260">
        <v>45505</v>
      </c>
    </row>
    <row r="403" spans="1:23" hidden="1" x14ac:dyDescent="0.35">
      <c r="A403" s="472" t="s">
        <v>526</v>
      </c>
      <c r="B403" s="472" t="s">
        <v>159</v>
      </c>
      <c r="C403" s="472" t="s">
        <v>281</v>
      </c>
      <c r="D403" s="472" t="s">
        <v>342</v>
      </c>
      <c r="E403" s="472" t="s">
        <v>291</v>
      </c>
      <c r="F403" s="472" t="s">
        <v>276</v>
      </c>
      <c r="G403" s="472" t="s">
        <v>527</v>
      </c>
      <c r="H403" s="472"/>
      <c r="I403" s="472" t="s">
        <v>277</v>
      </c>
      <c r="J403" s="472" t="s">
        <v>528</v>
      </c>
      <c r="K403" s="472" t="s">
        <v>284</v>
      </c>
      <c r="L403" s="472" t="s">
        <v>592</v>
      </c>
      <c r="M403" s="472" t="s">
        <v>285</v>
      </c>
      <c r="N403" s="472"/>
      <c r="O403" s="472"/>
      <c r="P403" s="472" t="s">
        <v>528</v>
      </c>
      <c r="Q403" s="472"/>
      <c r="R403" s="473">
        <v>45538</v>
      </c>
      <c r="S403" s="472"/>
      <c r="T403" s="473">
        <v>45535</v>
      </c>
      <c r="U403" s="474">
        <v>0</v>
      </c>
      <c r="V403" s="475">
        <v>-41.07</v>
      </c>
      <c r="W403" s="260">
        <v>45505</v>
      </c>
    </row>
    <row r="404" spans="1:23" hidden="1" x14ac:dyDescent="0.35">
      <c r="A404" s="472" t="s">
        <v>526</v>
      </c>
      <c r="B404" s="472" t="s">
        <v>159</v>
      </c>
      <c r="C404" s="472" t="s">
        <v>281</v>
      </c>
      <c r="D404" s="472" t="s">
        <v>342</v>
      </c>
      <c r="E404" s="472" t="s">
        <v>291</v>
      </c>
      <c r="F404" s="472" t="s">
        <v>276</v>
      </c>
      <c r="G404" s="472" t="s">
        <v>527</v>
      </c>
      <c r="H404" s="472"/>
      <c r="I404" s="472" t="s">
        <v>277</v>
      </c>
      <c r="J404" s="472" t="s">
        <v>528</v>
      </c>
      <c r="K404" s="472" t="s">
        <v>284</v>
      </c>
      <c r="L404" s="472" t="s">
        <v>592</v>
      </c>
      <c r="M404" s="472" t="s">
        <v>285</v>
      </c>
      <c r="N404" s="472"/>
      <c r="O404" s="472"/>
      <c r="P404" s="472" t="s">
        <v>528</v>
      </c>
      <c r="Q404" s="472"/>
      <c r="R404" s="473">
        <v>45538</v>
      </c>
      <c r="S404" s="472"/>
      <c r="T404" s="473">
        <v>45535</v>
      </c>
      <c r="U404" s="474">
        <v>0</v>
      </c>
      <c r="V404" s="475">
        <v>41.07</v>
      </c>
      <c r="W404" s="260">
        <v>45505</v>
      </c>
    </row>
    <row r="405" spans="1:23" hidden="1" x14ac:dyDescent="0.35">
      <c r="A405" s="472" t="s">
        <v>526</v>
      </c>
      <c r="B405" s="472" t="s">
        <v>159</v>
      </c>
      <c r="C405" s="472" t="s">
        <v>302</v>
      </c>
      <c r="D405" s="472" t="s">
        <v>342</v>
      </c>
      <c r="E405" s="472" t="s">
        <v>291</v>
      </c>
      <c r="F405" s="472" t="s">
        <v>276</v>
      </c>
      <c r="G405" s="472" t="s">
        <v>527</v>
      </c>
      <c r="H405" s="472"/>
      <c r="I405" s="472" t="s">
        <v>277</v>
      </c>
      <c r="J405" s="472" t="s">
        <v>528</v>
      </c>
      <c r="K405" s="472" t="s">
        <v>303</v>
      </c>
      <c r="L405" s="472" t="s">
        <v>592</v>
      </c>
      <c r="M405" s="472" t="s">
        <v>285</v>
      </c>
      <c r="N405" s="472"/>
      <c r="O405" s="472"/>
      <c r="P405" s="472" t="s">
        <v>528</v>
      </c>
      <c r="Q405" s="472"/>
      <c r="R405" s="473">
        <v>45539</v>
      </c>
      <c r="S405" s="472"/>
      <c r="T405" s="473">
        <v>45535</v>
      </c>
      <c r="U405" s="474">
        <v>0</v>
      </c>
      <c r="V405" s="475">
        <v>28.08</v>
      </c>
      <c r="W405" s="260">
        <v>45505</v>
      </c>
    </row>
    <row r="406" spans="1:23" hidden="1" x14ac:dyDescent="0.35">
      <c r="A406" s="472" t="s">
        <v>526</v>
      </c>
      <c r="B406" s="472" t="s">
        <v>159</v>
      </c>
      <c r="C406" s="472" t="s">
        <v>302</v>
      </c>
      <c r="D406" s="472" t="s">
        <v>342</v>
      </c>
      <c r="E406" s="472" t="s">
        <v>291</v>
      </c>
      <c r="F406" s="472" t="s">
        <v>276</v>
      </c>
      <c r="G406" s="472" t="s">
        <v>527</v>
      </c>
      <c r="H406" s="472"/>
      <c r="I406" s="472" t="s">
        <v>277</v>
      </c>
      <c r="J406" s="472" t="s">
        <v>528</v>
      </c>
      <c r="K406" s="472" t="s">
        <v>303</v>
      </c>
      <c r="L406" s="472" t="s">
        <v>592</v>
      </c>
      <c r="M406" s="472" t="s">
        <v>285</v>
      </c>
      <c r="N406" s="472"/>
      <c r="O406" s="472"/>
      <c r="P406" s="472" t="s">
        <v>528</v>
      </c>
      <c r="Q406" s="472"/>
      <c r="R406" s="473">
        <v>45539</v>
      </c>
      <c r="S406" s="472"/>
      <c r="T406" s="473">
        <v>45535</v>
      </c>
      <c r="U406" s="474">
        <v>0</v>
      </c>
      <c r="V406" s="475">
        <v>3.13</v>
      </c>
      <c r="W406" s="260">
        <v>45505</v>
      </c>
    </row>
    <row r="407" spans="1:23" hidden="1" x14ac:dyDescent="0.35">
      <c r="A407" s="472" t="s">
        <v>526</v>
      </c>
      <c r="B407" s="472" t="s">
        <v>159</v>
      </c>
      <c r="C407" s="472" t="s">
        <v>281</v>
      </c>
      <c r="D407" s="472" t="s">
        <v>343</v>
      </c>
      <c r="E407" s="472" t="s">
        <v>293</v>
      </c>
      <c r="F407" s="472" t="s">
        <v>276</v>
      </c>
      <c r="G407" s="472" t="s">
        <v>527</v>
      </c>
      <c r="H407" s="472"/>
      <c r="I407" s="472" t="s">
        <v>277</v>
      </c>
      <c r="J407" s="472" t="s">
        <v>528</v>
      </c>
      <c r="K407" s="472" t="s">
        <v>294</v>
      </c>
      <c r="L407" s="472" t="s">
        <v>592</v>
      </c>
      <c r="M407" s="472" t="s">
        <v>285</v>
      </c>
      <c r="N407" s="472"/>
      <c r="O407" s="472"/>
      <c r="P407" s="472" t="s">
        <v>528</v>
      </c>
      <c r="Q407" s="472"/>
      <c r="R407" s="473">
        <v>45538</v>
      </c>
      <c r="S407" s="472"/>
      <c r="T407" s="473">
        <v>45535</v>
      </c>
      <c r="U407" s="474">
        <v>0</v>
      </c>
      <c r="V407" s="475">
        <v>264.95</v>
      </c>
      <c r="W407" s="260">
        <v>45505</v>
      </c>
    </row>
    <row r="408" spans="1:23" hidden="1" x14ac:dyDescent="0.35">
      <c r="A408" s="472" t="s">
        <v>526</v>
      </c>
      <c r="B408" s="472" t="s">
        <v>159</v>
      </c>
      <c r="C408" s="472" t="s">
        <v>281</v>
      </c>
      <c r="D408" s="472" t="s">
        <v>343</v>
      </c>
      <c r="E408" s="472" t="s">
        <v>293</v>
      </c>
      <c r="F408" s="472" t="s">
        <v>276</v>
      </c>
      <c r="G408" s="472" t="s">
        <v>527</v>
      </c>
      <c r="H408" s="472"/>
      <c r="I408" s="472" t="s">
        <v>277</v>
      </c>
      <c r="J408" s="472" t="s">
        <v>528</v>
      </c>
      <c r="K408" s="472" t="s">
        <v>294</v>
      </c>
      <c r="L408" s="472" t="s">
        <v>592</v>
      </c>
      <c r="M408" s="472" t="s">
        <v>285</v>
      </c>
      <c r="N408" s="472"/>
      <c r="O408" s="472"/>
      <c r="P408" s="472" t="s">
        <v>528</v>
      </c>
      <c r="Q408" s="472"/>
      <c r="R408" s="473">
        <v>45538</v>
      </c>
      <c r="S408" s="472"/>
      <c r="T408" s="473">
        <v>45535</v>
      </c>
      <c r="U408" s="474">
        <v>0</v>
      </c>
      <c r="V408" s="475">
        <v>-264.95</v>
      </c>
      <c r="W408" s="260">
        <v>45505</v>
      </c>
    </row>
    <row r="409" spans="1:23" hidden="1" x14ac:dyDescent="0.35">
      <c r="A409" s="472" t="s">
        <v>526</v>
      </c>
      <c r="B409" s="472" t="s">
        <v>159</v>
      </c>
      <c r="C409" s="472" t="s">
        <v>281</v>
      </c>
      <c r="D409" s="472" t="s">
        <v>343</v>
      </c>
      <c r="E409" s="472" t="s">
        <v>293</v>
      </c>
      <c r="F409" s="472" t="s">
        <v>276</v>
      </c>
      <c r="G409" s="472" t="s">
        <v>527</v>
      </c>
      <c r="H409" s="472"/>
      <c r="I409" s="472" t="s">
        <v>277</v>
      </c>
      <c r="J409" s="472" t="s">
        <v>528</v>
      </c>
      <c r="K409" s="472" t="s">
        <v>294</v>
      </c>
      <c r="L409" s="472" t="s">
        <v>592</v>
      </c>
      <c r="M409" s="472" t="s">
        <v>285</v>
      </c>
      <c r="N409" s="472"/>
      <c r="O409" s="472"/>
      <c r="P409" s="472" t="s">
        <v>528</v>
      </c>
      <c r="Q409" s="472"/>
      <c r="R409" s="473">
        <v>45538</v>
      </c>
      <c r="S409" s="472"/>
      <c r="T409" s="473">
        <v>45535</v>
      </c>
      <c r="U409" s="474">
        <v>0</v>
      </c>
      <c r="V409" s="475">
        <v>264.95</v>
      </c>
      <c r="W409" s="260">
        <v>45505</v>
      </c>
    </row>
    <row r="410" spans="1:23" hidden="1" x14ac:dyDescent="0.35">
      <c r="A410" s="472" t="s">
        <v>526</v>
      </c>
      <c r="B410" s="472" t="s">
        <v>159</v>
      </c>
      <c r="C410" s="472" t="s">
        <v>302</v>
      </c>
      <c r="D410" s="472" t="s">
        <v>343</v>
      </c>
      <c r="E410" s="472" t="s">
        <v>293</v>
      </c>
      <c r="F410" s="472" t="s">
        <v>276</v>
      </c>
      <c r="G410" s="472" t="s">
        <v>527</v>
      </c>
      <c r="H410" s="472"/>
      <c r="I410" s="472" t="s">
        <v>277</v>
      </c>
      <c r="J410" s="472" t="s">
        <v>528</v>
      </c>
      <c r="K410" s="472" t="s">
        <v>303</v>
      </c>
      <c r="L410" s="472" t="s">
        <v>592</v>
      </c>
      <c r="M410" s="472" t="s">
        <v>285</v>
      </c>
      <c r="N410" s="472"/>
      <c r="O410" s="472"/>
      <c r="P410" s="472" t="s">
        <v>528</v>
      </c>
      <c r="Q410" s="472"/>
      <c r="R410" s="473">
        <v>45539</v>
      </c>
      <c r="S410" s="472"/>
      <c r="T410" s="473">
        <v>45535</v>
      </c>
      <c r="U410" s="474">
        <v>0</v>
      </c>
      <c r="V410" s="475">
        <v>39.81</v>
      </c>
      <c r="W410" s="260">
        <v>45505</v>
      </c>
    </row>
    <row r="411" spans="1:23" hidden="1" x14ac:dyDescent="0.35">
      <c r="A411" s="472" t="s">
        <v>526</v>
      </c>
      <c r="B411" s="472" t="s">
        <v>159</v>
      </c>
      <c r="C411" s="472" t="s">
        <v>302</v>
      </c>
      <c r="D411" s="472" t="s">
        <v>343</v>
      </c>
      <c r="E411" s="472" t="s">
        <v>293</v>
      </c>
      <c r="F411" s="472" t="s">
        <v>276</v>
      </c>
      <c r="G411" s="472" t="s">
        <v>527</v>
      </c>
      <c r="H411" s="472"/>
      <c r="I411" s="472" t="s">
        <v>277</v>
      </c>
      <c r="J411" s="472" t="s">
        <v>528</v>
      </c>
      <c r="K411" s="472" t="s">
        <v>303</v>
      </c>
      <c r="L411" s="472" t="s">
        <v>592</v>
      </c>
      <c r="M411" s="472" t="s">
        <v>285</v>
      </c>
      <c r="N411" s="472"/>
      <c r="O411" s="472"/>
      <c r="P411" s="472" t="s">
        <v>528</v>
      </c>
      <c r="Q411" s="472"/>
      <c r="R411" s="473">
        <v>45539</v>
      </c>
      <c r="S411" s="472"/>
      <c r="T411" s="473">
        <v>45535</v>
      </c>
      <c r="U411" s="474">
        <v>0</v>
      </c>
      <c r="V411" s="475">
        <v>20.22</v>
      </c>
      <c r="W411" s="260">
        <v>45505</v>
      </c>
    </row>
    <row r="412" spans="1:23" hidden="1" x14ac:dyDescent="0.35">
      <c r="A412" s="472" t="s">
        <v>526</v>
      </c>
      <c r="B412" s="472" t="s">
        <v>159</v>
      </c>
      <c r="C412" s="472" t="s">
        <v>286</v>
      </c>
      <c r="D412" s="472" t="s">
        <v>344</v>
      </c>
      <c r="E412" s="472" t="s">
        <v>296</v>
      </c>
      <c r="F412" s="472" t="s">
        <v>276</v>
      </c>
      <c r="G412" s="472" t="s">
        <v>527</v>
      </c>
      <c r="H412" s="472"/>
      <c r="I412" s="472" t="s">
        <v>277</v>
      </c>
      <c r="J412" s="472" t="s">
        <v>528</v>
      </c>
      <c r="K412" s="472" t="s">
        <v>297</v>
      </c>
      <c r="L412" s="472" t="s">
        <v>592</v>
      </c>
      <c r="M412" s="472" t="s">
        <v>285</v>
      </c>
      <c r="N412" s="472"/>
      <c r="O412" s="472"/>
      <c r="P412" s="472" t="s">
        <v>528</v>
      </c>
      <c r="Q412" s="472"/>
      <c r="R412" s="473">
        <v>45538</v>
      </c>
      <c r="S412" s="472"/>
      <c r="T412" s="473">
        <v>45535</v>
      </c>
      <c r="U412" s="474">
        <v>0</v>
      </c>
      <c r="V412" s="475">
        <v>370.07</v>
      </c>
      <c r="W412" s="260">
        <v>45505</v>
      </c>
    </row>
    <row r="413" spans="1:23" hidden="1" x14ac:dyDescent="0.35">
      <c r="A413" s="472" t="s">
        <v>526</v>
      </c>
      <c r="B413" s="472" t="s">
        <v>159</v>
      </c>
      <c r="C413" s="472" t="s">
        <v>286</v>
      </c>
      <c r="D413" s="472" t="s">
        <v>344</v>
      </c>
      <c r="E413" s="472" t="s">
        <v>296</v>
      </c>
      <c r="F413" s="472" t="s">
        <v>276</v>
      </c>
      <c r="G413" s="472" t="s">
        <v>527</v>
      </c>
      <c r="H413" s="472"/>
      <c r="I413" s="472" t="s">
        <v>277</v>
      </c>
      <c r="J413" s="472" t="s">
        <v>528</v>
      </c>
      <c r="K413" s="472" t="s">
        <v>297</v>
      </c>
      <c r="L413" s="472" t="s">
        <v>592</v>
      </c>
      <c r="M413" s="472" t="s">
        <v>285</v>
      </c>
      <c r="N413" s="472"/>
      <c r="O413" s="472"/>
      <c r="P413" s="472" t="s">
        <v>528</v>
      </c>
      <c r="Q413" s="472"/>
      <c r="R413" s="473">
        <v>45538</v>
      </c>
      <c r="S413" s="472"/>
      <c r="T413" s="473">
        <v>45535</v>
      </c>
      <c r="U413" s="474">
        <v>0</v>
      </c>
      <c r="V413" s="475">
        <v>-370.07</v>
      </c>
      <c r="W413" s="260">
        <v>45505</v>
      </c>
    </row>
    <row r="414" spans="1:23" hidden="1" x14ac:dyDescent="0.35">
      <c r="A414" s="472" t="s">
        <v>526</v>
      </c>
      <c r="B414" s="472" t="s">
        <v>159</v>
      </c>
      <c r="C414" s="472" t="s">
        <v>286</v>
      </c>
      <c r="D414" s="472" t="s">
        <v>344</v>
      </c>
      <c r="E414" s="472" t="s">
        <v>296</v>
      </c>
      <c r="F414" s="472" t="s">
        <v>276</v>
      </c>
      <c r="G414" s="472" t="s">
        <v>527</v>
      </c>
      <c r="H414" s="472"/>
      <c r="I414" s="472" t="s">
        <v>277</v>
      </c>
      <c r="J414" s="472" t="s">
        <v>528</v>
      </c>
      <c r="K414" s="472" t="s">
        <v>297</v>
      </c>
      <c r="L414" s="472" t="s">
        <v>592</v>
      </c>
      <c r="M414" s="472" t="s">
        <v>285</v>
      </c>
      <c r="N414" s="472"/>
      <c r="O414" s="472"/>
      <c r="P414" s="472" t="s">
        <v>528</v>
      </c>
      <c r="Q414" s="472"/>
      <c r="R414" s="473">
        <v>45538</v>
      </c>
      <c r="S414" s="472"/>
      <c r="T414" s="473">
        <v>45535</v>
      </c>
      <c r="U414" s="474">
        <v>0</v>
      </c>
      <c r="V414" s="475">
        <v>370.07</v>
      </c>
      <c r="W414" s="260">
        <v>45505</v>
      </c>
    </row>
    <row r="415" spans="1:23" hidden="1" x14ac:dyDescent="0.35">
      <c r="A415" s="472" t="s">
        <v>526</v>
      </c>
      <c r="B415" s="472" t="s">
        <v>159</v>
      </c>
      <c r="C415" s="472" t="s">
        <v>302</v>
      </c>
      <c r="D415" s="472" t="s">
        <v>344</v>
      </c>
      <c r="E415" s="472" t="s">
        <v>296</v>
      </c>
      <c r="F415" s="472" t="s">
        <v>276</v>
      </c>
      <c r="G415" s="472" t="s">
        <v>527</v>
      </c>
      <c r="H415" s="472"/>
      <c r="I415" s="472" t="s">
        <v>277</v>
      </c>
      <c r="J415" s="472" t="s">
        <v>528</v>
      </c>
      <c r="K415" s="472" t="s">
        <v>303</v>
      </c>
      <c r="L415" s="472" t="s">
        <v>592</v>
      </c>
      <c r="M415" s="472" t="s">
        <v>285</v>
      </c>
      <c r="N415" s="472"/>
      <c r="O415" s="472"/>
      <c r="P415" s="472" t="s">
        <v>528</v>
      </c>
      <c r="Q415" s="472"/>
      <c r="R415" s="473">
        <v>45539</v>
      </c>
      <c r="S415" s="472"/>
      <c r="T415" s="473">
        <v>45535</v>
      </c>
      <c r="U415" s="474">
        <v>0</v>
      </c>
      <c r="V415" s="475">
        <v>50.16</v>
      </c>
      <c r="W415" s="260">
        <v>45505</v>
      </c>
    </row>
    <row r="416" spans="1:23" hidden="1" x14ac:dyDescent="0.35">
      <c r="A416" s="472" t="s">
        <v>526</v>
      </c>
      <c r="B416" s="472" t="s">
        <v>159</v>
      </c>
      <c r="C416" s="472" t="s">
        <v>302</v>
      </c>
      <c r="D416" s="472" t="s">
        <v>344</v>
      </c>
      <c r="E416" s="472" t="s">
        <v>296</v>
      </c>
      <c r="F416" s="472" t="s">
        <v>276</v>
      </c>
      <c r="G416" s="472" t="s">
        <v>527</v>
      </c>
      <c r="H416" s="472"/>
      <c r="I416" s="472" t="s">
        <v>277</v>
      </c>
      <c r="J416" s="472" t="s">
        <v>528</v>
      </c>
      <c r="K416" s="472" t="s">
        <v>303</v>
      </c>
      <c r="L416" s="472" t="s">
        <v>592</v>
      </c>
      <c r="M416" s="472" t="s">
        <v>285</v>
      </c>
      <c r="N416" s="472"/>
      <c r="O416" s="472"/>
      <c r="P416" s="472" t="s">
        <v>528</v>
      </c>
      <c r="Q416" s="472"/>
      <c r="R416" s="473">
        <v>45539</v>
      </c>
      <c r="S416" s="472"/>
      <c r="T416" s="473">
        <v>45535</v>
      </c>
      <c r="U416" s="474">
        <v>0</v>
      </c>
      <c r="V416" s="475">
        <v>28.24</v>
      </c>
      <c r="W416" s="260">
        <v>45505</v>
      </c>
    </row>
    <row r="417" spans="1:23" hidden="1" x14ac:dyDescent="0.35">
      <c r="A417" s="472" t="s">
        <v>526</v>
      </c>
      <c r="B417" s="472" t="s">
        <v>159</v>
      </c>
      <c r="C417" s="472" t="s">
        <v>302</v>
      </c>
      <c r="D417" s="472" t="s">
        <v>345</v>
      </c>
      <c r="E417" s="472" t="s">
        <v>346</v>
      </c>
      <c r="F417" s="472" t="s">
        <v>276</v>
      </c>
      <c r="G417" s="472" t="s">
        <v>527</v>
      </c>
      <c r="H417" s="472"/>
      <c r="I417" s="472" t="s">
        <v>277</v>
      </c>
      <c r="J417" s="472" t="s">
        <v>528</v>
      </c>
      <c r="K417" s="472" t="s">
        <v>303</v>
      </c>
      <c r="L417" s="472" t="s">
        <v>592</v>
      </c>
      <c r="M417" s="472" t="s">
        <v>285</v>
      </c>
      <c r="N417" s="472"/>
      <c r="O417" s="472"/>
      <c r="P417" s="472" t="s">
        <v>528</v>
      </c>
      <c r="Q417" s="472"/>
      <c r="R417" s="473">
        <v>45539</v>
      </c>
      <c r="S417" s="472"/>
      <c r="T417" s="473">
        <v>45535</v>
      </c>
      <c r="U417" s="474">
        <v>0</v>
      </c>
      <c r="V417" s="475">
        <v>-0.01</v>
      </c>
      <c r="W417" s="260">
        <v>45505</v>
      </c>
    </row>
    <row r="418" spans="1:23" hidden="1" x14ac:dyDescent="0.35">
      <c r="A418" s="472" t="s">
        <v>526</v>
      </c>
      <c r="B418" s="472" t="s">
        <v>159</v>
      </c>
      <c r="C418" s="472" t="s">
        <v>302</v>
      </c>
      <c r="D418" s="472" t="s">
        <v>347</v>
      </c>
      <c r="E418" s="472" t="s">
        <v>348</v>
      </c>
      <c r="F418" s="472" t="s">
        <v>276</v>
      </c>
      <c r="G418" s="472" t="s">
        <v>527</v>
      </c>
      <c r="H418" s="472"/>
      <c r="I418" s="472" t="s">
        <v>277</v>
      </c>
      <c r="J418" s="472" t="s">
        <v>528</v>
      </c>
      <c r="K418" s="472" t="s">
        <v>303</v>
      </c>
      <c r="L418" s="472" t="s">
        <v>592</v>
      </c>
      <c r="M418" s="472" t="s">
        <v>285</v>
      </c>
      <c r="N418" s="472"/>
      <c r="O418" s="472"/>
      <c r="P418" s="472" t="s">
        <v>528</v>
      </c>
      <c r="Q418" s="472"/>
      <c r="R418" s="473">
        <v>45539</v>
      </c>
      <c r="S418" s="472"/>
      <c r="T418" s="473">
        <v>45535</v>
      </c>
      <c r="U418" s="474">
        <v>0</v>
      </c>
      <c r="V418" s="475">
        <v>0.37</v>
      </c>
      <c r="W418" s="260">
        <v>45505</v>
      </c>
    </row>
    <row r="419" spans="1:23" hidden="1" x14ac:dyDescent="0.35">
      <c r="A419" s="472" t="s">
        <v>526</v>
      </c>
      <c r="B419" s="472" t="s">
        <v>159</v>
      </c>
      <c r="C419" s="472" t="s">
        <v>302</v>
      </c>
      <c r="D419" s="472" t="s">
        <v>349</v>
      </c>
      <c r="E419" s="472" t="s">
        <v>350</v>
      </c>
      <c r="F419" s="472" t="s">
        <v>276</v>
      </c>
      <c r="G419" s="472" t="s">
        <v>527</v>
      </c>
      <c r="H419" s="472"/>
      <c r="I419" s="472" t="s">
        <v>277</v>
      </c>
      <c r="J419" s="472" t="s">
        <v>528</v>
      </c>
      <c r="K419" s="472" t="s">
        <v>303</v>
      </c>
      <c r="L419" s="472" t="s">
        <v>592</v>
      </c>
      <c r="M419" s="472" t="s">
        <v>285</v>
      </c>
      <c r="N419" s="472"/>
      <c r="O419" s="472"/>
      <c r="P419" s="472" t="s">
        <v>528</v>
      </c>
      <c r="Q419" s="472"/>
      <c r="R419" s="473">
        <v>45539</v>
      </c>
      <c r="S419" s="472"/>
      <c r="T419" s="473">
        <v>45535</v>
      </c>
      <c r="U419" s="474">
        <v>0</v>
      </c>
      <c r="V419" s="475">
        <v>0.04</v>
      </c>
      <c r="W419" s="260">
        <v>45505</v>
      </c>
    </row>
    <row r="420" spans="1:23" hidden="1" x14ac:dyDescent="0.35">
      <c r="A420" s="472" t="s">
        <v>526</v>
      </c>
      <c r="B420" s="472" t="s">
        <v>159</v>
      </c>
      <c r="C420" s="472" t="s">
        <v>302</v>
      </c>
      <c r="D420" s="472" t="s">
        <v>351</v>
      </c>
      <c r="E420" s="472" t="s">
        <v>352</v>
      </c>
      <c r="F420" s="472" t="s">
        <v>276</v>
      </c>
      <c r="G420" s="472" t="s">
        <v>527</v>
      </c>
      <c r="H420" s="472"/>
      <c r="I420" s="472" t="s">
        <v>277</v>
      </c>
      <c r="J420" s="472" t="s">
        <v>528</v>
      </c>
      <c r="K420" s="472" t="s">
        <v>303</v>
      </c>
      <c r="L420" s="472" t="s">
        <v>592</v>
      </c>
      <c r="M420" s="472" t="s">
        <v>285</v>
      </c>
      <c r="N420" s="472"/>
      <c r="O420" s="472"/>
      <c r="P420" s="472" t="s">
        <v>528</v>
      </c>
      <c r="Q420" s="472"/>
      <c r="R420" s="473">
        <v>45539</v>
      </c>
      <c r="S420" s="472"/>
      <c r="T420" s="473">
        <v>45535</v>
      </c>
      <c r="U420" s="474">
        <v>0</v>
      </c>
      <c r="V420" s="475">
        <v>0.16</v>
      </c>
      <c r="W420" s="260">
        <v>45505</v>
      </c>
    </row>
    <row r="421" spans="1:23" hidden="1" x14ac:dyDescent="0.35">
      <c r="A421" s="472" t="s">
        <v>526</v>
      </c>
      <c r="B421" s="472" t="s">
        <v>159</v>
      </c>
      <c r="C421" s="472" t="s">
        <v>302</v>
      </c>
      <c r="D421" s="472" t="s">
        <v>354</v>
      </c>
      <c r="E421" s="472" t="s">
        <v>355</v>
      </c>
      <c r="F421" s="472" t="s">
        <v>276</v>
      </c>
      <c r="G421" s="472" t="s">
        <v>527</v>
      </c>
      <c r="H421" s="472"/>
      <c r="I421" s="472" t="s">
        <v>277</v>
      </c>
      <c r="J421" s="472" t="s">
        <v>528</v>
      </c>
      <c r="K421" s="472" t="s">
        <v>303</v>
      </c>
      <c r="L421" s="472" t="s">
        <v>592</v>
      </c>
      <c r="M421" s="472" t="s">
        <v>285</v>
      </c>
      <c r="N421" s="472"/>
      <c r="O421" s="472"/>
      <c r="P421" s="472" t="s">
        <v>528</v>
      </c>
      <c r="Q421" s="472"/>
      <c r="R421" s="473">
        <v>45539</v>
      </c>
      <c r="S421" s="472"/>
      <c r="T421" s="473">
        <v>45535</v>
      </c>
      <c r="U421" s="474">
        <v>0</v>
      </c>
      <c r="V421" s="475">
        <v>0.01</v>
      </c>
      <c r="W421" s="260">
        <v>45505</v>
      </c>
    </row>
    <row r="422" spans="1:23" hidden="1" x14ac:dyDescent="0.35">
      <c r="A422" s="472" t="s">
        <v>526</v>
      </c>
      <c r="B422" s="472" t="s">
        <v>159</v>
      </c>
      <c r="C422" s="472" t="s">
        <v>542</v>
      </c>
      <c r="D422" s="472" t="s">
        <v>560</v>
      </c>
      <c r="E422" s="472" t="s">
        <v>544</v>
      </c>
      <c r="F422" s="472" t="s">
        <v>276</v>
      </c>
      <c r="G422" s="472" t="s">
        <v>527</v>
      </c>
      <c r="H422" s="472"/>
      <c r="I422" s="472" t="s">
        <v>277</v>
      </c>
      <c r="J422" s="472" t="s">
        <v>528</v>
      </c>
      <c r="K422" s="472" t="s">
        <v>545</v>
      </c>
      <c r="L422" s="472" t="s">
        <v>592</v>
      </c>
      <c r="M422" s="472" t="s">
        <v>285</v>
      </c>
      <c r="N422" s="472"/>
      <c r="O422" s="472"/>
      <c r="P422" s="472" t="s">
        <v>528</v>
      </c>
      <c r="Q422" s="472"/>
      <c r="R422" s="473">
        <v>45538</v>
      </c>
      <c r="S422" s="472"/>
      <c r="T422" s="473">
        <v>45535</v>
      </c>
      <c r="U422" s="474">
        <v>0</v>
      </c>
      <c r="V422" s="475">
        <v>1.86</v>
      </c>
      <c r="W422" s="260">
        <v>45505</v>
      </c>
    </row>
    <row r="423" spans="1:23" hidden="1" x14ac:dyDescent="0.35">
      <c r="A423" s="472" t="s">
        <v>526</v>
      </c>
      <c r="B423" s="472" t="s">
        <v>159</v>
      </c>
      <c r="C423" s="472" t="s">
        <v>542</v>
      </c>
      <c r="D423" s="472" t="s">
        <v>560</v>
      </c>
      <c r="E423" s="472" t="s">
        <v>544</v>
      </c>
      <c r="F423" s="472" t="s">
        <v>276</v>
      </c>
      <c r="G423" s="472" t="s">
        <v>527</v>
      </c>
      <c r="H423" s="472"/>
      <c r="I423" s="472" t="s">
        <v>277</v>
      </c>
      <c r="J423" s="472" t="s">
        <v>528</v>
      </c>
      <c r="K423" s="472" t="s">
        <v>545</v>
      </c>
      <c r="L423" s="472" t="s">
        <v>592</v>
      </c>
      <c r="M423" s="472" t="s">
        <v>285</v>
      </c>
      <c r="N423" s="472"/>
      <c r="O423" s="472"/>
      <c r="P423" s="472" t="s">
        <v>528</v>
      </c>
      <c r="Q423" s="472"/>
      <c r="R423" s="473">
        <v>45538</v>
      </c>
      <c r="S423" s="472"/>
      <c r="T423" s="473">
        <v>45535</v>
      </c>
      <c r="U423" s="474">
        <v>0</v>
      </c>
      <c r="V423" s="475">
        <v>-1.86</v>
      </c>
      <c r="W423" s="260">
        <v>45505</v>
      </c>
    </row>
    <row r="424" spans="1:23" hidden="1" x14ac:dyDescent="0.35">
      <c r="A424" s="472" t="s">
        <v>526</v>
      </c>
      <c r="B424" s="472" t="s">
        <v>159</v>
      </c>
      <c r="C424" s="472" t="s">
        <v>542</v>
      </c>
      <c r="D424" s="472" t="s">
        <v>560</v>
      </c>
      <c r="E424" s="472" t="s">
        <v>544</v>
      </c>
      <c r="F424" s="472" t="s">
        <v>276</v>
      </c>
      <c r="G424" s="472" t="s">
        <v>527</v>
      </c>
      <c r="H424" s="472"/>
      <c r="I424" s="472" t="s">
        <v>277</v>
      </c>
      <c r="J424" s="472" t="s">
        <v>528</v>
      </c>
      <c r="K424" s="472" t="s">
        <v>545</v>
      </c>
      <c r="L424" s="472" t="s">
        <v>592</v>
      </c>
      <c r="M424" s="472" t="s">
        <v>285</v>
      </c>
      <c r="N424" s="472"/>
      <c r="O424" s="472"/>
      <c r="P424" s="472" t="s">
        <v>528</v>
      </c>
      <c r="Q424" s="472"/>
      <c r="R424" s="473">
        <v>45538</v>
      </c>
      <c r="S424" s="472"/>
      <c r="T424" s="473">
        <v>45535</v>
      </c>
      <c r="U424" s="474">
        <v>0</v>
      </c>
      <c r="V424" s="475">
        <v>1.86</v>
      </c>
      <c r="W424" s="260">
        <v>45505</v>
      </c>
    </row>
    <row r="425" spans="1:23" hidden="1" x14ac:dyDescent="0.35">
      <c r="A425" s="472" t="s">
        <v>526</v>
      </c>
      <c r="B425" s="472" t="s">
        <v>159</v>
      </c>
      <c r="C425" s="472" t="s">
        <v>546</v>
      </c>
      <c r="D425" s="472" t="s">
        <v>561</v>
      </c>
      <c r="E425" s="472" t="s">
        <v>548</v>
      </c>
      <c r="F425" s="472" t="s">
        <v>276</v>
      </c>
      <c r="G425" s="472" t="s">
        <v>527</v>
      </c>
      <c r="H425" s="472"/>
      <c r="I425" s="472" t="s">
        <v>277</v>
      </c>
      <c r="J425" s="472" t="s">
        <v>528</v>
      </c>
      <c r="K425" s="472" t="s">
        <v>549</v>
      </c>
      <c r="L425" s="472" t="s">
        <v>592</v>
      </c>
      <c r="M425" s="472" t="s">
        <v>285</v>
      </c>
      <c r="N425" s="472"/>
      <c r="O425" s="472"/>
      <c r="P425" s="472" t="s">
        <v>528</v>
      </c>
      <c r="Q425" s="472"/>
      <c r="R425" s="473">
        <v>45538</v>
      </c>
      <c r="S425" s="472"/>
      <c r="T425" s="473">
        <v>45535</v>
      </c>
      <c r="U425" s="474">
        <v>0</v>
      </c>
      <c r="V425" s="475">
        <v>10.18</v>
      </c>
      <c r="W425" s="260">
        <v>45505</v>
      </c>
    </row>
    <row r="426" spans="1:23" hidden="1" x14ac:dyDescent="0.35">
      <c r="A426" s="472" t="s">
        <v>526</v>
      </c>
      <c r="B426" s="472" t="s">
        <v>159</v>
      </c>
      <c r="C426" s="472" t="s">
        <v>546</v>
      </c>
      <c r="D426" s="472" t="s">
        <v>561</v>
      </c>
      <c r="E426" s="472" t="s">
        <v>548</v>
      </c>
      <c r="F426" s="472" t="s">
        <v>276</v>
      </c>
      <c r="G426" s="472" t="s">
        <v>527</v>
      </c>
      <c r="H426" s="472"/>
      <c r="I426" s="472" t="s">
        <v>277</v>
      </c>
      <c r="J426" s="472" t="s">
        <v>528</v>
      </c>
      <c r="K426" s="472" t="s">
        <v>549</v>
      </c>
      <c r="L426" s="472" t="s">
        <v>592</v>
      </c>
      <c r="M426" s="472" t="s">
        <v>285</v>
      </c>
      <c r="N426" s="472"/>
      <c r="O426" s="472"/>
      <c r="P426" s="472" t="s">
        <v>528</v>
      </c>
      <c r="Q426" s="472"/>
      <c r="R426" s="473">
        <v>45538</v>
      </c>
      <c r="S426" s="472"/>
      <c r="T426" s="473">
        <v>45535</v>
      </c>
      <c r="U426" s="474">
        <v>0</v>
      </c>
      <c r="V426" s="475">
        <v>-10.18</v>
      </c>
      <c r="W426" s="260">
        <v>45505</v>
      </c>
    </row>
    <row r="427" spans="1:23" hidden="1" x14ac:dyDescent="0.35">
      <c r="A427" s="472" t="s">
        <v>526</v>
      </c>
      <c r="B427" s="472" t="s">
        <v>159</v>
      </c>
      <c r="C427" s="472" t="s">
        <v>546</v>
      </c>
      <c r="D427" s="472" t="s">
        <v>561</v>
      </c>
      <c r="E427" s="472" t="s">
        <v>548</v>
      </c>
      <c r="F427" s="472" t="s">
        <v>276</v>
      </c>
      <c r="G427" s="472" t="s">
        <v>527</v>
      </c>
      <c r="H427" s="472"/>
      <c r="I427" s="472" t="s">
        <v>277</v>
      </c>
      <c r="J427" s="472" t="s">
        <v>528</v>
      </c>
      <c r="K427" s="472" t="s">
        <v>549</v>
      </c>
      <c r="L427" s="472" t="s">
        <v>592</v>
      </c>
      <c r="M427" s="472" t="s">
        <v>285</v>
      </c>
      <c r="N427" s="472"/>
      <c r="O427" s="472"/>
      <c r="P427" s="472" t="s">
        <v>528</v>
      </c>
      <c r="Q427" s="472"/>
      <c r="R427" s="473">
        <v>45538</v>
      </c>
      <c r="S427" s="472"/>
      <c r="T427" s="473">
        <v>45535</v>
      </c>
      <c r="U427" s="474">
        <v>0</v>
      </c>
      <c r="V427" s="475">
        <v>10.18</v>
      </c>
      <c r="W427" s="260">
        <v>45505</v>
      </c>
    </row>
    <row r="428" spans="1:23" hidden="1" x14ac:dyDescent="0.35">
      <c r="A428" s="472" t="s">
        <v>526</v>
      </c>
      <c r="B428" s="472" t="s">
        <v>159</v>
      </c>
      <c r="C428" s="472" t="s">
        <v>542</v>
      </c>
      <c r="D428" s="472" t="s">
        <v>562</v>
      </c>
      <c r="E428" s="472" t="s">
        <v>551</v>
      </c>
      <c r="F428" s="472" t="s">
        <v>276</v>
      </c>
      <c r="G428" s="472" t="s">
        <v>527</v>
      </c>
      <c r="H428" s="472"/>
      <c r="I428" s="472" t="s">
        <v>277</v>
      </c>
      <c r="J428" s="472" t="s">
        <v>528</v>
      </c>
      <c r="K428" s="472" t="s">
        <v>545</v>
      </c>
      <c r="L428" s="472" t="s">
        <v>592</v>
      </c>
      <c r="M428" s="472" t="s">
        <v>285</v>
      </c>
      <c r="N428" s="472"/>
      <c r="O428" s="472"/>
      <c r="P428" s="472" t="s">
        <v>528</v>
      </c>
      <c r="Q428" s="472"/>
      <c r="R428" s="473">
        <v>45538</v>
      </c>
      <c r="S428" s="472"/>
      <c r="T428" s="473">
        <v>45535</v>
      </c>
      <c r="U428" s="474">
        <v>0</v>
      </c>
      <c r="V428" s="475">
        <v>-0.2</v>
      </c>
      <c r="W428" s="260">
        <v>45505</v>
      </c>
    </row>
    <row r="429" spans="1:23" hidden="1" x14ac:dyDescent="0.35">
      <c r="A429" s="472" t="s">
        <v>526</v>
      </c>
      <c r="B429" s="472" t="s">
        <v>159</v>
      </c>
      <c r="C429" s="472" t="s">
        <v>542</v>
      </c>
      <c r="D429" s="472" t="s">
        <v>562</v>
      </c>
      <c r="E429" s="472" t="s">
        <v>551</v>
      </c>
      <c r="F429" s="472" t="s">
        <v>276</v>
      </c>
      <c r="G429" s="472" t="s">
        <v>527</v>
      </c>
      <c r="H429" s="472"/>
      <c r="I429" s="472" t="s">
        <v>277</v>
      </c>
      <c r="J429" s="472" t="s">
        <v>528</v>
      </c>
      <c r="K429" s="472" t="s">
        <v>545</v>
      </c>
      <c r="L429" s="472" t="s">
        <v>592</v>
      </c>
      <c r="M429" s="472" t="s">
        <v>285</v>
      </c>
      <c r="N429" s="472"/>
      <c r="O429" s="472"/>
      <c r="P429" s="472" t="s">
        <v>528</v>
      </c>
      <c r="Q429" s="472"/>
      <c r="R429" s="473">
        <v>45538</v>
      </c>
      <c r="S429" s="472"/>
      <c r="T429" s="473">
        <v>45535</v>
      </c>
      <c r="U429" s="474">
        <v>0</v>
      </c>
      <c r="V429" s="475">
        <v>0.2</v>
      </c>
      <c r="W429" s="260">
        <v>45505</v>
      </c>
    </row>
    <row r="430" spans="1:23" hidden="1" x14ac:dyDescent="0.35">
      <c r="A430" s="472" t="s">
        <v>526</v>
      </c>
      <c r="B430" s="472" t="s">
        <v>159</v>
      </c>
      <c r="C430" s="472" t="s">
        <v>542</v>
      </c>
      <c r="D430" s="472" t="s">
        <v>562</v>
      </c>
      <c r="E430" s="472" t="s">
        <v>551</v>
      </c>
      <c r="F430" s="472" t="s">
        <v>276</v>
      </c>
      <c r="G430" s="472" t="s">
        <v>527</v>
      </c>
      <c r="H430" s="472"/>
      <c r="I430" s="472" t="s">
        <v>277</v>
      </c>
      <c r="J430" s="472" t="s">
        <v>528</v>
      </c>
      <c r="K430" s="472" t="s">
        <v>545</v>
      </c>
      <c r="L430" s="472" t="s">
        <v>592</v>
      </c>
      <c r="M430" s="472" t="s">
        <v>285</v>
      </c>
      <c r="N430" s="472"/>
      <c r="O430" s="472"/>
      <c r="P430" s="472" t="s">
        <v>528</v>
      </c>
      <c r="Q430" s="472"/>
      <c r="R430" s="473">
        <v>45538</v>
      </c>
      <c r="S430" s="472"/>
      <c r="T430" s="473">
        <v>45535</v>
      </c>
      <c r="U430" s="474">
        <v>0</v>
      </c>
      <c r="V430" s="475">
        <v>-0.2</v>
      </c>
      <c r="W430" s="260">
        <v>45505</v>
      </c>
    </row>
    <row r="431" spans="1:23" hidden="1" x14ac:dyDescent="0.35">
      <c r="A431" s="472" t="s">
        <v>526</v>
      </c>
      <c r="B431" s="472" t="s">
        <v>159</v>
      </c>
      <c r="C431" s="472" t="s">
        <v>542</v>
      </c>
      <c r="D431" s="472" t="s">
        <v>563</v>
      </c>
      <c r="E431" s="472" t="s">
        <v>553</v>
      </c>
      <c r="F431" s="472" t="s">
        <v>276</v>
      </c>
      <c r="G431" s="472" t="s">
        <v>527</v>
      </c>
      <c r="H431" s="472"/>
      <c r="I431" s="472" t="s">
        <v>277</v>
      </c>
      <c r="J431" s="472" t="s">
        <v>528</v>
      </c>
      <c r="K431" s="472" t="s">
        <v>554</v>
      </c>
      <c r="L431" s="472" t="s">
        <v>592</v>
      </c>
      <c r="M431" s="472" t="s">
        <v>285</v>
      </c>
      <c r="N431" s="472"/>
      <c r="O431" s="472"/>
      <c r="P431" s="472" t="s">
        <v>528</v>
      </c>
      <c r="Q431" s="472"/>
      <c r="R431" s="473">
        <v>45538</v>
      </c>
      <c r="S431" s="472"/>
      <c r="T431" s="473">
        <v>45535</v>
      </c>
      <c r="U431" s="474">
        <v>0</v>
      </c>
      <c r="V431" s="475">
        <v>6.94</v>
      </c>
      <c r="W431" s="260">
        <v>45505</v>
      </c>
    </row>
    <row r="432" spans="1:23" hidden="1" x14ac:dyDescent="0.35">
      <c r="A432" s="472" t="s">
        <v>526</v>
      </c>
      <c r="B432" s="472" t="s">
        <v>159</v>
      </c>
      <c r="C432" s="472" t="s">
        <v>542</v>
      </c>
      <c r="D432" s="472" t="s">
        <v>563</v>
      </c>
      <c r="E432" s="472" t="s">
        <v>553</v>
      </c>
      <c r="F432" s="472" t="s">
        <v>276</v>
      </c>
      <c r="G432" s="472" t="s">
        <v>527</v>
      </c>
      <c r="H432" s="472"/>
      <c r="I432" s="472" t="s">
        <v>277</v>
      </c>
      <c r="J432" s="472" t="s">
        <v>528</v>
      </c>
      <c r="K432" s="472" t="s">
        <v>554</v>
      </c>
      <c r="L432" s="472" t="s">
        <v>592</v>
      </c>
      <c r="M432" s="472" t="s">
        <v>285</v>
      </c>
      <c r="N432" s="472"/>
      <c r="O432" s="472"/>
      <c r="P432" s="472" t="s">
        <v>528</v>
      </c>
      <c r="Q432" s="472"/>
      <c r="R432" s="473">
        <v>45538</v>
      </c>
      <c r="S432" s="472"/>
      <c r="T432" s="473">
        <v>45535</v>
      </c>
      <c r="U432" s="474">
        <v>0</v>
      </c>
      <c r="V432" s="475">
        <v>-6.94</v>
      </c>
      <c r="W432" s="260">
        <v>45505</v>
      </c>
    </row>
    <row r="433" spans="1:23" hidden="1" x14ac:dyDescent="0.35">
      <c r="A433" s="472" t="s">
        <v>526</v>
      </c>
      <c r="B433" s="472" t="s">
        <v>159</v>
      </c>
      <c r="C433" s="472" t="s">
        <v>542</v>
      </c>
      <c r="D433" s="472" t="s">
        <v>563</v>
      </c>
      <c r="E433" s="472" t="s">
        <v>553</v>
      </c>
      <c r="F433" s="472" t="s">
        <v>276</v>
      </c>
      <c r="G433" s="472" t="s">
        <v>527</v>
      </c>
      <c r="H433" s="472"/>
      <c r="I433" s="472" t="s">
        <v>277</v>
      </c>
      <c r="J433" s="472" t="s">
        <v>528</v>
      </c>
      <c r="K433" s="472" t="s">
        <v>554</v>
      </c>
      <c r="L433" s="472" t="s">
        <v>592</v>
      </c>
      <c r="M433" s="472" t="s">
        <v>285</v>
      </c>
      <c r="N433" s="472"/>
      <c r="O433" s="472"/>
      <c r="P433" s="472" t="s">
        <v>528</v>
      </c>
      <c r="Q433" s="472"/>
      <c r="R433" s="473">
        <v>45538</v>
      </c>
      <c r="S433" s="472"/>
      <c r="T433" s="473">
        <v>45535</v>
      </c>
      <c r="U433" s="474">
        <v>0</v>
      </c>
      <c r="V433" s="475">
        <v>6.94</v>
      </c>
      <c r="W433" s="260">
        <v>45505</v>
      </c>
    </row>
    <row r="434" spans="1:23" hidden="1" x14ac:dyDescent="0.35">
      <c r="A434" s="472" t="s">
        <v>526</v>
      </c>
      <c r="B434" s="472" t="s">
        <v>159</v>
      </c>
      <c r="C434" s="472" t="s">
        <v>546</v>
      </c>
      <c r="D434" s="472" t="s">
        <v>564</v>
      </c>
      <c r="E434" s="472" t="s">
        <v>556</v>
      </c>
      <c r="F434" s="472" t="s">
        <v>276</v>
      </c>
      <c r="G434" s="472" t="s">
        <v>527</v>
      </c>
      <c r="H434" s="472"/>
      <c r="I434" s="472" t="s">
        <v>277</v>
      </c>
      <c r="J434" s="472" t="s">
        <v>528</v>
      </c>
      <c r="K434" s="472" t="s">
        <v>557</v>
      </c>
      <c r="L434" s="472" t="s">
        <v>592</v>
      </c>
      <c r="M434" s="472" t="s">
        <v>285</v>
      </c>
      <c r="N434" s="472"/>
      <c r="O434" s="472"/>
      <c r="P434" s="472" t="s">
        <v>528</v>
      </c>
      <c r="Q434" s="472"/>
      <c r="R434" s="473">
        <v>45538</v>
      </c>
      <c r="S434" s="472"/>
      <c r="T434" s="473">
        <v>45535</v>
      </c>
      <c r="U434" s="474">
        <v>0</v>
      </c>
      <c r="V434" s="475">
        <v>5.78</v>
      </c>
      <c r="W434" s="260">
        <v>45505</v>
      </c>
    </row>
    <row r="435" spans="1:23" hidden="1" x14ac:dyDescent="0.35">
      <c r="A435" s="472" t="s">
        <v>526</v>
      </c>
      <c r="B435" s="472" t="s">
        <v>159</v>
      </c>
      <c r="C435" s="472" t="s">
        <v>546</v>
      </c>
      <c r="D435" s="472" t="s">
        <v>564</v>
      </c>
      <c r="E435" s="472" t="s">
        <v>556</v>
      </c>
      <c r="F435" s="472" t="s">
        <v>276</v>
      </c>
      <c r="G435" s="472" t="s">
        <v>527</v>
      </c>
      <c r="H435" s="472"/>
      <c r="I435" s="472" t="s">
        <v>277</v>
      </c>
      <c r="J435" s="472" t="s">
        <v>528</v>
      </c>
      <c r="K435" s="472" t="s">
        <v>557</v>
      </c>
      <c r="L435" s="472" t="s">
        <v>592</v>
      </c>
      <c r="M435" s="472" t="s">
        <v>285</v>
      </c>
      <c r="N435" s="472"/>
      <c r="O435" s="472"/>
      <c r="P435" s="472" t="s">
        <v>528</v>
      </c>
      <c r="Q435" s="472"/>
      <c r="R435" s="473">
        <v>45538</v>
      </c>
      <c r="S435" s="472"/>
      <c r="T435" s="473">
        <v>45535</v>
      </c>
      <c r="U435" s="474">
        <v>0</v>
      </c>
      <c r="V435" s="475">
        <v>-5.78</v>
      </c>
      <c r="W435" s="260">
        <v>45505</v>
      </c>
    </row>
    <row r="436" spans="1:23" hidden="1" x14ac:dyDescent="0.35">
      <c r="A436" s="472" t="s">
        <v>526</v>
      </c>
      <c r="B436" s="472" t="s">
        <v>159</v>
      </c>
      <c r="C436" s="472" t="s">
        <v>546</v>
      </c>
      <c r="D436" s="472" t="s">
        <v>564</v>
      </c>
      <c r="E436" s="472" t="s">
        <v>556</v>
      </c>
      <c r="F436" s="472" t="s">
        <v>276</v>
      </c>
      <c r="G436" s="472" t="s">
        <v>527</v>
      </c>
      <c r="H436" s="472"/>
      <c r="I436" s="472" t="s">
        <v>277</v>
      </c>
      <c r="J436" s="472" t="s">
        <v>528</v>
      </c>
      <c r="K436" s="472" t="s">
        <v>557</v>
      </c>
      <c r="L436" s="472" t="s">
        <v>592</v>
      </c>
      <c r="M436" s="472" t="s">
        <v>285</v>
      </c>
      <c r="N436" s="472"/>
      <c r="O436" s="472"/>
      <c r="P436" s="472" t="s">
        <v>528</v>
      </c>
      <c r="Q436" s="472"/>
      <c r="R436" s="473">
        <v>45538</v>
      </c>
      <c r="S436" s="472"/>
      <c r="T436" s="473">
        <v>45535</v>
      </c>
      <c r="U436" s="474">
        <v>0</v>
      </c>
      <c r="V436" s="475">
        <v>5.78</v>
      </c>
      <c r="W436" s="260">
        <v>45505</v>
      </c>
    </row>
    <row r="437" spans="1:23" hidden="1" x14ac:dyDescent="0.35">
      <c r="A437" s="472" t="s">
        <v>526</v>
      </c>
      <c r="B437" s="472" t="s">
        <v>159</v>
      </c>
      <c r="C437" s="472" t="s">
        <v>569</v>
      </c>
      <c r="D437" s="472" t="s">
        <v>570</v>
      </c>
      <c r="E437" s="472" t="s">
        <v>571</v>
      </c>
      <c r="F437" s="472" t="s">
        <v>276</v>
      </c>
      <c r="G437" s="472" t="s">
        <v>527</v>
      </c>
      <c r="H437" s="472" t="s">
        <v>582</v>
      </c>
      <c r="I437" s="472" t="s">
        <v>277</v>
      </c>
      <c r="J437" s="472" t="s">
        <v>528</v>
      </c>
      <c r="K437" s="472" t="s">
        <v>573</v>
      </c>
      <c r="L437" s="472" t="s">
        <v>592</v>
      </c>
      <c r="M437" s="472" t="s">
        <v>583</v>
      </c>
      <c r="N437" s="472"/>
      <c r="O437" s="472"/>
      <c r="P437" s="472" t="s">
        <v>528</v>
      </c>
      <c r="Q437" s="472"/>
      <c r="R437" s="473">
        <v>45534</v>
      </c>
      <c r="S437" s="472" t="s">
        <v>278</v>
      </c>
      <c r="T437" s="473">
        <v>45534</v>
      </c>
      <c r="U437" s="474">
        <v>2</v>
      </c>
      <c r="V437" s="475">
        <v>150.1</v>
      </c>
      <c r="W437" s="260">
        <v>45505</v>
      </c>
    </row>
    <row r="438" spans="1:23" hidden="1" x14ac:dyDescent="0.35">
      <c r="A438" s="472" t="s">
        <v>526</v>
      </c>
      <c r="B438" s="472" t="s">
        <v>159</v>
      </c>
      <c r="C438" s="472" t="s">
        <v>593</v>
      </c>
      <c r="D438" s="472" t="s">
        <v>594</v>
      </c>
      <c r="E438" s="472" t="s">
        <v>595</v>
      </c>
      <c r="F438" s="472" t="s">
        <v>276</v>
      </c>
      <c r="G438" s="472" t="s">
        <v>527</v>
      </c>
      <c r="H438" s="472" t="s">
        <v>582</v>
      </c>
      <c r="I438" s="472" t="s">
        <v>277</v>
      </c>
      <c r="J438" s="472" t="s">
        <v>528</v>
      </c>
      <c r="K438" s="472" t="s">
        <v>596</v>
      </c>
      <c r="L438" s="472" t="s">
        <v>592</v>
      </c>
      <c r="M438" s="472" t="s">
        <v>583</v>
      </c>
      <c r="N438" s="472"/>
      <c r="O438" s="472"/>
      <c r="P438" s="472" t="s">
        <v>528</v>
      </c>
      <c r="Q438" s="472"/>
      <c r="R438" s="473">
        <v>45512</v>
      </c>
      <c r="S438" s="472" t="s">
        <v>278</v>
      </c>
      <c r="T438" s="473">
        <v>45513</v>
      </c>
      <c r="U438" s="474">
        <v>1</v>
      </c>
      <c r="V438" s="475">
        <v>102</v>
      </c>
      <c r="W438" s="260">
        <v>45505</v>
      </c>
    </row>
    <row r="439" spans="1:23" hidden="1" x14ac:dyDescent="0.35">
      <c r="A439" s="472" t="s">
        <v>526</v>
      </c>
      <c r="B439" s="472" t="s">
        <v>159</v>
      </c>
      <c r="C439" s="472" t="s">
        <v>593</v>
      </c>
      <c r="D439" s="472" t="s">
        <v>594</v>
      </c>
      <c r="E439" s="472" t="s">
        <v>595</v>
      </c>
      <c r="F439" s="472" t="s">
        <v>276</v>
      </c>
      <c r="G439" s="472" t="s">
        <v>527</v>
      </c>
      <c r="H439" s="472" t="s">
        <v>582</v>
      </c>
      <c r="I439" s="472" t="s">
        <v>277</v>
      </c>
      <c r="J439" s="472" t="s">
        <v>528</v>
      </c>
      <c r="K439" s="472" t="s">
        <v>596</v>
      </c>
      <c r="L439" s="472" t="s">
        <v>592</v>
      </c>
      <c r="M439" s="472" t="s">
        <v>583</v>
      </c>
      <c r="N439" s="472"/>
      <c r="O439" s="472"/>
      <c r="P439" s="472" t="s">
        <v>528</v>
      </c>
      <c r="Q439" s="472"/>
      <c r="R439" s="473">
        <v>45509</v>
      </c>
      <c r="S439" s="472" t="s">
        <v>278</v>
      </c>
      <c r="T439" s="473">
        <v>45513</v>
      </c>
      <c r="U439" s="474">
        <v>1</v>
      </c>
      <c r="V439" s="475">
        <v>102</v>
      </c>
      <c r="W439" s="260">
        <v>45505</v>
      </c>
    </row>
    <row r="440" spans="1:23" hidden="1" x14ac:dyDescent="0.35">
      <c r="A440" s="472" t="s">
        <v>526</v>
      </c>
      <c r="B440" s="472" t="s">
        <v>159</v>
      </c>
      <c r="C440" s="472" t="s">
        <v>584</v>
      </c>
      <c r="D440" s="472" t="s">
        <v>585</v>
      </c>
      <c r="E440" s="472" t="s">
        <v>586</v>
      </c>
      <c r="F440" s="472" t="s">
        <v>276</v>
      </c>
      <c r="G440" s="472" t="s">
        <v>527</v>
      </c>
      <c r="H440" s="472" t="s">
        <v>533</v>
      </c>
      <c r="I440" s="472" t="s">
        <v>277</v>
      </c>
      <c r="J440" s="472" t="s">
        <v>528</v>
      </c>
      <c r="K440" s="472" t="s">
        <v>587</v>
      </c>
      <c r="L440" s="472" t="s">
        <v>592</v>
      </c>
      <c r="M440" s="472" t="s">
        <v>535</v>
      </c>
      <c r="N440" s="472"/>
      <c r="O440" s="472"/>
      <c r="P440" s="472" t="s">
        <v>528</v>
      </c>
      <c r="Q440" s="472"/>
      <c r="R440" s="473">
        <v>45502</v>
      </c>
      <c r="S440" s="472" t="s">
        <v>278</v>
      </c>
      <c r="T440" s="473">
        <v>45509</v>
      </c>
      <c r="U440" s="474">
        <v>6</v>
      </c>
      <c r="V440" s="475">
        <v>620.16</v>
      </c>
      <c r="W440" s="260">
        <v>45505</v>
      </c>
    </row>
    <row r="441" spans="1:23" hidden="1" x14ac:dyDescent="0.35">
      <c r="A441" s="472" t="s">
        <v>526</v>
      </c>
      <c r="B441" s="472" t="s">
        <v>159</v>
      </c>
      <c r="C441" s="472" t="s">
        <v>584</v>
      </c>
      <c r="D441" s="472" t="s">
        <v>585</v>
      </c>
      <c r="E441" s="472" t="s">
        <v>586</v>
      </c>
      <c r="F441" s="472" t="s">
        <v>276</v>
      </c>
      <c r="G441" s="472" t="s">
        <v>527</v>
      </c>
      <c r="H441" s="472" t="s">
        <v>533</v>
      </c>
      <c r="I441" s="472" t="s">
        <v>277</v>
      </c>
      <c r="J441" s="472" t="s">
        <v>528</v>
      </c>
      <c r="K441" s="472" t="s">
        <v>587</v>
      </c>
      <c r="L441" s="472" t="s">
        <v>592</v>
      </c>
      <c r="M441" s="472" t="s">
        <v>535</v>
      </c>
      <c r="N441" s="472"/>
      <c r="O441" s="472"/>
      <c r="P441" s="472" t="s">
        <v>528</v>
      </c>
      <c r="Q441" s="472"/>
      <c r="R441" s="473">
        <v>45504</v>
      </c>
      <c r="S441" s="472" t="s">
        <v>278</v>
      </c>
      <c r="T441" s="473">
        <v>45509</v>
      </c>
      <c r="U441" s="474">
        <v>5</v>
      </c>
      <c r="V441" s="475">
        <v>516.79999999999995</v>
      </c>
      <c r="W441" s="260">
        <v>45505</v>
      </c>
    </row>
    <row r="442" spans="1:23" hidden="1" x14ac:dyDescent="0.35">
      <c r="A442" s="472" t="s">
        <v>526</v>
      </c>
      <c r="B442" s="472" t="s">
        <v>159</v>
      </c>
      <c r="C442" s="472" t="s">
        <v>584</v>
      </c>
      <c r="D442" s="472" t="s">
        <v>585</v>
      </c>
      <c r="E442" s="472" t="s">
        <v>586</v>
      </c>
      <c r="F442" s="472" t="s">
        <v>276</v>
      </c>
      <c r="G442" s="472" t="s">
        <v>527</v>
      </c>
      <c r="H442" s="472" t="s">
        <v>533</v>
      </c>
      <c r="I442" s="472" t="s">
        <v>277</v>
      </c>
      <c r="J442" s="472" t="s">
        <v>528</v>
      </c>
      <c r="K442" s="472" t="s">
        <v>587</v>
      </c>
      <c r="L442" s="472" t="s">
        <v>592</v>
      </c>
      <c r="M442" s="472" t="s">
        <v>535</v>
      </c>
      <c r="N442" s="472"/>
      <c r="O442" s="472"/>
      <c r="P442" s="472" t="s">
        <v>528</v>
      </c>
      <c r="Q442" s="472"/>
      <c r="R442" s="473">
        <v>45503</v>
      </c>
      <c r="S442" s="472" t="s">
        <v>278</v>
      </c>
      <c r="T442" s="473">
        <v>45509</v>
      </c>
      <c r="U442" s="474">
        <v>6</v>
      </c>
      <c r="V442" s="475">
        <v>620.16</v>
      </c>
      <c r="W442" s="260">
        <v>45505</v>
      </c>
    </row>
    <row r="443" spans="1:23" hidden="1" x14ac:dyDescent="0.35">
      <c r="A443" s="472" t="s">
        <v>526</v>
      </c>
      <c r="B443" s="472" t="s">
        <v>159</v>
      </c>
      <c r="C443" s="472" t="s">
        <v>584</v>
      </c>
      <c r="D443" s="472" t="s">
        <v>585</v>
      </c>
      <c r="E443" s="472" t="s">
        <v>586</v>
      </c>
      <c r="F443" s="472" t="s">
        <v>276</v>
      </c>
      <c r="G443" s="472" t="s">
        <v>527</v>
      </c>
      <c r="H443" s="472" t="s">
        <v>533</v>
      </c>
      <c r="I443" s="472" t="s">
        <v>277</v>
      </c>
      <c r="J443" s="472" t="s">
        <v>528</v>
      </c>
      <c r="K443" s="472" t="s">
        <v>587</v>
      </c>
      <c r="L443" s="472" t="s">
        <v>592</v>
      </c>
      <c r="M443" s="472" t="s">
        <v>535</v>
      </c>
      <c r="N443" s="472"/>
      <c r="O443" s="472"/>
      <c r="P443" s="472" t="s">
        <v>528</v>
      </c>
      <c r="Q443" s="472"/>
      <c r="R443" s="473">
        <v>45519</v>
      </c>
      <c r="S443" s="472" t="s">
        <v>278</v>
      </c>
      <c r="T443" s="473">
        <v>45523</v>
      </c>
      <c r="U443" s="474">
        <v>8</v>
      </c>
      <c r="V443" s="475">
        <v>826.88</v>
      </c>
      <c r="W443" s="260">
        <v>45505</v>
      </c>
    </row>
    <row r="444" spans="1:23" hidden="1" x14ac:dyDescent="0.35">
      <c r="A444" s="472" t="s">
        <v>526</v>
      </c>
      <c r="B444" s="472" t="s">
        <v>159</v>
      </c>
      <c r="C444" s="472" t="s">
        <v>584</v>
      </c>
      <c r="D444" s="472" t="s">
        <v>585</v>
      </c>
      <c r="E444" s="472" t="s">
        <v>586</v>
      </c>
      <c r="F444" s="472" t="s">
        <v>276</v>
      </c>
      <c r="G444" s="472" t="s">
        <v>527</v>
      </c>
      <c r="H444" s="472" t="s">
        <v>533</v>
      </c>
      <c r="I444" s="472" t="s">
        <v>277</v>
      </c>
      <c r="J444" s="472" t="s">
        <v>528</v>
      </c>
      <c r="K444" s="472" t="s">
        <v>587</v>
      </c>
      <c r="L444" s="472" t="s">
        <v>592</v>
      </c>
      <c r="M444" s="472" t="s">
        <v>535</v>
      </c>
      <c r="N444" s="472"/>
      <c r="O444" s="472"/>
      <c r="P444" s="472" t="s">
        <v>528</v>
      </c>
      <c r="Q444" s="472"/>
      <c r="R444" s="473">
        <v>45518</v>
      </c>
      <c r="S444" s="472" t="s">
        <v>278</v>
      </c>
      <c r="T444" s="473">
        <v>45523</v>
      </c>
      <c r="U444" s="474">
        <v>8</v>
      </c>
      <c r="V444" s="475">
        <v>826.88</v>
      </c>
      <c r="W444" s="260">
        <v>45505</v>
      </c>
    </row>
    <row r="445" spans="1:23" hidden="1" x14ac:dyDescent="0.35">
      <c r="A445" s="472" t="s">
        <v>526</v>
      </c>
      <c r="B445" s="472" t="s">
        <v>159</v>
      </c>
      <c r="C445" s="472" t="s">
        <v>584</v>
      </c>
      <c r="D445" s="472" t="s">
        <v>585</v>
      </c>
      <c r="E445" s="472" t="s">
        <v>586</v>
      </c>
      <c r="F445" s="472" t="s">
        <v>276</v>
      </c>
      <c r="G445" s="472" t="s">
        <v>527</v>
      </c>
      <c r="H445" s="472" t="s">
        <v>533</v>
      </c>
      <c r="I445" s="472" t="s">
        <v>277</v>
      </c>
      <c r="J445" s="472" t="s">
        <v>528</v>
      </c>
      <c r="K445" s="472" t="s">
        <v>587</v>
      </c>
      <c r="L445" s="472" t="s">
        <v>592</v>
      </c>
      <c r="M445" s="472" t="s">
        <v>535</v>
      </c>
      <c r="N445" s="472"/>
      <c r="O445" s="472"/>
      <c r="P445" s="472" t="s">
        <v>528</v>
      </c>
      <c r="Q445" s="472"/>
      <c r="R445" s="473">
        <v>45516</v>
      </c>
      <c r="S445" s="472" t="s">
        <v>278</v>
      </c>
      <c r="T445" s="473">
        <v>45523</v>
      </c>
      <c r="U445" s="474">
        <v>7</v>
      </c>
      <c r="V445" s="475">
        <v>723.52</v>
      </c>
      <c r="W445" s="260">
        <v>45505</v>
      </c>
    </row>
    <row r="446" spans="1:23" hidden="1" x14ac:dyDescent="0.35">
      <c r="A446" s="472" t="s">
        <v>526</v>
      </c>
      <c r="B446" s="472" t="s">
        <v>159</v>
      </c>
      <c r="C446" s="472" t="s">
        <v>584</v>
      </c>
      <c r="D446" s="472" t="s">
        <v>585</v>
      </c>
      <c r="E446" s="472" t="s">
        <v>586</v>
      </c>
      <c r="F446" s="472" t="s">
        <v>276</v>
      </c>
      <c r="G446" s="472" t="s">
        <v>527</v>
      </c>
      <c r="H446" s="472" t="s">
        <v>533</v>
      </c>
      <c r="I446" s="472" t="s">
        <v>277</v>
      </c>
      <c r="J446" s="472" t="s">
        <v>528</v>
      </c>
      <c r="K446" s="472" t="s">
        <v>587</v>
      </c>
      <c r="L446" s="472" t="s">
        <v>592</v>
      </c>
      <c r="M446" s="472" t="s">
        <v>535</v>
      </c>
      <c r="N446" s="472"/>
      <c r="O446" s="472"/>
      <c r="P446" s="472" t="s">
        <v>528</v>
      </c>
      <c r="Q446" s="472"/>
      <c r="R446" s="473">
        <v>45517</v>
      </c>
      <c r="S446" s="472" t="s">
        <v>278</v>
      </c>
      <c r="T446" s="473">
        <v>45523</v>
      </c>
      <c r="U446" s="474">
        <v>6</v>
      </c>
      <c r="V446" s="475">
        <v>620.16</v>
      </c>
      <c r="W446" s="260">
        <v>45505</v>
      </c>
    </row>
    <row r="447" spans="1:23" hidden="1" x14ac:dyDescent="0.35">
      <c r="A447" s="472" t="s">
        <v>526</v>
      </c>
      <c r="B447" s="472" t="s">
        <v>159</v>
      </c>
      <c r="C447" s="472" t="s">
        <v>584</v>
      </c>
      <c r="D447" s="472" t="s">
        <v>585</v>
      </c>
      <c r="E447" s="472" t="s">
        <v>586</v>
      </c>
      <c r="F447" s="472" t="s">
        <v>276</v>
      </c>
      <c r="G447" s="472" t="s">
        <v>527</v>
      </c>
      <c r="H447" s="472" t="s">
        <v>533</v>
      </c>
      <c r="I447" s="472" t="s">
        <v>277</v>
      </c>
      <c r="J447" s="472" t="s">
        <v>528</v>
      </c>
      <c r="K447" s="472" t="s">
        <v>587</v>
      </c>
      <c r="L447" s="472" t="s">
        <v>592</v>
      </c>
      <c r="M447" s="472" t="s">
        <v>535</v>
      </c>
      <c r="N447" s="472"/>
      <c r="O447" s="472"/>
      <c r="P447" s="472" t="s">
        <v>528</v>
      </c>
      <c r="Q447" s="472"/>
      <c r="R447" s="473">
        <v>45511</v>
      </c>
      <c r="S447" s="472" t="s">
        <v>278</v>
      </c>
      <c r="T447" s="473">
        <v>45516</v>
      </c>
      <c r="U447" s="474">
        <v>7</v>
      </c>
      <c r="V447" s="475">
        <v>723.52</v>
      </c>
      <c r="W447" s="260">
        <v>45505</v>
      </c>
    </row>
    <row r="448" spans="1:23" hidden="1" x14ac:dyDescent="0.35">
      <c r="A448" s="472" t="s">
        <v>526</v>
      </c>
      <c r="B448" s="472" t="s">
        <v>159</v>
      </c>
      <c r="C448" s="472" t="s">
        <v>584</v>
      </c>
      <c r="D448" s="472" t="s">
        <v>585</v>
      </c>
      <c r="E448" s="472" t="s">
        <v>586</v>
      </c>
      <c r="F448" s="472" t="s">
        <v>276</v>
      </c>
      <c r="G448" s="472" t="s">
        <v>527</v>
      </c>
      <c r="H448" s="472" t="s">
        <v>533</v>
      </c>
      <c r="I448" s="472" t="s">
        <v>277</v>
      </c>
      <c r="J448" s="472" t="s">
        <v>528</v>
      </c>
      <c r="K448" s="472" t="s">
        <v>587</v>
      </c>
      <c r="L448" s="472" t="s">
        <v>592</v>
      </c>
      <c r="M448" s="472" t="s">
        <v>535</v>
      </c>
      <c r="N448" s="472"/>
      <c r="O448" s="472"/>
      <c r="P448" s="472" t="s">
        <v>528</v>
      </c>
      <c r="Q448" s="472"/>
      <c r="R448" s="473">
        <v>45510</v>
      </c>
      <c r="S448" s="472" t="s">
        <v>278</v>
      </c>
      <c r="T448" s="473">
        <v>45516</v>
      </c>
      <c r="U448" s="474">
        <v>7</v>
      </c>
      <c r="V448" s="475">
        <v>723.52</v>
      </c>
      <c r="W448" s="260">
        <v>45505</v>
      </c>
    </row>
    <row r="449" spans="1:23" hidden="1" x14ac:dyDescent="0.35">
      <c r="A449" s="472" t="s">
        <v>526</v>
      </c>
      <c r="B449" s="472" t="s">
        <v>159</v>
      </c>
      <c r="C449" s="472" t="s">
        <v>584</v>
      </c>
      <c r="D449" s="472" t="s">
        <v>585</v>
      </c>
      <c r="E449" s="472" t="s">
        <v>586</v>
      </c>
      <c r="F449" s="472" t="s">
        <v>276</v>
      </c>
      <c r="G449" s="472" t="s">
        <v>527</v>
      </c>
      <c r="H449" s="472" t="s">
        <v>533</v>
      </c>
      <c r="I449" s="472" t="s">
        <v>277</v>
      </c>
      <c r="J449" s="472" t="s">
        <v>528</v>
      </c>
      <c r="K449" s="472" t="s">
        <v>587</v>
      </c>
      <c r="L449" s="472" t="s">
        <v>592</v>
      </c>
      <c r="M449" s="472" t="s">
        <v>535</v>
      </c>
      <c r="N449" s="472"/>
      <c r="O449" s="472"/>
      <c r="P449" s="472" t="s">
        <v>528</v>
      </c>
      <c r="Q449" s="472"/>
      <c r="R449" s="473">
        <v>45523</v>
      </c>
      <c r="S449" s="472" t="s">
        <v>278</v>
      </c>
      <c r="T449" s="473">
        <v>45527</v>
      </c>
      <c r="U449" s="474">
        <v>4</v>
      </c>
      <c r="V449" s="475">
        <v>413.44</v>
      </c>
      <c r="W449" s="260">
        <v>45505</v>
      </c>
    </row>
    <row r="450" spans="1:23" hidden="1" x14ac:dyDescent="0.35">
      <c r="A450" s="472" t="s">
        <v>526</v>
      </c>
      <c r="B450" s="472" t="s">
        <v>159</v>
      </c>
      <c r="C450" s="472" t="s">
        <v>584</v>
      </c>
      <c r="D450" s="472" t="s">
        <v>585</v>
      </c>
      <c r="E450" s="472" t="s">
        <v>586</v>
      </c>
      <c r="F450" s="472" t="s">
        <v>276</v>
      </c>
      <c r="G450" s="472" t="s">
        <v>527</v>
      </c>
      <c r="H450" s="472" t="s">
        <v>533</v>
      </c>
      <c r="I450" s="472" t="s">
        <v>277</v>
      </c>
      <c r="J450" s="472" t="s">
        <v>528</v>
      </c>
      <c r="K450" s="472" t="s">
        <v>587</v>
      </c>
      <c r="L450" s="472" t="s">
        <v>592</v>
      </c>
      <c r="M450" s="472" t="s">
        <v>535</v>
      </c>
      <c r="N450" s="472"/>
      <c r="O450" s="472"/>
      <c r="P450" s="472" t="s">
        <v>528</v>
      </c>
      <c r="Q450" s="472"/>
      <c r="R450" s="473">
        <v>45527</v>
      </c>
      <c r="S450" s="472" t="s">
        <v>278</v>
      </c>
      <c r="T450" s="473">
        <v>45527</v>
      </c>
      <c r="U450" s="474">
        <v>8</v>
      </c>
      <c r="V450" s="475">
        <v>826.88</v>
      </c>
      <c r="W450" s="260">
        <v>45505</v>
      </c>
    </row>
    <row r="451" spans="1:23" hidden="1" x14ac:dyDescent="0.35">
      <c r="A451" s="472" t="s">
        <v>526</v>
      </c>
      <c r="B451" s="472" t="s">
        <v>159</v>
      </c>
      <c r="C451" s="472" t="s">
        <v>584</v>
      </c>
      <c r="D451" s="472" t="s">
        <v>585</v>
      </c>
      <c r="E451" s="472" t="s">
        <v>586</v>
      </c>
      <c r="F451" s="472" t="s">
        <v>276</v>
      </c>
      <c r="G451" s="472" t="s">
        <v>527</v>
      </c>
      <c r="H451" s="472" t="s">
        <v>533</v>
      </c>
      <c r="I451" s="472" t="s">
        <v>277</v>
      </c>
      <c r="J451" s="472" t="s">
        <v>528</v>
      </c>
      <c r="K451" s="472" t="s">
        <v>587</v>
      </c>
      <c r="L451" s="472" t="s">
        <v>592</v>
      </c>
      <c r="M451" s="472" t="s">
        <v>535</v>
      </c>
      <c r="N451" s="472"/>
      <c r="O451" s="472"/>
      <c r="P451" s="472" t="s">
        <v>528</v>
      </c>
      <c r="Q451" s="472"/>
      <c r="R451" s="473">
        <v>45526</v>
      </c>
      <c r="S451" s="472" t="s">
        <v>278</v>
      </c>
      <c r="T451" s="473">
        <v>45527</v>
      </c>
      <c r="U451" s="474">
        <v>8</v>
      </c>
      <c r="V451" s="475">
        <v>826.88</v>
      </c>
      <c r="W451" s="260">
        <v>45505</v>
      </c>
    </row>
    <row r="452" spans="1:23" hidden="1" x14ac:dyDescent="0.35">
      <c r="A452" s="472" t="s">
        <v>526</v>
      </c>
      <c r="B452" s="472" t="s">
        <v>53</v>
      </c>
      <c r="C452" s="472"/>
      <c r="D452" s="472" t="s">
        <v>575</v>
      </c>
      <c r="E452" s="472" t="s">
        <v>576</v>
      </c>
      <c r="F452" s="472" t="s">
        <v>276</v>
      </c>
      <c r="G452" s="472" t="s">
        <v>527</v>
      </c>
      <c r="H452" s="472"/>
      <c r="I452" s="472" t="s">
        <v>277</v>
      </c>
      <c r="J452" s="472" t="s">
        <v>577</v>
      </c>
      <c r="K452" s="472"/>
      <c r="L452" s="472" t="s">
        <v>592</v>
      </c>
      <c r="M452" s="472" t="s">
        <v>285</v>
      </c>
      <c r="N452" s="472"/>
      <c r="O452" s="472" t="s">
        <v>591</v>
      </c>
      <c r="P452" s="472" t="s">
        <v>577</v>
      </c>
      <c r="Q452" s="472" t="s">
        <v>400</v>
      </c>
      <c r="R452" s="473">
        <v>45495</v>
      </c>
      <c r="S452" s="472"/>
      <c r="T452" s="473">
        <v>45535</v>
      </c>
      <c r="U452" s="474">
        <v>0</v>
      </c>
      <c r="V452" s="475">
        <v>72404</v>
      </c>
      <c r="W452" s="260">
        <v>45505</v>
      </c>
    </row>
    <row r="453" spans="1:23" hidden="1" x14ac:dyDescent="0.35">
      <c r="A453" s="472" t="s">
        <v>526</v>
      </c>
      <c r="B453" s="472" t="s">
        <v>53</v>
      </c>
      <c r="C453" s="472"/>
      <c r="D453" s="472" t="s">
        <v>575</v>
      </c>
      <c r="E453" s="472" t="s">
        <v>576</v>
      </c>
      <c r="F453" s="472" t="s">
        <v>276</v>
      </c>
      <c r="G453" s="472" t="s">
        <v>527</v>
      </c>
      <c r="H453" s="472"/>
      <c r="I453" s="472" t="s">
        <v>277</v>
      </c>
      <c r="J453" s="472" t="s">
        <v>577</v>
      </c>
      <c r="K453" s="472"/>
      <c r="L453" s="472" t="s">
        <v>592</v>
      </c>
      <c r="M453" s="472" t="s">
        <v>285</v>
      </c>
      <c r="N453" s="472"/>
      <c r="O453" s="472" t="s">
        <v>591</v>
      </c>
      <c r="P453" s="472" t="s">
        <v>577</v>
      </c>
      <c r="Q453" s="472" t="s">
        <v>400</v>
      </c>
      <c r="R453" s="473">
        <v>45495</v>
      </c>
      <c r="S453" s="472"/>
      <c r="T453" s="473">
        <v>45535</v>
      </c>
      <c r="U453" s="474">
        <v>0</v>
      </c>
      <c r="V453" s="475">
        <v>16250</v>
      </c>
      <c r="W453" s="260">
        <v>45505</v>
      </c>
    </row>
    <row r="454" spans="1:23" hidden="1" x14ac:dyDescent="0.35">
      <c r="A454" s="472" t="s">
        <v>526</v>
      </c>
      <c r="B454" s="472" t="s">
        <v>53</v>
      </c>
      <c r="C454" s="472"/>
      <c r="D454" s="472" t="s">
        <v>575</v>
      </c>
      <c r="E454" s="472" t="s">
        <v>576</v>
      </c>
      <c r="F454" s="472" t="s">
        <v>276</v>
      </c>
      <c r="G454" s="472" t="s">
        <v>527</v>
      </c>
      <c r="H454" s="472"/>
      <c r="I454" s="472" t="s">
        <v>277</v>
      </c>
      <c r="J454" s="472" t="s">
        <v>577</v>
      </c>
      <c r="K454" s="472"/>
      <c r="L454" s="472" t="s">
        <v>592</v>
      </c>
      <c r="M454" s="472" t="s">
        <v>285</v>
      </c>
      <c r="N454" s="472"/>
      <c r="O454" s="472" t="s">
        <v>591</v>
      </c>
      <c r="P454" s="472" t="s">
        <v>577</v>
      </c>
      <c r="Q454" s="472" t="s">
        <v>400</v>
      </c>
      <c r="R454" s="473">
        <v>45495</v>
      </c>
      <c r="S454" s="472"/>
      <c r="T454" s="473">
        <v>45535</v>
      </c>
      <c r="U454" s="474">
        <v>0</v>
      </c>
      <c r="V454" s="475">
        <v>36250</v>
      </c>
      <c r="W454" s="260">
        <v>45505</v>
      </c>
    </row>
    <row r="455" spans="1:23" hidden="1" x14ac:dyDescent="0.35">
      <c r="A455" s="472" t="s">
        <v>526</v>
      </c>
      <c r="B455" s="472" t="s">
        <v>53</v>
      </c>
      <c r="C455" s="472"/>
      <c r="D455" s="472" t="s">
        <v>575</v>
      </c>
      <c r="E455" s="472" t="s">
        <v>576</v>
      </c>
      <c r="F455" s="472" t="s">
        <v>588</v>
      </c>
      <c r="G455" s="472" t="s">
        <v>527</v>
      </c>
      <c r="H455" s="472"/>
      <c r="I455" s="472" t="s">
        <v>277</v>
      </c>
      <c r="J455" s="472" t="s">
        <v>577</v>
      </c>
      <c r="K455" s="472"/>
      <c r="L455" s="472" t="s">
        <v>592</v>
      </c>
      <c r="M455" s="472" t="s">
        <v>285</v>
      </c>
      <c r="N455" s="472"/>
      <c r="O455" s="472" t="s">
        <v>591</v>
      </c>
      <c r="P455" s="472" t="s">
        <v>577</v>
      </c>
      <c r="Q455" s="472" t="s">
        <v>589</v>
      </c>
      <c r="R455" s="473">
        <v>45499</v>
      </c>
      <c r="S455" s="472"/>
      <c r="T455" s="473">
        <v>45505</v>
      </c>
      <c r="U455" s="474">
        <v>0</v>
      </c>
      <c r="V455" s="475">
        <v>-16250</v>
      </c>
      <c r="W455" s="260">
        <v>45505</v>
      </c>
    </row>
    <row r="456" spans="1:23" hidden="1" x14ac:dyDescent="0.35">
      <c r="A456" s="472" t="s">
        <v>526</v>
      </c>
      <c r="B456" s="472" t="s">
        <v>53</v>
      </c>
      <c r="C456" s="472"/>
      <c r="D456" s="472" t="s">
        <v>575</v>
      </c>
      <c r="E456" s="472" t="s">
        <v>576</v>
      </c>
      <c r="F456" s="472" t="s">
        <v>588</v>
      </c>
      <c r="G456" s="472" t="s">
        <v>527</v>
      </c>
      <c r="H456" s="472"/>
      <c r="I456" s="472" t="s">
        <v>277</v>
      </c>
      <c r="J456" s="472" t="s">
        <v>577</v>
      </c>
      <c r="K456" s="472"/>
      <c r="L456" s="472" t="s">
        <v>592</v>
      </c>
      <c r="M456" s="472" t="s">
        <v>285</v>
      </c>
      <c r="N456" s="472"/>
      <c r="O456" s="472" t="s">
        <v>591</v>
      </c>
      <c r="P456" s="472" t="s">
        <v>577</v>
      </c>
      <c r="Q456" s="472" t="s">
        <v>589</v>
      </c>
      <c r="R456" s="473">
        <v>45499</v>
      </c>
      <c r="S456" s="472"/>
      <c r="T456" s="473">
        <v>45505</v>
      </c>
      <c r="U456" s="474">
        <v>0</v>
      </c>
      <c r="V456" s="475">
        <v>-36250</v>
      </c>
      <c r="W456" s="260">
        <v>45505</v>
      </c>
    </row>
    <row r="457" spans="1:23" hidden="1" x14ac:dyDescent="0.35">
      <c r="A457" s="472" t="s">
        <v>526</v>
      </c>
      <c r="B457" s="472" t="s">
        <v>53</v>
      </c>
      <c r="C457" s="472"/>
      <c r="D457" s="472" t="s">
        <v>575</v>
      </c>
      <c r="E457" s="472" t="s">
        <v>576</v>
      </c>
      <c r="F457" s="472" t="s">
        <v>588</v>
      </c>
      <c r="G457" s="472" t="s">
        <v>527</v>
      </c>
      <c r="H457" s="472"/>
      <c r="I457" s="472" t="s">
        <v>277</v>
      </c>
      <c r="J457" s="472" t="s">
        <v>577</v>
      </c>
      <c r="K457" s="472"/>
      <c r="L457" s="472" t="s">
        <v>592</v>
      </c>
      <c r="M457" s="472" t="s">
        <v>285</v>
      </c>
      <c r="N457" s="472"/>
      <c r="O457" s="472" t="s">
        <v>591</v>
      </c>
      <c r="P457" s="472" t="s">
        <v>577</v>
      </c>
      <c r="Q457" s="472" t="s">
        <v>589</v>
      </c>
      <c r="R457" s="473">
        <v>45499</v>
      </c>
      <c r="S457" s="472"/>
      <c r="T457" s="473">
        <v>45505</v>
      </c>
      <c r="U457" s="474">
        <v>0</v>
      </c>
      <c r="V457" s="475">
        <v>-72404</v>
      </c>
      <c r="W457" s="260">
        <v>45505</v>
      </c>
    </row>
    <row r="458" spans="1:23" hidden="1" x14ac:dyDescent="0.35">
      <c r="A458" s="472" t="s">
        <v>526</v>
      </c>
      <c r="B458" s="472" t="s">
        <v>159</v>
      </c>
      <c r="C458" s="472" t="s">
        <v>281</v>
      </c>
      <c r="D458" s="472" t="s">
        <v>282</v>
      </c>
      <c r="E458" s="472" t="s">
        <v>283</v>
      </c>
      <c r="F458" s="472" t="s">
        <v>276</v>
      </c>
      <c r="G458" s="472" t="s">
        <v>527</v>
      </c>
      <c r="H458" s="472"/>
      <c r="I458" s="472" t="s">
        <v>277</v>
      </c>
      <c r="J458" s="472" t="s">
        <v>528</v>
      </c>
      <c r="K458" s="472" t="s">
        <v>284</v>
      </c>
      <c r="L458" s="472" t="s">
        <v>597</v>
      </c>
      <c r="M458" s="472" t="s">
        <v>285</v>
      </c>
      <c r="N458" s="472"/>
      <c r="O458" s="472"/>
      <c r="P458" s="472" t="s">
        <v>528</v>
      </c>
      <c r="Q458" s="472"/>
      <c r="R458" s="473">
        <v>45566</v>
      </c>
      <c r="S458" s="472"/>
      <c r="T458" s="473">
        <v>45565</v>
      </c>
      <c r="U458" s="474">
        <v>0</v>
      </c>
      <c r="V458" s="475">
        <v>991.68</v>
      </c>
      <c r="W458" s="260">
        <v>45536</v>
      </c>
    </row>
    <row r="459" spans="1:23" hidden="1" x14ac:dyDescent="0.35">
      <c r="A459" s="472" t="s">
        <v>526</v>
      </c>
      <c r="B459" s="472" t="s">
        <v>159</v>
      </c>
      <c r="C459" s="472" t="s">
        <v>286</v>
      </c>
      <c r="D459" s="472" t="s">
        <v>287</v>
      </c>
      <c r="E459" s="472" t="s">
        <v>288</v>
      </c>
      <c r="F459" s="472" t="s">
        <v>276</v>
      </c>
      <c r="G459" s="472" t="s">
        <v>527</v>
      </c>
      <c r="H459" s="472"/>
      <c r="I459" s="472" t="s">
        <v>277</v>
      </c>
      <c r="J459" s="472" t="s">
        <v>528</v>
      </c>
      <c r="K459" s="472" t="s">
        <v>289</v>
      </c>
      <c r="L459" s="472" t="s">
        <v>597</v>
      </c>
      <c r="M459" s="472" t="s">
        <v>285</v>
      </c>
      <c r="N459" s="472"/>
      <c r="O459" s="472"/>
      <c r="P459" s="472" t="s">
        <v>528</v>
      </c>
      <c r="Q459" s="472"/>
      <c r="R459" s="473">
        <v>45566</v>
      </c>
      <c r="S459" s="472"/>
      <c r="T459" s="473">
        <v>45565</v>
      </c>
      <c r="U459" s="474">
        <v>0</v>
      </c>
      <c r="V459" s="475">
        <v>2844.84</v>
      </c>
      <c r="W459" s="260">
        <v>45536</v>
      </c>
    </row>
    <row r="460" spans="1:23" hidden="1" x14ac:dyDescent="0.35">
      <c r="A460" s="472" t="s">
        <v>526</v>
      </c>
      <c r="B460" s="472" t="s">
        <v>159</v>
      </c>
      <c r="C460" s="472" t="s">
        <v>281</v>
      </c>
      <c r="D460" s="472" t="s">
        <v>290</v>
      </c>
      <c r="E460" s="472" t="s">
        <v>291</v>
      </c>
      <c r="F460" s="472" t="s">
        <v>276</v>
      </c>
      <c r="G460" s="472" t="s">
        <v>527</v>
      </c>
      <c r="H460" s="472"/>
      <c r="I460" s="472" t="s">
        <v>277</v>
      </c>
      <c r="J460" s="472" t="s">
        <v>528</v>
      </c>
      <c r="K460" s="472" t="s">
        <v>284</v>
      </c>
      <c r="L460" s="472" t="s">
        <v>597</v>
      </c>
      <c r="M460" s="472" t="s">
        <v>285</v>
      </c>
      <c r="N460" s="472"/>
      <c r="O460" s="472"/>
      <c r="P460" s="472" t="s">
        <v>528</v>
      </c>
      <c r="Q460" s="472"/>
      <c r="R460" s="473">
        <v>45566</v>
      </c>
      <c r="S460" s="472"/>
      <c r="T460" s="473">
        <v>45565</v>
      </c>
      <c r="U460" s="474">
        <v>0</v>
      </c>
      <c r="V460" s="475">
        <v>616.34</v>
      </c>
      <c r="W460" s="260">
        <v>45536</v>
      </c>
    </row>
    <row r="461" spans="1:23" hidden="1" x14ac:dyDescent="0.35">
      <c r="A461" s="472" t="s">
        <v>526</v>
      </c>
      <c r="B461" s="472" t="s">
        <v>159</v>
      </c>
      <c r="C461" s="472" t="s">
        <v>281</v>
      </c>
      <c r="D461" s="472" t="s">
        <v>292</v>
      </c>
      <c r="E461" s="472" t="s">
        <v>293</v>
      </c>
      <c r="F461" s="472" t="s">
        <v>276</v>
      </c>
      <c r="G461" s="472" t="s">
        <v>527</v>
      </c>
      <c r="H461" s="472"/>
      <c r="I461" s="472" t="s">
        <v>277</v>
      </c>
      <c r="J461" s="472" t="s">
        <v>528</v>
      </c>
      <c r="K461" s="472" t="s">
        <v>294</v>
      </c>
      <c r="L461" s="472" t="s">
        <v>597</v>
      </c>
      <c r="M461" s="472" t="s">
        <v>285</v>
      </c>
      <c r="N461" s="472"/>
      <c r="O461" s="472"/>
      <c r="P461" s="472" t="s">
        <v>528</v>
      </c>
      <c r="Q461" s="472"/>
      <c r="R461" s="473">
        <v>45566</v>
      </c>
      <c r="S461" s="472"/>
      <c r="T461" s="473">
        <v>45565</v>
      </c>
      <c r="U461" s="474">
        <v>0</v>
      </c>
      <c r="V461" s="475">
        <v>873.95</v>
      </c>
      <c r="W461" s="260">
        <v>45536</v>
      </c>
    </row>
    <row r="462" spans="1:23" hidden="1" x14ac:dyDescent="0.35">
      <c r="A462" s="472" t="s">
        <v>526</v>
      </c>
      <c r="B462" s="472" t="s">
        <v>159</v>
      </c>
      <c r="C462" s="472" t="s">
        <v>286</v>
      </c>
      <c r="D462" s="472" t="s">
        <v>295</v>
      </c>
      <c r="E462" s="472" t="s">
        <v>296</v>
      </c>
      <c r="F462" s="472" t="s">
        <v>276</v>
      </c>
      <c r="G462" s="472" t="s">
        <v>527</v>
      </c>
      <c r="H462" s="472"/>
      <c r="I462" s="472" t="s">
        <v>277</v>
      </c>
      <c r="J462" s="472" t="s">
        <v>528</v>
      </c>
      <c r="K462" s="472" t="s">
        <v>297</v>
      </c>
      <c r="L462" s="472" t="s">
        <v>597</v>
      </c>
      <c r="M462" s="472" t="s">
        <v>285</v>
      </c>
      <c r="N462" s="472"/>
      <c r="O462" s="472"/>
      <c r="P462" s="472" t="s">
        <v>528</v>
      </c>
      <c r="Q462" s="472"/>
      <c r="R462" s="473">
        <v>45566</v>
      </c>
      <c r="S462" s="472"/>
      <c r="T462" s="473">
        <v>45565</v>
      </c>
      <c r="U462" s="474">
        <v>0</v>
      </c>
      <c r="V462" s="475">
        <v>1101.0899999999999</v>
      </c>
      <c r="W462" s="260">
        <v>45536</v>
      </c>
    </row>
    <row r="463" spans="1:23" hidden="1" x14ac:dyDescent="0.35">
      <c r="A463" s="472" t="s">
        <v>526</v>
      </c>
      <c r="B463" s="472" t="s">
        <v>159</v>
      </c>
      <c r="C463" s="472" t="s">
        <v>302</v>
      </c>
      <c r="D463" s="472" t="s">
        <v>299</v>
      </c>
      <c r="E463" s="472" t="s">
        <v>300</v>
      </c>
      <c r="F463" s="472" t="s">
        <v>276</v>
      </c>
      <c r="G463" s="472" t="s">
        <v>527</v>
      </c>
      <c r="H463" s="472"/>
      <c r="I463" s="472" t="s">
        <v>277</v>
      </c>
      <c r="J463" s="472" t="s">
        <v>528</v>
      </c>
      <c r="K463" s="472" t="s">
        <v>303</v>
      </c>
      <c r="L463" s="472" t="s">
        <v>597</v>
      </c>
      <c r="M463" s="472" t="s">
        <v>285</v>
      </c>
      <c r="N463" s="472"/>
      <c r="O463" s="472"/>
      <c r="P463" s="472" t="s">
        <v>528</v>
      </c>
      <c r="Q463" s="472"/>
      <c r="R463" s="473">
        <v>45567</v>
      </c>
      <c r="S463" s="472"/>
      <c r="T463" s="473">
        <v>45565</v>
      </c>
      <c r="U463" s="474">
        <v>0</v>
      </c>
      <c r="V463" s="475">
        <v>0.06</v>
      </c>
      <c r="W463" s="260">
        <v>45536</v>
      </c>
    </row>
    <row r="464" spans="1:23" hidden="1" x14ac:dyDescent="0.35">
      <c r="A464" s="472" t="s">
        <v>526</v>
      </c>
      <c r="B464" s="472" t="s">
        <v>159</v>
      </c>
      <c r="C464" s="472" t="s">
        <v>302</v>
      </c>
      <c r="D464" s="472" t="s">
        <v>304</v>
      </c>
      <c r="E464" s="472" t="s">
        <v>305</v>
      </c>
      <c r="F464" s="472" t="s">
        <v>276</v>
      </c>
      <c r="G464" s="472" t="s">
        <v>527</v>
      </c>
      <c r="H464" s="472"/>
      <c r="I464" s="472" t="s">
        <v>277</v>
      </c>
      <c r="J464" s="472" t="s">
        <v>528</v>
      </c>
      <c r="K464" s="472" t="s">
        <v>303</v>
      </c>
      <c r="L464" s="472" t="s">
        <v>597</v>
      </c>
      <c r="M464" s="472" t="s">
        <v>285</v>
      </c>
      <c r="N464" s="472"/>
      <c r="O464" s="472"/>
      <c r="P464" s="472" t="s">
        <v>528</v>
      </c>
      <c r="Q464" s="472"/>
      <c r="R464" s="473">
        <v>45567</v>
      </c>
      <c r="S464" s="472"/>
      <c r="T464" s="473">
        <v>45565</v>
      </c>
      <c r="U464" s="474">
        <v>0</v>
      </c>
      <c r="V464" s="475">
        <v>0.09</v>
      </c>
      <c r="W464" s="260">
        <v>45536</v>
      </c>
    </row>
    <row r="465" spans="1:23" hidden="1" x14ac:dyDescent="0.35">
      <c r="A465" s="472" t="s">
        <v>526</v>
      </c>
      <c r="B465" s="472" t="s">
        <v>159</v>
      </c>
      <c r="C465" s="472" t="s">
        <v>302</v>
      </c>
      <c r="D465" s="472" t="s">
        <v>306</v>
      </c>
      <c r="E465" s="472" t="s">
        <v>307</v>
      </c>
      <c r="F465" s="472" t="s">
        <v>276</v>
      </c>
      <c r="G465" s="472" t="s">
        <v>527</v>
      </c>
      <c r="H465" s="472"/>
      <c r="I465" s="472" t="s">
        <v>277</v>
      </c>
      <c r="J465" s="472" t="s">
        <v>528</v>
      </c>
      <c r="K465" s="472" t="s">
        <v>303</v>
      </c>
      <c r="L465" s="472" t="s">
        <v>597</v>
      </c>
      <c r="M465" s="472" t="s">
        <v>285</v>
      </c>
      <c r="N465" s="472"/>
      <c r="O465" s="472"/>
      <c r="P465" s="472" t="s">
        <v>528</v>
      </c>
      <c r="Q465" s="472"/>
      <c r="R465" s="473">
        <v>45567</v>
      </c>
      <c r="S465" s="472"/>
      <c r="T465" s="473">
        <v>45565</v>
      </c>
      <c r="U465" s="474">
        <v>0</v>
      </c>
      <c r="V465" s="475">
        <v>0.1</v>
      </c>
      <c r="W465" s="260">
        <v>45536</v>
      </c>
    </row>
    <row r="466" spans="1:23" hidden="1" x14ac:dyDescent="0.35">
      <c r="A466" s="472" t="s">
        <v>526</v>
      </c>
      <c r="B466" s="472" t="s">
        <v>159</v>
      </c>
      <c r="C466" s="472" t="s">
        <v>302</v>
      </c>
      <c r="D466" s="472" t="s">
        <v>308</v>
      </c>
      <c r="E466" s="472" t="s">
        <v>309</v>
      </c>
      <c r="F466" s="472" t="s">
        <v>276</v>
      </c>
      <c r="G466" s="472" t="s">
        <v>527</v>
      </c>
      <c r="H466" s="472"/>
      <c r="I466" s="472" t="s">
        <v>277</v>
      </c>
      <c r="J466" s="472" t="s">
        <v>528</v>
      </c>
      <c r="K466" s="472" t="s">
        <v>303</v>
      </c>
      <c r="L466" s="472" t="s">
        <v>597</v>
      </c>
      <c r="M466" s="472" t="s">
        <v>285</v>
      </c>
      <c r="N466" s="472"/>
      <c r="O466" s="472"/>
      <c r="P466" s="472" t="s">
        <v>528</v>
      </c>
      <c r="Q466" s="472"/>
      <c r="R466" s="473">
        <v>45567</v>
      </c>
      <c r="S466" s="472"/>
      <c r="T466" s="473">
        <v>45565</v>
      </c>
      <c r="U466" s="474">
        <v>0</v>
      </c>
      <c r="V466" s="475">
        <v>24.7</v>
      </c>
      <c r="W466" s="260">
        <v>45536</v>
      </c>
    </row>
    <row r="467" spans="1:23" hidden="1" x14ac:dyDescent="0.35">
      <c r="A467" s="472" t="s">
        <v>526</v>
      </c>
      <c r="B467" s="472" t="s">
        <v>159</v>
      </c>
      <c r="C467" s="472" t="s">
        <v>302</v>
      </c>
      <c r="D467" s="472" t="s">
        <v>308</v>
      </c>
      <c r="E467" s="472" t="s">
        <v>309</v>
      </c>
      <c r="F467" s="472" t="s">
        <v>276</v>
      </c>
      <c r="G467" s="472" t="s">
        <v>527</v>
      </c>
      <c r="H467" s="472"/>
      <c r="I467" s="472" t="s">
        <v>277</v>
      </c>
      <c r="J467" s="472" t="s">
        <v>528</v>
      </c>
      <c r="K467" s="472" t="s">
        <v>303</v>
      </c>
      <c r="L467" s="472" t="s">
        <v>597</v>
      </c>
      <c r="M467" s="472" t="s">
        <v>285</v>
      </c>
      <c r="N467" s="472"/>
      <c r="O467" s="472"/>
      <c r="P467" s="472" t="s">
        <v>528</v>
      </c>
      <c r="Q467" s="472"/>
      <c r="R467" s="473">
        <v>45567</v>
      </c>
      <c r="S467" s="472"/>
      <c r="T467" s="473">
        <v>45565</v>
      </c>
      <c r="U467" s="474">
        <v>0</v>
      </c>
      <c r="V467" s="475">
        <v>563.95000000000005</v>
      </c>
      <c r="W467" s="260">
        <v>45536</v>
      </c>
    </row>
    <row r="468" spans="1:23" hidden="1" x14ac:dyDescent="0.35">
      <c r="A468" s="472" t="s">
        <v>526</v>
      </c>
      <c r="B468" s="472" t="s">
        <v>159</v>
      </c>
      <c r="C468" s="472" t="s">
        <v>302</v>
      </c>
      <c r="D468" s="472" t="s">
        <v>310</v>
      </c>
      <c r="E468" s="472" t="s">
        <v>311</v>
      </c>
      <c r="F468" s="472" t="s">
        <v>276</v>
      </c>
      <c r="G468" s="472" t="s">
        <v>527</v>
      </c>
      <c r="H468" s="472"/>
      <c r="I468" s="472" t="s">
        <v>277</v>
      </c>
      <c r="J468" s="472" t="s">
        <v>528</v>
      </c>
      <c r="K468" s="472" t="s">
        <v>303</v>
      </c>
      <c r="L468" s="472" t="s">
        <v>597</v>
      </c>
      <c r="M468" s="472" t="s">
        <v>285</v>
      </c>
      <c r="N468" s="472"/>
      <c r="O468" s="472"/>
      <c r="P468" s="472" t="s">
        <v>528</v>
      </c>
      <c r="Q468" s="472"/>
      <c r="R468" s="473">
        <v>45567</v>
      </c>
      <c r="S468" s="472"/>
      <c r="T468" s="473">
        <v>45565</v>
      </c>
      <c r="U468" s="474">
        <v>0</v>
      </c>
      <c r="V468" s="475">
        <v>924.22</v>
      </c>
      <c r="W468" s="260">
        <v>45536</v>
      </c>
    </row>
    <row r="469" spans="1:23" hidden="1" x14ac:dyDescent="0.35">
      <c r="A469" s="472" t="s">
        <v>526</v>
      </c>
      <c r="B469" s="472" t="s">
        <v>159</v>
      </c>
      <c r="C469" s="472" t="s">
        <v>302</v>
      </c>
      <c r="D469" s="472" t="s">
        <v>312</v>
      </c>
      <c r="E469" s="472" t="s">
        <v>313</v>
      </c>
      <c r="F469" s="472" t="s">
        <v>276</v>
      </c>
      <c r="G469" s="472" t="s">
        <v>527</v>
      </c>
      <c r="H469" s="472"/>
      <c r="I469" s="472" t="s">
        <v>277</v>
      </c>
      <c r="J469" s="472" t="s">
        <v>528</v>
      </c>
      <c r="K469" s="472" t="s">
        <v>303</v>
      </c>
      <c r="L469" s="472" t="s">
        <v>597</v>
      </c>
      <c r="M469" s="472" t="s">
        <v>285</v>
      </c>
      <c r="N469" s="472"/>
      <c r="O469" s="472"/>
      <c r="P469" s="472" t="s">
        <v>528</v>
      </c>
      <c r="Q469" s="472"/>
      <c r="R469" s="473">
        <v>45567</v>
      </c>
      <c r="S469" s="472"/>
      <c r="T469" s="473">
        <v>45565</v>
      </c>
      <c r="U469" s="474">
        <v>0</v>
      </c>
      <c r="V469" s="475">
        <v>-22.16</v>
      </c>
      <c r="W469" s="260">
        <v>45536</v>
      </c>
    </row>
    <row r="470" spans="1:23" hidden="1" x14ac:dyDescent="0.35">
      <c r="A470" s="472" t="s">
        <v>526</v>
      </c>
      <c r="B470" s="472" t="s">
        <v>159</v>
      </c>
      <c r="C470" s="472" t="s">
        <v>302</v>
      </c>
      <c r="D470" s="472" t="s">
        <v>314</v>
      </c>
      <c r="E470" s="472" t="s">
        <v>315</v>
      </c>
      <c r="F470" s="472" t="s">
        <v>276</v>
      </c>
      <c r="G470" s="472" t="s">
        <v>527</v>
      </c>
      <c r="H470" s="472"/>
      <c r="I470" s="472" t="s">
        <v>277</v>
      </c>
      <c r="J470" s="472" t="s">
        <v>528</v>
      </c>
      <c r="K470" s="472" t="s">
        <v>303</v>
      </c>
      <c r="L470" s="472" t="s">
        <v>597</v>
      </c>
      <c r="M470" s="472" t="s">
        <v>285</v>
      </c>
      <c r="N470" s="472"/>
      <c r="O470" s="472"/>
      <c r="P470" s="472" t="s">
        <v>528</v>
      </c>
      <c r="Q470" s="472"/>
      <c r="R470" s="473">
        <v>45567</v>
      </c>
      <c r="S470" s="472"/>
      <c r="T470" s="473">
        <v>45565</v>
      </c>
      <c r="U470" s="474">
        <v>0</v>
      </c>
      <c r="V470" s="475">
        <v>8.69</v>
      </c>
      <c r="W470" s="260">
        <v>45536</v>
      </c>
    </row>
    <row r="471" spans="1:23" hidden="1" x14ac:dyDescent="0.35">
      <c r="A471" s="472" t="s">
        <v>526</v>
      </c>
      <c r="B471" s="472" t="s">
        <v>159</v>
      </c>
      <c r="C471" s="472" t="s">
        <v>302</v>
      </c>
      <c r="D471" s="472" t="s">
        <v>316</v>
      </c>
      <c r="E471" s="472" t="s">
        <v>317</v>
      </c>
      <c r="F471" s="472" t="s">
        <v>276</v>
      </c>
      <c r="G471" s="472" t="s">
        <v>527</v>
      </c>
      <c r="H471" s="472"/>
      <c r="I471" s="472" t="s">
        <v>277</v>
      </c>
      <c r="J471" s="472" t="s">
        <v>528</v>
      </c>
      <c r="K471" s="472" t="s">
        <v>303</v>
      </c>
      <c r="L471" s="472" t="s">
        <v>597</v>
      </c>
      <c r="M471" s="472" t="s">
        <v>285</v>
      </c>
      <c r="N471" s="472"/>
      <c r="O471" s="472"/>
      <c r="P471" s="472" t="s">
        <v>528</v>
      </c>
      <c r="Q471" s="472"/>
      <c r="R471" s="473">
        <v>45567</v>
      </c>
      <c r="S471" s="472"/>
      <c r="T471" s="473">
        <v>45565</v>
      </c>
      <c r="U471" s="474">
        <v>0</v>
      </c>
      <c r="V471" s="475">
        <v>13.59</v>
      </c>
      <c r="W471" s="260">
        <v>45536</v>
      </c>
    </row>
    <row r="472" spans="1:23" hidden="1" x14ac:dyDescent="0.35">
      <c r="A472" s="472" t="s">
        <v>526</v>
      </c>
      <c r="B472" s="472" t="s">
        <v>159</v>
      </c>
      <c r="C472" s="472" t="s">
        <v>302</v>
      </c>
      <c r="D472" s="472" t="s">
        <v>318</v>
      </c>
      <c r="E472" s="472" t="s">
        <v>319</v>
      </c>
      <c r="F472" s="472" t="s">
        <v>276</v>
      </c>
      <c r="G472" s="472" t="s">
        <v>527</v>
      </c>
      <c r="H472" s="472"/>
      <c r="I472" s="472" t="s">
        <v>277</v>
      </c>
      <c r="J472" s="472" t="s">
        <v>528</v>
      </c>
      <c r="K472" s="472" t="s">
        <v>303</v>
      </c>
      <c r="L472" s="472" t="s">
        <v>597</v>
      </c>
      <c r="M472" s="472" t="s">
        <v>285</v>
      </c>
      <c r="N472" s="472"/>
      <c r="O472" s="472"/>
      <c r="P472" s="472" t="s">
        <v>528</v>
      </c>
      <c r="Q472" s="472"/>
      <c r="R472" s="473">
        <v>45567</v>
      </c>
      <c r="S472" s="472"/>
      <c r="T472" s="473">
        <v>45565</v>
      </c>
      <c r="U472" s="474">
        <v>0</v>
      </c>
      <c r="V472" s="475">
        <v>0.55000000000000004</v>
      </c>
      <c r="W472" s="260">
        <v>45536</v>
      </c>
    </row>
    <row r="473" spans="1:23" hidden="1" x14ac:dyDescent="0.35">
      <c r="A473" s="472" t="s">
        <v>526</v>
      </c>
      <c r="B473" s="472" t="s">
        <v>159</v>
      </c>
      <c r="C473" s="472" t="s">
        <v>302</v>
      </c>
      <c r="D473" s="472" t="s">
        <v>391</v>
      </c>
      <c r="E473" s="472" t="s">
        <v>392</v>
      </c>
      <c r="F473" s="472" t="s">
        <v>276</v>
      </c>
      <c r="G473" s="472" t="s">
        <v>527</v>
      </c>
      <c r="H473" s="472"/>
      <c r="I473" s="472" t="s">
        <v>277</v>
      </c>
      <c r="J473" s="472" t="s">
        <v>528</v>
      </c>
      <c r="K473" s="472" t="s">
        <v>303</v>
      </c>
      <c r="L473" s="472" t="s">
        <v>597</v>
      </c>
      <c r="M473" s="472" t="s">
        <v>285</v>
      </c>
      <c r="N473" s="472"/>
      <c r="O473" s="472"/>
      <c r="P473" s="472" t="s">
        <v>528</v>
      </c>
      <c r="Q473" s="472"/>
      <c r="R473" s="473">
        <v>45567</v>
      </c>
      <c r="S473" s="472"/>
      <c r="T473" s="473">
        <v>45565</v>
      </c>
      <c r="U473" s="474">
        <v>0</v>
      </c>
      <c r="V473" s="475">
        <v>0.25</v>
      </c>
      <c r="W473" s="260">
        <v>45536</v>
      </c>
    </row>
    <row r="474" spans="1:23" hidden="1" x14ac:dyDescent="0.35">
      <c r="A474" s="472" t="s">
        <v>526</v>
      </c>
      <c r="B474" s="472" t="s">
        <v>159</v>
      </c>
      <c r="C474" s="472" t="s">
        <v>302</v>
      </c>
      <c r="D474" s="472" t="s">
        <v>320</v>
      </c>
      <c r="E474" s="472" t="s">
        <v>321</v>
      </c>
      <c r="F474" s="472" t="s">
        <v>276</v>
      </c>
      <c r="G474" s="472" t="s">
        <v>527</v>
      </c>
      <c r="H474" s="472"/>
      <c r="I474" s="472" t="s">
        <v>277</v>
      </c>
      <c r="J474" s="472" t="s">
        <v>528</v>
      </c>
      <c r="K474" s="472" t="s">
        <v>303</v>
      </c>
      <c r="L474" s="472" t="s">
        <v>597</v>
      </c>
      <c r="M474" s="472" t="s">
        <v>285</v>
      </c>
      <c r="N474" s="472"/>
      <c r="O474" s="472"/>
      <c r="P474" s="472" t="s">
        <v>528</v>
      </c>
      <c r="Q474" s="472"/>
      <c r="R474" s="473">
        <v>45567</v>
      </c>
      <c r="S474" s="472"/>
      <c r="T474" s="473">
        <v>45565</v>
      </c>
      <c r="U474" s="474">
        <v>0</v>
      </c>
      <c r="V474" s="475">
        <v>5.03</v>
      </c>
      <c r="W474" s="260">
        <v>45536</v>
      </c>
    </row>
    <row r="475" spans="1:23" hidden="1" x14ac:dyDescent="0.35">
      <c r="A475" s="472" t="s">
        <v>526</v>
      </c>
      <c r="B475" s="472" t="s">
        <v>159</v>
      </c>
      <c r="C475" s="472" t="s">
        <v>302</v>
      </c>
      <c r="D475" s="472" t="s">
        <v>322</v>
      </c>
      <c r="E475" s="472" t="s">
        <v>323</v>
      </c>
      <c r="F475" s="472" t="s">
        <v>276</v>
      </c>
      <c r="G475" s="472" t="s">
        <v>527</v>
      </c>
      <c r="H475" s="472"/>
      <c r="I475" s="472" t="s">
        <v>277</v>
      </c>
      <c r="J475" s="472" t="s">
        <v>528</v>
      </c>
      <c r="K475" s="472" t="s">
        <v>303</v>
      </c>
      <c r="L475" s="472" t="s">
        <v>597</v>
      </c>
      <c r="M475" s="472" t="s">
        <v>285</v>
      </c>
      <c r="N475" s="472"/>
      <c r="O475" s="472"/>
      <c r="P475" s="472" t="s">
        <v>528</v>
      </c>
      <c r="Q475" s="472"/>
      <c r="R475" s="473">
        <v>45567</v>
      </c>
      <c r="S475" s="472"/>
      <c r="T475" s="473">
        <v>45565</v>
      </c>
      <c r="U475" s="474">
        <v>0</v>
      </c>
      <c r="V475" s="475">
        <v>0.04</v>
      </c>
      <c r="W475" s="260">
        <v>45536</v>
      </c>
    </row>
    <row r="476" spans="1:23" hidden="1" x14ac:dyDescent="0.35">
      <c r="A476" s="472" t="s">
        <v>526</v>
      </c>
      <c r="B476" s="472" t="s">
        <v>159</v>
      </c>
      <c r="C476" s="472" t="s">
        <v>302</v>
      </c>
      <c r="D476" s="472" t="s">
        <v>324</v>
      </c>
      <c r="E476" s="472" t="s">
        <v>325</v>
      </c>
      <c r="F476" s="472" t="s">
        <v>276</v>
      </c>
      <c r="G476" s="472" t="s">
        <v>527</v>
      </c>
      <c r="H476" s="472"/>
      <c r="I476" s="472" t="s">
        <v>277</v>
      </c>
      <c r="J476" s="472" t="s">
        <v>528</v>
      </c>
      <c r="K476" s="472" t="s">
        <v>303</v>
      </c>
      <c r="L476" s="472" t="s">
        <v>597</v>
      </c>
      <c r="M476" s="472" t="s">
        <v>285</v>
      </c>
      <c r="N476" s="472"/>
      <c r="O476" s="472"/>
      <c r="P476" s="472" t="s">
        <v>528</v>
      </c>
      <c r="Q476" s="472"/>
      <c r="R476" s="473">
        <v>45567</v>
      </c>
      <c r="S476" s="472"/>
      <c r="T476" s="473">
        <v>45565</v>
      </c>
      <c r="U476" s="474">
        <v>0</v>
      </c>
      <c r="V476" s="475">
        <v>34.94</v>
      </c>
      <c r="W476" s="260">
        <v>45536</v>
      </c>
    </row>
    <row r="477" spans="1:23" hidden="1" x14ac:dyDescent="0.35">
      <c r="A477" s="472" t="s">
        <v>526</v>
      </c>
      <c r="B477" s="472" t="s">
        <v>159</v>
      </c>
      <c r="C477" s="472" t="s">
        <v>302</v>
      </c>
      <c r="D477" s="472" t="s">
        <v>326</v>
      </c>
      <c r="E477" s="472" t="s">
        <v>327</v>
      </c>
      <c r="F477" s="472" t="s">
        <v>276</v>
      </c>
      <c r="G477" s="472" t="s">
        <v>527</v>
      </c>
      <c r="H477" s="472"/>
      <c r="I477" s="472" t="s">
        <v>277</v>
      </c>
      <c r="J477" s="472" t="s">
        <v>528</v>
      </c>
      <c r="K477" s="472" t="s">
        <v>303</v>
      </c>
      <c r="L477" s="472" t="s">
        <v>597</v>
      </c>
      <c r="M477" s="472" t="s">
        <v>285</v>
      </c>
      <c r="N477" s="472"/>
      <c r="O477" s="472"/>
      <c r="P477" s="472" t="s">
        <v>528</v>
      </c>
      <c r="Q477" s="472"/>
      <c r="R477" s="473">
        <v>45567</v>
      </c>
      <c r="S477" s="472"/>
      <c r="T477" s="473">
        <v>45565</v>
      </c>
      <c r="U477" s="474">
        <v>0</v>
      </c>
      <c r="V477" s="475">
        <v>0.89</v>
      </c>
      <c r="W477" s="260">
        <v>45536</v>
      </c>
    </row>
    <row r="478" spans="1:23" hidden="1" x14ac:dyDescent="0.35">
      <c r="A478" s="472" t="s">
        <v>526</v>
      </c>
      <c r="B478" s="472" t="s">
        <v>159</v>
      </c>
      <c r="C478" s="472" t="s">
        <v>302</v>
      </c>
      <c r="D478" s="472" t="s">
        <v>328</v>
      </c>
      <c r="E478" s="472" t="s">
        <v>329</v>
      </c>
      <c r="F478" s="472" t="s">
        <v>276</v>
      </c>
      <c r="G478" s="472" t="s">
        <v>527</v>
      </c>
      <c r="H478" s="472"/>
      <c r="I478" s="472" t="s">
        <v>277</v>
      </c>
      <c r="J478" s="472" t="s">
        <v>528</v>
      </c>
      <c r="K478" s="472" t="s">
        <v>303</v>
      </c>
      <c r="L478" s="472" t="s">
        <v>597</v>
      </c>
      <c r="M478" s="472" t="s">
        <v>285</v>
      </c>
      <c r="N478" s="472"/>
      <c r="O478" s="472"/>
      <c r="P478" s="472" t="s">
        <v>528</v>
      </c>
      <c r="Q478" s="472"/>
      <c r="R478" s="473">
        <v>45567</v>
      </c>
      <c r="S478" s="472"/>
      <c r="T478" s="473">
        <v>45565</v>
      </c>
      <c r="U478" s="474">
        <v>0</v>
      </c>
      <c r="V478" s="475">
        <v>141.83000000000001</v>
      </c>
      <c r="W478" s="260">
        <v>45536</v>
      </c>
    </row>
    <row r="479" spans="1:23" hidden="1" x14ac:dyDescent="0.35">
      <c r="A479" s="472" t="s">
        <v>526</v>
      </c>
      <c r="B479" s="472" t="s">
        <v>159</v>
      </c>
      <c r="C479" s="472" t="s">
        <v>302</v>
      </c>
      <c r="D479" s="472" t="s">
        <v>330</v>
      </c>
      <c r="E479" s="472" t="s">
        <v>331</v>
      </c>
      <c r="F479" s="472" t="s">
        <v>276</v>
      </c>
      <c r="G479" s="472" t="s">
        <v>527</v>
      </c>
      <c r="H479" s="472"/>
      <c r="I479" s="472" t="s">
        <v>277</v>
      </c>
      <c r="J479" s="472" t="s">
        <v>528</v>
      </c>
      <c r="K479" s="472" t="s">
        <v>303</v>
      </c>
      <c r="L479" s="472" t="s">
        <v>597</v>
      </c>
      <c r="M479" s="472" t="s">
        <v>285</v>
      </c>
      <c r="N479" s="472"/>
      <c r="O479" s="472"/>
      <c r="P479" s="472" t="s">
        <v>528</v>
      </c>
      <c r="Q479" s="472"/>
      <c r="R479" s="473">
        <v>45567</v>
      </c>
      <c r="S479" s="472"/>
      <c r="T479" s="473">
        <v>45565</v>
      </c>
      <c r="U479" s="474">
        <v>0</v>
      </c>
      <c r="V479" s="475">
        <v>-3.15</v>
      </c>
      <c r="W479" s="260">
        <v>45536</v>
      </c>
    </row>
    <row r="480" spans="1:23" hidden="1" x14ac:dyDescent="0.35">
      <c r="A480" s="472" t="s">
        <v>526</v>
      </c>
      <c r="B480" s="472" t="s">
        <v>159</v>
      </c>
      <c r="C480" s="472" t="s">
        <v>302</v>
      </c>
      <c r="D480" s="472" t="s">
        <v>332</v>
      </c>
      <c r="E480" s="472" t="s">
        <v>333</v>
      </c>
      <c r="F480" s="472" t="s">
        <v>276</v>
      </c>
      <c r="G480" s="472" t="s">
        <v>527</v>
      </c>
      <c r="H480" s="472"/>
      <c r="I480" s="472" t="s">
        <v>277</v>
      </c>
      <c r="J480" s="472" t="s">
        <v>528</v>
      </c>
      <c r="K480" s="472" t="s">
        <v>303</v>
      </c>
      <c r="L480" s="472" t="s">
        <v>597</v>
      </c>
      <c r="M480" s="472" t="s">
        <v>285</v>
      </c>
      <c r="N480" s="472"/>
      <c r="O480" s="472"/>
      <c r="P480" s="472" t="s">
        <v>528</v>
      </c>
      <c r="Q480" s="472"/>
      <c r="R480" s="473">
        <v>45567</v>
      </c>
      <c r="S480" s="472"/>
      <c r="T480" s="473">
        <v>45565</v>
      </c>
      <c r="U480" s="474">
        <v>0</v>
      </c>
      <c r="V480" s="475">
        <v>17.690000000000001</v>
      </c>
      <c r="W480" s="260">
        <v>45536</v>
      </c>
    </row>
    <row r="481" spans="1:23" hidden="1" x14ac:dyDescent="0.35">
      <c r="A481" s="472" t="s">
        <v>526</v>
      </c>
      <c r="B481" s="472" t="s">
        <v>159</v>
      </c>
      <c r="C481" s="472" t="s">
        <v>302</v>
      </c>
      <c r="D481" s="472" t="s">
        <v>334</v>
      </c>
      <c r="E481" s="472" t="s">
        <v>335</v>
      </c>
      <c r="F481" s="472" t="s">
        <v>276</v>
      </c>
      <c r="G481" s="472" t="s">
        <v>527</v>
      </c>
      <c r="H481" s="472"/>
      <c r="I481" s="472" t="s">
        <v>277</v>
      </c>
      <c r="J481" s="472" t="s">
        <v>528</v>
      </c>
      <c r="K481" s="472" t="s">
        <v>303</v>
      </c>
      <c r="L481" s="472" t="s">
        <v>597</v>
      </c>
      <c r="M481" s="472" t="s">
        <v>285</v>
      </c>
      <c r="N481" s="472"/>
      <c r="O481" s="472"/>
      <c r="P481" s="472" t="s">
        <v>528</v>
      </c>
      <c r="Q481" s="472"/>
      <c r="R481" s="473">
        <v>45567</v>
      </c>
      <c r="S481" s="472"/>
      <c r="T481" s="473">
        <v>45565</v>
      </c>
      <c r="U481" s="474">
        <v>0</v>
      </c>
      <c r="V481" s="475">
        <v>-1.1299999999999999</v>
      </c>
      <c r="W481" s="260">
        <v>45536</v>
      </c>
    </row>
    <row r="482" spans="1:23" hidden="1" x14ac:dyDescent="0.35">
      <c r="A482" s="472" t="s">
        <v>526</v>
      </c>
      <c r="B482" s="472" t="s">
        <v>159</v>
      </c>
      <c r="C482" s="472" t="s">
        <v>302</v>
      </c>
      <c r="D482" s="472" t="s">
        <v>336</v>
      </c>
      <c r="E482" s="472" t="s">
        <v>337</v>
      </c>
      <c r="F482" s="472" t="s">
        <v>276</v>
      </c>
      <c r="G482" s="472" t="s">
        <v>527</v>
      </c>
      <c r="H482" s="472"/>
      <c r="I482" s="472" t="s">
        <v>277</v>
      </c>
      <c r="J482" s="472" t="s">
        <v>528</v>
      </c>
      <c r="K482" s="472" t="s">
        <v>303</v>
      </c>
      <c r="L482" s="472" t="s">
        <v>597</v>
      </c>
      <c r="M482" s="472" t="s">
        <v>285</v>
      </c>
      <c r="N482" s="472"/>
      <c r="O482" s="472"/>
      <c r="P482" s="472" t="s">
        <v>528</v>
      </c>
      <c r="Q482" s="472"/>
      <c r="R482" s="473">
        <v>45567</v>
      </c>
      <c r="S482" s="472"/>
      <c r="T482" s="473">
        <v>45565</v>
      </c>
      <c r="U482" s="474">
        <v>0</v>
      </c>
      <c r="V482" s="475">
        <v>0.04</v>
      </c>
      <c r="W482" s="260">
        <v>45536</v>
      </c>
    </row>
    <row r="483" spans="1:23" hidden="1" x14ac:dyDescent="0.35">
      <c r="A483" s="472" t="s">
        <v>526</v>
      </c>
      <c r="B483" s="472" t="s">
        <v>159</v>
      </c>
      <c r="C483" s="472" t="s">
        <v>302</v>
      </c>
      <c r="D483" s="472" t="s">
        <v>397</v>
      </c>
      <c r="E483" s="472" t="s">
        <v>398</v>
      </c>
      <c r="F483" s="472" t="s">
        <v>276</v>
      </c>
      <c r="G483" s="472" t="s">
        <v>527</v>
      </c>
      <c r="H483" s="472"/>
      <c r="I483" s="472" t="s">
        <v>277</v>
      </c>
      <c r="J483" s="472" t="s">
        <v>528</v>
      </c>
      <c r="K483" s="472" t="s">
        <v>303</v>
      </c>
      <c r="L483" s="472" t="s">
        <v>597</v>
      </c>
      <c r="M483" s="472" t="s">
        <v>285</v>
      </c>
      <c r="N483" s="472"/>
      <c r="O483" s="472"/>
      <c r="P483" s="472" t="s">
        <v>528</v>
      </c>
      <c r="Q483" s="472"/>
      <c r="R483" s="473">
        <v>45567</v>
      </c>
      <c r="S483" s="472"/>
      <c r="T483" s="473">
        <v>45565</v>
      </c>
      <c r="U483" s="474">
        <v>0</v>
      </c>
      <c r="V483" s="475">
        <v>0.02</v>
      </c>
      <c r="W483" s="260">
        <v>45536</v>
      </c>
    </row>
    <row r="484" spans="1:23" hidden="1" x14ac:dyDescent="0.35">
      <c r="A484" s="472" t="s">
        <v>526</v>
      </c>
      <c r="B484" s="472" t="s">
        <v>159</v>
      </c>
      <c r="C484" s="472" t="s">
        <v>302</v>
      </c>
      <c r="D484" s="472" t="s">
        <v>338</v>
      </c>
      <c r="E484" s="472" t="s">
        <v>339</v>
      </c>
      <c r="F484" s="472" t="s">
        <v>276</v>
      </c>
      <c r="G484" s="472" t="s">
        <v>527</v>
      </c>
      <c r="H484" s="472"/>
      <c r="I484" s="472" t="s">
        <v>277</v>
      </c>
      <c r="J484" s="472" t="s">
        <v>528</v>
      </c>
      <c r="K484" s="472" t="s">
        <v>303</v>
      </c>
      <c r="L484" s="472" t="s">
        <v>597</v>
      </c>
      <c r="M484" s="472" t="s">
        <v>285</v>
      </c>
      <c r="N484" s="472"/>
      <c r="O484" s="472"/>
      <c r="P484" s="472" t="s">
        <v>528</v>
      </c>
      <c r="Q484" s="472"/>
      <c r="R484" s="473">
        <v>45567</v>
      </c>
      <c r="S484" s="472"/>
      <c r="T484" s="473">
        <v>45565</v>
      </c>
      <c r="U484" s="474">
        <v>0</v>
      </c>
      <c r="V484" s="475">
        <v>-0.03</v>
      </c>
      <c r="W484" s="260">
        <v>45536</v>
      </c>
    </row>
    <row r="485" spans="1:23" hidden="1" x14ac:dyDescent="0.35">
      <c r="A485" s="472" t="s">
        <v>526</v>
      </c>
      <c r="B485" s="472" t="s">
        <v>159</v>
      </c>
      <c r="C485" s="472" t="s">
        <v>281</v>
      </c>
      <c r="D485" s="472" t="s">
        <v>340</v>
      </c>
      <c r="E485" s="472" t="s">
        <v>283</v>
      </c>
      <c r="F485" s="472" t="s">
        <v>276</v>
      </c>
      <c r="G485" s="472" t="s">
        <v>527</v>
      </c>
      <c r="H485" s="472"/>
      <c r="I485" s="472" t="s">
        <v>277</v>
      </c>
      <c r="J485" s="472" t="s">
        <v>528</v>
      </c>
      <c r="K485" s="472" t="s">
        <v>284</v>
      </c>
      <c r="L485" s="472" t="s">
        <v>597</v>
      </c>
      <c r="M485" s="472" t="s">
        <v>285</v>
      </c>
      <c r="N485" s="472"/>
      <c r="O485" s="472"/>
      <c r="P485" s="472" t="s">
        <v>528</v>
      </c>
      <c r="Q485" s="472"/>
      <c r="R485" s="473">
        <v>45566</v>
      </c>
      <c r="S485" s="472"/>
      <c r="T485" s="473">
        <v>45565</v>
      </c>
      <c r="U485" s="474">
        <v>0</v>
      </c>
      <c r="V485" s="475">
        <v>396.7</v>
      </c>
      <c r="W485" s="260">
        <v>45536</v>
      </c>
    </row>
    <row r="486" spans="1:23" hidden="1" x14ac:dyDescent="0.35">
      <c r="A486" s="472" t="s">
        <v>526</v>
      </c>
      <c r="B486" s="472" t="s">
        <v>159</v>
      </c>
      <c r="C486" s="472" t="s">
        <v>302</v>
      </c>
      <c r="D486" s="472" t="s">
        <v>340</v>
      </c>
      <c r="E486" s="472" t="s">
        <v>283</v>
      </c>
      <c r="F486" s="472" t="s">
        <v>276</v>
      </c>
      <c r="G486" s="472" t="s">
        <v>527</v>
      </c>
      <c r="H486" s="472"/>
      <c r="I486" s="472" t="s">
        <v>277</v>
      </c>
      <c r="J486" s="472" t="s">
        <v>528</v>
      </c>
      <c r="K486" s="472" t="s">
        <v>303</v>
      </c>
      <c r="L486" s="472" t="s">
        <v>597</v>
      </c>
      <c r="M486" s="472" t="s">
        <v>285</v>
      </c>
      <c r="N486" s="472"/>
      <c r="O486" s="472"/>
      <c r="P486" s="472" t="s">
        <v>528</v>
      </c>
      <c r="Q486" s="472"/>
      <c r="R486" s="473">
        <v>45567</v>
      </c>
      <c r="S486" s="472"/>
      <c r="T486" s="473">
        <v>45565</v>
      </c>
      <c r="U486" s="474">
        <v>0</v>
      </c>
      <c r="V486" s="475">
        <v>40.380000000000003</v>
      </c>
      <c r="W486" s="260">
        <v>45536</v>
      </c>
    </row>
    <row r="487" spans="1:23" hidden="1" x14ac:dyDescent="0.35">
      <c r="A487" s="472" t="s">
        <v>526</v>
      </c>
      <c r="B487" s="472" t="s">
        <v>159</v>
      </c>
      <c r="C487" s="472" t="s">
        <v>302</v>
      </c>
      <c r="D487" s="472" t="s">
        <v>340</v>
      </c>
      <c r="E487" s="472" t="s">
        <v>283</v>
      </c>
      <c r="F487" s="472" t="s">
        <v>276</v>
      </c>
      <c r="G487" s="472" t="s">
        <v>527</v>
      </c>
      <c r="H487" s="472"/>
      <c r="I487" s="472" t="s">
        <v>277</v>
      </c>
      <c r="J487" s="472" t="s">
        <v>528</v>
      </c>
      <c r="K487" s="472" t="s">
        <v>303</v>
      </c>
      <c r="L487" s="472" t="s">
        <v>597</v>
      </c>
      <c r="M487" s="472" t="s">
        <v>285</v>
      </c>
      <c r="N487" s="472"/>
      <c r="O487" s="472"/>
      <c r="P487" s="472" t="s">
        <v>528</v>
      </c>
      <c r="Q487" s="472"/>
      <c r="R487" s="473">
        <v>45567</v>
      </c>
      <c r="S487" s="472"/>
      <c r="T487" s="473">
        <v>45565</v>
      </c>
      <c r="U487" s="474">
        <v>0</v>
      </c>
      <c r="V487" s="475">
        <v>16.149999999999999</v>
      </c>
      <c r="W487" s="260">
        <v>45536</v>
      </c>
    </row>
    <row r="488" spans="1:23" hidden="1" x14ac:dyDescent="0.35">
      <c r="A488" s="472" t="s">
        <v>526</v>
      </c>
      <c r="B488" s="472" t="s">
        <v>159</v>
      </c>
      <c r="C488" s="472" t="s">
        <v>286</v>
      </c>
      <c r="D488" s="472" t="s">
        <v>341</v>
      </c>
      <c r="E488" s="472" t="s">
        <v>288</v>
      </c>
      <c r="F488" s="472" t="s">
        <v>276</v>
      </c>
      <c r="G488" s="472" t="s">
        <v>527</v>
      </c>
      <c r="H488" s="472"/>
      <c r="I488" s="472" t="s">
        <v>277</v>
      </c>
      <c r="J488" s="472" t="s">
        <v>528</v>
      </c>
      <c r="K488" s="472" t="s">
        <v>289</v>
      </c>
      <c r="L488" s="472" t="s">
        <v>597</v>
      </c>
      <c r="M488" s="472" t="s">
        <v>285</v>
      </c>
      <c r="N488" s="472"/>
      <c r="O488" s="472"/>
      <c r="P488" s="472" t="s">
        <v>528</v>
      </c>
      <c r="Q488" s="472"/>
      <c r="R488" s="473">
        <v>45566</v>
      </c>
      <c r="S488" s="472"/>
      <c r="T488" s="473">
        <v>45565</v>
      </c>
      <c r="U488" s="474">
        <v>0</v>
      </c>
      <c r="V488" s="475">
        <v>-96.36</v>
      </c>
      <c r="W488" s="260">
        <v>45536</v>
      </c>
    </row>
    <row r="489" spans="1:23" hidden="1" x14ac:dyDescent="0.35">
      <c r="A489" s="472" t="s">
        <v>526</v>
      </c>
      <c r="B489" s="472" t="s">
        <v>159</v>
      </c>
      <c r="C489" s="472" t="s">
        <v>302</v>
      </c>
      <c r="D489" s="472" t="s">
        <v>341</v>
      </c>
      <c r="E489" s="472" t="s">
        <v>288</v>
      </c>
      <c r="F489" s="472" t="s">
        <v>276</v>
      </c>
      <c r="G489" s="472" t="s">
        <v>527</v>
      </c>
      <c r="H489" s="472"/>
      <c r="I489" s="472" t="s">
        <v>277</v>
      </c>
      <c r="J489" s="472" t="s">
        <v>528</v>
      </c>
      <c r="K489" s="472" t="s">
        <v>303</v>
      </c>
      <c r="L489" s="472" t="s">
        <v>597</v>
      </c>
      <c r="M489" s="472" t="s">
        <v>285</v>
      </c>
      <c r="N489" s="472"/>
      <c r="O489" s="472"/>
      <c r="P489" s="472" t="s">
        <v>528</v>
      </c>
      <c r="Q489" s="472"/>
      <c r="R489" s="473">
        <v>45567</v>
      </c>
      <c r="S489" s="472"/>
      <c r="T489" s="473">
        <v>45565</v>
      </c>
      <c r="U489" s="474">
        <v>0</v>
      </c>
      <c r="V489" s="475">
        <v>115.84</v>
      </c>
      <c r="W489" s="260">
        <v>45536</v>
      </c>
    </row>
    <row r="490" spans="1:23" hidden="1" x14ac:dyDescent="0.35">
      <c r="A490" s="472" t="s">
        <v>526</v>
      </c>
      <c r="B490" s="472" t="s">
        <v>159</v>
      </c>
      <c r="C490" s="472" t="s">
        <v>302</v>
      </c>
      <c r="D490" s="472" t="s">
        <v>341</v>
      </c>
      <c r="E490" s="472" t="s">
        <v>288</v>
      </c>
      <c r="F490" s="472" t="s">
        <v>276</v>
      </c>
      <c r="G490" s="472" t="s">
        <v>527</v>
      </c>
      <c r="H490" s="472"/>
      <c r="I490" s="472" t="s">
        <v>277</v>
      </c>
      <c r="J490" s="472" t="s">
        <v>528</v>
      </c>
      <c r="K490" s="472" t="s">
        <v>303</v>
      </c>
      <c r="L490" s="472" t="s">
        <v>597</v>
      </c>
      <c r="M490" s="472" t="s">
        <v>285</v>
      </c>
      <c r="N490" s="472"/>
      <c r="O490" s="472"/>
      <c r="P490" s="472" t="s">
        <v>528</v>
      </c>
      <c r="Q490" s="472"/>
      <c r="R490" s="473">
        <v>45567</v>
      </c>
      <c r="S490" s="472"/>
      <c r="T490" s="473">
        <v>45565</v>
      </c>
      <c r="U490" s="474">
        <v>0</v>
      </c>
      <c r="V490" s="475">
        <v>-3.92</v>
      </c>
      <c r="W490" s="260">
        <v>45536</v>
      </c>
    </row>
    <row r="491" spans="1:23" hidden="1" x14ac:dyDescent="0.35">
      <c r="A491" s="472" t="s">
        <v>526</v>
      </c>
      <c r="B491" s="472" t="s">
        <v>159</v>
      </c>
      <c r="C491" s="472" t="s">
        <v>281</v>
      </c>
      <c r="D491" s="472" t="s">
        <v>342</v>
      </c>
      <c r="E491" s="472" t="s">
        <v>291</v>
      </c>
      <c r="F491" s="472" t="s">
        <v>276</v>
      </c>
      <c r="G491" s="472" t="s">
        <v>527</v>
      </c>
      <c r="H491" s="472"/>
      <c r="I491" s="472" t="s">
        <v>277</v>
      </c>
      <c r="J491" s="472" t="s">
        <v>528</v>
      </c>
      <c r="K491" s="472" t="s">
        <v>284</v>
      </c>
      <c r="L491" s="472" t="s">
        <v>597</v>
      </c>
      <c r="M491" s="472" t="s">
        <v>285</v>
      </c>
      <c r="N491" s="472"/>
      <c r="O491" s="472"/>
      <c r="P491" s="472" t="s">
        <v>528</v>
      </c>
      <c r="Q491" s="472"/>
      <c r="R491" s="473">
        <v>45566</v>
      </c>
      <c r="S491" s="472"/>
      <c r="T491" s="473">
        <v>45565</v>
      </c>
      <c r="U491" s="474">
        <v>0</v>
      </c>
      <c r="V491" s="475">
        <v>30.27</v>
      </c>
      <c r="W491" s="260">
        <v>45536</v>
      </c>
    </row>
    <row r="492" spans="1:23" hidden="1" x14ac:dyDescent="0.35">
      <c r="A492" s="472" t="s">
        <v>526</v>
      </c>
      <c r="B492" s="472" t="s">
        <v>159</v>
      </c>
      <c r="C492" s="472" t="s">
        <v>302</v>
      </c>
      <c r="D492" s="472" t="s">
        <v>342</v>
      </c>
      <c r="E492" s="472" t="s">
        <v>291</v>
      </c>
      <c r="F492" s="472" t="s">
        <v>276</v>
      </c>
      <c r="G492" s="472" t="s">
        <v>527</v>
      </c>
      <c r="H492" s="472"/>
      <c r="I492" s="472" t="s">
        <v>277</v>
      </c>
      <c r="J492" s="472" t="s">
        <v>528</v>
      </c>
      <c r="K492" s="472" t="s">
        <v>303</v>
      </c>
      <c r="L492" s="472" t="s">
        <v>597</v>
      </c>
      <c r="M492" s="472" t="s">
        <v>285</v>
      </c>
      <c r="N492" s="472"/>
      <c r="O492" s="472"/>
      <c r="P492" s="472" t="s">
        <v>528</v>
      </c>
      <c r="Q492" s="472"/>
      <c r="R492" s="473">
        <v>45567</v>
      </c>
      <c r="S492" s="472"/>
      <c r="T492" s="473">
        <v>45565</v>
      </c>
      <c r="U492" s="474">
        <v>0</v>
      </c>
      <c r="V492" s="475">
        <v>25.1</v>
      </c>
      <c r="W492" s="260">
        <v>45536</v>
      </c>
    </row>
    <row r="493" spans="1:23" hidden="1" x14ac:dyDescent="0.35">
      <c r="A493" s="472" t="s">
        <v>526</v>
      </c>
      <c r="B493" s="472" t="s">
        <v>159</v>
      </c>
      <c r="C493" s="472" t="s">
        <v>302</v>
      </c>
      <c r="D493" s="472" t="s">
        <v>342</v>
      </c>
      <c r="E493" s="472" t="s">
        <v>291</v>
      </c>
      <c r="F493" s="472" t="s">
        <v>276</v>
      </c>
      <c r="G493" s="472" t="s">
        <v>527</v>
      </c>
      <c r="H493" s="472"/>
      <c r="I493" s="472" t="s">
        <v>277</v>
      </c>
      <c r="J493" s="472" t="s">
        <v>528</v>
      </c>
      <c r="K493" s="472" t="s">
        <v>303</v>
      </c>
      <c r="L493" s="472" t="s">
        <v>597</v>
      </c>
      <c r="M493" s="472" t="s">
        <v>285</v>
      </c>
      <c r="N493" s="472"/>
      <c r="O493" s="472"/>
      <c r="P493" s="472" t="s">
        <v>528</v>
      </c>
      <c r="Q493" s="472"/>
      <c r="R493" s="473">
        <v>45567</v>
      </c>
      <c r="S493" s="472"/>
      <c r="T493" s="473">
        <v>45565</v>
      </c>
      <c r="U493" s="474">
        <v>0</v>
      </c>
      <c r="V493" s="475">
        <v>1.23</v>
      </c>
      <c r="W493" s="260">
        <v>45536</v>
      </c>
    </row>
    <row r="494" spans="1:23" hidden="1" x14ac:dyDescent="0.35">
      <c r="A494" s="472" t="s">
        <v>526</v>
      </c>
      <c r="B494" s="472" t="s">
        <v>159</v>
      </c>
      <c r="C494" s="472" t="s">
        <v>281</v>
      </c>
      <c r="D494" s="472" t="s">
        <v>343</v>
      </c>
      <c r="E494" s="472" t="s">
        <v>293</v>
      </c>
      <c r="F494" s="472" t="s">
        <v>276</v>
      </c>
      <c r="G494" s="472" t="s">
        <v>527</v>
      </c>
      <c r="H494" s="472"/>
      <c r="I494" s="472" t="s">
        <v>277</v>
      </c>
      <c r="J494" s="472" t="s">
        <v>528</v>
      </c>
      <c r="K494" s="472" t="s">
        <v>294</v>
      </c>
      <c r="L494" s="472" t="s">
        <v>597</v>
      </c>
      <c r="M494" s="472" t="s">
        <v>285</v>
      </c>
      <c r="N494" s="472"/>
      <c r="O494" s="472"/>
      <c r="P494" s="472" t="s">
        <v>528</v>
      </c>
      <c r="Q494" s="472"/>
      <c r="R494" s="473">
        <v>45566</v>
      </c>
      <c r="S494" s="472"/>
      <c r="T494" s="473">
        <v>45565</v>
      </c>
      <c r="U494" s="474">
        <v>0</v>
      </c>
      <c r="V494" s="475">
        <v>610</v>
      </c>
      <c r="W494" s="260">
        <v>45536</v>
      </c>
    </row>
    <row r="495" spans="1:23" hidden="1" x14ac:dyDescent="0.35">
      <c r="A495" s="472" t="s">
        <v>526</v>
      </c>
      <c r="B495" s="472" t="s">
        <v>159</v>
      </c>
      <c r="C495" s="472" t="s">
        <v>302</v>
      </c>
      <c r="D495" s="472" t="s">
        <v>343</v>
      </c>
      <c r="E495" s="472" t="s">
        <v>293</v>
      </c>
      <c r="F495" s="472" t="s">
        <v>276</v>
      </c>
      <c r="G495" s="472" t="s">
        <v>527</v>
      </c>
      <c r="H495" s="472"/>
      <c r="I495" s="472" t="s">
        <v>277</v>
      </c>
      <c r="J495" s="472" t="s">
        <v>528</v>
      </c>
      <c r="K495" s="472" t="s">
        <v>303</v>
      </c>
      <c r="L495" s="472" t="s">
        <v>597</v>
      </c>
      <c r="M495" s="472" t="s">
        <v>285</v>
      </c>
      <c r="N495" s="472"/>
      <c r="O495" s="472"/>
      <c r="P495" s="472" t="s">
        <v>528</v>
      </c>
      <c r="Q495" s="472"/>
      <c r="R495" s="473">
        <v>45567</v>
      </c>
      <c r="S495" s="472"/>
      <c r="T495" s="473">
        <v>45565</v>
      </c>
      <c r="U495" s="474">
        <v>0</v>
      </c>
      <c r="V495" s="475">
        <v>35.590000000000003</v>
      </c>
      <c r="W495" s="260">
        <v>45536</v>
      </c>
    </row>
    <row r="496" spans="1:23" hidden="1" x14ac:dyDescent="0.35">
      <c r="A496" s="472" t="s">
        <v>526</v>
      </c>
      <c r="B496" s="472" t="s">
        <v>159</v>
      </c>
      <c r="C496" s="472" t="s">
        <v>302</v>
      </c>
      <c r="D496" s="472" t="s">
        <v>343</v>
      </c>
      <c r="E496" s="472" t="s">
        <v>293</v>
      </c>
      <c r="F496" s="472" t="s">
        <v>276</v>
      </c>
      <c r="G496" s="472" t="s">
        <v>527</v>
      </c>
      <c r="H496" s="472"/>
      <c r="I496" s="472" t="s">
        <v>277</v>
      </c>
      <c r="J496" s="472" t="s">
        <v>528</v>
      </c>
      <c r="K496" s="472" t="s">
        <v>303</v>
      </c>
      <c r="L496" s="472" t="s">
        <v>597</v>
      </c>
      <c r="M496" s="472" t="s">
        <v>285</v>
      </c>
      <c r="N496" s="472"/>
      <c r="O496" s="472"/>
      <c r="P496" s="472" t="s">
        <v>528</v>
      </c>
      <c r="Q496" s="472"/>
      <c r="R496" s="473">
        <v>45567</v>
      </c>
      <c r="S496" s="472"/>
      <c r="T496" s="473">
        <v>45565</v>
      </c>
      <c r="U496" s="474">
        <v>0</v>
      </c>
      <c r="V496" s="475">
        <v>24.84</v>
      </c>
      <c r="W496" s="260">
        <v>45536</v>
      </c>
    </row>
    <row r="497" spans="1:23" hidden="1" x14ac:dyDescent="0.35">
      <c r="A497" s="472" t="s">
        <v>526</v>
      </c>
      <c r="B497" s="472" t="s">
        <v>159</v>
      </c>
      <c r="C497" s="472" t="s">
        <v>286</v>
      </c>
      <c r="D497" s="472" t="s">
        <v>344</v>
      </c>
      <c r="E497" s="472" t="s">
        <v>296</v>
      </c>
      <c r="F497" s="472" t="s">
        <v>276</v>
      </c>
      <c r="G497" s="472" t="s">
        <v>527</v>
      </c>
      <c r="H497" s="472"/>
      <c r="I497" s="472" t="s">
        <v>277</v>
      </c>
      <c r="J497" s="472" t="s">
        <v>528</v>
      </c>
      <c r="K497" s="472" t="s">
        <v>297</v>
      </c>
      <c r="L497" s="472" t="s">
        <v>597</v>
      </c>
      <c r="M497" s="472" t="s">
        <v>285</v>
      </c>
      <c r="N497" s="472"/>
      <c r="O497" s="472"/>
      <c r="P497" s="472" t="s">
        <v>528</v>
      </c>
      <c r="Q497" s="472"/>
      <c r="R497" s="473">
        <v>45566</v>
      </c>
      <c r="S497" s="472"/>
      <c r="T497" s="473">
        <v>45565</v>
      </c>
      <c r="U497" s="474">
        <v>0</v>
      </c>
      <c r="V497" s="475">
        <v>806.48</v>
      </c>
      <c r="W497" s="260">
        <v>45536</v>
      </c>
    </row>
    <row r="498" spans="1:23" hidden="1" x14ac:dyDescent="0.35">
      <c r="A498" s="472" t="s">
        <v>526</v>
      </c>
      <c r="B498" s="472" t="s">
        <v>159</v>
      </c>
      <c r="C498" s="472" t="s">
        <v>302</v>
      </c>
      <c r="D498" s="472" t="s">
        <v>344</v>
      </c>
      <c r="E498" s="472" t="s">
        <v>296</v>
      </c>
      <c r="F498" s="472" t="s">
        <v>276</v>
      </c>
      <c r="G498" s="472" t="s">
        <v>527</v>
      </c>
      <c r="H498" s="472"/>
      <c r="I498" s="472" t="s">
        <v>277</v>
      </c>
      <c r="J498" s="472" t="s">
        <v>528</v>
      </c>
      <c r="K498" s="472" t="s">
        <v>303</v>
      </c>
      <c r="L498" s="472" t="s">
        <v>597</v>
      </c>
      <c r="M498" s="472" t="s">
        <v>285</v>
      </c>
      <c r="N498" s="472"/>
      <c r="O498" s="472"/>
      <c r="P498" s="472" t="s">
        <v>528</v>
      </c>
      <c r="Q498" s="472"/>
      <c r="R498" s="473">
        <v>45567</v>
      </c>
      <c r="S498" s="472"/>
      <c r="T498" s="473">
        <v>45565</v>
      </c>
      <c r="U498" s="474">
        <v>0</v>
      </c>
      <c r="V498" s="475">
        <v>44.83</v>
      </c>
      <c r="W498" s="260">
        <v>45536</v>
      </c>
    </row>
    <row r="499" spans="1:23" hidden="1" x14ac:dyDescent="0.35">
      <c r="A499" s="472" t="s">
        <v>526</v>
      </c>
      <c r="B499" s="472" t="s">
        <v>159</v>
      </c>
      <c r="C499" s="472" t="s">
        <v>302</v>
      </c>
      <c r="D499" s="472" t="s">
        <v>344</v>
      </c>
      <c r="E499" s="472" t="s">
        <v>296</v>
      </c>
      <c r="F499" s="472" t="s">
        <v>276</v>
      </c>
      <c r="G499" s="472" t="s">
        <v>527</v>
      </c>
      <c r="H499" s="472"/>
      <c r="I499" s="472" t="s">
        <v>277</v>
      </c>
      <c r="J499" s="472" t="s">
        <v>528</v>
      </c>
      <c r="K499" s="472" t="s">
        <v>303</v>
      </c>
      <c r="L499" s="472" t="s">
        <v>597</v>
      </c>
      <c r="M499" s="472" t="s">
        <v>285</v>
      </c>
      <c r="N499" s="472"/>
      <c r="O499" s="472"/>
      <c r="P499" s="472" t="s">
        <v>528</v>
      </c>
      <c r="Q499" s="472"/>
      <c r="R499" s="473">
        <v>45567</v>
      </c>
      <c r="S499" s="472"/>
      <c r="T499" s="473">
        <v>45565</v>
      </c>
      <c r="U499" s="474">
        <v>0</v>
      </c>
      <c r="V499" s="475">
        <v>32.840000000000003</v>
      </c>
      <c r="W499" s="260">
        <v>45536</v>
      </c>
    </row>
    <row r="500" spans="1:23" hidden="1" x14ac:dyDescent="0.35">
      <c r="A500" s="472" t="s">
        <v>526</v>
      </c>
      <c r="B500" s="472" t="s">
        <v>159</v>
      </c>
      <c r="C500" s="472" t="s">
        <v>302</v>
      </c>
      <c r="D500" s="472" t="s">
        <v>345</v>
      </c>
      <c r="E500" s="472" t="s">
        <v>346</v>
      </c>
      <c r="F500" s="472" t="s">
        <v>276</v>
      </c>
      <c r="G500" s="472" t="s">
        <v>527</v>
      </c>
      <c r="H500" s="472"/>
      <c r="I500" s="472" t="s">
        <v>277</v>
      </c>
      <c r="J500" s="472" t="s">
        <v>528</v>
      </c>
      <c r="K500" s="472" t="s">
        <v>303</v>
      </c>
      <c r="L500" s="472" t="s">
        <v>597</v>
      </c>
      <c r="M500" s="472" t="s">
        <v>285</v>
      </c>
      <c r="N500" s="472"/>
      <c r="O500" s="472"/>
      <c r="P500" s="472" t="s">
        <v>528</v>
      </c>
      <c r="Q500" s="472"/>
      <c r="R500" s="473">
        <v>45567</v>
      </c>
      <c r="S500" s="472"/>
      <c r="T500" s="473">
        <v>45565</v>
      </c>
      <c r="U500" s="474">
        <v>0</v>
      </c>
      <c r="V500" s="475">
        <v>-0.01</v>
      </c>
      <c r="W500" s="260">
        <v>45536</v>
      </c>
    </row>
    <row r="501" spans="1:23" hidden="1" x14ac:dyDescent="0.35">
      <c r="A501" s="472" t="s">
        <v>526</v>
      </c>
      <c r="B501" s="472" t="s">
        <v>159</v>
      </c>
      <c r="C501" s="472" t="s">
        <v>302</v>
      </c>
      <c r="D501" s="472" t="s">
        <v>347</v>
      </c>
      <c r="E501" s="472" t="s">
        <v>348</v>
      </c>
      <c r="F501" s="472" t="s">
        <v>276</v>
      </c>
      <c r="G501" s="472" t="s">
        <v>527</v>
      </c>
      <c r="H501" s="472"/>
      <c r="I501" s="472" t="s">
        <v>277</v>
      </c>
      <c r="J501" s="472" t="s">
        <v>528</v>
      </c>
      <c r="K501" s="472" t="s">
        <v>303</v>
      </c>
      <c r="L501" s="472" t="s">
        <v>597</v>
      </c>
      <c r="M501" s="472" t="s">
        <v>285</v>
      </c>
      <c r="N501" s="472"/>
      <c r="O501" s="472"/>
      <c r="P501" s="472" t="s">
        <v>528</v>
      </c>
      <c r="Q501" s="472"/>
      <c r="R501" s="473">
        <v>45567</v>
      </c>
      <c r="S501" s="472"/>
      <c r="T501" s="473">
        <v>45565</v>
      </c>
      <c r="U501" s="474">
        <v>0</v>
      </c>
      <c r="V501" s="475">
        <v>0.2</v>
      </c>
      <c r="W501" s="260">
        <v>45536</v>
      </c>
    </row>
    <row r="502" spans="1:23" hidden="1" x14ac:dyDescent="0.35">
      <c r="A502" s="472" t="s">
        <v>526</v>
      </c>
      <c r="B502" s="472" t="s">
        <v>159</v>
      </c>
      <c r="C502" s="472" t="s">
        <v>302</v>
      </c>
      <c r="D502" s="472" t="s">
        <v>349</v>
      </c>
      <c r="E502" s="472" t="s">
        <v>350</v>
      </c>
      <c r="F502" s="472" t="s">
        <v>276</v>
      </c>
      <c r="G502" s="472" t="s">
        <v>527</v>
      </c>
      <c r="H502" s="472"/>
      <c r="I502" s="472" t="s">
        <v>277</v>
      </c>
      <c r="J502" s="472" t="s">
        <v>528</v>
      </c>
      <c r="K502" s="472" t="s">
        <v>303</v>
      </c>
      <c r="L502" s="472" t="s">
        <v>597</v>
      </c>
      <c r="M502" s="472" t="s">
        <v>285</v>
      </c>
      <c r="N502" s="472"/>
      <c r="O502" s="472"/>
      <c r="P502" s="472" t="s">
        <v>528</v>
      </c>
      <c r="Q502" s="472"/>
      <c r="R502" s="473">
        <v>45567</v>
      </c>
      <c r="S502" s="472"/>
      <c r="T502" s="473">
        <v>45565</v>
      </c>
      <c r="U502" s="474">
        <v>0</v>
      </c>
      <c r="V502" s="475">
        <v>0.04</v>
      </c>
      <c r="W502" s="260">
        <v>45536</v>
      </c>
    </row>
    <row r="503" spans="1:23" hidden="1" x14ac:dyDescent="0.35">
      <c r="A503" s="472" t="s">
        <v>526</v>
      </c>
      <c r="B503" s="472" t="s">
        <v>159</v>
      </c>
      <c r="C503" s="472" t="s">
        <v>302</v>
      </c>
      <c r="D503" s="472" t="s">
        <v>351</v>
      </c>
      <c r="E503" s="472" t="s">
        <v>352</v>
      </c>
      <c r="F503" s="472" t="s">
        <v>276</v>
      </c>
      <c r="G503" s="472" t="s">
        <v>527</v>
      </c>
      <c r="H503" s="472"/>
      <c r="I503" s="472" t="s">
        <v>277</v>
      </c>
      <c r="J503" s="472" t="s">
        <v>528</v>
      </c>
      <c r="K503" s="472" t="s">
        <v>303</v>
      </c>
      <c r="L503" s="472" t="s">
        <v>597</v>
      </c>
      <c r="M503" s="472" t="s">
        <v>285</v>
      </c>
      <c r="N503" s="472"/>
      <c r="O503" s="472"/>
      <c r="P503" s="472" t="s">
        <v>528</v>
      </c>
      <c r="Q503" s="472"/>
      <c r="R503" s="473">
        <v>45567</v>
      </c>
      <c r="S503" s="472"/>
      <c r="T503" s="473">
        <v>45565</v>
      </c>
      <c r="U503" s="474">
        <v>0</v>
      </c>
      <c r="V503" s="475">
        <v>0.16</v>
      </c>
      <c r="W503" s="260">
        <v>45536</v>
      </c>
    </row>
    <row r="504" spans="1:23" hidden="1" x14ac:dyDescent="0.35">
      <c r="A504" s="472" t="s">
        <v>526</v>
      </c>
      <c r="B504" s="472" t="s">
        <v>159</v>
      </c>
      <c r="C504" s="472" t="s">
        <v>302</v>
      </c>
      <c r="D504" s="472" t="s">
        <v>354</v>
      </c>
      <c r="E504" s="472" t="s">
        <v>355</v>
      </c>
      <c r="F504" s="472" t="s">
        <v>276</v>
      </c>
      <c r="G504" s="472" t="s">
        <v>527</v>
      </c>
      <c r="H504" s="472"/>
      <c r="I504" s="472" t="s">
        <v>277</v>
      </c>
      <c r="J504" s="472" t="s">
        <v>528</v>
      </c>
      <c r="K504" s="472" t="s">
        <v>303</v>
      </c>
      <c r="L504" s="472" t="s">
        <v>597</v>
      </c>
      <c r="M504" s="472" t="s">
        <v>285</v>
      </c>
      <c r="N504" s="472"/>
      <c r="O504" s="472"/>
      <c r="P504" s="472" t="s">
        <v>528</v>
      </c>
      <c r="Q504" s="472"/>
      <c r="R504" s="473">
        <v>45567</v>
      </c>
      <c r="S504" s="472"/>
      <c r="T504" s="473">
        <v>45565</v>
      </c>
      <c r="U504" s="474">
        <v>0</v>
      </c>
      <c r="V504" s="475">
        <v>0.02</v>
      </c>
      <c r="W504" s="260">
        <v>45536</v>
      </c>
    </row>
    <row r="505" spans="1:23" hidden="1" x14ac:dyDescent="0.35">
      <c r="A505" s="472" t="s">
        <v>526</v>
      </c>
      <c r="B505" s="472" t="s">
        <v>159</v>
      </c>
      <c r="C505" s="472" t="s">
        <v>584</v>
      </c>
      <c r="D505" s="472" t="s">
        <v>585</v>
      </c>
      <c r="E505" s="472" t="s">
        <v>586</v>
      </c>
      <c r="F505" s="472" t="s">
        <v>276</v>
      </c>
      <c r="G505" s="472" t="s">
        <v>527</v>
      </c>
      <c r="H505" s="472" t="s">
        <v>533</v>
      </c>
      <c r="I505" s="472" t="s">
        <v>277</v>
      </c>
      <c r="J505" s="472" t="s">
        <v>528</v>
      </c>
      <c r="K505" s="472" t="s">
        <v>587</v>
      </c>
      <c r="L505" s="472" t="s">
        <v>597</v>
      </c>
      <c r="M505" s="472" t="s">
        <v>535</v>
      </c>
      <c r="N505" s="472"/>
      <c r="O505" s="472"/>
      <c r="P505" s="472" t="s">
        <v>528</v>
      </c>
      <c r="Q505" s="472"/>
      <c r="R505" s="473">
        <v>45531</v>
      </c>
      <c r="S505" s="472" t="s">
        <v>278</v>
      </c>
      <c r="T505" s="473">
        <v>45540</v>
      </c>
      <c r="U505" s="474">
        <v>6</v>
      </c>
      <c r="V505" s="475">
        <v>620.16</v>
      </c>
      <c r="W505" s="260">
        <v>45536</v>
      </c>
    </row>
    <row r="506" spans="1:23" hidden="1" x14ac:dyDescent="0.35">
      <c r="A506" s="472" t="s">
        <v>526</v>
      </c>
      <c r="B506" s="472" t="s">
        <v>159</v>
      </c>
      <c r="C506" s="472" t="s">
        <v>584</v>
      </c>
      <c r="D506" s="472" t="s">
        <v>585</v>
      </c>
      <c r="E506" s="472" t="s">
        <v>586</v>
      </c>
      <c r="F506" s="472" t="s">
        <v>276</v>
      </c>
      <c r="G506" s="472" t="s">
        <v>527</v>
      </c>
      <c r="H506" s="472" t="s">
        <v>533</v>
      </c>
      <c r="I506" s="472" t="s">
        <v>277</v>
      </c>
      <c r="J506" s="472" t="s">
        <v>528</v>
      </c>
      <c r="K506" s="472" t="s">
        <v>587</v>
      </c>
      <c r="L506" s="472" t="s">
        <v>597</v>
      </c>
      <c r="M506" s="472" t="s">
        <v>535</v>
      </c>
      <c r="N506" s="472"/>
      <c r="O506" s="472"/>
      <c r="P506" s="472" t="s">
        <v>528</v>
      </c>
      <c r="Q506" s="472"/>
      <c r="R506" s="473">
        <v>45530</v>
      </c>
      <c r="S506" s="472" t="s">
        <v>278</v>
      </c>
      <c r="T506" s="473">
        <v>45540</v>
      </c>
      <c r="U506" s="474">
        <v>3</v>
      </c>
      <c r="V506" s="475">
        <v>310.08</v>
      </c>
      <c r="W506" s="260">
        <v>45536</v>
      </c>
    </row>
    <row r="507" spans="1:23" hidden="1" x14ac:dyDescent="0.35">
      <c r="A507" s="472" t="s">
        <v>526</v>
      </c>
      <c r="B507" s="472" t="s">
        <v>159</v>
      </c>
      <c r="C507" s="472" t="s">
        <v>584</v>
      </c>
      <c r="D507" s="472" t="s">
        <v>585</v>
      </c>
      <c r="E507" s="472" t="s">
        <v>586</v>
      </c>
      <c r="F507" s="472" t="s">
        <v>276</v>
      </c>
      <c r="G507" s="472" t="s">
        <v>527</v>
      </c>
      <c r="H507" s="472" t="s">
        <v>533</v>
      </c>
      <c r="I507" s="472" t="s">
        <v>277</v>
      </c>
      <c r="J507" s="472" t="s">
        <v>528</v>
      </c>
      <c r="K507" s="472" t="s">
        <v>587</v>
      </c>
      <c r="L507" s="472" t="s">
        <v>597</v>
      </c>
      <c r="M507" s="472" t="s">
        <v>535</v>
      </c>
      <c r="N507" s="472"/>
      <c r="O507" s="472"/>
      <c r="P507" s="472" t="s">
        <v>528</v>
      </c>
      <c r="Q507" s="472"/>
      <c r="R507" s="473">
        <v>45532</v>
      </c>
      <c r="S507" s="472" t="s">
        <v>278</v>
      </c>
      <c r="T507" s="473">
        <v>45540</v>
      </c>
      <c r="U507" s="474">
        <v>3</v>
      </c>
      <c r="V507" s="475">
        <v>310.08</v>
      </c>
      <c r="W507" s="260">
        <v>45536</v>
      </c>
    </row>
    <row r="508" spans="1:23" hidden="1" x14ac:dyDescent="0.35">
      <c r="A508" s="472" t="s">
        <v>526</v>
      </c>
      <c r="B508" s="472" t="s">
        <v>159</v>
      </c>
      <c r="C508" s="472" t="s">
        <v>584</v>
      </c>
      <c r="D508" s="472" t="s">
        <v>585</v>
      </c>
      <c r="E508" s="472" t="s">
        <v>586</v>
      </c>
      <c r="F508" s="472" t="s">
        <v>276</v>
      </c>
      <c r="G508" s="472" t="s">
        <v>527</v>
      </c>
      <c r="H508" s="472" t="s">
        <v>533</v>
      </c>
      <c r="I508" s="472" t="s">
        <v>277</v>
      </c>
      <c r="J508" s="472" t="s">
        <v>528</v>
      </c>
      <c r="K508" s="472" t="s">
        <v>587</v>
      </c>
      <c r="L508" s="472" t="s">
        <v>597</v>
      </c>
      <c r="M508" s="472" t="s">
        <v>535</v>
      </c>
      <c r="N508" s="472"/>
      <c r="O508" s="472"/>
      <c r="P508" s="472" t="s">
        <v>528</v>
      </c>
      <c r="Q508" s="472"/>
      <c r="R508" s="473">
        <v>45533</v>
      </c>
      <c r="S508" s="472" t="s">
        <v>278</v>
      </c>
      <c r="T508" s="473">
        <v>45540</v>
      </c>
      <c r="U508" s="474">
        <v>8</v>
      </c>
      <c r="V508" s="475">
        <v>826.88</v>
      </c>
      <c r="W508" s="260">
        <v>45536</v>
      </c>
    </row>
    <row r="509" spans="1:23" hidden="1" x14ac:dyDescent="0.35">
      <c r="A509" s="472" t="s">
        <v>526</v>
      </c>
      <c r="B509" s="472" t="s">
        <v>159</v>
      </c>
      <c r="C509" s="472" t="s">
        <v>584</v>
      </c>
      <c r="D509" s="472" t="s">
        <v>585</v>
      </c>
      <c r="E509" s="472" t="s">
        <v>586</v>
      </c>
      <c r="F509" s="472" t="s">
        <v>276</v>
      </c>
      <c r="G509" s="472" t="s">
        <v>527</v>
      </c>
      <c r="H509" s="472" t="s">
        <v>533</v>
      </c>
      <c r="I509" s="472" t="s">
        <v>277</v>
      </c>
      <c r="J509" s="472" t="s">
        <v>528</v>
      </c>
      <c r="K509" s="472" t="s">
        <v>587</v>
      </c>
      <c r="L509" s="472" t="s">
        <v>597</v>
      </c>
      <c r="M509" s="472" t="s">
        <v>535</v>
      </c>
      <c r="N509" s="472"/>
      <c r="O509" s="472"/>
      <c r="P509" s="472" t="s">
        <v>528</v>
      </c>
      <c r="Q509" s="472"/>
      <c r="R509" s="473">
        <v>45534</v>
      </c>
      <c r="S509" s="472" t="s">
        <v>278</v>
      </c>
      <c r="T509" s="473">
        <v>45540</v>
      </c>
      <c r="U509" s="474">
        <v>8</v>
      </c>
      <c r="V509" s="475">
        <v>826.88</v>
      </c>
      <c r="W509" s="260">
        <v>45536</v>
      </c>
    </row>
    <row r="510" spans="1:23" hidden="1" x14ac:dyDescent="0.35">
      <c r="A510" s="472" t="s">
        <v>526</v>
      </c>
      <c r="B510" s="472" t="s">
        <v>159</v>
      </c>
      <c r="C510" s="472" t="s">
        <v>584</v>
      </c>
      <c r="D510" s="472" t="s">
        <v>585</v>
      </c>
      <c r="E510" s="472" t="s">
        <v>586</v>
      </c>
      <c r="F510" s="472" t="s">
        <v>276</v>
      </c>
      <c r="G510" s="472" t="s">
        <v>527</v>
      </c>
      <c r="H510" s="472" t="s">
        <v>533</v>
      </c>
      <c r="I510" s="472" t="s">
        <v>277</v>
      </c>
      <c r="J510" s="472" t="s">
        <v>528</v>
      </c>
      <c r="K510" s="472" t="s">
        <v>587</v>
      </c>
      <c r="L510" s="472" t="s">
        <v>597</v>
      </c>
      <c r="M510" s="472" t="s">
        <v>535</v>
      </c>
      <c r="N510" s="472"/>
      <c r="O510" s="472"/>
      <c r="P510" s="472" t="s">
        <v>528</v>
      </c>
      <c r="Q510" s="472"/>
      <c r="R510" s="473">
        <v>45541</v>
      </c>
      <c r="S510" s="472" t="s">
        <v>278</v>
      </c>
      <c r="T510" s="473">
        <v>45545</v>
      </c>
      <c r="U510" s="474">
        <v>8</v>
      </c>
      <c r="V510" s="475">
        <v>826.88</v>
      </c>
      <c r="W510" s="260">
        <v>45536</v>
      </c>
    </row>
    <row r="511" spans="1:23" hidden="1" x14ac:dyDescent="0.35">
      <c r="A511" s="472" t="s">
        <v>526</v>
      </c>
      <c r="B511" s="472" t="s">
        <v>159</v>
      </c>
      <c r="C511" s="472" t="s">
        <v>584</v>
      </c>
      <c r="D511" s="472" t="s">
        <v>585</v>
      </c>
      <c r="E511" s="472" t="s">
        <v>586</v>
      </c>
      <c r="F511" s="472" t="s">
        <v>276</v>
      </c>
      <c r="G511" s="472" t="s">
        <v>527</v>
      </c>
      <c r="H511" s="472" t="s">
        <v>533</v>
      </c>
      <c r="I511" s="472" t="s">
        <v>277</v>
      </c>
      <c r="J511" s="472" t="s">
        <v>528</v>
      </c>
      <c r="K511" s="472" t="s">
        <v>587</v>
      </c>
      <c r="L511" s="472" t="s">
        <v>597</v>
      </c>
      <c r="M511" s="472" t="s">
        <v>535</v>
      </c>
      <c r="N511" s="472"/>
      <c r="O511" s="472"/>
      <c r="P511" s="472" t="s">
        <v>528</v>
      </c>
      <c r="Q511" s="472"/>
      <c r="R511" s="473">
        <v>45539</v>
      </c>
      <c r="S511" s="472" t="s">
        <v>278</v>
      </c>
      <c r="T511" s="473">
        <v>45545</v>
      </c>
      <c r="U511" s="474">
        <v>6</v>
      </c>
      <c r="V511" s="475">
        <v>620.16</v>
      </c>
      <c r="W511" s="260">
        <v>45536</v>
      </c>
    </row>
    <row r="512" spans="1:23" hidden="1" x14ac:dyDescent="0.35">
      <c r="A512" s="472" t="s">
        <v>526</v>
      </c>
      <c r="B512" s="472" t="s">
        <v>159</v>
      </c>
      <c r="C512" s="472" t="s">
        <v>584</v>
      </c>
      <c r="D512" s="472" t="s">
        <v>585</v>
      </c>
      <c r="E512" s="472" t="s">
        <v>586</v>
      </c>
      <c r="F512" s="472" t="s">
        <v>276</v>
      </c>
      <c r="G512" s="472" t="s">
        <v>527</v>
      </c>
      <c r="H512" s="472" t="s">
        <v>533</v>
      </c>
      <c r="I512" s="472" t="s">
        <v>277</v>
      </c>
      <c r="J512" s="472" t="s">
        <v>528</v>
      </c>
      <c r="K512" s="472" t="s">
        <v>587</v>
      </c>
      <c r="L512" s="472" t="s">
        <v>597</v>
      </c>
      <c r="M512" s="472" t="s">
        <v>535</v>
      </c>
      <c r="N512" s="472"/>
      <c r="O512" s="472"/>
      <c r="P512" s="472" t="s">
        <v>528</v>
      </c>
      <c r="Q512" s="472"/>
      <c r="R512" s="473">
        <v>45540</v>
      </c>
      <c r="S512" s="472" t="s">
        <v>278</v>
      </c>
      <c r="T512" s="473">
        <v>45545</v>
      </c>
      <c r="U512" s="474">
        <v>8</v>
      </c>
      <c r="V512" s="475">
        <v>826.88</v>
      </c>
      <c r="W512" s="260">
        <v>45536</v>
      </c>
    </row>
    <row r="513" spans="1:23" hidden="1" x14ac:dyDescent="0.35">
      <c r="A513" s="472" t="s">
        <v>526</v>
      </c>
      <c r="B513" s="472" t="s">
        <v>159</v>
      </c>
      <c r="C513" s="472" t="s">
        <v>584</v>
      </c>
      <c r="D513" s="472" t="s">
        <v>585</v>
      </c>
      <c r="E513" s="472" t="s">
        <v>586</v>
      </c>
      <c r="F513" s="472" t="s">
        <v>276</v>
      </c>
      <c r="G513" s="472" t="s">
        <v>527</v>
      </c>
      <c r="H513" s="472" t="s">
        <v>533</v>
      </c>
      <c r="I513" s="472" t="s">
        <v>277</v>
      </c>
      <c r="J513" s="472" t="s">
        <v>528</v>
      </c>
      <c r="K513" s="472" t="s">
        <v>587</v>
      </c>
      <c r="L513" s="472" t="s">
        <v>597</v>
      </c>
      <c r="M513" s="472" t="s">
        <v>535</v>
      </c>
      <c r="N513" s="472"/>
      <c r="O513" s="472"/>
      <c r="P513" s="472" t="s">
        <v>528</v>
      </c>
      <c r="Q513" s="472"/>
      <c r="R513" s="473">
        <v>45538</v>
      </c>
      <c r="S513" s="472" t="s">
        <v>278</v>
      </c>
      <c r="T513" s="473">
        <v>45545</v>
      </c>
      <c r="U513" s="474">
        <v>6</v>
      </c>
      <c r="V513" s="475">
        <v>620.16</v>
      </c>
      <c r="W513" s="260">
        <v>45536</v>
      </c>
    </row>
    <row r="514" spans="1:23" hidden="1" x14ac:dyDescent="0.35">
      <c r="A514" s="472" t="s">
        <v>526</v>
      </c>
      <c r="B514" s="472" t="s">
        <v>159</v>
      </c>
      <c r="C514" s="472" t="s">
        <v>584</v>
      </c>
      <c r="D514" s="472" t="s">
        <v>585</v>
      </c>
      <c r="E514" s="472" t="s">
        <v>586</v>
      </c>
      <c r="F514" s="472" t="s">
        <v>276</v>
      </c>
      <c r="G514" s="472" t="s">
        <v>527</v>
      </c>
      <c r="H514" s="472" t="s">
        <v>533</v>
      </c>
      <c r="I514" s="472" t="s">
        <v>277</v>
      </c>
      <c r="J514" s="472" t="s">
        <v>528</v>
      </c>
      <c r="K514" s="472" t="s">
        <v>587</v>
      </c>
      <c r="L514" s="472" t="s">
        <v>597</v>
      </c>
      <c r="M514" s="472" t="s">
        <v>535</v>
      </c>
      <c r="N514" s="472"/>
      <c r="O514" s="472"/>
      <c r="P514" s="472" t="s">
        <v>528</v>
      </c>
      <c r="Q514" s="472"/>
      <c r="R514" s="473">
        <v>45546</v>
      </c>
      <c r="S514" s="472" t="s">
        <v>278</v>
      </c>
      <c r="T514" s="473">
        <v>45548</v>
      </c>
      <c r="U514" s="474">
        <v>6</v>
      </c>
      <c r="V514" s="475">
        <v>620.16</v>
      </c>
      <c r="W514" s="260">
        <v>45536</v>
      </c>
    </row>
    <row r="515" spans="1:23" hidden="1" x14ac:dyDescent="0.35">
      <c r="A515" s="472" t="s">
        <v>526</v>
      </c>
      <c r="B515" s="472" t="s">
        <v>159</v>
      </c>
      <c r="C515" s="472" t="s">
        <v>584</v>
      </c>
      <c r="D515" s="472" t="s">
        <v>585</v>
      </c>
      <c r="E515" s="472" t="s">
        <v>586</v>
      </c>
      <c r="F515" s="472" t="s">
        <v>276</v>
      </c>
      <c r="G515" s="472" t="s">
        <v>527</v>
      </c>
      <c r="H515" s="472" t="s">
        <v>533</v>
      </c>
      <c r="I515" s="472" t="s">
        <v>277</v>
      </c>
      <c r="J515" s="472" t="s">
        <v>528</v>
      </c>
      <c r="K515" s="472" t="s">
        <v>587</v>
      </c>
      <c r="L515" s="472" t="s">
        <v>597</v>
      </c>
      <c r="M515" s="472" t="s">
        <v>535</v>
      </c>
      <c r="N515" s="472"/>
      <c r="O515" s="472"/>
      <c r="P515" s="472" t="s">
        <v>528</v>
      </c>
      <c r="Q515" s="472"/>
      <c r="R515" s="473">
        <v>45547</v>
      </c>
      <c r="S515" s="472" t="s">
        <v>278</v>
      </c>
      <c r="T515" s="473">
        <v>45548</v>
      </c>
      <c r="U515" s="474">
        <v>6</v>
      </c>
      <c r="V515" s="475">
        <v>620.16</v>
      </c>
      <c r="W515" s="260">
        <v>45536</v>
      </c>
    </row>
    <row r="516" spans="1:23" hidden="1" x14ac:dyDescent="0.35">
      <c r="A516" s="472" t="s">
        <v>526</v>
      </c>
      <c r="B516" s="472" t="s">
        <v>159</v>
      </c>
      <c r="C516" s="472" t="s">
        <v>584</v>
      </c>
      <c r="D516" s="472" t="s">
        <v>585</v>
      </c>
      <c r="E516" s="472" t="s">
        <v>586</v>
      </c>
      <c r="F516" s="472" t="s">
        <v>276</v>
      </c>
      <c r="G516" s="472" t="s">
        <v>527</v>
      </c>
      <c r="H516" s="472" t="s">
        <v>533</v>
      </c>
      <c r="I516" s="472" t="s">
        <v>277</v>
      </c>
      <c r="J516" s="472" t="s">
        <v>528</v>
      </c>
      <c r="K516" s="472" t="s">
        <v>587</v>
      </c>
      <c r="L516" s="472" t="s">
        <v>597</v>
      </c>
      <c r="M516" s="472" t="s">
        <v>535</v>
      </c>
      <c r="N516" s="472"/>
      <c r="O516" s="472"/>
      <c r="P516" s="472" t="s">
        <v>528</v>
      </c>
      <c r="Q516" s="472"/>
      <c r="R516" s="473">
        <v>45548</v>
      </c>
      <c r="S516" s="472" t="s">
        <v>278</v>
      </c>
      <c r="T516" s="473">
        <v>45548</v>
      </c>
      <c r="U516" s="474">
        <v>6</v>
      </c>
      <c r="V516" s="475">
        <v>620.16</v>
      </c>
      <c r="W516" s="260">
        <v>45536</v>
      </c>
    </row>
    <row r="517" spans="1:23" hidden="1" x14ac:dyDescent="0.35">
      <c r="A517" s="472" t="s">
        <v>526</v>
      </c>
      <c r="B517" s="472" t="s">
        <v>159</v>
      </c>
      <c r="C517" s="472" t="s">
        <v>584</v>
      </c>
      <c r="D517" s="472" t="s">
        <v>585</v>
      </c>
      <c r="E517" s="472" t="s">
        <v>586</v>
      </c>
      <c r="F517" s="472" t="s">
        <v>276</v>
      </c>
      <c r="G517" s="472" t="s">
        <v>527</v>
      </c>
      <c r="H517" s="472" t="s">
        <v>533</v>
      </c>
      <c r="I517" s="472" t="s">
        <v>277</v>
      </c>
      <c r="J517" s="472" t="s">
        <v>528</v>
      </c>
      <c r="K517" s="472" t="s">
        <v>587</v>
      </c>
      <c r="L517" s="472" t="s">
        <v>597</v>
      </c>
      <c r="M517" s="472" t="s">
        <v>535</v>
      </c>
      <c r="N517" s="472"/>
      <c r="O517" s="472"/>
      <c r="P517" s="472" t="s">
        <v>528</v>
      </c>
      <c r="Q517" s="472"/>
      <c r="R517" s="473">
        <v>45545</v>
      </c>
      <c r="S517" s="472" t="s">
        <v>278</v>
      </c>
      <c r="T517" s="473">
        <v>45548</v>
      </c>
      <c r="U517" s="474">
        <v>5</v>
      </c>
      <c r="V517" s="475">
        <v>516.79999999999995</v>
      </c>
      <c r="W517" s="260">
        <v>45536</v>
      </c>
    </row>
    <row r="518" spans="1:23" hidden="1" x14ac:dyDescent="0.35">
      <c r="A518" s="472" t="s">
        <v>526</v>
      </c>
      <c r="B518" s="472" t="s">
        <v>159</v>
      </c>
      <c r="C518" s="472" t="s">
        <v>584</v>
      </c>
      <c r="D518" s="472" t="s">
        <v>585</v>
      </c>
      <c r="E518" s="472" t="s">
        <v>586</v>
      </c>
      <c r="F518" s="472" t="s">
        <v>276</v>
      </c>
      <c r="G518" s="472" t="s">
        <v>527</v>
      </c>
      <c r="H518" s="472" t="s">
        <v>533</v>
      </c>
      <c r="I518" s="472" t="s">
        <v>277</v>
      </c>
      <c r="J518" s="472" t="s">
        <v>528</v>
      </c>
      <c r="K518" s="472" t="s">
        <v>587</v>
      </c>
      <c r="L518" s="472" t="s">
        <v>597</v>
      </c>
      <c r="M518" s="472" t="s">
        <v>535</v>
      </c>
      <c r="N518" s="472"/>
      <c r="O518" s="472"/>
      <c r="P518" s="472" t="s">
        <v>528</v>
      </c>
      <c r="Q518" s="472"/>
      <c r="R518" s="473">
        <v>45561</v>
      </c>
      <c r="S518" s="472" t="s">
        <v>278</v>
      </c>
      <c r="T518" s="473">
        <v>45565</v>
      </c>
      <c r="U518" s="474">
        <v>6</v>
      </c>
      <c r="V518" s="475">
        <v>620.16</v>
      </c>
      <c r="W518" s="260">
        <v>45536</v>
      </c>
    </row>
    <row r="519" spans="1:23" hidden="1" x14ac:dyDescent="0.35">
      <c r="A519" s="472" t="s">
        <v>526</v>
      </c>
      <c r="B519" s="472" t="s">
        <v>159</v>
      </c>
      <c r="C519" s="472" t="s">
        <v>584</v>
      </c>
      <c r="D519" s="472" t="s">
        <v>585</v>
      </c>
      <c r="E519" s="472" t="s">
        <v>586</v>
      </c>
      <c r="F519" s="472" t="s">
        <v>276</v>
      </c>
      <c r="G519" s="472" t="s">
        <v>527</v>
      </c>
      <c r="H519" s="472" t="s">
        <v>533</v>
      </c>
      <c r="I519" s="472" t="s">
        <v>277</v>
      </c>
      <c r="J519" s="472" t="s">
        <v>528</v>
      </c>
      <c r="K519" s="472" t="s">
        <v>587</v>
      </c>
      <c r="L519" s="472" t="s">
        <v>597</v>
      </c>
      <c r="M519" s="472" t="s">
        <v>535</v>
      </c>
      <c r="N519" s="472"/>
      <c r="O519" s="472"/>
      <c r="P519" s="472" t="s">
        <v>528</v>
      </c>
      <c r="Q519" s="472"/>
      <c r="R519" s="473">
        <v>45560</v>
      </c>
      <c r="S519" s="472" t="s">
        <v>278</v>
      </c>
      <c r="T519" s="473">
        <v>45565</v>
      </c>
      <c r="U519" s="474">
        <v>6</v>
      </c>
      <c r="V519" s="475">
        <v>620.16</v>
      </c>
      <c r="W519" s="260">
        <v>45536</v>
      </c>
    </row>
    <row r="520" spans="1:23" hidden="1" x14ac:dyDescent="0.35">
      <c r="A520" s="472" t="s">
        <v>526</v>
      </c>
      <c r="B520" s="472" t="s">
        <v>159</v>
      </c>
      <c r="C520" s="472" t="s">
        <v>584</v>
      </c>
      <c r="D520" s="472" t="s">
        <v>585</v>
      </c>
      <c r="E520" s="472" t="s">
        <v>586</v>
      </c>
      <c r="F520" s="472" t="s">
        <v>276</v>
      </c>
      <c r="G520" s="472" t="s">
        <v>527</v>
      </c>
      <c r="H520" s="472" t="s">
        <v>533</v>
      </c>
      <c r="I520" s="472" t="s">
        <v>277</v>
      </c>
      <c r="J520" s="472" t="s">
        <v>528</v>
      </c>
      <c r="K520" s="472" t="s">
        <v>587</v>
      </c>
      <c r="L520" s="472" t="s">
        <v>597</v>
      </c>
      <c r="M520" s="472" t="s">
        <v>535</v>
      </c>
      <c r="N520" s="472"/>
      <c r="O520" s="472"/>
      <c r="P520" s="472" t="s">
        <v>528</v>
      </c>
      <c r="Q520" s="472"/>
      <c r="R520" s="473">
        <v>45562</v>
      </c>
      <c r="S520" s="472" t="s">
        <v>278</v>
      </c>
      <c r="T520" s="473">
        <v>45565</v>
      </c>
      <c r="U520" s="474">
        <v>6</v>
      </c>
      <c r="V520" s="475">
        <v>620.16</v>
      </c>
      <c r="W520" s="260">
        <v>45536</v>
      </c>
    </row>
    <row r="521" spans="1:23" hidden="1" x14ac:dyDescent="0.35">
      <c r="A521" s="472" t="s">
        <v>526</v>
      </c>
      <c r="B521" s="472" t="s">
        <v>159</v>
      </c>
      <c r="C521" s="472" t="s">
        <v>584</v>
      </c>
      <c r="D521" s="472" t="s">
        <v>585</v>
      </c>
      <c r="E521" s="472" t="s">
        <v>586</v>
      </c>
      <c r="F521" s="472" t="s">
        <v>276</v>
      </c>
      <c r="G521" s="472" t="s">
        <v>527</v>
      </c>
      <c r="H521" s="472" t="s">
        <v>533</v>
      </c>
      <c r="I521" s="472" t="s">
        <v>277</v>
      </c>
      <c r="J521" s="472" t="s">
        <v>528</v>
      </c>
      <c r="K521" s="472" t="s">
        <v>587</v>
      </c>
      <c r="L521" s="472" t="s">
        <v>597</v>
      </c>
      <c r="M521" s="472" t="s">
        <v>535</v>
      </c>
      <c r="N521" s="472"/>
      <c r="O521" s="472"/>
      <c r="P521" s="472" t="s">
        <v>528</v>
      </c>
      <c r="Q521" s="472"/>
      <c r="R521" s="473">
        <v>45554</v>
      </c>
      <c r="S521" s="472" t="s">
        <v>278</v>
      </c>
      <c r="T521" s="473">
        <v>45558</v>
      </c>
      <c r="U521" s="474">
        <v>6</v>
      </c>
      <c r="V521" s="475">
        <v>620.16</v>
      </c>
      <c r="W521" s="260">
        <v>45536</v>
      </c>
    </row>
    <row r="522" spans="1:23" hidden="1" x14ac:dyDescent="0.35">
      <c r="A522" s="472" t="s">
        <v>526</v>
      </c>
      <c r="B522" s="472" t="s">
        <v>159</v>
      </c>
      <c r="C522" s="472" t="s">
        <v>584</v>
      </c>
      <c r="D522" s="472" t="s">
        <v>585</v>
      </c>
      <c r="E522" s="472" t="s">
        <v>586</v>
      </c>
      <c r="F522" s="472" t="s">
        <v>276</v>
      </c>
      <c r="G522" s="472" t="s">
        <v>527</v>
      </c>
      <c r="H522" s="472" t="s">
        <v>533</v>
      </c>
      <c r="I522" s="472" t="s">
        <v>277</v>
      </c>
      <c r="J522" s="472" t="s">
        <v>528</v>
      </c>
      <c r="K522" s="472" t="s">
        <v>587</v>
      </c>
      <c r="L522" s="472" t="s">
        <v>597</v>
      </c>
      <c r="M522" s="472" t="s">
        <v>535</v>
      </c>
      <c r="N522" s="472"/>
      <c r="O522" s="472"/>
      <c r="P522" s="472" t="s">
        <v>528</v>
      </c>
      <c r="Q522" s="472"/>
      <c r="R522" s="473">
        <v>45552</v>
      </c>
      <c r="S522" s="472" t="s">
        <v>278</v>
      </c>
      <c r="T522" s="473">
        <v>45558</v>
      </c>
      <c r="U522" s="474">
        <v>5</v>
      </c>
      <c r="V522" s="475">
        <v>516.79999999999995</v>
      </c>
      <c r="W522" s="260">
        <v>45536</v>
      </c>
    </row>
    <row r="523" spans="1:23" hidden="1" x14ac:dyDescent="0.35">
      <c r="A523" s="472" t="s">
        <v>526</v>
      </c>
      <c r="B523" s="472" t="s">
        <v>159</v>
      </c>
      <c r="C523" s="472" t="s">
        <v>584</v>
      </c>
      <c r="D523" s="472" t="s">
        <v>585</v>
      </c>
      <c r="E523" s="472" t="s">
        <v>586</v>
      </c>
      <c r="F523" s="472" t="s">
        <v>276</v>
      </c>
      <c r="G523" s="472" t="s">
        <v>527</v>
      </c>
      <c r="H523" s="472" t="s">
        <v>533</v>
      </c>
      <c r="I523" s="472" t="s">
        <v>277</v>
      </c>
      <c r="J523" s="472" t="s">
        <v>528</v>
      </c>
      <c r="K523" s="472" t="s">
        <v>587</v>
      </c>
      <c r="L523" s="472" t="s">
        <v>597</v>
      </c>
      <c r="M523" s="472" t="s">
        <v>535</v>
      </c>
      <c r="N523" s="472"/>
      <c r="O523" s="472"/>
      <c r="P523" s="472" t="s">
        <v>528</v>
      </c>
      <c r="Q523" s="472"/>
      <c r="R523" s="473">
        <v>45553</v>
      </c>
      <c r="S523" s="472" t="s">
        <v>278</v>
      </c>
      <c r="T523" s="473">
        <v>45558</v>
      </c>
      <c r="U523" s="474">
        <v>8</v>
      </c>
      <c r="V523" s="475">
        <v>826.88</v>
      </c>
      <c r="W523" s="260">
        <v>45536</v>
      </c>
    </row>
    <row r="524" spans="1:23" hidden="1" x14ac:dyDescent="0.35">
      <c r="A524" s="472" t="s">
        <v>526</v>
      </c>
      <c r="B524" s="472" t="s">
        <v>159</v>
      </c>
      <c r="C524" s="472" t="s">
        <v>584</v>
      </c>
      <c r="D524" s="472" t="s">
        <v>585</v>
      </c>
      <c r="E524" s="472" t="s">
        <v>586</v>
      </c>
      <c r="F524" s="472" t="s">
        <v>276</v>
      </c>
      <c r="G524" s="472" t="s">
        <v>527</v>
      </c>
      <c r="H524" s="472" t="s">
        <v>533</v>
      </c>
      <c r="I524" s="472" t="s">
        <v>277</v>
      </c>
      <c r="J524" s="472" t="s">
        <v>528</v>
      </c>
      <c r="K524" s="472" t="s">
        <v>587</v>
      </c>
      <c r="L524" s="472" t="s">
        <v>597</v>
      </c>
      <c r="M524" s="472" t="s">
        <v>535</v>
      </c>
      <c r="N524" s="472"/>
      <c r="O524" s="472"/>
      <c r="P524" s="472" t="s">
        <v>528</v>
      </c>
      <c r="Q524" s="472"/>
      <c r="R524" s="473">
        <v>45555</v>
      </c>
      <c r="S524" s="472" t="s">
        <v>278</v>
      </c>
      <c r="T524" s="473">
        <v>45558</v>
      </c>
      <c r="U524" s="474">
        <v>4</v>
      </c>
      <c r="V524" s="475">
        <v>413.44</v>
      </c>
      <c r="W524" s="260">
        <v>45536</v>
      </c>
    </row>
    <row r="525" spans="1:23" hidden="1" x14ac:dyDescent="0.35">
      <c r="A525" s="472" t="s">
        <v>526</v>
      </c>
      <c r="B525" s="472" t="s">
        <v>159</v>
      </c>
      <c r="C525" s="472" t="s">
        <v>584</v>
      </c>
      <c r="D525" s="472" t="s">
        <v>585</v>
      </c>
      <c r="E525" s="472" t="s">
        <v>586</v>
      </c>
      <c r="F525" s="472" t="s">
        <v>276</v>
      </c>
      <c r="G525" s="472" t="s">
        <v>527</v>
      </c>
      <c r="H525" s="472" t="s">
        <v>533</v>
      </c>
      <c r="I525" s="472" t="s">
        <v>277</v>
      </c>
      <c r="J525" s="472" t="s">
        <v>528</v>
      </c>
      <c r="K525" s="472" t="s">
        <v>587</v>
      </c>
      <c r="L525" s="472" t="s">
        <v>597</v>
      </c>
      <c r="M525" s="472" t="s">
        <v>535</v>
      </c>
      <c r="N525" s="472"/>
      <c r="O525" s="472"/>
      <c r="P525" s="472" t="s">
        <v>528</v>
      </c>
      <c r="Q525" s="472"/>
      <c r="R525" s="473">
        <v>45559</v>
      </c>
      <c r="S525" s="472" t="s">
        <v>278</v>
      </c>
      <c r="T525" s="473">
        <v>45565</v>
      </c>
      <c r="U525" s="474">
        <v>8</v>
      </c>
      <c r="V525" s="475">
        <v>826.88</v>
      </c>
      <c r="W525" s="260">
        <v>45536</v>
      </c>
    </row>
    <row r="526" spans="1:23" hidden="1" x14ac:dyDescent="0.35">
      <c r="A526" s="472" t="s">
        <v>526</v>
      </c>
      <c r="B526" s="472" t="s">
        <v>159</v>
      </c>
      <c r="C526" s="472" t="s">
        <v>584</v>
      </c>
      <c r="D526" s="472" t="s">
        <v>585</v>
      </c>
      <c r="E526" s="472" t="s">
        <v>586</v>
      </c>
      <c r="F526" s="472" t="s">
        <v>276</v>
      </c>
      <c r="G526" s="472" t="s">
        <v>527</v>
      </c>
      <c r="H526" s="472" t="s">
        <v>533</v>
      </c>
      <c r="I526" s="472" t="s">
        <v>277</v>
      </c>
      <c r="J526" s="472" t="s">
        <v>528</v>
      </c>
      <c r="K526" s="472" t="s">
        <v>587</v>
      </c>
      <c r="L526" s="472" t="s">
        <v>597</v>
      </c>
      <c r="M526" s="472" t="s">
        <v>535</v>
      </c>
      <c r="N526" s="472"/>
      <c r="O526" s="472"/>
      <c r="P526" s="472" t="s">
        <v>528</v>
      </c>
      <c r="Q526" s="472"/>
      <c r="R526" s="473">
        <v>45558</v>
      </c>
      <c r="S526" s="472" t="s">
        <v>278</v>
      </c>
      <c r="T526" s="473">
        <v>45565</v>
      </c>
      <c r="U526" s="474">
        <v>6</v>
      </c>
      <c r="V526" s="475">
        <v>620.16</v>
      </c>
      <c r="W526" s="260">
        <v>45536</v>
      </c>
    </row>
    <row r="527" spans="1:23" hidden="1" x14ac:dyDescent="0.35">
      <c r="A527" s="472" t="s">
        <v>526</v>
      </c>
      <c r="B527" s="472" t="s">
        <v>53</v>
      </c>
      <c r="C527" s="472"/>
      <c r="D527" s="472" t="s">
        <v>575</v>
      </c>
      <c r="E527" s="472" t="s">
        <v>576</v>
      </c>
      <c r="F527" s="472" t="s">
        <v>588</v>
      </c>
      <c r="G527" s="472" t="s">
        <v>527</v>
      </c>
      <c r="H527" s="472"/>
      <c r="I527" s="472" t="s">
        <v>277</v>
      </c>
      <c r="J527" s="472" t="s">
        <v>577</v>
      </c>
      <c r="K527" s="472"/>
      <c r="L527" s="472" t="s">
        <v>597</v>
      </c>
      <c r="M527" s="472" t="s">
        <v>285</v>
      </c>
      <c r="N527" s="472"/>
      <c r="O527" s="472" t="s">
        <v>591</v>
      </c>
      <c r="P527" s="472" t="s">
        <v>577</v>
      </c>
      <c r="Q527" s="472" t="s">
        <v>589</v>
      </c>
      <c r="R527" s="473">
        <v>45495</v>
      </c>
      <c r="S527" s="472"/>
      <c r="T527" s="473">
        <v>45536</v>
      </c>
      <c r="U527" s="474">
        <v>0</v>
      </c>
      <c r="V527" s="475">
        <v>-36250</v>
      </c>
      <c r="W527" s="260">
        <v>45536</v>
      </c>
    </row>
    <row r="528" spans="1:23" hidden="1" x14ac:dyDescent="0.35">
      <c r="A528" s="472" t="s">
        <v>526</v>
      </c>
      <c r="B528" s="472" t="s">
        <v>53</v>
      </c>
      <c r="C528" s="472"/>
      <c r="D528" s="472" t="s">
        <v>575</v>
      </c>
      <c r="E528" s="472" t="s">
        <v>576</v>
      </c>
      <c r="F528" s="472" t="s">
        <v>588</v>
      </c>
      <c r="G528" s="472" t="s">
        <v>527</v>
      </c>
      <c r="H528" s="472"/>
      <c r="I528" s="472" t="s">
        <v>277</v>
      </c>
      <c r="J528" s="472" t="s">
        <v>577</v>
      </c>
      <c r="K528" s="472"/>
      <c r="L528" s="472" t="s">
        <v>597</v>
      </c>
      <c r="M528" s="472" t="s">
        <v>285</v>
      </c>
      <c r="N528" s="472"/>
      <c r="O528" s="472" t="s">
        <v>591</v>
      </c>
      <c r="P528" s="472" t="s">
        <v>577</v>
      </c>
      <c r="Q528" s="472" t="s">
        <v>589</v>
      </c>
      <c r="R528" s="473">
        <v>45495</v>
      </c>
      <c r="S528" s="472"/>
      <c r="T528" s="473">
        <v>45536</v>
      </c>
      <c r="U528" s="474">
        <v>0</v>
      </c>
      <c r="V528" s="475">
        <v>-16250</v>
      </c>
      <c r="W528" s="260">
        <v>45536</v>
      </c>
    </row>
    <row r="529" spans="1:23" hidden="1" x14ac:dyDescent="0.35">
      <c r="A529" s="472" t="s">
        <v>526</v>
      </c>
      <c r="B529" s="472" t="s">
        <v>53</v>
      </c>
      <c r="C529" s="472"/>
      <c r="D529" s="472" t="s">
        <v>575</v>
      </c>
      <c r="E529" s="472" t="s">
        <v>576</v>
      </c>
      <c r="F529" s="472" t="s">
        <v>588</v>
      </c>
      <c r="G529" s="472" t="s">
        <v>527</v>
      </c>
      <c r="H529" s="472"/>
      <c r="I529" s="472" t="s">
        <v>277</v>
      </c>
      <c r="J529" s="472" t="s">
        <v>577</v>
      </c>
      <c r="K529" s="472"/>
      <c r="L529" s="472" t="s">
        <v>597</v>
      </c>
      <c r="M529" s="472" t="s">
        <v>285</v>
      </c>
      <c r="N529" s="472"/>
      <c r="O529" s="472" t="s">
        <v>591</v>
      </c>
      <c r="P529" s="472" t="s">
        <v>577</v>
      </c>
      <c r="Q529" s="472" t="s">
        <v>589</v>
      </c>
      <c r="R529" s="473">
        <v>45495</v>
      </c>
      <c r="S529" s="472"/>
      <c r="T529" s="473">
        <v>45536</v>
      </c>
      <c r="U529" s="474">
        <v>0</v>
      </c>
      <c r="V529" s="475">
        <v>-72404</v>
      </c>
      <c r="W529" s="260">
        <v>45536</v>
      </c>
    </row>
    <row r="530" spans="1:23" hidden="1" x14ac:dyDescent="0.35">
      <c r="A530" s="472" t="s">
        <v>526</v>
      </c>
      <c r="B530" s="472" t="s">
        <v>53</v>
      </c>
      <c r="C530" s="472"/>
      <c r="D530" s="472" t="s">
        <v>575</v>
      </c>
      <c r="E530" s="472" t="s">
        <v>576</v>
      </c>
      <c r="F530" s="472" t="s">
        <v>276</v>
      </c>
      <c r="G530" s="472" t="s">
        <v>527</v>
      </c>
      <c r="H530" s="472"/>
      <c r="I530" s="472" t="s">
        <v>277</v>
      </c>
      <c r="J530" s="472" t="s">
        <v>577</v>
      </c>
      <c r="K530" s="472"/>
      <c r="L530" s="472" t="s">
        <v>597</v>
      </c>
      <c r="M530" s="472" t="s">
        <v>285</v>
      </c>
      <c r="N530" s="472" t="s">
        <v>598</v>
      </c>
      <c r="O530" s="472" t="s">
        <v>591</v>
      </c>
      <c r="P530" s="472" t="s">
        <v>577</v>
      </c>
      <c r="Q530" s="472" t="s">
        <v>387</v>
      </c>
      <c r="R530" s="473">
        <v>45531</v>
      </c>
      <c r="S530" s="472" t="s">
        <v>388</v>
      </c>
      <c r="T530" s="473">
        <v>45538</v>
      </c>
      <c r="U530" s="476">
        <v>1</v>
      </c>
      <c r="V530" s="475">
        <v>36250</v>
      </c>
      <c r="W530" s="260">
        <v>45536</v>
      </c>
    </row>
    <row r="531" spans="1:23" hidden="1" x14ac:dyDescent="0.35">
      <c r="A531" s="472" t="s">
        <v>526</v>
      </c>
      <c r="B531" s="472" t="s">
        <v>53</v>
      </c>
      <c r="C531" s="472"/>
      <c r="D531" s="472" t="s">
        <v>575</v>
      </c>
      <c r="E531" s="472" t="s">
        <v>576</v>
      </c>
      <c r="F531" s="472" t="s">
        <v>276</v>
      </c>
      <c r="G531" s="472" t="s">
        <v>527</v>
      </c>
      <c r="H531" s="472"/>
      <c r="I531" s="472" t="s">
        <v>277</v>
      </c>
      <c r="J531" s="472" t="s">
        <v>577</v>
      </c>
      <c r="K531" s="472"/>
      <c r="L531" s="472" t="s">
        <v>597</v>
      </c>
      <c r="M531" s="472" t="s">
        <v>285</v>
      </c>
      <c r="N531" s="472"/>
      <c r="O531" s="472" t="s">
        <v>591</v>
      </c>
      <c r="P531" s="472" t="s">
        <v>577</v>
      </c>
      <c r="Q531" s="472" t="s">
        <v>400</v>
      </c>
      <c r="R531" s="473">
        <v>45560</v>
      </c>
      <c r="S531" s="472"/>
      <c r="T531" s="473">
        <v>45565</v>
      </c>
      <c r="U531" s="474">
        <v>0</v>
      </c>
      <c r="V531" s="475">
        <v>16250</v>
      </c>
      <c r="W531" s="260">
        <v>45536</v>
      </c>
    </row>
    <row r="532" spans="1:23" hidden="1" x14ac:dyDescent="0.35">
      <c r="A532" s="472" t="s">
        <v>526</v>
      </c>
      <c r="B532" s="472" t="s">
        <v>53</v>
      </c>
      <c r="C532" s="472"/>
      <c r="D532" s="472" t="s">
        <v>575</v>
      </c>
      <c r="E532" s="472" t="s">
        <v>576</v>
      </c>
      <c r="F532" s="472" t="s">
        <v>276</v>
      </c>
      <c r="G532" s="472" t="s">
        <v>527</v>
      </c>
      <c r="H532" s="472"/>
      <c r="I532" s="472" t="s">
        <v>277</v>
      </c>
      <c r="J532" s="472" t="s">
        <v>577</v>
      </c>
      <c r="K532" s="472"/>
      <c r="L532" s="472" t="s">
        <v>597</v>
      </c>
      <c r="M532" s="472" t="s">
        <v>285</v>
      </c>
      <c r="N532" s="472"/>
      <c r="O532" s="472" t="s">
        <v>591</v>
      </c>
      <c r="P532" s="472" t="s">
        <v>577</v>
      </c>
      <c r="Q532" s="472" t="s">
        <v>400</v>
      </c>
      <c r="R532" s="473">
        <v>45560</v>
      </c>
      <c r="S532" s="472"/>
      <c r="T532" s="473">
        <v>45565</v>
      </c>
      <c r="U532" s="474">
        <v>0</v>
      </c>
      <c r="V532" s="475">
        <v>72404</v>
      </c>
      <c r="W532" s="260">
        <v>45536</v>
      </c>
    </row>
    <row r="533" spans="1:23" hidden="1" x14ac:dyDescent="0.35">
      <c r="A533" s="472" t="s">
        <v>526</v>
      </c>
      <c r="B533" s="472" t="s">
        <v>159</v>
      </c>
      <c r="C533" s="472" t="s">
        <v>281</v>
      </c>
      <c r="D533" s="472" t="s">
        <v>282</v>
      </c>
      <c r="E533" s="472" t="s">
        <v>283</v>
      </c>
      <c r="F533" s="472" t="s">
        <v>276</v>
      </c>
      <c r="G533" s="472" t="s">
        <v>527</v>
      </c>
      <c r="H533" s="472"/>
      <c r="I533" s="472" t="s">
        <v>277</v>
      </c>
      <c r="J533" s="472" t="s">
        <v>528</v>
      </c>
      <c r="K533" s="472" t="s">
        <v>284</v>
      </c>
      <c r="L533" s="472" t="s">
        <v>599</v>
      </c>
      <c r="M533" s="472" t="s">
        <v>285</v>
      </c>
      <c r="N533" s="472"/>
      <c r="O533" s="472"/>
      <c r="P533" s="472" t="s">
        <v>528</v>
      </c>
      <c r="Q533" s="472"/>
      <c r="R533" s="473">
        <v>45597</v>
      </c>
      <c r="S533" s="472"/>
      <c r="T533" s="473">
        <v>45596</v>
      </c>
      <c r="U533" s="474">
        <v>0</v>
      </c>
      <c r="V533" s="475">
        <v>414.43</v>
      </c>
      <c r="W533" s="260">
        <v>45566</v>
      </c>
    </row>
    <row r="534" spans="1:23" hidden="1" x14ac:dyDescent="0.35">
      <c r="A534" s="472" t="s">
        <v>526</v>
      </c>
      <c r="B534" s="472" t="s">
        <v>159</v>
      </c>
      <c r="C534" s="472" t="s">
        <v>286</v>
      </c>
      <c r="D534" s="472" t="s">
        <v>287</v>
      </c>
      <c r="E534" s="472" t="s">
        <v>288</v>
      </c>
      <c r="F534" s="472" t="s">
        <v>276</v>
      </c>
      <c r="G534" s="472" t="s">
        <v>527</v>
      </c>
      <c r="H534" s="472"/>
      <c r="I534" s="472" t="s">
        <v>277</v>
      </c>
      <c r="J534" s="472" t="s">
        <v>528</v>
      </c>
      <c r="K534" s="472" t="s">
        <v>289</v>
      </c>
      <c r="L534" s="472" t="s">
        <v>599</v>
      </c>
      <c r="M534" s="472" t="s">
        <v>285</v>
      </c>
      <c r="N534" s="472"/>
      <c r="O534" s="472"/>
      <c r="P534" s="472" t="s">
        <v>528</v>
      </c>
      <c r="Q534" s="472"/>
      <c r="R534" s="473">
        <v>45597</v>
      </c>
      <c r="S534" s="472"/>
      <c r="T534" s="473">
        <v>45596</v>
      </c>
      <c r="U534" s="474">
        <v>0</v>
      </c>
      <c r="V534" s="475">
        <v>1188.8900000000001</v>
      </c>
      <c r="W534" s="260">
        <v>45566</v>
      </c>
    </row>
    <row r="535" spans="1:23" hidden="1" x14ac:dyDescent="0.35">
      <c r="A535" s="472" t="s">
        <v>526</v>
      </c>
      <c r="B535" s="472" t="s">
        <v>159</v>
      </c>
      <c r="C535" s="472" t="s">
        <v>281</v>
      </c>
      <c r="D535" s="472" t="s">
        <v>290</v>
      </c>
      <c r="E535" s="472" t="s">
        <v>291</v>
      </c>
      <c r="F535" s="472" t="s">
        <v>276</v>
      </c>
      <c r="G535" s="472" t="s">
        <v>527</v>
      </c>
      <c r="H535" s="472"/>
      <c r="I535" s="472" t="s">
        <v>277</v>
      </c>
      <c r="J535" s="472" t="s">
        <v>528</v>
      </c>
      <c r="K535" s="472" t="s">
        <v>284</v>
      </c>
      <c r="L535" s="472" t="s">
        <v>599</v>
      </c>
      <c r="M535" s="472" t="s">
        <v>285</v>
      </c>
      <c r="N535" s="472"/>
      <c r="O535" s="472"/>
      <c r="P535" s="472" t="s">
        <v>528</v>
      </c>
      <c r="Q535" s="472"/>
      <c r="R535" s="473">
        <v>45597</v>
      </c>
      <c r="S535" s="472"/>
      <c r="T535" s="473">
        <v>45596</v>
      </c>
      <c r="U535" s="474">
        <v>0</v>
      </c>
      <c r="V535" s="475">
        <v>257.57</v>
      </c>
      <c r="W535" s="260">
        <v>45566</v>
      </c>
    </row>
    <row r="536" spans="1:23" hidden="1" x14ac:dyDescent="0.35">
      <c r="A536" s="472" t="s">
        <v>526</v>
      </c>
      <c r="B536" s="472" t="s">
        <v>159</v>
      </c>
      <c r="C536" s="472" t="s">
        <v>281</v>
      </c>
      <c r="D536" s="472" t="s">
        <v>292</v>
      </c>
      <c r="E536" s="472" t="s">
        <v>293</v>
      </c>
      <c r="F536" s="472" t="s">
        <v>276</v>
      </c>
      <c r="G536" s="472" t="s">
        <v>527</v>
      </c>
      <c r="H536" s="472"/>
      <c r="I536" s="472" t="s">
        <v>277</v>
      </c>
      <c r="J536" s="472" t="s">
        <v>528</v>
      </c>
      <c r="K536" s="472" t="s">
        <v>294</v>
      </c>
      <c r="L536" s="472" t="s">
        <v>599</v>
      </c>
      <c r="M536" s="472" t="s">
        <v>285</v>
      </c>
      <c r="N536" s="472"/>
      <c r="O536" s="472"/>
      <c r="P536" s="472" t="s">
        <v>528</v>
      </c>
      <c r="Q536" s="472"/>
      <c r="R536" s="473">
        <v>45597</v>
      </c>
      <c r="S536" s="472"/>
      <c r="T536" s="473">
        <v>45596</v>
      </c>
      <c r="U536" s="474">
        <v>0</v>
      </c>
      <c r="V536" s="475">
        <v>365.23</v>
      </c>
      <c r="W536" s="260">
        <v>45566</v>
      </c>
    </row>
    <row r="537" spans="1:23" hidden="1" x14ac:dyDescent="0.35">
      <c r="A537" s="472" t="s">
        <v>526</v>
      </c>
      <c r="B537" s="472" t="s">
        <v>159</v>
      </c>
      <c r="C537" s="472" t="s">
        <v>286</v>
      </c>
      <c r="D537" s="472" t="s">
        <v>295</v>
      </c>
      <c r="E537" s="472" t="s">
        <v>296</v>
      </c>
      <c r="F537" s="472" t="s">
        <v>276</v>
      </c>
      <c r="G537" s="472" t="s">
        <v>527</v>
      </c>
      <c r="H537" s="472"/>
      <c r="I537" s="472" t="s">
        <v>277</v>
      </c>
      <c r="J537" s="472" t="s">
        <v>528</v>
      </c>
      <c r="K537" s="472" t="s">
        <v>297</v>
      </c>
      <c r="L537" s="472" t="s">
        <v>599</v>
      </c>
      <c r="M537" s="472" t="s">
        <v>285</v>
      </c>
      <c r="N537" s="472"/>
      <c r="O537" s="472"/>
      <c r="P537" s="472" t="s">
        <v>528</v>
      </c>
      <c r="Q537" s="472"/>
      <c r="R537" s="473">
        <v>45597</v>
      </c>
      <c r="S537" s="472"/>
      <c r="T537" s="473">
        <v>45596</v>
      </c>
      <c r="U537" s="474">
        <v>0</v>
      </c>
      <c r="V537" s="475">
        <v>460.16</v>
      </c>
      <c r="W537" s="260">
        <v>45566</v>
      </c>
    </row>
    <row r="538" spans="1:23" hidden="1" x14ac:dyDescent="0.35">
      <c r="A538" s="472" t="s">
        <v>526</v>
      </c>
      <c r="B538" s="472" t="s">
        <v>159</v>
      </c>
      <c r="C538" s="472" t="s">
        <v>302</v>
      </c>
      <c r="D538" s="472" t="s">
        <v>299</v>
      </c>
      <c r="E538" s="472" t="s">
        <v>300</v>
      </c>
      <c r="F538" s="472" t="s">
        <v>276</v>
      </c>
      <c r="G538" s="472" t="s">
        <v>527</v>
      </c>
      <c r="H538" s="472"/>
      <c r="I538" s="472" t="s">
        <v>277</v>
      </c>
      <c r="J538" s="472" t="s">
        <v>528</v>
      </c>
      <c r="K538" s="472" t="s">
        <v>303</v>
      </c>
      <c r="L538" s="472" t="s">
        <v>599</v>
      </c>
      <c r="M538" s="472" t="s">
        <v>285</v>
      </c>
      <c r="N538" s="472"/>
      <c r="O538" s="472"/>
      <c r="P538" s="472" t="s">
        <v>528</v>
      </c>
      <c r="Q538" s="472"/>
      <c r="R538" s="473">
        <v>45600</v>
      </c>
      <c r="S538" s="472"/>
      <c r="T538" s="473">
        <v>45596</v>
      </c>
      <c r="U538" s="474">
        <v>0</v>
      </c>
      <c r="V538" s="475">
        <v>0.01</v>
      </c>
      <c r="W538" s="260">
        <v>45566</v>
      </c>
    </row>
    <row r="539" spans="1:23" hidden="1" x14ac:dyDescent="0.35">
      <c r="A539" s="472" t="s">
        <v>526</v>
      </c>
      <c r="B539" s="472" t="s">
        <v>159</v>
      </c>
      <c r="C539" s="472" t="s">
        <v>302</v>
      </c>
      <c r="D539" s="472" t="s">
        <v>304</v>
      </c>
      <c r="E539" s="472" t="s">
        <v>305</v>
      </c>
      <c r="F539" s="472" t="s">
        <v>276</v>
      </c>
      <c r="G539" s="472" t="s">
        <v>527</v>
      </c>
      <c r="H539" s="472"/>
      <c r="I539" s="472" t="s">
        <v>277</v>
      </c>
      <c r="J539" s="472" t="s">
        <v>528</v>
      </c>
      <c r="K539" s="472" t="s">
        <v>303</v>
      </c>
      <c r="L539" s="472" t="s">
        <v>599</v>
      </c>
      <c r="M539" s="472" t="s">
        <v>285</v>
      </c>
      <c r="N539" s="472"/>
      <c r="O539" s="472"/>
      <c r="P539" s="472" t="s">
        <v>528</v>
      </c>
      <c r="Q539" s="472"/>
      <c r="R539" s="473">
        <v>45600</v>
      </c>
      <c r="S539" s="472"/>
      <c r="T539" s="473">
        <v>45596</v>
      </c>
      <c r="U539" s="474">
        <v>0</v>
      </c>
      <c r="V539" s="475">
        <v>0.02</v>
      </c>
      <c r="W539" s="260">
        <v>45566</v>
      </c>
    </row>
    <row r="540" spans="1:23" hidden="1" x14ac:dyDescent="0.35">
      <c r="A540" s="472" t="s">
        <v>526</v>
      </c>
      <c r="B540" s="472" t="s">
        <v>159</v>
      </c>
      <c r="C540" s="472" t="s">
        <v>302</v>
      </c>
      <c r="D540" s="472" t="s">
        <v>306</v>
      </c>
      <c r="E540" s="472" t="s">
        <v>307</v>
      </c>
      <c r="F540" s="472" t="s">
        <v>276</v>
      </c>
      <c r="G540" s="472" t="s">
        <v>527</v>
      </c>
      <c r="H540" s="472"/>
      <c r="I540" s="472" t="s">
        <v>277</v>
      </c>
      <c r="J540" s="472" t="s">
        <v>528</v>
      </c>
      <c r="K540" s="472" t="s">
        <v>303</v>
      </c>
      <c r="L540" s="472" t="s">
        <v>599</v>
      </c>
      <c r="M540" s="472" t="s">
        <v>285</v>
      </c>
      <c r="N540" s="472"/>
      <c r="O540" s="472"/>
      <c r="P540" s="472" t="s">
        <v>528</v>
      </c>
      <c r="Q540" s="472"/>
      <c r="R540" s="473">
        <v>45600</v>
      </c>
      <c r="S540" s="472"/>
      <c r="T540" s="473">
        <v>45596</v>
      </c>
      <c r="U540" s="474">
        <v>0</v>
      </c>
      <c r="V540" s="475">
        <v>0.02</v>
      </c>
      <c r="W540" s="260">
        <v>45566</v>
      </c>
    </row>
    <row r="541" spans="1:23" hidden="1" x14ac:dyDescent="0.35">
      <c r="A541" s="472" t="s">
        <v>526</v>
      </c>
      <c r="B541" s="472" t="s">
        <v>159</v>
      </c>
      <c r="C541" s="472" t="s">
        <v>302</v>
      </c>
      <c r="D541" s="472" t="s">
        <v>308</v>
      </c>
      <c r="E541" s="472" t="s">
        <v>309</v>
      </c>
      <c r="F541" s="472" t="s">
        <v>276</v>
      </c>
      <c r="G541" s="472" t="s">
        <v>527</v>
      </c>
      <c r="H541" s="472"/>
      <c r="I541" s="472" t="s">
        <v>277</v>
      </c>
      <c r="J541" s="472" t="s">
        <v>528</v>
      </c>
      <c r="K541" s="472" t="s">
        <v>303</v>
      </c>
      <c r="L541" s="472" t="s">
        <v>599</v>
      </c>
      <c r="M541" s="472" t="s">
        <v>285</v>
      </c>
      <c r="N541" s="472"/>
      <c r="O541" s="472"/>
      <c r="P541" s="472" t="s">
        <v>528</v>
      </c>
      <c r="Q541" s="472"/>
      <c r="R541" s="473">
        <v>45600</v>
      </c>
      <c r="S541" s="472"/>
      <c r="T541" s="473">
        <v>45596</v>
      </c>
      <c r="U541" s="474">
        <v>0</v>
      </c>
      <c r="V541" s="475">
        <v>5.15</v>
      </c>
      <c r="W541" s="260">
        <v>45566</v>
      </c>
    </row>
    <row r="542" spans="1:23" hidden="1" x14ac:dyDescent="0.35">
      <c r="A542" s="472" t="s">
        <v>526</v>
      </c>
      <c r="B542" s="472" t="s">
        <v>159</v>
      </c>
      <c r="C542" s="472" t="s">
        <v>302</v>
      </c>
      <c r="D542" s="472" t="s">
        <v>308</v>
      </c>
      <c r="E542" s="472" t="s">
        <v>309</v>
      </c>
      <c r="F542" s="472" t="s">
        <v>276</v>
      </c>
      <c r="G542" s="472" t="s">
        <v>527</v>
      </c>
      <c r="H542" s="472"/>
      <c r="I542" s="472" t="s">
        <v>277</v>
      </c>
      <c r="J542" s="472" t="s">
        <v>528</v>
      </c>
      <c r="K542" s="472" t="s">
        <v>303</v>
      </c>
      <c r="L542" s="472" t="s">
        <v>599</v>
      </c>
      <c r="M542" s="472" t="s">
        <v>285</v>
      </c>
      <c r="N542" s="472"/>
      <c r="O542" s="472"/>
      <c r="P542" s="472" t="s">
        <v>528</v>
      </c>
      <c r="Q542" s="472"/>
      <c r="R542" s="473">
        <v>45600</v>
      </c>
      <c r="S542" s="472"/>
      <c r="T542" s="473">
        <v>45596</v>
      </c>
      <c r="U542" s="474">
        <v>0</v>
      </c>
      <c r="V542" s="475">
        <v>239.16</v>
      </c>
      <c r="W542" s="260">
        <v>45566</v>
      </c>
    </row>
    <row r="543" spans="1:23" hidden="1" x14ac:dyDescent="0.35">
      <c r="A543" s="472" t="s">
        <v>526</v>
      </c>
      <c r="B543" s="472" t="s">
        <v>159</v>
      </c>
      <c r="C543" s="472" t="s">
        <v>302</v>
      </c>
      <c r="D543" s="472" t="s">
        <v>310</v>
      </c>
      <c r="E543" s="472" t="s">
        <v>311</v>
      </c>
      <c r="F543" s="472" t="s">
        <v>276</v>
      </c>
      <c r="G543" s="472" t="s">
        <v>527</v>
      </c>
      <c r="H543" s="472"/>
      <c r="I543" s="472" t="s">
        <v>277</v>
      </c>
      <c r="J543" s="472" t="s">
        <v>528</v>
      </c>
      <c r="K543" s="472" t="s">
        <v>303</v>
      </c>
      <c r="L543" s="472" t="s">
        <v>599</v>
      </c>
      <c r="M543" s="472" t="s">
        <v>285</v>
      </c>
      <c r="N543" s="472"/>
      <c r="O543" s="472"/>
      <c r="P543" s="472" t="s">
        <v>528</v>
      </c>
      <c r="Q543" s="472"/>
      <c r="R543" s="473">
        <v>45600</v>
      </c>
      <c r="S543" s="472"/>
      <c r="T543" s="473">
        <v>45596</v>
      </c>
      <c r="U543" s="474">
        <v>0</v>
      </c>
      <c r="V543" s="475">
        <v>479.04</v>
      </c>
      <c r="W543" s="260">
        <v>45566</v>
      </c>
    </row>
    <row r="544" spans="1:23" hidden="1" x14ac:dyDescent="0.35">
      <c r="A544" s="472" t="s">
        <v>526</v>
      </c>
      <c r="B544" s="472" t="s">
        <v>159</v>
      </c>
      <c r="C544" s="472" t="s">
        <v>302</v>
      </c>
      <c r="D544" s="472" t="s">
        <v>312</v>
      </c>
      <c r="E544" s="472" t="s">
        <v>313</v>
      </c>
      <c r="F544" s="472" t="s">
        <v>276</v>
      </c>
      <c r="G544" s="472" t="s">
        <v>527</v>
      </c>
      <c r="H544" s="472"/>
      <c r="I544" s="472" t="s">
        <v>277</v>
      </c>
      <c r="J544" s="472" t="s">
        <v>528</v>
      </c>
      <c r="K544" s="472" t="s">
        <v>303</v>
      </c>
      <c r="L544" s="472" t="s">
        <v>599</v>
      </c>
      <c r="M544" s="472" t="s">
        <v>285</v>
      </c>
      <c r="N544" s="472"/>
      <c r="O544" s="472"/>
      <c r="P544" s="472" t="s">
        <v>528</v>
      </c>
      <c r="Q544" s="472"/>
      <c r="R544" s="473">
        <v>45600</v>
      </c>
      <c r="S544" s="472"/>
      <c r="T544" s="473">
        <v>45596</v>
      </c>
      <c r="U544" s="474">
        <v>0</v>
      </c>
      <c r="V544" s="475">
        <v>1.43</v>
      </c>
      <c r="W544" s="260">
        <v>45566</v>
      </c>
    </row>
    <row r="545" spans="1:23" hidden="1" x14ac:dyDescent="0.35">
      <c r="A545" s="472" t="s">
        <v>526</v>
      </c>
      <c r="B545" s="472" t="s">
        <v>159</v>
      </c>
      <c r="C545" s="472" t="s">
        <v>302</v>
      </c>
      <c r="D545" s="472" t="s">
        <v>314</v>
      </c>
      <c r="E545" s="472" t="s">
        <v>315</v>
      </c>
      <c r="F545" s="472" t="s">
        <v>276</v>
      </c>
      <c r="G545" s="472" t="s">
        <v>527</v>
      </c>
      <c r="H545" s="472"/>
      <c r="I545" s="472" t="s">
        <v>277</v>
      </c>
      <c r="J545" s="472" t="s">
        <v>528</v>
      </c>
      <c r="K545" s="472" t="s">
        <v>303</v>
      </c>
      <c r="L545" s="472" t="s">
        <v>599</v>
      </c>
      <c r="M545" s="472" t="s">
        <v>285</v>
      </c>
      <c r="N545" s="472"/>
      <c r="O545" s="472"/>
      <c r="P545" s="472" t="s">
        <v>528</v>
      </c>
      <c r="Q545" s="472"/>
      <c r="R545" s="473">
        <v>45600</v>
      </c>
      <c r="S545" s="472"/>
      <c r="T545" s="473">
        <v>45596</v>
      </c>
      <c r="U545" s="474">
        <v>0</v>
      </c>
      <c r="V545" s="475">
        <v>1.81</v>
      </c>
      <c r="W545" s="260">
        <v>45566</v>
      </c>
    </row>
    <row r="546" spans="1:23" hidden="1" x14ac:dyDescent="0.35">
      <c r="A546" s="472" t="s">
        <v>526</v>
      </c>
      <c r="B546" s="472" t="s">
        <v>159</v>
      </c>
      <c r="C546" s="472" t="s">
        <v>302</v>
      </c>
      <c r="D546" s="472" t="s">
        <v>316</v>
      </c>
      <c r="E546" s="472" t="s">
        <v>317</v>
      </c>
      <c r="F546" s="472" t="s">
        <v>276</v>
      </c>
      <c r="G546" s="472" t="s">
        <v>527</v>
      </c>
      <c r="H546" s="472"/>
      <c r="I546" s="472" t="s">
        <v>277</v>
      </c>
      <c r="J546" s="472" t="s">
        <v>528</v>
      </c>
      <c r="K546" s="472" t="s">
        <v>303</v>
      </c>
      <c r="L546" s="472" t="s">
        <v>599</v>
      </c>
      <c r="M546" s="472" t="s">
        <v>285</v>
      </c>
      <c r="N546" s="472"/>
      <c r="O546" s="472"/>
      <c r="P546" s="472" t="s">
        <v>528</v>
      </c>
      <c r="Q546" s="472"/>
      <c r="R546" s="473">
        <v>45600</v>
      </c>
      <c r="S546" s="472"/>
      <c r="T546" s="473">
        <v>45596</v>
      </c>
      <c r="U546" s="474">
        <v>0</v>
      </c>
      <c r="V546" s="475">
        <v>2.83</v>
      </c>
      <c r="W546" s="260">
        <v>45566</v>
      </c>
    </row>
    <row r="547" spans="1:23" hidden="1" x14ac:dyDescent="0.35">
      <c r="A547" s="472" t="s">
        <v>526</v>
      </c>
      <c r="B547" s="472" t="s">
        <v>159</v>
      </c>
      <c r="C547" s="472" t="s">
        <v>302</v>
      </c>
      <c r="D547" s="472" t="s">
        <v>318</v>
      </c>
      <c r="E547" s="472" t="s">
        <v>319</v>
      </c>
      <c r="F547" s="472" t="s">
        <v>276</v>
      </c>
      <c r="G547" s="472" t="s">
        <v>527</v>
      </c>
      <c r="H547" s="472"/>
      <c r="I547" s="472" t="s">
        <v>277</v>
      </c>
      <c r="J547" s="472" t="s">
        <v>528</v>
      </c>
      <c r="K547" s="472" t="s">
        <v>303</v>
      </c>
      <c r="L547" s="472" t="s">
        <v>599</v>
      </c>
      <c r="M547" s="472" t="s">
        <v>285</v>
      </c>
      <c r="N547" s="472"/>
      <c r="O547" s="472"/>
      <c r="P547" s="472" t="s">
        <v>528</v>
      </c>
      <c r="Q547" s="472"/>
      <c r="R547" s="473">
        <v>45600</v>
      </c>
      <c r="S547" s="472"/>
      <c r="T547" s="473">
        <v>45596</v>
      </c>
      <c r="U547" s="474">
        <v>0</v>
      </c>
      <c r="V547" s="475">
        <v>0.08</v>
      </c>
      <c r="W547" s="260">
        <v>45566</v>
      </c>
    </row>
    <row r="548" spans="1:23" hidden="1" x14ac:dyDescent="0.35">
      <c r="A548" s="472" t="s">
        <v>526</v>
      </c>
      <c r="B548" s="472" t="s">
        <v>159</v>
      </c>
      <c r="C548" s="472" t="s">
        <v>302</v>
      </c>
      <c r="D548" s="472" t="s">
        <v>320</v>
      </c>
      <c r="E548" s="472" t="s">
        <v>321</v>
      </c>
      <c r="F548" s="472" t="s">
        <v>276</v>
      </c>
      <c r="G548" s="472" t="s">
        <v>527</v>
      </c>
      <c r="H548" s="472"/>
      <c r="I548" s="472" t="s">
        <v>277</v>
      </c>
      <c r="J548" s="472" t="s">
        <v>528</v>
      </c>
      <c r="K548" s="472" t="s">
        <v>303</v>
      </c>
      <c r="L548" s="472" t="s">
        <v>599</v>
      </c>
      <c r="M548" s="472" t="s">
        <v>285</v>
      </c>
      <c r="N548" s="472"/>
      <c r="O548" s="472"/>
      <c r="P548" s="472" t="s">
        <v>528</v>
      </c>
      <c r="Q548" s="472"/>
      <c r="R548" s="473">
        <v>45600</v>
      </c>
      <c r="S548" s="472"/>
      <c r="T548" s="473">
        <v>45596</v>
      </c>
      <c r="U548" s="474">
        <v>0</v>
      </c>
      <c r="V548" s="475">
        <v>1.55</v>
      </c>
      <c r="W548" s="260">
        <v>45566</v>
      </c>
    </row>
    <row r="549" spans="1:23" hidden="1" x14ac:dyDescent="0.35">
      <c r="A549" s="472" t="s">
        <v>526</v>
      </c>
      <c r="B549" s="472" t="s">
        <v>159</v>
      </c>
      <c r="C549" s="472" t="s">
        <v>302</v>
      </c>
      <c r="D549" s="472" t="s">
        <v>322</v>
      </c>
      <c r="E549" s="472" t="s">
        <v>323</v>
      </c>
      <c r="F549" s="472" t="s">
        <v>276</v>
      </c>
      <c r="G549" s="472" t="s">
        <v>527</v>
      </c>
      <c r="H549" s="472"/>
      <c r="I549" s="472" t="s">
        <v>277</v>
      </c>
      <c r="J549" s="472" t="s">
        <v>528</v>
      </c>
      <c r="K549" s="472" t="s">
        <v>303</v>
      </c>
      <c r="L549" s="472" t="s">
        <v>599</v>
      </c>
      <c r="M549" s="472" t="s">
        <v>285</v>
      </c>
      <c r="N549" s="472"/>
      <c r="O549" s="472"/>
      <c r="P549" s="472" t="s">
        <v>528</v>
      </c>
      <c r="Q549" s="472"/>
      <c r="R549" s="473">
        <v>45600</v>
      </c>
      <c r="S549" s="472"/>
      <c r="T549" s="473">
        <v>45596</v>
      </c>
      <c r="U549" s="474">
        <v>0</v>
      </c>
      <c r="V549" s="475">
        <v>0.03</v>
      </c>
      <c r="W549" s="260">
        <v>45566</v>
      </c>
    </row>
    <row r="550" spans="1:23" hidden="1" x14ac:dyDescent="0.35">
      <c r="A550" s="472" t="s">
        <v>526</v>
      </c>
      <c r="B550" s="472" t="s">
        <v>159</v>
      </c>
      <c r="C550" s="472" t="s">
        <v>302</v>
      </c>
      <c r="D550" s="472" t="s">
        <v>324</v>
      </c>
      <c r="E550" s="472" t="s">
        <v>325</v>
      </c>
      <c r="F550" s="472" t="s">
        <v>276</v>
      </c>
      <c r="G550" s="472" t="s">
        <v>527</v>
      </c>
      <c r="H550" s="472"/>
      <c r="I550" s="472" t="s">
        <v>277</v>
      </c>
      <c r="J550" s="472" t="s">
        <v>528</v>
      </c>
      <c r="K550" s="472" t="s">
        <v>303</v>
      </c>
      <c r="L550" s="472" t="s">
        <v>599</v>
      </c>
      <c r="M550" s="472" t="s">
        <v>285</v>
      </c>
      <c r="N550" s="472"/>
      <c r="O550" s="472"/>
      <c r="P550" s="472" t="s">
        <v>528</v>
      </c>
      <c r="Q550" s="472"/>
      <c r="R550" s="473">
        <v>45600</v>
      </c>
      <c r="S550" s="472"/>
      <c r="T550" s="473">
        <v>45596</v>
      </c>
      <c r="U550" s="474">
        <v>0</v>
      </c>
      <c r="V550" s="475">
        <v>9.4700000000000006</v>
      </c>
      <c r="W550" s="260">
        <v>45566</v>
      </c>
    </row>
    <row r="551" spans="1:23" hidden="1" x14ac:dyDescent="0.35">
      <c r="A551" s="472" t="s">
        <v>526</v>
      </c>
      <c r="B551" s="472" t="s">
        <v>159</v>
      </c>
      <c r="C551" s="472" t="s">
        <v>302</v>
      </c>
      <c r="D551" s="472" t="s">
        <v>537</v>
      </c>
      <c r="E551" s="472" t="s">
        <v>538</v>
      </c>
      <c r="F551" s="472" t="s">
        <v>276</v>
      </c>
      <c r="G551" s="472" t="s">
        <v>527</v>
      </c>
      <c r="H551" s="472"/>
      <c r="I551" s="472" t="s">
        <v>277</v>
      </c>
      <c r="J551" s="472" t="s">
        <v>528</v>
      </c>
      <c r="K551" s="472" t="s">
        <v>303</v>
      </c>
      <c r="L551" s="472" t="s">
        <v>599</v>
      </c>
      <c r="M551" s="472" t="s">
        <v>285</v>
      </c>
      <c r="N551" s="472"/>
      <c r="O551" s="472"/>
      <c r="P551" s="472" t="s">
        <v>528</v>
      </c>
      <c r="Q551" s="472"/>
      <c r="R551" s="473">
        <v>45600</v>
      </c>
      <c r="S551" s="472"/>
      <c r="T551" s="473">
        <v>45596</v>
      </c>
      <c r="U551" s="474">
        <v>0</v>
      </c>
      <c r="V551" s="475">
        <v>7.0000000000000007E-2</v>
      </c>
      <c r="W551" s="260">
        <v>45566</v>
      </c>
    </row>
    <row r="552" spans="1:23" hidden="1" x14ac:dyDescent="0.35">
      <c r="A552" s="472" t="s">
        <v>526</v>
      </c>
      <c r="B552" s="472" t="s">
        <v>159</v>
      </c>
      <c r="C552" s="472" t="s">
        <v>302</v>
      </c>
      <c r="D552" s="472" t="s">
        <v>326</v>
      </c>
      <c r="E552" s="472" t="s">
        <v>327</v>
      </c>
      <c r="F552" s="472" t="s">
        <v>276</v>
      </c>
      <c r="G552" s="472" t="s">
        <v>527</v>
      </c>
      <c r="H552" s="472"/>
      <c r="I552" s="472" t="s">
        <v>277</v>
      </c>
      <c r="J552" s="472" t="s">
        <v>528</v>
      </c>
      <c r="K552" s="472" t="s">
        <v>303</v>
      </c>
      <c r="L552" s="472" t="s">
        <v>599</v>
      </c>
      <c r="M552" s="472" t="s">
        <v>285</v>
      </c>
      <c r="N552" s="472"/>
      <c r="O552" s="472"/>
      <c r="P552" s="472" t="s">
        <v>528</v>
      </c>
      <c r="Q552" s="472"/>
      <c r="R552" s="473">
        <v>45600</v>
      </c>
      <c r="S552" s="472"/>
      <c r="T552" s="473">
        <v>45596</v>
      </c>
      <c r="U552" s="474">
        <v>0</v>
      </c>
      <c r="V552" s="475">
        <v>0.14000000000000001</v>
      </c>
      <c r="W552" s="260">
        <v>45566</v>
      </c>
    </row>
    <row r="553" spans="1:23" hidden="1" x14ac:dyDescent="0.35">
      <c r="A553" s="472" t="s">
        <v>526</v>
      </c>
      <c r="B553" s="472" t="s">
        <v>159</v>
      </c>
      <c r="C553" s="472" t="s">
        <v>302</v>
      </c>
      <c r="D553" s="472" t="s">
        <v>328</v>
      </c>
      <c r="E553" s="472" t="s">
        <v>329</v>
      </c>
      <c r="F553" s="472" t="s">
        <v>276</v>
      </c>
      <c r="G553" s="472" t="s">
        <v>527</v>
      </c>
      <c r="H553" s="472"/>
      <c r="I553" s="472" t="s">
        <v>277</v>
      </c>
      <c r="J553" s="472" t="s">
        <v>528</v>
      </c>
      <c r="K553" s="472" t="s">
        <v>303</v>
      </c>
      <c r="L553" s="472" t="s">
        <v>599</v>
      </c>
      <c r="M553" s="472" t="s">
        <v>285</v>
      </c>
      <c r="N553" s="472"/>
      <c r="O553" s="472"/>
      <c r="P553" s="472" t="s">
        <v>528</v>
      </c>
      <c r="Q553" s="472"/>
      <c r="R553" s="473">
        <v>45600</v>
      </c>
      <c r="S553" s="472"/>
      <c r="T553" s="473">
        <v>45596</v>
      </c>
      <c r="U553" s="474">
        <v>0</v>
      </c>
      <c r="V553" s="475">
        <v>2.25</v>
      </c>
      <c r="W553" s="260">
        <v>45566</v>
      </c>
    </row>
    <row r="554" spans="1:23" hidden="1" x14ac:dyDescent="0.35">
      <c r="A554" s="472" t="s">
        <v>526</v>
      </c>
      <c r="B554" s="472" t="s">
        <v>159</v>
      </c>
      <c r="C554" s="472" t="s">
        <v>302</v>
      </c>
      <c r="D554" s="472" t="s">
        <v>330</v>
      </c>
      <c r="E554" s="472" t="s">
        <v>331</v>
      </c>
      <c r="F554" s="472" t="s">
        <v>276</v>
      </c>
      <c r="G554" s="472" t="s">
        <v>527</v>
      </c>
      <c r="H554" s="472"/>
      <c r="I554" s="472" t="s">
        <v>277</v>
      </c>
      <c r="J554" s="472" t="s">
        <v>528</v>
      </c>
      <c r="K554" s="472" t="s">
        <v>303</v>
      </c>
      <c r="L554" s="472" t="s">
        <v>599</v>
      </c>
      <c r="M554" s="472" t="s">
        <v>285</v>
      </c>
      <c r="N554" s="472"/>
      <c r="O554" s="472"/>
      <c r="P554" s="472" t="s">
        <v>528</v>
      </c>
      <c r="Q554" s="472"/>
      <c r="R554" s="473">
        <v>45600</v>
      </c>
      <c r="S554" s="472"/>
      <c r="T554" s="473">
        <v>45596</v>
      </c>
      <c r="U554" s="474">
        <v>0</v>
      </c>
      <c r="V554" s="475">
        <v>0.06</v>
      </c>
      <c r="W554" s="260">
        <v>45566</v>
      </c>
    </row>
    <row r="555" spans="1:23" hidden="1" x14ac:dyDescent="0.35">
      <c r="A555" s="472" t="s">
        <v>526</v>
      </c>
      <c r="B555" s="472" t="s">
        <v>159</v>
      </c>
      <c r="C555" s="472" t="s">
        <v>302</v>
      </c>
      <c r="D555" s="472" t="s">
        <v>332</v>
      </c>
      <c r="E555" s="472" t="s">
        <v>333</v>
      </c>
      <c r="F555" s="472" t="s">
        <v>276</v>
      </c>
      <c r="G555" s="472" t="s">
        <v>527</v>
      </c>
      <c r="H555" s="472"/>
      <c r="I555" s="472" t="s">
        <v>277</v>
      </c>
      <c r="J555" s="472" t="s">
        <v>528</v>
      </c>
      <c r="K555" s="472" t="s">
        <v>303</v>
      </c>
      <c r="L555" s="472" t="s">
        <v>599</v>
      </c>
      <c r="M555" s="472" t="s">
        <v>285</v>
      </c>
      <c r="N555" s="472"/>
      <c r="O555" s="472"/>
      <c r="P555" s="472" t="s">
        <v>528</v>
      </c>
      <c r="Q555" s="472"/>
      <c r="R555" s="473">
        <v>45600</v>
      </c>
      <c r="S555" s="472"/>
      <c r="T555" s="473">
        <v>45596</v>
      </c>
      <c r="U555" s="474">
        <v>0</v>
      </c>
      <c r="V555" s="475">
        <v>1.81</v>
      </c>
      <c r="W555" s="260">
        <v>45566</v>
      </c>
    </row>
    <row r="556" spans="1:23" hidden="1" x14ac:dyDescent="0.35">
      <c r="A556" s="472" t="s">
        <v>526</v>
      </c>
      <c r="B556" s="472" t="s">
        <v>159</v>
      </c>
      <c r="C556" s="472" t="s">
        <v>302</v>
      </c>
      <c r="D556" s="472" t="s">
        <v>334</v>
      </c>
      <c r="E556" s="472" t="s">
        <v>335</v>
      </c>
      <c r="F556" s="472" t="s">
        <v>276</v>
      </c>
      <c r="G556" s="472" t="s">
        <v>527</v>
      </c>
      <c r="H556" s="472"/>
      <c r="I556" s="472" t="s">
        <v>277</v>
      </c>
      <c r="J556" s="472" t="s">
        <v>528</v>
      </c>
      <c r="K556" s="472" t="s">
        <v>303</v>
      </c>
      <c r="L556" s="472" t="s">
        <v>599</v>
      </c>
      <c r="M556" s="472" t="s">
        <v>285</v>
      </c>
      <c r="N556" s="472"/>
      <c r="O556" s="472"/>
      <c r="P556" s="472" t="s">
        <v>528</v>
      </c>
      <c r="Q556" s="472"/>
      <c r="R556" s="473">
        <v>45600</v>
      </c>
      <c r="S556" s="472"/>
      <c r="T556" s="473">
        <v>45596</v>
      </c>
      <c r="U556" s="474">
        <v>0</v>
      </c>
      <c r="V556" s="475">
        <v>0.3</v>
      </c>
      <c r="W556" s="260">
        <v>45566</v>
      </c>
    </row>
    <row r="557" spans="1:23" hidden="1" x14ac:dyDescent="0.35">
      <c r="A557" s="472" t="s">
        <v>526</v>
      </c>
      <c r="B557" s="472" t="s">
        <v>159</v>
      </c>
      <c r="C557" s="472" t="s">
        <v>302</v>
      </c>
      <c r="D557" s="472" t="s">
        <v>336</v>
      </c>
      <c r="E557" s="472" t="s">
        <v>337</v>
      </c>
      <c r="F557" s="472" t="s">
        <v>276</v>
      </c>
      <c r="G557" s="472" t="s">
        <v>527</v>
      </c>
      <c r="H557" s="472"/>
      <c r="I557" s="472" t="s">
        <v>277</v>
      </c>
      <c r="J557" s="472" t="s">
        <v>528</v>
      </c>
      <c r="K557" s="472" t="s">
        <v>303</v>
      </c>
      <c r="L557" s="472" t="s">
        <v>599</v>
      </c>
      <c r="M557" s="472" t="s">
        <v>285</v>
      </c>
      <c r="N557" s="472"/>
      <c r="O557" s="472"/>
      <c r="P557" s="472" t="s">
        <v>528</v>
      </c>
      <c r="Q557" s="472"/>
      <c r="R557" s="473">
        <v>45600</v>
      </c>
      <c r="S557" s="472"/>
      <c r="T557" s="473">
        <v>45596</v>
      </c>
      <c r="U557" s="474">
        <v>0</v>
      </c>
      <c r="V557" s="475">
        <v>0.01</v>
      </c>
      <c r="W557" s="260">
        <v>45566</v>
      </c>
    </row>
    <row r="558" spans="1:23" hidden="1" x14ac:dyDescent="0.35">
      <c r="A558" s="472" t="s">
        <v>526</v>
      </c>
      <c r="B558" s="472" t="s">
        <v>159</v>
      </c>
      <c r="C558" s="472" t="s">
        <v>281</v>
      </c>
      <c r="D558" s="472" t="s">
        <v>340</v>
      </c>
      <c r="E558" s="472" t="s">
        <v>283</v>
      </c>
      <c r="F558" s="472" t="s">
        <v>276</v>
      </c>
      <c r="G558" s="472" t="s">
        <v>527</v>
      </c>
      <c r="H558" s="472"/>
      <c r="I558" s="472" t="s">
        <v>277</v>
      </c>
      <c r="J558" s="472" t="s">
        <v>528</v>
      </c>
      <c r="K558" s="472" t="s">
        <v>284</v>
      </c>
      <c r="L558" s="472" t="s">
        <v>599</v>
      </c>
      <c r="M558" s="472" t="s">
        <v>285</v>
      </c>
      <c r="N558" s="472"/>
      <c r="O558" s="472"/>
      <c r="P558" s="472" t="s">
        <v>528</v>
      </c>
      <c r="Q558" s="472"/>
      <c r="R558" s="473">
        <v>45597</v>
      </c>
      <c r="S558" s="472"/>
      <c r="T558" s="473">
        <v>45596</v>
      </c>
      <c r="U558" s="474">
        <v>0</v>
      </c>
      <c r="V558" s="475">
        <v>59.8</v>
      </c>
      <c r="W558" s="260">
        <v>45566</v>
      </c>
    </row>
    <row r="559" spans="1:23" hidden="1" x14ac:dyDescent="0.35">
      <c r="A559" s="472" t="s">
        <v>526</v>
      </c>
      <c r="B559" s="472" t="s">
        <v>159</v>
      </c>
      <c r="C559" s="472" t="s">
        <v>302</v>
      </c>
      <c r="D559" s="472" t="s">
        <v>340</v>
      </c>
      <c r="E559" s="472" t="s">
        <v>283</v>
      </c>
      <c r="F559" s="472" t="s">
        <v>276</v>
      </c>
      <c r="G559" s="472" t="s">
        <v>527</v>
      </c>
      <c r="H559" s="472"/>
      <c r="I559" s="472" t="s">
        <v>277</v>
      </c>
      <c r="J559" s="472" t="s">
        <v>528</v>
      </c>
      <c r="K559" s="472" t="s">
        <v>303</v>
      </c>
      <c r="L559" s="472" t="s">
        <v>599</v>
      </c>
      <c r="M559" s="472" t="s">
        <v>285</v>
      </c>
      <c r="N559" s="472"/>
      <c r="O559" s="472"/>
      <c r="P559" s="472" t="s">
        <v>528</v>
      </c>
      <c r="Q559" s="472"/>
      <c r="R559" s="473">
        <v>45600</v>
      </c>
      <c r="S559" s="472"/>
      <c r="T559" s="473">
        <v>45596</v>
      </c>
      <c r="U559" s="474">
        <v>0</v>
      </c>
      <c r="V559" s="475">
        <v>17.12</v>
      </c>
      <c r="W559" s="260">
        <v>45566</v>
      </c>
    </row>
    <row r="560" spans="1:23" hidden="1" x14ac:dyDescent="0.35">
      <c r="A560" s="472" t="s">
        <v>526</v>
      </c>
      <c r="B560" s="472" t="s">
        <v>159</v>
      </c>
      <c r="C560" s="472" t="s">
        <v>302</v>
      </c>
      <c r="D560" s="472" t="s">
        <v>340</v>
      </c>
      <c r="E560" s="472" t="s">
        <v>283</v>
      </c>
      <c r="F560" s="472" t="s">
        <v>276</v>
      </c>
      <c r="G560" s="472" t="s">
        <v>527</v>
      </c>
      <c r="H560" s="472"/>
      <c r="I560" s="472" t="s">
        <v>277</v>
      </c>
      <c r="J560" s="472" t="s">
        <v>528</v>
      </c>
      <c r="K560" s="472" t="s">
        <v>303</v>
      </c>
      <c r="L560" s="472" t="s">
        <v>599</v>
      </c>
      <c r="M560" s="472" t="s">
        <v>285</v>
      </c>
      <c r="N560" s="472"/>
      <c r="O560" s="472"/>
      <c r="P560" s="472" t="s">
        <v>528</v>
      </c>
      <c r="Q560" s="472"/>
      <c r="R560" s="473">
        <v>45600</v>
      </c>
      <c r="S560" s="472"/>
      <c r="T560" s="473">
        <v>45596</v>
      </c>
      <c r="U560" s="474">
        <v>0</v>
      </c>
      <c r="V560" s="475">
        <v>2.4700000000000002</v>
      </c>
      <c r="W560" s="260">
        <v>45566</v>
      </c>
    </row>
    <row r="561" spans="1:23" hidden="1" x14ac:dyDescent="0.35">
      <c r="A561" s="472" t="s">
        <v>526</v>
      </c>
      <c r="B561" s="472" t="s">
        <v>159</v>
      </c>
      <c r="C561" s="472" t="s">
        <v>286</v>
      </c>
      <c r="D561" s="472" t="s">
        <v>341</v>
      </c>
      <c r="E561" s="472" t="s">
        <v>288</v>
      </c>
      <c r="F561" s="472" t="s">
        <v>276</v>
      </c>
      <c r="G561" s="472" t="s">
        <v>527</v>
      </c>
      <c r="H561" s="472"/>
      <c r="I561" s="472" t="s">
        <v>277</v>
      </c>
      <c r="J561" s="472" t="s">
        <v>528</v>
      </c>
      <c r="K561" s="472" t="s">
        <v>289</v>
      </c>
      <c r="L561" s="472" t="s">
        <v>599</v>
      </c>
      <c r="M561" s="472" t="s">
        <v>285</v>
      </c>
      <c r="N561" s="472"/>
      <c r="O561" s="472"/>
      <c r="P561" s="472" t="s">
        <v>528</v>
      </c>
      <c r="Q561" s="472"/>
      <c r="R561" s="473">
        <v>45597</v>
      </c>
      <c r="S561" s="472"/>
      <c r="T561" s="473">
        <v>45596</v>
      </c>
      <c r="U561" s="474">
        <v>0</v>
      </c>
      <c r="V561" s="475">
        <v>499.15</v>
      </c>
      <c r="W561" s="260">
        <v>45566</v>
      </c>
    </row>
    <row r="562" spans="1:23" hidden="1" x14ac:dyDescent="0.35">
      <c r="A562" s="472" t="s">
        <v>526</v>
      </c>
      <c r="B562" s="472" t="s">
        <v>159</v>
      </c>
      <c r="C562" s="472" t="s">
        <v>302</v>
      </c>
      <c r="D562" s="472" t="s">
        <v>341</v>
      </c>
      <c r="E562" s="472" t="s">
        <v>288</v>
      </c>
      <c r="F562" s="472" t="s">
        <v>276</v>
      </c>
      <c r="G562" s="472" t="s">
        <v>527</v>
      </c>
      <c r="H562" s="472"/>
      <c r="I562" s="472" t="s">
        <v>277</v>
      </c>
      <c r="J562" s="472" t="s">
        <v>528</v>
      </c>
      <c r="K562" s="472" t="s">
        <v>303</v>
      </c>
      <c r="L562" s="472" t="s">
        <v>599</v>
      </c>
      <c r="M562" s="472" t="s">
        <v>285</v>
      </c>
      <c r="N562" s="472"/>
      <c r="O562" s="472"/>
      <c r="P562" s="472" t="s">
        <v>528</v>
      </c>
      <c r="Q562" s="472"/>
      <c r="R562" s="473">
        <v>45600</v>
      </c>
      <c r="S562" s="472"/>
      <c r="T562" s="473">
        <v>45596</v>
      </c>
      <c r="U562" s="474">
        <v>0</v>
      </c>
      <c r="V562" s="475">
        <v>49.12</v>
      </c>
      <c r="W562" s="260">
        <v>45566</v>
      </c>
    </row>
    <row r="563" spans="1:23" hidden="1" x14ac:dyDescent="0.35">
      <c r="A563" s="472" t="s">
        <v>526</v>
      </c>
      <c r="B563" s="472" t="s">
        <v>159</v>
      </c>
      <c r="C563" s="472" t="s">
        <v>302</v>
      </c>
      <c r="D563" s="472" t="s">
        <v>341</v>
      </c>
      <c r="E563" s="472" t="s">
        <v>288</v>
      </c>
      <c r="F563" s="472" t="s">
        <v>276</v>
      </c>
      <c r="G563" s="472" t="s">
        <v>527</v>
      </c>
      <c r="H563" s="472"/>
      <c r="I563" s="472" t="s">
        <v>277</v>
      </c>
      <c r="J563" s="472" t="s">
        <v>528</v>
      </c>
      <c r="K563" s="472" t="s">
        <v>303</v>
      </c>
      <c r="L563" s="472" t="s">
        <v>599</v>
      </c>
      <c r="M563" s="472" t="s">
        <v>285</v>
      </c>
      <c r="N563" s="472"/>
      <c r="O563" s="472"/>
      <c r="P563" s="472" t="s">
        <v>528</v>
      </c>
      <c r="Q563" s="472"/>
      <c r="R563" s="473">
        <v>45600</v>
      </c>
      <c r="S563" s="472"/>
      <c r="T563" s="473">
        <v>45596</v>
      </c>
      <c r="U563" s="474">
        <v>0</v>
      </c>
      <c r="V563" s="475">
        <v>20.62</v>
      </c>
      <c r="W563" s="260">
        <v>45566</v>
      </c>
    </row>
    <row r="564" spans="1:23" hidden="1" x14ac:dyDescent="0.35">
      <c r="A564" s="472" t="s">
        <v>526</v>
      </c>
      <c r="B564" s="472" t="s">
        <v>159</v>
      </c>
      <c r="C564" s="472" t="s">
        <v>281</v>
      </c>
      <c r="D564" s="472" t="s">
        <v>342</v>
      </c>
      <c r="E564" s="472" t="s">
        <v>291</v>
      </c>
      <c r="F564" s="472" t="s">
        <v>276</v>
      </c>
      <c r="G564" s="472" t="s">
        <v>527</v>
      </c>
      <c r="H564" s="472"/>
      <c r="I564" s="472" t="s">
        <v>277</v>
      </c>
      <c r="J564" s="472" t="s">
        <v>528</v>
      </c>
      <c r="K564" s="472" t="s">
        <v>284</v>
      </c>
      <c r="L564" s="472" t="s">
        <v>599</v>
      </c>
      <c r="M564" s="472" t="s">
        <v>285</v>
      </c>
      <c r="N564" s="472"/>
      <c r="O564" s="472"/>
      <c r="P564" s="472" t="s">
        <v>528</v>
      </c>
      <c r="Q564" s="472"/>
      <c r="R564" s="473">
        <v>45597</v>
      </c>
      <c r="S564" s="472"/>
      <c r="T564" s="473">
        <v>45596</v>
      </c>
      <c r="U564" s="474">
        <v>0</v>
      </c>
      <c r="V564" s="475">
        <v>-72.05</v>
      </c>
      <c r="W564" s="260">
        <v>45566</v>
      </c>
    </row>
    <row r="565" spans="1:23" hidden="1" x14ac:dyDescent="0.35">
      <c r="A565" s="472" t="s">
        <v>526</v>
      </c>
      <c r="B565" s="472" t="s">
        <v>159</v>
      </c>
      <c r="C565" s="472" t="s">
        <v>302</v>
      </c>
      <c r="D565" s="472" t="s">
        <v>342</v>
      </c>
      <c r="E565" s="472" t="s">
        <v>291</v>
      </c>
      <c r="F565" s="472" t="s">
        <v>276</v>
      </c>
      <c r="G565" s="472" t="s">
        <v>527</v>
      </c>
      <c r="H565" s="472"/>
      <c r="I565" s="472" t="s">
        <v>277</v>
      </c>
      <c r="J565" s="472" t="s">
        <v>528</v>
      </c>
      <c r="K565" s="472" t="s">
        <v>303</v>
      </c>
      <c r="L565" s="472" t="s">
        <v>599</v>
      </c>
      <c r="M565" s="472" t="s">
        <v>285</v>
      </c>
      <c r="N565" s="472"/>
      <c r="O565" s="472"/>
      <c r="P565" s="472" t="s">
        <v>528</v>
      </c>
      <c r="Q565" s="472"/>
      <c r="R565" s="473">
        <v>45600</v>
      </c>
      <c r="S565" s="472"/>
      <c r="T565" s="473">
        <v>45596</v>
      </c>
      <c r="U565" s="474">
        <v>0</v>
      </c>
      <c r="V565" s="475">
        <v>10.64</v>
      </c>
      <c r="W565" s="260">
        <v>45566</v>
      </c>
    </row>
    <row r="566" spans="1:23" hidden="1" x14ac:dyDescent="0.35">
      <c r="A566" s="472" t="s">
        <v>526</v>
      </c>
      <c r="B566" s="472" t="s">
        <v>159</v>
      </c>
      <c r="C566" s="472" t="s">
        <v>302</v>
      </c>
      <c r="D566" s="472" t="s">
        <v>342</v>
      </c>
      <c r="E566" s="472" t="s">
        <v>291</v>
      </c>
      <c r="F566" s="472" t="s">
        <v>276</v>
      </c>
      <c r="G566" s="472" t="s">
        <v>527</v>
      </c>
      <c r="H566" s="472"/>
      <c r="I566" s="472" t="s">
        <v>277</v>
      </c>
      <c r="J566" s="472" t="s">
        <v>528</v>
      </c>
      <c r="K566" s="472" t="s">
        <v>303</v>
      </c>
      <c r="L566" s="472" t="s">
        <v>599</v>
      </c>
      <c r="M566" s="472" t="s">
        <v>285</v>
      </c>
      <c r="N566" s="472"/>
      <c r="O566" s="472"/>
      <c r="P566" s="472" t="s">
        <v>528</v>
      </c>
      <c r="Q566" s="472"/>
      <c r="R566" s="473">
        <v>45600</v>
      </c>
      <c r="S566" s="472"/>
      <c r="T566" s="473">
        <v>45596</v>
      </c>
      <c r="U566" s="474">
        <v>0</v>
      </c>
      <c r="V566" s="475">
        <v>-2.98</v>
      </c>
      <c r="W566" s="260">
        <v>45566</v>
      </c>
    </row>
    <row r="567" spans="1:23" hidden="1" x14ac:dyDescent="0.35">
      <c r="A567" s="472" t="s">
        <v>526</v>
      </c>
      <c r="B567" s="472" t="s">
        <v>159</v>
      </c>
      <c r="C567" s="472" t="s">
        <v>281</v>
      </c>
      <c r="D567" s="472" t="s">
        <v>343</v>
      </c>
      <c r="E567" s="472" t="s">
        <v>293</v>
      </c>
      <c r="F567" s="472" t="s">
        <v>276</v>
      </c>
      <c r="G567" s="472" t="s">
        <v>527</v>
      </c>
      <c r="H567" s="472"/>
      <c r="I567" s="472" t="s">
        <v>277</v>
      </c>
      <c r="J567" s="472" t="s">
        <v>528</v>
      </c>
      <c r="K567" s="472" t="s">
        <v>294</v>
      </c>
      <c r="L567" s="472" t="s">
        <v>599</v>
      </c>
      <c r="M567" s="472" t="s">
        <v>285</v>
      </c>
      <c r="N567" s="472"/>
      <c r="O567" s="472"/>
      <c r="P567" s="472" t="s">
        <v>528</v>
      </c>
      <c r="Q567" s="472"/>
      <c r="R567" s="473">
        <v>45597</v>
      </c>
      <c r="S567" s="472"/>
      <c r="T567" s="473">
        <v>45596</v>
      </c>
      <c r="U567" s="474">
        <v>0</v>
      </c>
      <c r="V567" s="475">
        <v>120.59</v>
      </c>
      <c r="W567" s="260">
        <v>45566</v>
      </c>
    </row>
    <row r="568" spans="1:23" hidden="1" x14ac:dyDescent="0.35">
      <c r="A568" s="472" t="s">
        <v>526</v>
      </c>
      <c r="B568" s="472" t="s">
        <v>159</v>
      </c>
      <c r="C568" s="472" t="s">
        <v>302</v>
      </c>
      <c r="D568" s="472" t="s">
        <v>343</v>
      </c>
      <c r="E568" s="472" t="s">
        <v>293</v>
      </c>
      <c r="F568" s="472" t="s">
        <v>276</v>
      </c>
      <c r="G568" s="472" t="s">
        <v>527</v>
      </c>
      <c r="H568" s="472"/>
      <c r="I568" s="472" t="s">
        <v>277</v>
      </c>
      <c r="J568" s="472" t="s">
        <v>528</v>
      </c>
      <c r="K568" s="472" t="s">
        <v>303</v>
      </c>
      <c r="L568" s="472" t="s">
        <v>599</v>
      </c>
      <c r="M568" s="472" t="s">
        <v>285</v>
      </c>
      <c r="N568" s="472"/>
      <c r="O568" s="472"/>
      <c r="P568" s="472" t="s">
        <v>528</v>
      </c>
      <c r="Q568" s="472"/>
      <c r="R568" s="473">
        <v>45600</v>
      </c>
      <c r="S568" s="472"/>
      <c r="T568" s="473">
        <v>45596</v>
      </c>
      <c r="U568" s="474">
        <v>0</v>
      </c>
      <c r="V568" s="475">
        <v>15.09</v>
      </c>
      <c r="W568" s="260">
        <v>45566</v>
      </c>
    </row>
    <row r="569" spans="1:23" hidden="1" x14ac:dyDescent="0.35">
      <c r="A569" s="472" t="s">
        <v>526</v>
      </c>
      <c r="B569" s="472" t="s">
        <v>159</v>
      </c>
      <c r="C569" s="472" t="s">
        <v>302</v>
      </c>
      <c r="D569" s="472" t="s">
        <v>343</v>
      </c>
      <c r="E569" s="472" t="s">
        <v>293</v>
      </c>
      <c r="F569" s="472" t="s">
        <v>276</v>
      </c>
      <c r="G569" s="472" t="s">
        <v>527</v>
      </c>
      <c r="H569" s="472"/>
      <c r="I569" s="472" t="s">
        <v>277</v>
      </c>
      <c r="J569" s="472" t="s">
        <v>528</v>
      </c>
      <c r="K569" s="472" t="s">
        <v>303</v>
      </c>
      <c r="L569" s="472" t="s">
        <v>599</v>
      </c>
      <c r="M569" s="472" t="s">
        <v>285</v>
      </c>
      <c r="N569" s="472"/>
      <c r="O569" s="472"/>
      <c r="P569" s="472" t="s">
        <v>528</v>
      </c>
      <c r="Q569" s="472"/>
      <c r="R569" s="473">
        <v>45600</v>
      </c>
      <c r="S569" s="472"/>
      <c r="T569" s="473">
        <v>45596</v>
      </c>
      <c r="U569" s="474">
        <v>0</v>
      </c>
      <c r="V569" s="475">
        <v>4.9800000000000004</v>
      </c>
      <c r="W569" s="260">
        <v>45566</v>
      </c>
    </row>
    <row r="570" spans="1:23" hidden="1" x14ac:dyDescent="0.35">
      <c r="A570" s="472" t="s">
        <v>526</v>
      </c>
      <c r="B570" s="472" t="s">
        <v>159</v>
      </c>
      <c r="C570" s="472" t="s">
        <v>286</v>
      </c>
      <c r="D570" s="472" t="s">
        <v>344</v>
      </c>
      <c r="E570" s="472" t="s">
        <v>296</v>
      </c>
      <c r="F570" s="472" t="s">
        <v>276</v>
      </c>
      <c r="G570" s="472" t="s">
        <v>527</v>
      </c>
      <c r="H570" s="472"/>
      <c r="I570" s="472" t="s">
        <v>277</v>
      </c>
      <c r="J570" s="472" t="s">
        <v>528</v>
      </c>
      <c r="K570" s="472" t="s">
        <v>297</v>
      </c>
      <c r="L570" s="472" t="s">
        <v>599</v>
      </c>
      <c r="M570" s="472" t="s">
        <v>285</v>
      </c>
      <c r="N570" s="472"/>
      <c r="O570" s="472"/>
      <c r="P570" s="472" t="s">
        <v>528</v>
      </c>
      <c r="Q570" s="472"/>
      <c r="R570" s="473">
        <v>45597</v>
      </c>
      <c r="S570" s="472"/>
      <c r="T570" s="473">
        <v>45596</v>
      </c>
      <c r="U570" s="474">
        <v>0</v>
      </c>
      <c r="V570" s="475">
        <v>166.85</v>
      </c>
      <c r="W570" s="260">
        <v>45566</v>
      </c>
    </row>
    <row r="571" spans="1:23" hidden="1" x14ac:dyDescent="0.35">
      <c r="A571" s="472" t="s">
        <v>526</v>
      </c>
      <c r="B571" s="472" t="s">
        <v>159</v>
      </c>
      <c r="C571" s="472" t="s">
        <v>302</v>
      </c>
      <c r="D571" s="472" t="s">
        <v>344</v>
      </c>
      <c r="E571" s="472" t="s">
        <v>296</v>
      </c>
      <c r="F571" s="472" t="s">
        <v>276</v>
      </c>
      <c r="G571" s="472" t="s">
        <v>527</v>
      </c>
      <c r="H571" s="472"/>
      <c r="I571" s="472" t="s">
        <v>277</v>
      </c>
      <c r="J571" s="472" t="s">
        <v>528</v>
      </c>
      <c r="K571" s="472" t="s">
        <v>303</v>
      </c>
      <c r="L571" s="472" t="s">
        <v>599</v>
      </c>
      <c r="M571" s="472" t="s">
        <v>285</v>
      </c>
      <c r="N571" s="472"/>
      <c r="O571" s="472"/>
      <c r="P571" s="472" t="s">
        <v>528</v>
      </c>
      <c r="Q571" s="472"/>
      <c r="R571" s="473">
        <v>45600</v>
      </c>
      <c r="S571" s="472"/>
      <c r="T571" s="473">
        <v>45596</v>
      </c>
      <c r="U571" s="474">
        <v>0</v>
      </c>
      <c r="V571" s="475">
        <v>19.010000000000002</v>
      </c>
      <c r="W571" s="260">
        <v>45566</v>
      </c>
    </row>
    <row r="572" spans="1:23" hidden="1" x14ac:dyDescent="0.35">
      <c r="A572" s="472" t="s">
        <v>526</v>
      </c>
      <c r="B572" s="472" t="s">
        <v>159</v>
      </c>
      <c r="C572" s="472" t="s">
        <v>302</v>
      </c>
      <c r="D572" s="472" t="s">
        <v>344</v>
      </c>
      <c r="E572" s="472" t="s">
        <v>296</v>
      </c>
      <c r="F572" s="472" t="s">
        <v>276</v>
      </c>
      <c r="G572" s="472" t="s">
        <v>527</v>
      </c>
      <c r="H572" s="472"/>
      <c r="I572" s="472" t="s">
        <v>277</v>
      </c>
      <c r="J572" s="472" t="s">
        <v>528</v>
      </c>
      <c r="K572" s="472" t="s">
        <v>303</v>
      </c>
      <c r="L572" s="472" t="s">
        <v>599</v>
      </c>
      <c r="M572" s="472" t="s">
        <v>285</v>
      </c>
      <c r="N572" s="472"/>
      <c r="O572" s="472"/>
      <c r="P572" s="472" t="s">
        <v>528</v>
      </c>
      <c r="Q572" s="472"/>
      <c r="R572" s="473">
        <v>45600</v>
      </c>
      <c r="S572" s="472"/>
      <c r="T572" s="473">
        <v>45596</v>
      </c>
      <c r="U572" s="474">
        <v>0</v>
      </c>
      <c r="V572" s="475">
        <v>6.89</v>
      </c>
      <c r="W572" s="260">
        <v>45566</v>
      </c>
    </row>
    <row r="573" spans="1:23" hidden="1" x14ac:dyDescent="0.35">
      <c r="A573" s="472" t="s">
        <v>526</v>
      </c>
      <c r="B573" s="472" t="s">
        <v>159</v>
      </c>
      <c r="C573" s="472" t="s">
        <v>302</v>
      </c>
      <c r="D573" s="472" t="s">
        <v>347</v>
      </c>
      <c r="E573" s="472" t="s">
        <v>348</v>
      </c>
      <c r="F573" s="472" t="s">
        <v>276</v>
      </c>
      <c r="G573" s="472" t="s">
        <v>527</v>
      </c>
      <c r="H573" s="472"/>
      <c r="I573" s="472" t="s">
        <v>277</v>
      </c>
      <c r="J573" s="472" t="s">
        <v>528</v>
      </c>
      <c r="K573" s="472" t="s">
        <v>303</v>
      </c>
      <c r="L573" s="472" t="s">
        <v>599</v>
      </c>
      <c r="M573" s="472" t="s">
        <v>285</v>
      </c>
      <c r="N573" s="472"/>
      <c r="O573" s="472"/>
      <c r="P573" s="472" t="s">
        <v>528</v>
      </c>
      <c r="Q573" s="472"/>
      <c r="R573" s="473">
        <v>45600</v>
      </c>
      <c r="S573" s="472"/>
      <c r="T573" s="473">
        <v>45596</v>
      </c>
      <c r="U573" s="474">
        <v>0</v>
      </c>
      <c r="V573" s="475">
        <v>0.06</v>
      </c>
      <c r="W573" s="260">
        <v>45566</v>
      </c>
    </row>
    <row r="574" spans="1:23" hidden="1" x14ac:dyDescent="0.35">
      <c r="A574" s="472" t="s">
        <v>526</v>
      </c>
      <c r="B574" s="472" t="s">
        <v>159</v>
      </c>
      <c r="C574" s="472" t="s">
        <v>302</v>
      </c>
      <c r="D574" s="472" t="s">
        <v>349</v>
      </c>
      <c r="E574" s="472" t="s">
        <v>350</v>
      </c>
      <c r="F574" s="472" t="s">
        <v>276</v>
      </c>
      <c r="G574" s="472" t="s">
        <v>527</v>
      </c>
      <c r="H574" s="472"/>
      <c r="I574" s="472" t="s">
        <v>277</v>
      </c>
      <c r="J574" s="472" t="s">
        <v>528</v>
      </c>
      <c r="K574" s="472" t="s">
        <v>303</v>
      </c>
      <c r="L574" s="472" t="s">
        <v>599</v>
      </c>
      <c r="M574" s="472" t="s">
        <v>285</v>
      </c>
      <c r="N574" s="472"/>
      <c r="O574" s="472"/>
      <c r="P574" s="472" t="s">
        <v>528</v>
      </c>
      <c r="Q574" s="472"/>
      <c r="R574" s="473">
        <v>45600</v>
      </c>
      <c r="S574" s="472"/>
      <c r="T574" s="473">
        <v>45596</v>
      </c>
      <c r="U574" s="474">
        <v>0</v>
      </c>
      <c r="V574" s="475">
        <v>0.01</v>
      </c>
      <c r="W574" s="260">
        <v>45566</v>
      </c>
    </row>
    <row r="575" spans="1:23" hidden="1" x14ac:dyDescent="0.35">
      <c r="A575" s="472" t="s">
        <v>526</v>
      </c>
      <c r="B575" s="472" t="s">
        <v>159</v>
      </c>
      <c r="C575" s="472" t="s">
        <v>302</v>
      </c>
      <c r="D575" s="472" t="s">
        <v>351</v>
      </c>
      <c r="E575" s="472" t="s">
        <v>352</v>
      </c>
      <c r="F575" s="472" t="s">
        <v>276</v>
      </c>
      <c r="G575" s="472" t="s">
        <v>527</v>
      </c>
      <c r="H575" s="472"/>
      <c r="I575" s="472" t="s">
        <v>277</v>
      </c>
      <c r="J575" s="472" t="s">
        <v>528</v>
      </c>
      <c r="K575" s="472" t="s">
        <v>303</v>
      </c>
      <c r="L575" s="472" t="s">
        <v>599</v>
      </c>
      <c r="M575" s="472" t="s">
        <v>285</v>
      </c>
      <c r="N575" s="472"/>
      <c r="O575" s="472"/>
      <c r="P575" s="472" t="s">
        <v>528</v>
      </c>
      <c r="Q575" s="472"/>
      <c r="R575" s="473">
        <v>45600</v>
      </c>
      <c r="S575" s="472"/>
      <c r="T575" s="473">
        <v>45596</v>
      </c>
      <c r="U575" s="474">
        <v>0</v>
      </c>
      <c r="V575" s="475">
        <v>0.02</v>
      </c>
      <c r="W575" s="260">
        <v>45566</v>
      </c>
    </row>
    <row r="576" spans="1:23" hidden="1" x14ac:dyDescent="0.35">
      <c r="A576" s="472" t="s">
        <v>526</v>
      </c>
      <c r="B576" s="472" t="s">
        <v>159</v>
      </c>
      <c r="C576" s="472" t="s">
        <v>584</v>
      </c>
      <c r="D576" s="472" t="s">
        <v>585</v>
      </c>
      <c r="E576" s="472" t="s">
        <v>586</v>
      </c>
      <c r="F576" s="472" t="s">
        <v>276</v>
      </c>
      <c r="G576" s="472" t="s">
        <v>527</v>
      </c>
      <c r="H576" s="472" t="s">
        <v>533</v>
      </c>
      <c r="I576" s="472" t="s">
        <v>277</v>
      </c>
      <c r="J576" s="472" t="s">
        <v>528</v>
      </c>
      <c r="K576" s="472" t="s">
        <v>587</v>
      </c>
      <c r="L576" s="472" t="s">
        <v>599</v>
      </c>
      <c r="M576" s="472" t="s">
        <v>535</v>
      </c>
      <c r="N576" s="472"/>
      <c r="O576" s="472"/>
      <c r="P576" s="472" t="s">
        <v>528</v>
      </c>
      <c r="Q576" s="472"/>
      <c r="R576" s="473">
        <v>45573</v>
      </c>
      <c r="S576" s="472" t="s">
        <v>278</v>
      </c>
      <c r="T576" s="473">
        <v>45580</v>
      </c>
      <c r="U576" s="474">
        <v>5</v>
      </c>
      <c r="V576" s="475">
        <v>516.79999999999995</v>
      </c>
      <c r="W576" s="260">
        <v>45566</v>
      </c>
    </row>
    <row r="577" spans="1:23" hidden="1" x14ac:dyDescent="0.35">
      <c r="A577" s="472" t="s">
        <v>526</v>
      </c>
      <c r="B577" s="472" t="s">
        <v>159</v>
      </c>
      <c r="C577" s="472" t="s">
        <v>584</v>
      </c>
      <c r="D577" s="472" t="s">
        <v>585</v>
      </c>
      <c r="E577" s="472" t="s">
        <v>586</v>
      </c>
      <c r="F577" s="472" t="s">
        <v>276</v>
      </c>
      <c r="G577" s="472" t="s">
        <v>527</v>
      </c>
      <c r="H577" s="472" t="s">
        <v>533</v>
      </c>
      <c r="I577" s="472" t="s">
        <v>277</v>
      </c>
      <c r="J577" s="472" t="s">
        <v>528</v>
      </c>
      <c r="K577" s="472" t="s">
        <v>587</v>
      </c>
      <c r="L577" s="472" t="s">
        <v>599</v>
      </c>
      <c r="M577" s="472" t="s">
        <v>535</v>
      </c>
      <c r="N577" s="472"/>
      <c r="O577" s="472"/>
      <c r="P577" s="472" t="s">
        <v>528</v>
      </c>
      <c r="Q577" s="472"/>
      <c r="R577" s="473">
        <v>45567</v>
      </c>
      <c r="S577" s="472" t="s">
        <v>278</v>
      </c>
      <c r="T577" s="473">
        <v>45572</v>
      </c>
      <c r="U577" s="474">
        <v>6</v>
      </c>
      <c r="V577" s="475">
        <v>620.16</v>
      </c>
      <c r="W577" s="260">
        <v>45566</v>
      </c>
    </row>
    <row r="578" spans="1:23" hidden="1" x14ac:dyDescent="0.35">
      <c r="A578" s="472" t="s">
        <v>526</v>
      </c>
      <c r="B578" s="472" t="s">
        <v>159</v>
      </c>
      <c r="C578" s="472" t="s">
        <v>584</v>
      </c>
      <c r="D578" s="472" t="s">
        <v>585</v>
      </c>
      <c r="E578" s="472" t="s">
        <v>586</v>
      </c>
      <c r="F578" s="472" t="s">
        <v>276</v>
      </c>
      <c r="G578" s="472" t="s">
        <v>527</v>
      </c>
      <c r="H578" s="472" t="s">
        <v>533</v>
      </c>
      <c r="I578" s="472" t="s">
        <v>277</v>
      </c>
      <c r="J578" s="472" t="s">
        <v>528</v>
      </c>
      <c r="K578" s="472" t="s">
        <v>587</v>
      </c>
      <c r="L578" s="472" t="s">
        <v>599</v>
      </c>
      <c r="M578" s="472" t="s">
        <v>535</v>
      </c>
      <c r="N578" s="472"/>
      <c r="O578" s="472"/>
      <c r="P578" s="472" t="s">
        <v>528</v>
      </c>
      <c r="Q578" s="472"/>
      <c r="R578" s="473">
        <v>45569</v>
      </c>
      <c r="S578" s="472" t="s">
        <v>278</v>
      </c>
      <c r="T578" s="473">
        <v>45572</v>
      </c>
      <c r="U578" s="474">
        <v>4</v>
      </c>
      <c r="V578" s="475">
        <v>413.44</v>
      </c>
      <c r="W578" s="260">
        <v>45566</v>
      </c>
    </row>
    <row r="579" spans="1:23" hidden="1" x14ac:dyDescent="0.35">
      <c r="A579" s="472" t="s">
        <v>526</v>
      </c>
      <c r="B579" s="472" t="s">
        <v>159</v>
      </c>
      <c r="C579" s="472" t="s">
        <v>584</v>
      </c>
      <c r="D579" s="472" t="s">
        <v>585</v>
      </c>
      <c r="E579" s="472" t="s">
        <v>586</v>
      </c>
      <c r="F579" s="472" t="s">
        <v>276</v>
      </c>
      <c r="G579" s="472" t="s">
        <v>527</v>
      </c>
      <c r="H579" s="472" t="s">
        <v>533</v>
      </c>
      <c r="I579" s="472" t="s">
        <v>277</v>
      </c>
      <c r="J579" s="472" t="s">
        <v>528</v>
      </c>
      <c r="K579" s="472" t="s">
        <v>587</v>
      </c>
      <c r="L579" s="472" t="s">
        <v>599</v>
      </c>
      <c r="M579" s="472" t="s">
        <v>535</v>
      </c>
      <c r="N579" s="472"/>
      <c r="O579" s="472"/>
      <c r="P579" s="472" t="s">
        <v>528</v>
      </c>
      <c r="Q579" s="472"/>
      <c r="R579" s="473">
        <v>45568</v>
      </c>
      <c r="S579" s="472" t="s">
        <v>278</v>
      </c>
      <c r="T579" s="473">
        <v>45572</v>
      </c>
      <c r="U579" s="474">
        <v>8</v>
      </c>
      <c r="V579" s="475">
        <v>826.88</v>
      </c>
      <c r="W579" s="260">
        <v>45566</v>
      </c>
    </row>
    <row r="580" spans="1:23" hidden="1" x14ac:dyDescent="0.35">
      <c r="A580" s="472" t="s">
        <v>526</v>
      </c>
      <c r="B580" s="472" t="s">
        <v>159</v>
      </c>
      <c r="C580" s="472" t="s">
        <v>584</v>
      </c>
      <c r="D580" s="472" t="s">
        <v>585</v>
      </c>
      <c r="E580" s="472" t="s">
        <v>586</v>
      </c>
      <c r="F580" s="472" t="s">
        <v>276</v>
      </c>
      <c r="G580" s="472" t="s">
        <v>527</v>
      </c>
      <c r="H580" s="472" t="s">
        <v>533</v>
      </c>
      <c r="I580" s="472" t="s">
        <v>277</v>
      </c>
      <c r="J580" s="472" t="s">
        <v>528</v>
      </c>
      <c r="K580" s="472" t="s">
        <v>587</v>
      </c>
      <c r="L580" s="472" t="s">
        <v>599</v>
      </c>
      <c r="M580" s="472" t="s">
        <v>535</v>
      </c>
      <c r="N580" s="472"/>
      <c r="O580" s="472"/>
      <c r="P580" s="472" t="s">
        <v>528</v>
      </c>
      <c r="Q580" s="472"/>
      <c r="R580" s="473">
        <v>45566</v>
      </c>
      <c r="S580" s="472" t="s">
        <v>278</v>
      </c>
      <c r="T580" s="473">
        <v>45572</v>
      </c>
      <c r="U580" s="474">
        <v>7</v>
      </c>
      <c r="V580" s="475">
        <v>723.52</v>
      </c>
      <c r="W580" s="260">
        <v>45566</v>
      </c>
    </row>
    <row r="581" spans="1:23" hidden="1" x14ac:dyDescent="0.35">
      <c r="A581" s="472" t="s">
        <v>526</v>
      </c>
      <c r="B581" s="472" t="s">
        <v>159</v>
      </c>
      <c r="C581" s="472" t="s">
        <v>584</v>
      </c>
      <c r="D581" s="472" t="s">
        <v>585</v>
      </c>
      <c r="E581" s="472" t="s">
        <v>586</v>
      </c>
      <c r="F581" s="472" t="s">
        <v>276</v>
      </c>
      <c r="G581" s="472" t="s">
        <v>527</v>
      </c>
      <c r="H581" s="472" t="s">
        <v>533</v>
      </c>
      <c r="I581" s="472" t="s">
        <v>277</v>
      </c>
      <c r="J581" s="472" t="s">
        <v>528</v>
      </c>
      <c r="K581" s="472" t="s">
        <v>587</v>
      </c>
      <c r="L581" s="472" t="s">
        <v>599</v>
      </c>
      <c r="M581" s="472" t="s">
        <v>535</v>
      </c>
      <c r="N581" s="472"/>
      <c r="O581" s="472"/>
      <c r="P581" s="472" t="s">
        <v>528</v>
      </c>
      <c r="Q581" s="472"/>
      <c r="R581" s="473">
        <v>45565</v>
      </c>
      <c r="S581" s="472" t="s">
        <v>278</v>
      </c>
      <c r="T581" s="473">
        <v>45572</v>
      </c>
      <c r="U581" s="474">
        <v>6</v>
      </c>
      <c r="V581" s="475">
        <v>620.16</v>
      </c>
      <c r="W581" s="260">
        <v>45566</v>
      </c>
    </row>
    <row r="582" spans="1:23" hidden="1" x14ac:dyDescent="0.35">
      <c r="A582" s="472" t="s">
        <v>526</v>
      </c>
      <c r="B582" s="472" t="s">
        <v>159</v>
      </c>
      <c r="C582" s="472" t="s">
        <v>584</v>
      </c>
      <c r="D582" s="472" t="s">
        <v>585</v>
      </c>
      <c r="E582" s="472" t="s">
        <v>586</v>
      </c>
      <c r="F582" s="472" t="s">
        <v>276</v>
      </c>
      <c r="G582" s="472" t="s">
        <v>527</v>
      </c>
      <c r="H582" s="472" t="s">
        <v>533</v>
      </c>
      <c r="I582" s="472" t="s">
        <v>277</v>
      </c>
      <c r="J582" s="472" t="s">
        <v>528</v>
      </c>
      <c r="K582" s="472" t="s">
        <v>587</v>
      </c>
      <c r="L582" s="472" t="s">
        <v>599</v>
      </c>
      <c r="M582" s="472" t="s">
        <v>535</v>
      </c>
      <c r="N582" s="472"/>
      <c r="O582" s="472"/>
      <c r="P582" s="472" t="s">
        <v>528</v>
      </c>
      <c r="Q582" s="472"/>
      <c r="R582" s="473">
        <v>45572</v>
      </c>
      <c r="S582" s="472" t="s">
        <v>278</v>
      </c>
      <c r="T582" s="473">
        <v>45580</v>
      </c>
      <c r="U582" s="474">
        <v>5</v>
      </c>
      <c r="V582" s="475">
        <v>516.79999999999995</v>
      </c>
      <c r="W582" s="260">
        <v>45566</v>
      </c>
    </row>
    <row r="583" spans="1:23" hidden="1" x14ac:dyDescent="0.35">
      <c r="A583" s="472" t="s">
        <v>526</v>
      </c>
      <c r="B583" s="472" t="s">
        <v>159</v>
      </c>
      <c r="C583" s="472" t="s">
        <v>584</v>
      </c>
      <c r="D583" s="472" t="s">
        <v>585</v>
      </c>
      <c r="E583" s="472" t="s">
        <v>586</v>
      </c>
      <c r="F583" s="472" t="s">
        <v>276</v>
      </c>
      <c r="G583" s="472" t="s">
        <v>527</v>
      </c>
      <c r="H583" s="472" t="s">
        <v>533</v>
      </c>
      <c r="I583" s="472" t="s">
        <v>277</v>
      </c>
      <c r="J583" s="472" t="s">
        <v>528</v>
      </c>
      <c r="K583" s="472" t="s">
        <v>587</v>
      </c>
      <c r="L583" s="472" t="s">
        <v>599</v>
      </c>
      <c r="M583" s="472" t="s">
        <v>535</v>
      </c>
      <c r="N583" s="472"/>
      <c r="O583" s="472"/>
      <c r="P583" s="472" t="s">
        <v>528</v>
      </c>
      <c r="Q583" s="472"/>
      <c r="R583" s="473">
        <v>45574</v>
      </c>
      <c r="S583" s="472" t="s">
        <v>278</v>
      </c>
      <c r="T583" s="473">
        <v>45580</v>
      </c>
      <c r="U583" s="474">
        <v>5</v>
      </c>
      <c r="V583" s="475">
        <v>516.79999999999995</v>
      </c>
      <c r="W583" s="260">
        <v>45566</v>
      </c>
    </row>
    <row r="584" spans="1:23" hidden="1" x14ac:dyDescent="0.35">
      <c r="A584" s="472" t="s">
        <v>526</v>
      </c>
      <c r="B584" s="472" t="s">
        <v>159</v>
      </c>
      <c r="C584" s="472" t="s">
        <v>584</v>
      </c>
      <c r="D584" s="472" t="s">
        <v>585</v>
      </c>
      <c r="E584" s="472" t="s">
        <v>586</v>
      </c>
      <c r="F584" s="472" t="s">
        <v>276</v>
      </c>
      <c r="G584" s="472" t="s">
        <v>527</v>
      </c>
      <c r="H584" s="472" t="s">
        <v>533</v>
      </c>
      <c r="I584" s="472" t="s">
        <v>277</v>
      </c>
      <c r="J584" s="472" t="s">
        <v>528</v>
      </c>
      <c r="K584" s="472" t="s">
        <v>587</v>
      </c>
      <c r="L584" s="472" t="s">
        <v>599</v>
      </c>
      <c r="M584" s="472" t="s">
        <v>535</v>
      </c>
      <c r="N584" s="472"/>
      <c r="O584" s="472"/>
      <c r="P584" s="472" t="s">
        <v>528</v>
      </c>
      <c r="Q584" s="472"/>
      <c r="R584" s="473">
        <v>45576</v>
      </c>
      <c r="S584" s="472" t="s">
        <v>278</v>
      </c>
      <c r="T584" s="473">
        <v>45580</v>
      </c>
      <c r="U584" s="474">
        <v>5</v>
      </c>
      <c r="V584" s="475">
        <v>516.79999999999995</v>
      </c>
      <c r="W584" s="260">
        <v>45566</v>
      </c>
    </row>
    <row r="585" spans="1:23" hidden="1" x14ac:dyDescent="0.35">
      <c r="A585" s="472" t="s">
        <v>526</v>
      </c>
      <c r="B585" s="472" t="s">
        <v>159</v>
      </c>
      <c r="C585" s="472" t="s">
        <v>584</v>
      </c>
      <c r="D585" s="472" t="s">
        <v>585</v>
      </c>
      <c r="E585" s="472" t="s">
        <v>586</v>
      </c>
      <c r="F585" s="472" t="s">
        <v>276</v>
      </c>
      <c r="G585" s="472" t="s">
        <v>527</v>
      </c>
      <c r="H585" s="472" t="s">
        <v>533</v>
      </c>
      <c r="I585" s="472" t="s">
        <v>277</v>
      </c>
      <c r="J585" s="472" t="s">
        <v>528</v>
      </c>
      <c r="K585" s="472" t="s">
        <v>587</v>
      </c>
      <c r="L585" s="472" t="s">
        <v>599</v>
      </c>
      <c r="M585" s="472" t="s">
        <v>535</v>
      </c>
      <c r="N585" s="472"/>
      <c r="O585" s="472"/>
      <c r="P585" s="472" t="s">
        <v>528</v>
      </c>
      <c r="Q585" s="472"/>
      <c r="R585" s="473">
        <v>45575</v>
      </c>
      <c r="S585" s="472" t="s">
        <v>278</v>
      </c>
      <c r="T585" s="473">
        <v>45580</v>
      </c>
      <c r="U585" s="474">
        <v>5</v>
      </c>
      <c r="V585" s="475">
        <v>516.79999999999995</v>
      </c>
      <c r="W585" s="260">
        <v>45566</v>
      </c>
    </row>
    <row r="586" spans="1:23" hidden="1" x14ac:dyDescent="0.35">
      <c r="A586" s="472" t="s">
        <v>526</v>
      </c>
      <c r="B586" s="472" t="s">
        <v>53</v>
      </c>
      <c r="C586" s="472"/>
      <c r="D586" s="472" t="s">
        <v>575</v>
      </c>
      <c r="E586" s="472" t="s">
        <v>576</v>
      </c>
      <c r="F586" s="472" t="s">
        <v>588</v>
      </c>
      <c r="G586" s="472" t="s">
        <v>527</v>
      </c>
      <c r="H586" s="472"/>
      <c r="I586" s="472" t="s">
        <v>277</v>
      </c>
      <c r="J586" s="472" t="s">
        <v>577</v>
      </c>
      <c r="K586" s="472"/>
      <c r="L586" s="472" t="s">
        <v>599</v>
      </c>
      <c r="M586" s="472" t="s">
        <v>285</v>
      </c>
      <c r="N586" s="472"/>
      <c r="O586" s="472" t="s">
        <v>591</v>
      </c>
      <c r="P586" s="472" t="s">
        <v>577</v>
      </c>
      <c r="Q586" s="472" t="s">
        <v>589</v>
      </c>
      <c r="R586" s="473">
        <v>45560</v>
      </c>
      <c r="S586" s="472"/>
      <c r="T586" s="473">
        <v>45566</v>
      </c>
      <c r="U586" s="474">
        <v>0</v>
      </c>
      <c r="V586" s="475">
        <v>-16250</v>
      </c>
      <c r="W586" s="260">
        <v>45566</v>
      </c>
    </row>
    <row r="587" spans="1:23" hidden="1" x14ac:dyDescent="0.35">
      <c r="A587" s="472" t="s">
        <v>526</v>
      </c>
      <c r="B587" s="472" t="s">
        <v>53</v>
      </c>
      <c r="C587" s="472"/>
      <c r="D587" s="472" t="s">
        <v>575</v>
      </c>
      <c r="E587" s="472" t="s">
        <v>576</v>
      </c>
      <c r="F587" s="472" t="s">
        <v>588</v>
      </c>
      <c r="G587" s="472" t="s">
        <v>527</v>
      </c>
      <c r="H587" s="472"/>
      <c r="I587" s="472" t="s">
        <v>277</v>
      </c>
      <c r="J587" s="472" t="s">
        <v>577</v>
      </c>
      <c r="K587" s="472"/>
      <c r="L587" s="472" t="s">
        <v>599</v>
      </c>
      <c r="M587" s="472" t="s">
        <v>285</v>
      </c>
      <c r="N587" s="472"/>
      <c r="O587" s="472" t="s">
        <v>591</v>
      </c>
      <c r="P587" s="472" t="s">
        <v>577</v>
      </c>
      <c r="Q587" s="472" t="s">
        <v>589</v>
      </c>
      <c r="R587" s="473">
        <v>45560</v>
      </c>
      <c r="S587" s="472"/>
      <c r="T587" s="473">
        <v>45566</v>
      </c>
      <c r="U587" s="474">
        <v>0</v>
      </c>
      <c r="V587" s="475">
        <v>-72404</v>
      </c>
      <c r="W587" s="260">
        <v>45566</v>
      </c>
    </row>
    <row r="588" spans="1:23" hidden="1" x14ac:dyDescent="0.35">
      <c r="A588" s="472" t="s">
        <v>526</v>
      </c>
      <c r="B588" s="472" t="s">
        <v>53</v>
      </c>
      <c r="C588" s="472"/>
      <c r="D588" s="472" t="s">
        <v>575</v>
      </c>
      <c r="E588" s="472" t="s">
        <v>576</v>
      </c>
      <c r="F588" s="472" t="s">
        <v>276</v>
      </c>
      <c r="G588" s="472" t="s">
        <v>527</v>
      </c>
      <c r="H588" s="472"/>
      <c r="I588" s="472" t="s">
        <v>277</v>
      </c>
      <c r="J588" s="472" t="s">
        <v>577</v>
      </c>
      <c r="K588" s="472"/>
      <c r="L588" s="472" t="s">
        <v>599</v>
      </c>
      <c r="M588" s="472" t="s">
        <v>285</v>
      </c>
      <c r="N588" s="472"/>
      <c r="O588" s="472" t="s">
        <v>591</v>
      </c>
      <c r="P588" s="472" t="s">
        <v>577</v>
      </c>
      <c r="Q588" s="472" t="s">
        <v>400</v>
      </c>
      <c r="R588" s="473">
        <v>45593</v>
      </c>
      <c r="S588" s="472"/>
      <c r="T588" s="473">
        <v>45596</v>
      </c>
      <c r="U588" s="474">
        <v>0</v>
      </c>
      <c r="V588" s="475">
        <v>16250</v>
      </c>
      <c r="W588" s="260">
        <v>45566</v>
      </c>
    </row>
    <row r="589" spans="1:23" hidden="1" x14ac:dyDescent="0.35">
      <c r="A589" s="472" t="s">
        <v>526</v>
      </c>
      <c r="B589" s="472" t="s">
        <v>53</v>
      </c>
      <c r="C589" s="472"/>
      <c r="D589" s="472" t="s">
        <v>575</v>
      </c>
      <c r="E589" s="472" t="s">
        <v>576</v>
      </c>
      <c r="F589" s="472" t="s">
        <v>276</v>
      </c>
      <c r="G589" s="472" t="s">
        <v>527</v>
      </c>
      <c r="H589" s="472"/>
      <c r="I589" s="472" t="s">
        <v>277</v>
      </c>
      <c r="J589" s="472" t="s">
        <v>577</v>
      </c>
      <c r="K589" s="472"/>
      <c r="L589" s="472" t="s">
        <v>599</v>
      </c>
      <c r="M589" s="472" t="s">
        <v>285</v>
      </c>
      <c r="N589" s="472"/>
      <c r="O589" s="472" t="s">
        <v>591</v>
      </c>
      <c r="P589" s="472" t="s">
        <v>577</v>
      </c>
      <c r="Q589" s="472" t="s">
        <v>400</v>
      </c>
      <c r="R589" s="473">
        <v>45593</v>
      </c>
      <c r="S589" s="472"/>
      <c r="T589" s="473">
        <v>45596</v>
      </c>
      <c r="U589" s="474">
        <v>0</v>
      </c>
      <c r="V589" s="475">
        <v>109700</v>
      </c>
      <c r="W589" s="260">
        <v>45566</v>
      </c>
    </row>
    <row r="590" spans="1:23" hidden="1" x14ac:dyDescent="0.35">
      <c r="A590" s="472" t="s">
        <v>526</v>
      </c>
      <c r="B590" s="472" t="s">
        <v>159</v>
      </c>
      <c r="C590" s="472" t="s">
        <v>281</v>
      </c>
      <c r="D590" s="472" t="s">
        <v>282</v>
      </c>
      <c r="E590" s="472" t="s">
        <v>283</v>
      </c>
      <c r="F590" s="472" t="s">
        <v>276</v>
      </c>
      <c r="G590" s="472" t="s">
        <v>527</v>
      </c>
      <c r="H590" s="472"/>
      <c r="I590" s="472" t="s">
        <v>277</v>
      </c>
      <c r="J590" s="472" t="s">
        <v>522</v>
      </c>
      <c r="K590" s="472" t="s">
        <v>284</v>
      </c>
      <c r="L590" s="472" t="s">
        <v>599</v>
      </c>
      <c r="M590" s="472" t="s">
        <v>285</v>
      </c>
      <c r="N590" s="472"/>
      <c r="O590" s="472"/>
      <c r="P590" s="472" t="s">
        <v>522</v>
      </c>
      <c r="Q590" s="472"/>
      <c r="R590" s="473">
        <v>45597</v>
      </c>
      <c r="S590" s="472"/>
      <c r="T590" s="473">
        <v>45596</v>
      </c>
      <c r="U590" s="474">
        <v>0</v>
      </c>
      <c r="V590" s="475">
        <v>81.41</v>
      </c>
      <c r="W590" s="260">
        <v>45566</v>
      </c>
    </row>
    <row r="591" spans="1:23" hidden="1" x14ac:dyDescent="0.35">
      <c r="A591" s="472" t="s">
        <v>526</v>
      </c>
      <c r="B591" s="472" t="s">
        <v>159</v>
      </c>
      <c r="C591" s="472" t="s">
        <v>286</v>
      </c>
      <c r="D591" s="472" t="s">
        <v>287</v>
      </c>
      <c r="E591" s="472" t="s">
        <v>288</v>
      </c>
      <c r="F591" s="472" t="s">
        <v>276</v>
      </c>
      <c r="G591" s="472" t="s">
        <v>527</v>
      </c>
      <c r="H591" s="472"/>
      <c r="I591" s="472" t="s">
        <v>277</v>
      </c>
      <c r="J591" s="472" t="s">
        <v>522</v>
      </c>
      <c r="K591" s="472" t="s">
        <v>289</v>
      </c>
      <c r="L591" s="472" t="s">
        <v>599</v>
      </c>
      <c r="M591" s="472" t="s">
        <v>285</v>
      </c>
      <c r="N591" s="472"/>
      <c r="O591" s="472"/>
      <c r="P591" s="472" t="s">
        <v>522</v>
      </c>
      <c r="Q591" s="472"/>
      <c r="R591" s="473">
        <v>45597</v>
      </c>
      <c r="S591" s="472"/>
      <c r="T591" s="473">
        <v>45596</v>
      </c>
      <c r="U591" s="474">
        <v>0</v>
      </c>
      <c r="V591" s="475">
        <v>233.53</v>
      </c>
      <c r="W591" s="260">
        <v>45566</v>
      </c>
    </row>
    <row r="592" spans="1:23" hidden="1" x14ac:dyDescent="0.35">
      <c r="A592" s="472" t="s">
        <v>526</v>
      </c>
      <c r="B592" s="472" t="s">
        <v>159</v>
      </c>
      <c r="C592" s="472" t="s">
        <v>281</v>
      </c>
      <c r="D592" s="472" t="s">
        <v>290</v>
      </c>
      <c r="E592" s="472" t="s">
        <v>291</v>
      </c>
      <c r="F592" s="472" t="s">
        <v>276</v>
      </c>
      <c r="G592" s="472" t="s">
        <v>527</v>
      </c>
      <c r="H592" s="472"/>
      <c r="I592" s="472" t="s">
        <v>277</v>
      </c>
      <c r="J592" s="472" t="s">
        <v>522</v>
      </c>
      <c r="K592" s="472" t="s">
        <v>284</v>
      </c>
      <c r="L592" s="472" t="s">
        <v>599</v>
      </c>
      <c r="M592" s="472" t="s">
        <v>285</v>
      </c>
      <c r="N592" s="472"/>
      <c r="O592" s="472"/>
      <c r="P592" s="472" t="s">
        <v>522</v>
      </c>
      <c r="Q592" s="472"/>
      <c r="R592" s="473">
        <v>45597</v>
      </c>
      <c r="S592" s="472"/>
      <c r="T592" s="473">
        <v>45596</v>
      </c>
      <c r="U592" s="474">
        <v>0</v>
      </c>
      <c r="V592" s="475">
        <v>50.59</v>
      </c>
      <c r="W592" s="260">
        <v>45566</v>
      </c>
    </row>
    <row r="593" spans="1:23" hidden="1" x14ac:dyDescent="0.35">
      <c r="A593" s="472" t="s">
        <v>526</v>
      </c>
      <c r="B593" s="472" t="s">
        <v>159</v>
      </c>
      <c r="C593" s="472" t="s">
        <v>281</v>
      </c>
      <c r="D593" s="472" t="s">
        <v>292</v>
      </c>
      <c r="E593" s="472" t="s">
        <v>293</v>
      </c>
      <c r="F593" s="472" t="s">
        <v>276</v>
      </c>
      <c r="G593" s="472" t="s">
        <v>527</v>
      </c>
      <c r="H593" s="472"/>
      <c r="I593" s="472" t="s">
        <v>277</v>
      </c>
      <c r="J593" s="472" t="s">
        <v>522</v>
      </c>
      <c r="K593" s="472" t="s">
        <v>294</v>
      </c>
      <c r="L593" s="472" t="s">
        <v>599</v>
      </c>
      <c r="M593" s="472" t="s">
        <v>285</v>
      </c>
      <c r="N593" s="472"/>
      <c r="O593" s="472"/>
      <c r="P593" s="472" t="s">
        <v>522</v>
      </c>
      <c r="Q593" s="472"/>
      <c r="R593" s="473">
        <v>45597</v>
      </c>
      <c r="S593" s="472"/>
      <c r="T593" s="473">
        <v>45596</v>
      </c>
      <c r="U593" s="474">
        <v>0</v>
      </c>
      <c r="V593" s="475">
        <v>71.739999999999995</v>
      </c>
      <c r="W593" s="260">
        <v>45566</v>
      </c>
    </row>
    <row r="594" spans="1:23" hidden="1" x14ac:dyDescent="0.35">
      <c r="A594" s="472" t="s">
        <v>526</v>
      </c>
      <c r="B594" s="472" t="s">
        <v>159</v>
      </c>
      <c r="C594" s="472" t="s">
        <v>286</v>
      </c>
      <c r="D594" s="472" t="s">
        <v>295</v>
      </c>
      <c r="E594" s="472" t="s">
        <v>296</v>
      </c>
      <c r="F594" s="472" t="s">
        <v>276</v>
      </c>
      <c r="G594" s="472" t="s">
        <v>527</v>
      </c>
      <c r="H594" s="472"/>
      <c r="I594" s="472" t="s">
        <v>277</v>
      </c>
      <c r="J594" s="472" t="s">
        <v>522</v>
      </c>
      <c r="K594" s="472" t="s">
        <v>297</v>
      </c>
      <c r="L594" s="472" t="s">
        <v>599</v>
      </c>
      <c r="M594" s="472" t="s">
        <v>285</v>
      </c>
      <c r="N594" s="472"/>
      <c r="O594" s="472"/>
      <c r="P594" s="472" t="s">
        <v>522</v>
      </c>
      <c r="Q594" s="472"/>
      <c r="R594" s="473">
        <v>45597</v>
      </c>
      <c r="S594" s="472"/>
      <c r="T594" s="473">
        <v>45596</v>
      </c>
      <c r="U594" s="474">
        <v>0</v>
      </c>
      <c r="V594" s="475">
        <v>90.39</v>
      </c>
      <c r="W594" s="260">
        <v>45566</v>
      </c>
    </row>
    <row r="595" spans="1:23" hidden="1" x14ac:dyDescent="0.35">
      <c r="A595" s="472" t="s">
        <v>526</v>
      </c>
      <c r="B595" s="472" t="s">
        <v>159</v>
      </c>
      <c r="C595" s="472" t="s">
        <v>302</v>
      </c>
      <c r="D595" s="472" t="s">
        <v>308</v>
      </c>
      <c r="E595" s="472" t="s">
        <v>309</v>
      </c>
      <c r="F595" s="472" t="s">
        <v>276</v>
      </c>
      <c r="G595" s="472" t="s">
        <v>527</v>
      </c>
      <c r="H595" s="472"/>
      <c r="I595" s="472" t="s">
        <v>277</v>
      </c>
      <c r="J595" s="472" t="s">
        <v>522</v>
      </c>
      <c r="K595" s="472" t="s">
        <v>303</v>
      </c>
      <c r="L595" s="472" t="s">
        <v>599</v>
      </c>
      <c r="M595" s="472" t="s">
        <v>285</v>
      </c>
      <c r="N595" s="472"/>
      <c r="O595" s="472"/>
      <c r="P595" s="472" t="s">
        <v>522</v>
      </c>
      <c r="Q595" s="472"/>
      <c r="R595" s="473">
        <v>45600</v>
      </c>
      <c r="S595" s="472"/>
      <c r="T595" s="473">
        <v>45596</v>
      </c>
      <c r="U595" s="474">
        <v>0</v>
      </c>
      <c r="V595" s="475">
        <v>46.98</v>
      </c>
      <c r="W595" s="260">
        <v>45566</v>
      </c>
    </row>
    <row r="596" spans="1:23" hidden="1" x14ac:dyDescent="0.35">
      <c r="A596" s="472" t="s">
        <v>526</v>
      </c>
      <c r="B596" s="472" t="s">
        <v>159</v>
      </c>
      <c r="C596" s="472" t="s">
        <v>302</v>
      </c>
      <c r="D596" s="472" t="s">
        <v>308</v>
      </c>
      <c r="E596" s="472" t="s">
        <v>309</v>
      </c>
      <c r="F596" s="472" t="s">
        <v>276</v>
      </c>
      <c r="G596" s="472" t="s">
        <v>527</v>
      </c>
      <c r="H596" s="472"/>
      <c r="I596" s="472" t="s">
        <v>277</v>
      </c>
      <c r="J596" s="472" t="s">
        <v>522</v>
      </c>
      <c r="K596" s="472" t="s">
        <v>303</v>
      </c>
      <c r="L596" s="472" t="s">
        <v>599</v>
      </c>
      <c r="M596" s="472" t="s">
        <v>285</v>
      </c>
      <c r="N596" s="472"/>
      <c r="O596" s="472"/>
      <c r="P596" s="472" t="s">
        <v>522</v>
      </c>
      <c r="Q596" s="472"/>
      <c r="R596" s="473">
        <v>45600</v>
      </c>
      <c r="S596" s="472"/>
      <c r="T596" s="473">
        <v>45596</v>
      </c>
      <c r="U596" s="474">
        <v>0</v>
      </c>
      <c r="V596" s="475">
        <v>1.01</v>
      </c>
      <c r="W596" s="260">
        <v>45566</v>
      </c>
    </row>
    <row r="597" spans="1:23" hidden="1" x14ac:dyDescent="0.35">
      <c r="A597" s="472" t="s">
        <v>526</v>
      </c>
      <c r="B597" s="472" t="s">
        <v>159</v>
      </c>
      <c r="C597" s="472" t="s">
        <v>302</v>
      </c>
      <c r="D597" s="472" t="s">
        <v>310</v>
      </c>
      <c r="E597" s="472" t="s">
        <v>311</v>
      </c>
      <c r="F597" s="472" t="s">
        <v>276</v>
      </c>
      <c r="G597" s="472" t="s">
        <v>527</v>
      </c>
      <c r="H597" s="472"/>
      <c r="I597" s="472" t="s">
        <v>277</v>
      </c>
      <c r="J597" s="472" t="s">
        <v>522</v>
      </c>
      <c r="K597" s="472" t="s">
        <v>303</v>
      </c>
      <c r="L597" s="472" t="s">
        <v>599</v>
      </c>
      <c r="M597" s="472" t="s">
        <v>285</v>
      </c>
      <c r="N597" s="472"/>
      <c r="O597" s="472"/>
      <c r="P597" s="472" t="s">
        <v>522</v>
      </c>
      <c r="Q597" s="472"/>
      <c r="R597" s="473">
        <v>45600</v>
      </c>
      <c r="S597" s="472"/>
      <c r="T597" s="473">
        <v>45596</v>
      </c>
      <c r="U597" s="474">
        <v>0</v>
      </c>
      <c r="V597" s="475">
        <v>94.1</v>
      </c>
      <c r="W597" s="260">
        <v>45566</v>
      </c>
    </row>
    <row r="598" spans="1:23" hidden="1" x14ac:dyDescent="0.35">
      <c r="A598" s="472" t="s">
        <v>526</v>
      </c>
      <c r="B598" s="472" t="s">
        <v>159</v>
      </c>
      <c r="C598" s="472" t="s">
        <v>302</v>
      </c>
      <c r="D598" s="472" t="s">
        <v>312</v>
      </c>
      <c r="E598" s="472" t="s">
        <v>313</v>
      </c>
      <c r="F598" s="472" t="s">
        <v>276</v>
      </c>
      <c r="G598" s="472" t="s">
        <v>527</v>
      </c>
      <c r="H598" s="472"/>
      <c r="I598" s="472" t="s">
        <v>277</v>
      </c>
      <c r="J598" s="472" t="s">
        <v>522</v>
      </c>
      <c r="K598" s="472" t="s">
        <v>303</v>
      </c>
      <c r="L598" s="472" t="s">
        <v>599</v>
      </c>
      <c r="M598" s="472" t="s">
        <v>285</v>
      </c>
      <c r="N598" s="472"/>
      <c r="O598" s="472"/>
      <c r="P598" s="472" t="s">
        <v>522</v>
      </c>
      <c r="Q598" s="472"/>
      <c r="R598" s="473">
        <v>45600</v>
      </c>
      <c r="S598" s="472"/>
      <c r="T598" s="473">
        <v>45596</v>
      </c>
      <c r="U598" s="474">
        <v>0</v>
      </c>
      <c r="V598" s="475">
        <v>0.28000000000000003</v>
      </c>
      <c r="W598" s="260">
        <v>45566</v>
      </c>
    </row>
    <row r="599" spans="1:23" hidden="1" x14ac:dyDescent="0.35">
      <c r="A599" s="472" t="s">
        <v>526</v>
      </c>
      <c r="B599" s="472" t="s">
        <v>159</v>
      </c>
      <c r="C599" s="472" t="s">
        <v>302</v>
      </c>
      <c r="D599" s="472" t="s">
        <v>314</v>
      </c>
      <c r="E599" s="472" t="s">
        <v>315</v>
      </c>
      <c r="F599" s="472" t="s">
        <v>276</v>
      </c>
      <c r="G599" s="472" t="s">
        <v>527</v>
      </c>
      <c r="H599" s="472"/>
      <c r="I599" s="472" t="s">
        <v>277</v>
      </c>
      <c r="J599" s="472" t="s">
        <v>522</v>
      </c>
      <c r="K599" s="472" t="s">
        <v>303</v>
      </c>
      <c r="L599" s="472" t="s">
        <v>599</v>
      </c>
      <c r="M599" s="472" t="s">
        <v>285</v>
      </c>
      <c r="N599" s="472"/>
      <c r="O599" s="472"/>
      <c r="P599" s="472" t="s">
        <v>522</v>
      </c>
      <c r="Q599" s="472"/>
      <c r="R599" s="473">
        <v>45600</v>
      </c>
      <c r="S599" s="472"/>
      <c r="T599" s="473">
        <v>45596</v>
      </c>
      <c r="U599" s="474">
        <v>0</v>
      </c>
      <c r="V599" s="475">
        <v>0.36</v>
      </c>
      <c r="W599" s="260">
        <v>45566</v>
      </c>
    </row>
    <row r="600" spans="1:23" hidden="1" x14ac:dyDescent="0.35">
      <c r="A600" s="472" t="s">
        <v>526</v>
      </c>
      <c r="B600" s="472" t="s">
        <v>159</v>
      </c>
      <c r="C600" s="472" t="s">
        <v>302</v>
      </c>
      <c r="D600" s="472" t="s">
        <v>316</v>
      </c>
      <c r="E600" s="472" t="s">
        <v>317</v>
      </c>
      <c r="F600" s="472" t="s">
        <v>276</v>
      </c>
      <c r="G600" s="472" t="s">
        <v>527</v>
      </c>
      <c r="H600" s="472"/>
      <c r="I600" s="472" t="s">
        <v>277</v>
      </c>
      <c r="J600" s="472" t="s">
        <v>522</v>
      </c>
      <c r="K600" s="472" t="s">
        <v>303</v>
      </c>
      <c r="L600" s="472" t="s">
        <v>599</v>
      </c>
      <c r="M600" s="472" t="s">
        <v>285</v>
      </c>
      <c r="N600" s="472"/>
      <c r="O600" s="472"/>
      <c r="P600" s="472" t="s">
        <v>522</v>
      </c>
      <c r="Q600" s="472"/>
      <c r="R600" s="473">
        <v>45600</v>
      </c>
      <c r="S600" s="472"/>
      <c r="T600" s="473">
        <v>45596</v>
      </c>
      <c r="U600" s="474">
        <v>0</v>
      </c>
      <c r="V600" s="475">
        <v>0.56000000000000005</v>
      </c>
      <c r="W600" s="260">
        <v>45566</v>
      </c>
    </row>
    <row r="601" spans="1:23" hidden="1" x14ac:dyDescent="0.35">
      <c r="A601" s="472" t="s">
        <v>526</v>
      </c>
      <c r="B601" s="472" t="s">
        <v>159</v>
      </c>
      <c r="C601" s="472" t="s">
        <v>302</v>
      </c>
      <c r="D601" s="472" t="s">
        <v>318</v>
      </c>
      <c r="E601" s="472" t="s">
        <v>319</v>
      </c>
      <c r="F601" s="472" t="s">
        <v>276</v>
      </c>
      <c r="G601" s="472" t="s">
        <v>527</v>
      </c>
      <c r="H601" s="472"/>
      <c r="I601" s="472" t="s">
        <v>277</v>
      </c>
      <c r="J601" s="472" t="s">
        <v>522</v>
      </c>
      <c r="K601" s="472" t="s">
        <v>303</v>
      </c>
      <c r="L601" s="472" t="s">
        <v>599</v>
      </c>
      <c r="M601" s="472" t="s">
        <v>285</v>
      </c>
      <c r="N601" s="472"/>
      <c r="O601" s="472"/>
      <c r="P601" s="472" t="s">
        <v>522</v>
      </c>
      <c r="Q601" s="472"/>
      <c r="R601" s="473">
        <v>45600</v>
      </c>
      <c r="S601" s="472"/>
      <c r="T601" s="473">
        <v>45596</v>
      </c>
      <c r="U601" s="474">
        <v>0</v>
      </c>
      <c r="V601" s="475">
        <v>0.02</v>
      </c>
      <c r="W601" s="260">
        <v>45566</v>
      </c>
    </row>
    <row r="602" spans="1:23" hidden="1" x14ac:dyDescent="0.35">
      <c r="A602" s="472" t="s">
        <v>526</v>
      </c>
      <c r="B602" s="472" t="s">
        <v>159</v>
      </c>
      <c r="C602" s="472" t="s">
        <v>302</v>
      </c>
      <c r="D602" s="472" t="s">
        <v>320</v>
      </c>
      <c r="E602" s="472" t="s">
        <v>321</v>
      </c>
      <c r="F602" s="472" t="s">
        <v>276</v>
      </c>
      <c r="G602" s="472" t="s">
        <v>527</v>
      </c>
      <c r="H602" s="472"/>
      <c r="I602" s="472" t="s">
        <v>277</v>
      </c>
      <c r="J602" s="472" t="s">
        <v>522</v>
      </c>
      <c r="K602" s="472" t="s">
        <v>303</v>
      </c>
      <c r="L602" s="472" t="s">
        <v>599</v>
      </c>
      <c r="M602" s="472" t="s">
        <v>285</v>
      </c>
      <c r="N602" s="472"/>
      <c r="O602" s="472"/>
      <c r="P602" s="472" t="s">
        <v>522</v>
      </c>
      <c r="Q602" s="472"/>
      <c r="R602" s="473">
        <v>45600</v>
      </c>
      <c r="S602" s="472"/>
      <c r="T602" s="473">
        <v>45596</v>
      </c>
      <c r="U602" s="474">
        <v>0</v>
      </c>
      <c r="V602" s="475">
        <v>0.3</v>
      </c>
      <c r="W602" s="260">
        <v>45566</v>
      </c>
    </row>
    <row r="603" spans="1:23" hidden="1" x14ac:dyDescent="0.35">
      <c r="A603" s="472" t="s">
        <v>526</v>
      </c>
      <c r="B603" s="472" t="s">
        <v>159</v>
      </c>
      <c r="C603" s="472" t="s">
        <v>302</v>
      </c>
      <c r="D603" s="472" t="s">
        <v>322</v>
      </c>
      <c r="E603" s="472" t="s">
        <v>323</v>
      </c>
      <c r="F603" s="472" t="s">
        <v>276</v>
      </c>
      <c r="G603" s="472" t="s">
        <v>527</v>
      </c>
      <c r="H603" s="472"/>
      <c r="I603" s="472" t="s">
        <v>277</v>
      </c>
      <c r="J603" s="472" t="s">
        <v>522</v>
      </c>
      <c r="K603" s="472" t="s">
        <v>303</v>
      </c>
      <c r="L603" s="472" t="s">
        <v>599</v>
      </c>
      <c r="M603" s="472" t="s">
        <v>285</v>
      </c>
      <c r="N603" s="472"/>
      <c r="O603" s="472"/>
      <c r="P603" s="472" t="s">
        <v>522</v>
      </c>
      <c r="Q603" s="472"/>
      <c r="R603" s="473">
        <v>45600</v>
      </c>
      <c r="S603" s="472"/>
      <c r="T603" s="473">
        <v>45596</v>
      </c>
      <c r="U603" s="474">
        <v>0</v>
      </c>
      <c r="V603" s="475">
        <v>0.01</v>
      </c>
      <c r="W603" s="260">
        <v>45566</v>
      </c>
    </row>
    <row r="604" spans="1:23" hidden="1" x14ac:dyDescent="0.35">
      <c r="A604" s="472" t="s">
        <v>526</v>
      </c>
      <c r="B604" s="472" t="s">
        <v>159</v>
      </c>
      <c r="C604" s="472" t="s">
        <v>302</v>
      </c>
      <c r="D604" s="472" t="s">
        <v>324</v>
      </c>
      <c r="E604" s="472" t="s">
        <v>325</v>
      </c>
      <c r="F604" s="472" t="s">
        <v>276</v>
      </c>
      <c r="G604" s="472" t="s">
        <v>527</v>
      </c>
      <c r="H604" s="472"/>
      <c r="I604" s="472" t="s">
        <v>277</v>
      </c>
      <c r="J604" s="472" t="s">
        <v>522</v>
      </c>
      <c r="K604" s="472" t="s">
        <v>303</v>
      </c>
      <c r="L604" s="472" t="s">
        <v>599</v>
      </c>
      <c r="M604" s="472" t="s">
        <v>285</v>
      </c>
      <c r="N604" s="472"/>
      <c r="O604" s="472"/>
      <c r="P604" s="472" t="s">
        <v>522</v>
      </c>
      <c r="Q604" s="472"/>
      <c r="R604" s="473">
        <v>45600</v>
      </c>
      <c r="S604" s="472"/>
      <c r="T604" s="473">
        <v>45596</v>
      </c>
      <c r="U604" s="474">
        <v>0</v>
      </c>
      <c r="V604" s="475">
        <v>1.86</v>
      </c>
      <c r="W604" s="260">
        <v>45566</v>
      </c>
    </row>
    <row r="605" spans="1:23" hidden="1" x14ac:dyDescent="0.35">
      <c r="A605" s="472" t="s">
        <v>526</v>
      </c>
      <c r="B605" s="472" t="s">
        <v>159</v>
      </c>
      <c r="C605" s="472" t="s">
        <v>302</v>
      </c>
      <c r="D605" s="472" t="s">
        <v>537</v>
      </c>
      <c r="E605" s="472" t="s">
        <v>538</v>
      </c>
      <c r="F605" s="472" t="s">
        <v>276</v>
      </c>
      <c r="G605" s="472" t="s">
        <v>527</v>
      </c>
      <c r="H605" s="472"/>
      <c r="I605" s="472" t="s">
        <v>277</v>
      </c>
      <c r="J605" s="472" t="s">
        <v>522</v>
      </c>
      <c r="K605" s="472" t="s">
        <v>303</v>
      </c>
      <c r="L605" s="472" t="s">
        <v>599</v>
      </c>
      <c r="M605" s="472" t="s">
        <v>285</v>
      </c>
      <c r="N605" s="472"/>
      <c r="O605" s="472"/>
      <c r="P605" s="472" t="s">
        <v>522</v>
      </c>
      <c r="Q605" s="472"/>
      <c r="R605" s="473">
        <v>45600</v>
      </c>
      <c r="S605" s="472"/>
      <c r="T605" s="473">
        <v>45596</v>
      </c>
      <c r="U605" s="474">
        <v>0</v>
      </c>
      <c r="V605" s="475">
        <v>0.01</v>
      </c>
      <c r="W605" s="260">
        <v>45566</v>
      </c>
    </row>
    <row r="606" spans="1:23" hidden="1" x14ac:dyDescent="0.35">
      <c r="A606" s="472" t="s">
        <v>526</v>
      </c>
      <c r="B606" s="472" t="s">
        <v>159</v>
      </c>
      <c r="C606" s="472" t="s">
        <v>302</v>
      </c>
      <c r="D606" s="472" t="s">
        <v>326</v>
      </c>
      <c r="E606" s="472" t="s">
        <v>327</v>
      </c>
      <c r="F606" s="472" t="s">
        <v>276</v>
      </c>
      <c r="G606" s="472" t="s">
        <v>527</v>
      </c>
      <c r="H606" s="472"/>
      <c r="I606" s="472" t="s">
        <v>277</v>
      </c>
      <c r="J606" s="472" t="s">
        <v>522</v>
      </c>
      <c r="K606" s="472" t="s">
        <v>303</v>
      </c>
      <c r="L606" s="472" t="s">
        <v>599</v>
      </c>
      <c r="M606" s="472" t="s">
        <v>285</v>
      </c>
      <c r="N606" s="472"/>
      <c r="O606" s="472"/>
      <c r="P606" s="472" t="s">
        <v>522</v>
      </c>
      <c r="Q606" s="472"/>
      <c r="R606" s="473">
        <v>45600</v>
      </c>
      <c r="S606" s="472"/>
      <c r="T606" s="473">
        <v>45596</v>
      </c>
      <c r="U606" s="474">
        <v>0</v>
      </c>
      <c r="V606" s="475">
        <v>0.03</v>
      </c>
      <c r="W606" s="260">
        <v>45566</v>
      </c>
    </row>
    <row r="607" spans="1:23" hidden="1" x14ac:dyDescent="0.35">
      <c r="A607" s="472" t="s">
        <v>526</v>
      </c>
      <c r="B607" s="472" t="s">
        <v>159</v>
      </c>
      <c r="C607" s="472" t="s">
        <v>302</v>
      </c>
      <c r="D607" s="472" t="s">
        <v>328</v>
      </c>
      <c r="E607" s="472" t="s">
        <v>329</v>
      </c>
      <c r="F607" s="472" t="s">
        <v>276</v>
      </c>
      <c r="G607" s="472" t="s">
        <v>527</v>
      </c>
      <c r="H607" s="472"/>
      <c r="I607" s="472" t="s">
        <v>277</v>
      </c>
      <c r="J607" s="472" t="s">
        <v>522</v>
      </c>
      <c r="K607" s="472" t="s">
        <v>303</v>
      </c>
      <c r="L607" s="472" t="s">
        <v>599</v>
      </c>
      <c r="M607" s="472" t="s">
        <v>285</v>
      </c>
      <c r="N607" s="472"/>
      <c r="O607" s="472"/>
      <c r="P607" s="472" t="s">
        <v>522</v>
      </c>
      <c r="Q607" s="472"/>
      <c r="R607" s="473">
        <v>45600</v>
      </c>
      <c r="S607" s="472"/>
      <c r="T607" s="473">
        <v>45596</v>
      </c>
      <c r="U607" s="474">
        <v>0</v>
      </c>
      <c r="V607" s="475">
        <v>0.44</v>
      </c>
      <c r="W607" s="260">
        <v>45566</v>
      </c>
    </row>
    <row r="608" spans="1:23" hidden="1" x14ac:dyDescent="0.35">
      <c r="A608" s="472" t="s">
        <v>526</v>
      </c>
      <c r="B608" s="472" t="s">
        <v>159</v>
      </c>
      <c r="C608" s="472" t="s">
        <v>302</v>
      </c>
      <c r="D608" s="472" t="s">
        <v>330</v>
      </c>
      <c r="E608" s="472" t="s">
        <v>331</v>
      </c>
      <c r="F608" s="472" t="s">
        <v>276</v>
      </c>
      <c r="G608" s="472" t="s">
        <v>527</v>
      </c>
      <c r="H608" s="472"/>
      <c r="I608" s="472" t="s">
        <v>277</v>
      </c>
      <c r="J608" s="472" t="s">
        <v>522</v>
      </c>
      <c r="K608" s="472" t="s">
        <v>303</v>
      </c>
      <c r="L608" s="472" t="s">
        <v>599</v>
      </c>
      <c r="M608" s="472" t="s">
        <v>285</v>
      </c>
      <c r="N608" s="472"/>
      <c r="O608" s="472"/>
      <c r="P608" s="472" t="s">
        <v>522</v>
      </c>
      <c r="Q608" s="472"/>
      <c r="R608" s="473">
        <v>45600</v>
      </c>
      <c r="S608" s="472"/>
      <c r="T608" s="473">
        <v>45596</v>
      </c>
      <c r="U608" s="474">
        <v>0</v>
      </c>
      <c r="V608" s="475">
        <v>0.01</v>
      </c>
      <c r="W608" s="260">
        <v>45566</v>
      </c>
    </row>
    <row r="609" spans="1:23" hidden="1" x14ac:dyDescent="0.35">
      <c r="A609" s="472" t="s">
        <v>526</v>
      </c>
      <c r="B609" s="472" t="s">
        <v>159</v>
      </c>
      <c r="C609" s="472" t="s">
        <v>302</v>
      </c>
      <c r="D609" s="472" t="s">
        <v>332</v>
      </c>
      <c r="E609" s="472" t="s">
        <v>333</v>
      </c>
      <c r="F609" s="472" t="s">
        <v>276</v>
      </c>
      <c r="G609" s="472" t="s">
        <v>527</v>
      </c>
      <c r="H609" s="472"/>
      <c r="I609" s="472" t="s">
        <v>277</v>
      </c>
      <c r="J609" s="472" t="s">
        <v>522</v>
      </c>
      <c r="K609" s="472" t="s">
        <v>303</v>
      </c>
      <c r="L609" s="472" t="s">
        <v>599</v>
      </c>
      <c r="M609" s="472" t="s">
        <v>285</v>
      </c>
      <c r="N609" s="472"/>
      <c r="O609" s="472"/>
      <c r="P609" s="472" t="s">
        <v>522</v>
      </c>
      <c r="Q609" s="472"/>
      <c r="R609" s="473">
        <v>45600</v>
      </c>
      <c r="S609" s="472"/>
      <c r="T609" s="473">
        <v>45596</v>
      </c>
      <c r="U609" s="474">
        <v>0</v>
      </c>
      <c r="V609" s="475">
        <v>0.35</v>
      </c>
      <c r="W609" s="260">
        <v>45566</v>
      </c>
    </row>
    <row r="610" spans="1:23" hidden="1" x14ac:dyDescent="0.35">
      <c r="A610" s="472" t="s">
        <v>526</v>
      </c>
      <c r="B610" s="472" t="s">
        <v>159</v>
      </c>
      <c r="C610" s="472" t="s">
        <v>302</v>
      </c>
      <c r="D610" s="472" t="s">
        <v>334</v>
      </c>
      <c r="E610" s="472" t="s">
        <v>335</v>
      </c>
      <c r="F610" s="472" t="s">
        <v>276</v>
      </c>
      <c r="G610" s="472" t="s">
        <v>527</v>
      </c>
      <c r="H610" s="472"/>
      <c r="I610" s="472" t="s">
        <v>277</v>
      </c>
      <c r="J610" s="472" t="s">
        <v>522</v>
      </c>
      <c r="K610" s="472" t="s">
        <v>303</v>
      </c>
      <c r="L610" s="472" t="s">
        <v>599</v>
      </c>
      <c r="M610" s="472" t="s">
        <v>285</v>
      </c>
      <c r="N610" s="472"/>
      <c r="O610" s="472"/>
      <c r="P610" s="472" t="s">
        <v>522</v>
      </c>
      <c r="Q610" s="472"/>
      <c r="R610" s="473">
        <v>45600</v>
      </c>
      <c r="S610" s="472"/>
      <c r="T610" s="473">
        <v>45596</v>
      </c>
      <c r="U610" s="474">
        <v>0</v>
      </c>
      <c r="V610" s="475">
        <v>0.06</v>
      </c>
      <c r="W610" s="260">
        <v>45566</v>
      </c>
    </row>
    <row r="611" spans="1:23" hidden="1" x14ac:dyDescent="0.35">
      <c r="A611" s="472" t="s">
        <v>526</v>
      </c>
      <c r="B611" s="472" t="s">
        <v>159</v>
      </c>
      <c r="C611" s="472" t="s">
        <v>281</v>
      </c>
      <c r="D611" s="472" t="s">
        <v>340</v>
      </c>
      <c r="E611" s="472" t="s">
        <v>283</v>
      </c>
      <c r="F611" s="472" t="s">
        <v>276</v>
      </c>
      <c r="G611" s="472" t="s">
        <v>527</v>
      </c>
      <c r="H611" s="472"/>
      <c r="I611" s="472" t="s">
        <v>277</v>
      </c>
      <c r="J611" s="472" t="s">
        <v>522</v>
      </c>
      <c r="K611" s="472" t="s">
        <v>284</v>
      </c>
      <c r="L611" s="472" t="s">
        <v>599</v>
      </c>
      <c r="M611" s="472" t="s">
        <v>285</v>
      </c>
      <c r="N611" s="472"/>
      <c r="O611" s="472"/>
      <c r="P611" s="472" t="s">
        <v>522</v>
      </c>
      <c r="Q611" s="472"/>
      <c r="R611" s="473">
        <v>45597</v>
      </c>
      <c r="S611" s="472"/>
      <c r="T611" s="473">
        <v>45596</v>
      </c>
      <c r="U611" s="474">
        <v>0</v>
      </c>
      <c r="V611" s="475">
        <v>11.75</v>
      </c>
      <c r="W611" s="260">
        <v>45566</v>
      </c>
    </row>
    <row r="612" spans="1:23" hidden="1" x14ac:dyDescent="0.35">
      <c r="A612" s="472" t="s">
        <v>526</v>
      </c>
      <c r="B612" s="472" t="s">
        <v>159</v>
      </c>
      <c r="C612" s="472" t="s">
        <v>302</v>
      </c>
      <c r="D612" s="472" t="s">
        <v>340</v>
      </c>
      <c r="E612" s="472" t="s">
        <v>283</v>
      </c>
      <c r="F612" s="472" t="s">
        <v>276</v>
      </c>
      <c r="G612" s="472" t="s">
        <v>527</v>
      </c>
      <c r="H612" s="472"/>
      <c r="I612" s="472" t="s">
        <v>277</v>
      </c>
      <c r="J612" s="472" t="s">
        <v>522</v>
      </c>
      <c r="K612" s="472" t="s">
        <v>303</v>
      </c>
      <c r="L612" s="472" t="s">
        <v>599</v>
      </c>
      <c r="M612" s="472" t="s">
        <v>285</v>
      </c>
      <c r="N612" s="472"/>
      <c r="O612" s="472"/>
      <c r="P612" s="472" t="s">
        <v>522</v>
      </c>
      <c r="Q612" s="472"/>
      <c r="R612" s="473">
        <v>45600</v>
      </c>
      <c r="S612" s="472"/>
      <c r="T612" s="473">
        <v>45596</v>
      </c>
      <c r="U612" s="474">
        <v>0</v>
      </c>
      <c r="V612" s="475">
        <v>3.36</v>
      </c>
      <c r="W612" s="260">
        <v>45566</v>
      </c>
    </row>
    <row r="613" spans="1:23" hidden="1" x14ac:dyDescent="0.35">
      <c r="A613" s="472" t="s">
        <v>526</v>
      </c>
      <c r="B613" s="472" t="s">
        <v>159</v>
      </c>
      <c r="C613" s="472" t="s">
        <v>302</v>
      </c>
      <c r="D613" s="472" t="s">
        <v>340</v>
      </c>
      <c r="E613" s="472" t="s">
        <v>283</v>
      </c>
      <c r="F613" s="472" t="s">
        <v>276</v>
      </c>
      <c r="G613" s="472" t="s">
        <v>527</v>
      </c>
      <c r="H613" s="472"/>
      <c r="I613" s="472" t="s">
        <v>277</v>
      </c>
      <c r="J613" s="472" t="s">
        <v>522</v>
      </c>
      <c r="K613" s="472" t="s">
        <v>303</v>
      </c>
      <c r="L613" s="472" t="s">
        <v>599</v>
      </c>
      <c r="M613" s="472" t="s">
        <v>285</v>
      </c>
      <c r="N613" s="472"/>
      <c r="O613" s="472"/>
      <c r="P613" s="472" t="s">
        <v>522</v>
      </c>
      <c r="Q613" s="472"/>
      <c r="R613" s="473">
        <v>45600</v>
      </c>
      <c r="S613" s="472"/>
      <c r="T613" s="473">
        <v>45596</v>
      </c>
      <c r="U613" s="474">
        <v>0</v>
      </c>
      <c r="V613" s="475">
        <v>0.49</v>
      </c>
      <c r="W613" s="260">
        <v>45566</v>
      </c>
    </row>
    <row r="614" spans="1:23" hidden="1" x14ac:dyDescent="0.35">
      <c r="A614" s="472" t="s">
        <v>526</v>
      </c>
      <c r="B614" s="472" t="s">
        <v>159</v>
      </c>
      <c r="C614" s="472" t="s">
        <v>286</v>
      </c>
      <c r="D614" s="472" t="s">
        <v>341</v>
      </c>
      <c r="E614" s="472" t="s">
        <v>288</v>
      </c>
      <c r="F614" s="472" t="s">
        <v>276</v>
      </c>
      <c r="G614" s="472" t="s">
        <v>527</v>
      </c>
      <c r="H614" s="472"/>
      <c r="I614" s="472" t="s">
        <v>277</v>
      </c>
      <c r="J614" s="472" t="s">
        <v>522</v>
      </c>
      <c r="K614" s="472" t="s">
        <v>289</v>
      </c>
      <c r="L614" s="472" t="s">
        <v>599</v>
      </c>
      <c r="M614" s="472" t="s">
        <v>285</v>
      </c>
      <c r="N614" s="472"/>
      <c r="O614" s="472"/>
      <c r="P614" s="472" t="s">
        <v>522</v>
      </c>
      <c r="Q614" s="472"/>
      <c r="R614" s="473">
        <v>45597</v>
      </c>
      <c r="S614" s="472"/>
      <c r="T614" s="473">
        <v>45596</v>
      </c>
      <c r="U614" s="474">
        <v>0</v>
      </c>
      <c r="V614" s="475">
        <v>98.05</v>
      </c>
      <c r="W614" s="260">
        <v>45566</v>
      </c>
    </row>
    <row r="615" spans="1:23" hidden="1" x14ac:dyDescent="0.35">
      <c r="A615" s="472" t="s">
        <v>526</v>
      </c>
      <c r="B615" s="472" t="s">
        <v>159</v>
      </c>
      <c r="C615" s="472" t="s">
        <v>302</v>
      </c>
      <c r="D615" s="472" t="s">
        <v>341</v>
      </c>
      <c r="E615" s="472" t="s">
        <v>288</v>
      </c>
      <c r="F615" s="472" t="s">
        <v>276</v>
      </c>
      <c r="G615" s="472" t="s">
        <v>527</v>
      </c>
      <c r="H615" s="472"/>
      <c r="I615" s="472" t="s">
        <v>277</v>
      </c>
      <c r="J615" s="472" t="s">
        <v>522</v>
      </c>
      <c r="K615" s="472" t="s">
        <v>303</v>
      </c>
      <c r="L615" s="472" t="s">
        <v>599</v>
      </c>
      <c r="M615" s="472" t="s">
        <v>285</v>
      </c>
      <c r="N615" s="472"/>
      <c r="O615" s="472"/>
      <c r="P615" s="472" t="s">
        <v>522</v>
      </c>
      <c r="Q615" s="472"/>
      <c r="R615" s="473">
        <v>45600</v>
      </c>
      <c r="S615" s="472"/>
      <c r="T615" s="473">
        <v>45596</v>
      </c>
      <c r="U615" s="474">
        <v>0</v>
      </c>
      <c r="V615" s="475">
        <v>9.65</v>
      </c>
      <c r="W615" s="260">
        <v>45566</v>
      </c>
    </row>
    <row r="616" spans="1:23" hidden="1" x14ac:dyDescent="0.35">
      <c r="A616" s="472" t="s">
        <v>526</v>
      </c>
      <c r="B616" s="472" t="s">
        <v>159</v>
      </c>
      <c r="C616" s="472" t="s">
        <v>302</v>
      </c>
      <c r="D616" s="472" t="s">
        <v>341</v>
      </c>
      <c r="E616" s="472" t="s">
        <v>288</v>
      </c>
      <c r="F616" s="472" t="s">
        <v>276</v>
      </c>
      <c r="G616" s="472" t="s">
        <v>527</v>
      </c>
      <c r="H616" s="472"/>
      <c r="I616" s="472" t="s">
        <v>277</v>
      </c>
      <c r="J616" s="472" t="s">
        <v>522</v>
      </c>
      <c r="K616" s="472" t="s">
        <v>303</v>
      </c>
      <c r="L616" s="472" t="s">
        <v>599</v>
      </c>
      <c r="M616" s="472" t="s">
        <v>285</v>
      </c>
      <c r="N616" s="472"/>
      <c r="O616" s="472"/>
      <c r="P616" s="472" t="s">
        <v>522</v>
      </c>
      <c r="Q616" s="472"/>
      <c r="R616" s="473">
        <v>45600</v>
      </c>
      <c r="S616" s="472"/>
      <c r="T616" s="473">
        <v>45596</v>
      </c>
      <c r="U616" s="474">
        <v>0</v>
      </c>
      <c r="V616" s="475">
        <v>4.05</v>
      </c>
      <c r="W616" s="260">
        <v>45566</v>
      </c>
    </row>
    <row r="617" spans="1:23" hidden="1" x14ac:dyDescent="0.35">
      <c r="A617" s="472" t="s">
        <v>526</v>
      </c>
      <c r="B617" s="472" t="s">
        <v>159</v>
      </c>
      <c r="C617" s="472" t="s">
        <v>302</v>
      </c>
      <c r="D617" s="472" t="s">
        <v>342</v>
      </c>
      <c r="E617" s="472" t="s">
        <v>291</v>
      </c>
      <c r="F617" s="472" t="s">
        <v>276</v>
      </c>
      <c r="G617" s="472" t="s">
        <v>527</v>
      </c>
      <c r="H617" s="472"/>
      <c r="I617" s="472" t="s">
        <v>277</v>
      </c>
      <c r="J617" s="472" t="s">
        <v>522</v>
      </c>
      <c r="K617" s="472" t="s">
        <v>303</v>
      </c>
      <c r="L617" s="472" t="s">
        <v>599</v>
      </c>
      <c r="M617" s="472" t="s">
        <v>285</v>
      </c>
      <c r="N617" s="472"/>
      <c r="O617" s="472"/>
      <c r="P617" s="472" t="s">
        <v>522</v>
      </c>
      <c r="Q617" s="472"/>
      <c r="R617" s="473">
        <v>45600</v>
      </c>
      <c r="S617" s="472"/>
      <c r="T617" s="473">
        <v>45596</v>
      </c>
      <c r="U617" s="474">
        <v>0</v>
      </c>
      <c r="V617" s="475">
        <v>2.09</v>
      </c>
      <c r="W617" s="260">
        <v>45566</v>
      </c>
    </row>
    <row r="618" spans="1:23" hidden="1" x14ac:dyDescent="0.35">
      <c r="A618" s="472" t="s">
        <v>526</v>
      </c>
      <c r="B618" s="472" t="s">
        <v>159</v>
      </c>
      <c r="C618" s="472" t="s">
        <v>302</v>
      </c>
      <c r="D618" s="472" t="s">
        <v>342</v>
      </c>
      <c r="E618" s="472" t="s">
        <v>291</v>
      </c>
      <c r="F618" s="472" t="s">
        <v>276</v>
      </c>
      <c r="G618" s="472" t="s">
        <v>527</v>
      </c>
      <c r="H618" s="472"/>
      <c r="I618" s="472" t="s">
        <v>277</v>
      </c>
      <c r="J618" s="472" t="s">
        <v>522</v>
      </c>
      <c r="K618" s="472" t="s">
        <v>303</v>
      </c>
      <c r="L618" s="472" t="s">
        <v>599</v>
      </c>
      <c r="M618" s="472" t="s">
        <v>285</v>
      </c>
      <c r="N618" s="472"/>
      <c r="O618" s="472"/>
      <c r="P618" s="472" t="s">
        <v>522</v>
      </c>
      <c r="Q618" s="472"/>
      <c r="R618" s="473">
        <v>45600</v>
      </c>
      <c r="S618" s="472"/>
      <c r="T618" s="473">
        <v>45596</v>
      </c>
      <c r="U618" s="474">
        <v>0</v>
      </c>
      <c r="V618" s="475">
        <v>-0.57999999999999996</v>
      </c>
      <c r="W618" s="260">
        <v>45566</v>
      </c>
    </row>
    <row r="619" spans="1:23" hidden="1" x14ac:dyDescent="0.35">
      <c r="A619" s="472" t="s">
        <v>526</v>
      </c>
      <c r="B619" s="472" t="s">
        <v>159</v>
      </c>
      <c r="C619" s="472" t="s">
        <v>281</v>
      </c>
      <c r="D619" s="472" t="s">
        <v>342</v>
      </c>
      <c r="E619" s="472" t="s">
        <v>291</v>
      </c>
      <c r="F619" s="472" t="s">
        <v>276</v>
      </c>
      <c r="G619" s="472" t="s">
        <v>527</v>
      </c>
      <c r="H619" s="472"/>
      <c r="I619" s="472" t="s">
        <v>277</v>
      </c>
      <c r="J619" s="472" t="s">
        <v>522</v>
      </c>
      <c r="K619" s="472" t="s">
        <v>284</v>
      </c>
      <c r="L619" s="472" t="s">
        <v>599</v>
      </c>
      <c r="M619" s="472" t="s">
        <v>285</v>
      </c>
      <c r="N619" s="472"/>
      <c r="O619" s="472"/>
      <c r="P619" s="472" t="s">
        <v>522</v>
      </c>
      <c r="Q619" s="472"/>
      <c r="R619" s="473">
        <v>45597</v>
      </c>
      <c r="S619" s="472"/>
      <c r="T619" s="473">
        <v>45596</v>
      </c>
      <c r="U619" s="474">
        <v>0</v>
      </c>
      <c r="V619" s="475">
        <v>-14.15</v>
      </c>
      <c r="W619" s="260">
        <v>45566</v>
      </c>
    </row>
    <row r="620" spans="1:23" hidden="1" x14ac:dyDescent="0.35">
      <c r="A620" s="472" t="s">
        <v>526</v>
      </c>
      <c r="B620" s="472" t="s">
        <v>159</v>
      </c>
      <c r="C620" s="472" t="s">
        <v>281</v>
      </c>
      <c r="D620" s="472" t="s">
        <v>343</v>
      </c>
      <c r="E620" s="472" t="s">
        <v>293</v>
      </c>
      <c r="F620" s="472" t="s">
        <v>276</v>
      </c>
      <c r="G620" s="472" t="s">
        <v>527</v>
      </c>
      <c r="H620" s="472"/>
      <c r="I620" s="472" t="s">
        <v>277</v>
      </c>
      <c r="J620" s="472" t="s">
        <v>522</v>
      </c>
      <c r="K620" s="472" t="s">
        <v>294</v>
      </c>
      <c r="L620" s="472" t="s">
        <v>599</v>
      </c>
      <c r="M620" s="472" t="s">
        <v>285</v>
      </c>
      <c r="N620" s="472"/>
      <c r="O620" s="472"/>
      <c r="P620" s="472" t="s">
        <v>522</v>
      </c>
      <c r="Q620" s="472"/>
      <c r="R620" s="473">
        <v>45597</v>
      </c>
      <c r="S620" s="472"/>
      <c r="T620" s="473">
        <v>45596</v>
      </c>
      <c r="U620" s="474">
        <v>0</v>
      </c>
      <c r="V620" s="475">
        <v>23.69</v>
      </c>
      <c r="W620" s="260">
        <v>45566</v>
      </c>
    </row>
    <row r="621" spans="1:23" hidden="1" x14ac:dyDescent="0.35">
      <c r="A621" s="472" t="s">
        <v>526</v>
      </c>
      <c r="B621" s="472" t="s">
        <v>159</v>
      </c>
      <c r="C621" s="472" t="s">
        <v>302</v>
      </c>
      <c r="D621" s="472" t="s">
        <v>343</v>
      </c>
      <c r="E621" s="472" t="s">
        <v>293</v>
      </c>
      <c r="F621" s="472" t="s">
        <v>276</v>
      </c>
      <c r="G621" s="472" t="s">
        <v>527</v>
      </c>
      <c r="H621" s="472"/>
      <c r="I621" s="472" t="s">
        <v>277</v>
      </c>
      <c r="J621" s="472" t="s">
        <v>522</v>
      </c>
      <c r="K621" s="472" t="s">
        <v>303</v>
      </c>
      <c r="L621" s="472" t="s">
        <v>599</v>
      </c>
      <c r="M621" s="472" t="s">
        <v>285</v>
      </c>
      <c r="N621" s="472"/>
      <c r="O621" s="472"/>
      <c r="P621" s="472" t="s">
        <v>522</v>
      </c>
      <c r="Q621" s="472"/>
      <c r="R621" s="473">
        <v>45600</v>
      </c>
      <c r="S621" s="472"/>
      <c r="T621" s="473">
        <v>45596</v>
      </c>
      <c r="U621" s="474">
        <v>0</v>
      </c>
      <c r="V621" s="475">
        <v>2.96</v>
      </c>
      <c r="W621" s="260">
        <v>45566</v>
      </c>
    </row>
    <row r="622" spans="1:23" hidden="1" x14ac:dyDescent="0.35">
      <c r="A622" s="472" t="s">
        <v>526</v>
      </c>
      <c r="B622" s="472" t="s">
        <v>159</v>
      </c>
      <c r="C622" s="472" t="s">
        <v>302</v>
      </c>
      <c r="D622" s="472" t="s">
        <v>343</v>
      </c>
      <c r="E622" s="472" t="s">
        <v>293</v>
      </c>
      <c r="F622" s="472" t="s">
        <v>276</v>
      </c>
      <c r="G622" s="472" t="s">
        <v>527</v>
      </c>
      <c r="H622" s="472"/>
      <c r="I622" s="472" t="s">
        <v>277</v>
      </c>
      <c r="J622" s="472" t="s">
        <v>522</v>
      </c>
      <c r="K622" s="472" t="s">
        <v>303</v>
      </c>
      <c r="L622" s="472" t="s">
        <v>599</v>
      </c>
      <c r="M622" s="472" t="s">
        <v>285</v>
      </c>
      <c r="N622" s="472"/>
      <c r="O622" s="472"/>
      <c r="P622" s="472" t="s">
        <v>522</v>
      </c>
      <c r="Q622" s="472"/>
      <c r="R622" s="473">
        <v>45600</v>
      </c>
      <c r="S622" s="472"/>
      <c r="T622" s="473">
        <v>45596</v>
      </c>
      <c r="U622" s="474">
        <v>0</v>
      </c>
      <c r="V622" s="475">
        <v>0.98</v>
      </c>
      <c r="W622" s="260">
        <v>45566</v>
      </c>
    </row>
    <row r="623" spans="1:23" hidden="1" x14ac:dyDescent="0.35">
      <c r="A623" s="472" t="s">
        <v>526</v>
      </c>
      <c r="B623" s="472" t="s">
        <v>159</v>
      </c>
      <c r="C623" s="472" t="s">
        <v>286</v>
      </c>
      <c r="D623" s="472" t="s">
        <v>344</v>
      </c>
      <c r="E623" s="472" t="s">
        <v>296</v>
      </c>
      <c r="F623" s="472" t="s">
        <v>276</v>
      </c>
      <c r="G623" s="472" t="s">
        <v>527</v>
      </c>
      <c r="H623" s="472"/>
      <c r="I623" s="472" t="s">
        <v>277</v>
      </c>
      <c r="J623" s="472" t="s">
        <v>522</v>
      </c>
      <c r="K623" s="472" t="s">
        <v>297</v>
      </c>
      <c r="L623" s="472" t="s">
        <v>599</v>
      </c>
      <c r="M623" s="472" t="s">
        <v>285</v>
      </c>
      <c r="N623" s="472"/>
      <c r="O623" s="472"/>
      <c r="P623" s="472" t="s">
        <v>522</v>
      </c>
      <c r="Q623" s="472"/>
      <c r="R623" s="473">
        <v>45597</v>
      </c>
      <c r="S623" s="472"/>
      <c r="T623" s="473">
        <v>45596</v>
      </c>
      <c r="U623" s="474">
        <v>0</v>
      </c>
      <c r="V623" s="475">
        <v>32.770000000000003</v>
      </c>
      <c r="W623" s="260">
        <v>45566</v>
      </c>
    </row>
    <row r="624" spans="1:23" hidden="1" x14ac:dyDescent="0.35">
      <c r="A624" s="472" t="s">
        <v>526</v>
      </c>
      <c r="B624" s="472" t="s">
        <v>159</v>
      </c>
      <c r="C624" s="472" t="s">
        <v>302</v>
      </c>
      <c r="D624" s="472" t="s">
        <v>344</v>
      </c>
      <c r="E624" s="472" t="s">
        <v>296</v>
      </c>
      <c r="F624" s="472" t="s">
        <v>276</v>
      </c>
      <c r="G624" s="472" t="s">
        <v>527</v>
      </c>
      <c r="H624" s="472"/>
      <c r="I624" s="472" t="s">
        <v>277</v>
      </c>
      <c r="J624" s="472" t="s">
        <v>522</v>
      </c>
      <c r="K624" s="472" t="s">
        <v>303</v>
      </c>
      <c r="L624" s="472" t="s">
        <v>599</v>
      </c>
      <c r="M624" s="472" t="s">
        <v>285</v>
      </c>
      <c r="N624" s="472"/>
      <c r="O624" s="472"/>
      <c r="P624" s="472" t="s">
        <v>522</v>
      </c>
      <c r="Q624" s="472"/>
      <c r="R624" s="473">
        <v>45600</v>
      </c>
      <c r="S624" s="472"/>
      <c r="T624" s="473">
        <v>45596</v>
      </c>
      <c r="U624" s="474">
        <v>0</v>
      </c>
      <c r="V624" s="475">
        <v>3.73</v>
      </c>
      <c r="W624" s="260">
        <v>45566</v>
      </c>
    </row>
    <row r="625" spans="1:23" hidden="1" x14ac:dyDescent="0.35">
      <c r="A625" s="472" t="s">
        <v>526</v>
      </c>
      <c r="B625" s="472" t="s">
        <v>159</v>
      </c>
      <c r="C625" s="472" t="s">
        <v>302</v>
      </c>
      <c r="D625" s="472" t="s">
        <v>344</v>
      </c>
      <c r="E625" s="472" t="s">
        <v>296</v>
      </c>
      <c r="F625" s="472" t="s">
        <v>276</v>
      </c>
      <c r="G625" s="472" t="s">
        <v>527</v>
      </c>
      <c r="H625" s="472"/>
      <c r="I625" s="472" t="s">
        <v>277</v>
      </c>
      <c r="J625" s="472" t="s">
        <v>522</v>
      </c>
      <c r="K625" s="472" t="s">
        <v>303</v>
      </c>
      <c r="L625" s="472" t="s">
        <v>599</v>
      </c>
      <c r="M625" s="472" t="s">
        <v>285</v>
      </c>
      <c r="N625" s="472"/>
      <c r="O625" s="472"/>
      <c r="P625" s="472" t="s">
        <v>522</v>
      </c>
      <c r="Q625" s="472"/>
      <c r="R625" s="473">
        <v>45600</v>
      </c>
      <c r="S625" s="472"/>
      <c r="T625" s="473">
        <v>45596</v>
      </c>
      <c r="U625" s="474">
        <v>0</v>
      </c>
      <c r="V625" s="475">
        <v>1.35</v>
      </c>
      <c r="W625" s="260">
        <v>45566</v>
      </c>
    </row>
    <row r="626" spans="1:23" hidden="1" x14ac:dyDescent="0.35">
      <c r="A626" s="472" t="s">
        <v>526</v>
      </c>
      <c r="B626" s="472" t="s">
        <v>159</v>
      </c>
      <c r="C626" s="472" t="s">
        <v>302</v>
      </c>
      <c r="D626" s="472" t="s">
        <v>347</v>
      </c>
      <c r="E626" s="472" t="s">
        <v>348</v>
      </c>
      <c r="F626" s="472" t="s">
        <v>276</v>
      </c>
      <c r="G626" s="472" t="s">
        <v>527</v>
      </c>
      <c r="H626" s="472"/>
      <c r="I626" s="472" t="s">
        <v>277</v>
      </c>
      <c r="J626" s="472" t="s">
        <v>522</v>
      </c>
      <c r="K626" s="472" t="s">
        <v>303</v>
      </c>
      <c r="L626" s="472" t="s">
        <v>599</v>
      </c>
      <c r="M626" s="472" t="s">
        <v>285</v>
      </c>
      <c r="N626" s="472"/>
      <c r="O626" s="472"/>
      <c r="P626" s="472" t="s">
        <v>522</v>
      </c>
      <c r="Q626" s="472"/>
      <c r="R626" s="473">
        <v>45600</v>
      </c>
      <c r="S626" s="472"/>
      <c r="T626" s="473">
        <v>45596</v>
      </c>
      <c r="U626" s="474">
        <v>0</v>
      </c>
      <c r="V626" s="475">
        <v>0.01</v>
      </c>
      <c r="W626" s="260">
        <v>45566</v>
      </c>
    </row>
    <row r="627" spans="1:23" hidden="1" x14ac:dyDescent="0.35">
      <c r="A627" s="472" t="s">
        <v>526</v>
      </c>
      <c r="B627" s="472" t="s">
        <v>159</v>
      </c>
      <c r="C627" s="472" t="s">
        <v>584</v>
      </c>
      <c r="D627" s="472" t="s">
        <v>585</v>
      </c>
      <c r="E627" s="472" t="s">
        <v>586</v>
      </c>
      <c r="F627" s="472" t="s">
        <v>276</v>
      </c>
      <c r="G627" s="472" t="s">
        <v>527</v>
      </c>
      <c r="H627" s="472" t="s">
        <v>533</v>
      </c>
      <c r="I627" s="472" t="s">
        <v>277</v>
      </c>
      <c r="J627" s="472" t="s">
        <v>522</v>
      </c>
      <c r="K627" s="472" t="s">
        <v>587</v>
      </c>
      <c r="L627" s="472" t="s">
        <v>599</v>
      </c>
      <c r="M627" s="472" t="s">
        <v>535</v>
      </c>
      <c r="N627" s="472"/>
      <c r="O627" s="472"/>
      <c r="P627" s="472" t="s">
        <v>522</v>
      </c>
      <c r="Q627" s="472"/>
      <c r="R627" s="473">
        <v>45580</v>
      </c>
      <c r="S627" s="472" t="s">
        <v>278</v>
      </c>
      <c r="T627" s="473">
        <v>45586</v>
      </c>
      <c r="U627" s="474">
        <v>4</v>
      </c>
      <c r="V627" s="475">
        <v>413.44</v>
      </c>
      <c r="W627" s="260">
        <v>45566</v>
      </c>
    </row>
    <row r="628" spans="1:23" hidden="1" x14ac:dyDescent="0.35">
      <c r="A628" s="472" t="s">
        <v>526</v>
      </c>
      <c r="B628" s="472" t="s">
        <v>159</v>
      </c>
      <c r="C628" s="472" t="s">
        <v>584</v>
      </c>
      <c r="D628" s="472" t="s">
        <v>585</v>
      </c>
      <c r="E628" s="472" t="s">
        <v>586</v>
      </c>
      <c r="F628" s="472" t="s">
        <v>276</v>
      </c>
      <c r="G628" s="472" t="s">
        <v>527</v>
      </c>
      <c r="H628" s="472" t="s">
        <v>533</v>
      </c>
      <c r="I628" s="472" t="s">
        <v>277</v>
      </c>
      <c r="J628" s="472" t="s">
        <v>522</v>
      </c>
      <c r="K628" s="472" t="s">
        <v>587</v>
      </c>
      <c r="L628" s="472" t="s">
        <v>599</v>
      </c>
      <c r="M628" s="472" t="s">
        <v>535</v>
      </c>
      <c r="N628" s="472"/>
      <c r="O628" s="472"/>
      <c r="P628" s="472" t="s">
        <v>522</v>
      </c>
      <c r="Q628" s="472"/>
      <c r="R628" s="473">
        <v>45581</v>
      </c>
      <c r="S628" s="472" t="s">
        <v>278</v>
      </c>
      <c r="T628" s="473">
        <v>45586</v>
      </c>
      <c r="U628" s="474">
        <v>1</v>
      </c>
      <c r="V628" s="475">
        <v>103.36</v>
      </c>
      <c r="W628" s="260">
        <v>45566</v>
      </c>
    </row>
    <row r="629" spans="1:23" hidden="1" x14ac:dyDescent="0.35">
      <c r="A629" s="472" t="s">
        <v>526</v>
      </c>
      <c r="B629" s="472" t="s">
        <v>159</v>
      </c>
      <c r="C629" s="472" t="s">
        <v>584</v>
      </c>
      <c r="D629" s="472" t="s">
        <v>585</v>
      </c>
      <c r="E629" s="472" t="s">
        <v>586</v>
      </c>
      <c r="F629" s="472" t="s">
        <v>276</v>
      </c>
      <c r="G629" s="472" t="s">
        <v>527</v>
      </c>
      <c r="H629" s="472" t="s">
        <v>533</v>
      </c>
      <c r="I629" s="472" t="s">
        <v>277</v>
      </c>
      <c r="J629" s="472" t="s">
        <v>522</v>
      </c>
      <c r="K629" s="472" t="s">
        <v>587</v>
      </c>
      <c r="L629" s="472" t="s">
        <v>599</v>
      </c>
      <c r="M629" s="472" t="s">
        <v>535</v>
      </c>
      <c r="N629" s="472"/>
      <c r="O629" s="472"/>
      <c r="P629" s="472" t="s">
        <v>522</v>
      </c>
      <c r="Q629" s="472"/>
      <c r="R629" s="473">
        <v>45582</v>
      </c>
      <c r="S629" s="472" t="s">
        <v>278</v>
      </c>
      <c r="T629" s="473">
        <v>45586</v>
      </c>
      <c r="U629" s="474">
        <v>1</v>
      </c>
      <c r="V629" s="475">
        <v>103.36</v>
      </c>
      <c r="W629" s="260">
        <v>45566</v>
      </c>
    </row>
    <row r="630" spans="1:23" hidden="1" x14ac:dyDescent="0.35">
      <c r="A630" s="472" t="s">
        <v>526</v>
      </c>
      <c r="B630" s="472" t="s">
        <v>159</v>
      </c>
      <c r="C630" s="472" t="s">
        <v>584</v>
      </c>
      <c r="D630" s="472" t="s">
        <v>585</v>
      </c>
      <c r="E630" s="472" t="s">
        <v>586</v>
      </c>
      <c r="F630" s="472" t="s">
        <v>276</v>
      </c>
      <c r="G630" s="472" t="s">
        <v>527</v>
      </c>
      <c r="H630" s="472" t="s">
        <v>533</v>
      </c>
      <c r="I630" s="472" t="s">
        <v>277</v>
      </c>
      <c r="J630" s="472" t="s">
        <v>522</v>
      </c>
      <c r="K630" s="472" t="s">
        <v>587</v>
      </c>
      <c r="L630" s="472" t="s">
        <v>599</v>
      </c>
      <c r="M630" s="472" t="s">
        <v>535</v>
      </c>
      <c r="N630" s="472"/>
      <c r="O630" s="472"/>
      <c r="P630" s="472" t="s">
        <v>522</v>
      </c>
      <c r="Q630" s="472"/>
      <c r="R630" s="473">
        <v>45590</v>
      </c>
      <c r="S630" s="472" t="s">
        <v>278</v>
      </c>
      <c r="T630" s="473">
        <v>45594</v>
      </c>
      <c r="U630" s="474">
        <v>2</v>
      </c>
      <c r="V630" s="475">
        <v>206.72</v>
      </c>
      <c r="W630" s="260">
        <v>45566</v>
      </c>
    </row>
    <row r="631" spans="1:23" hidden="1" x14ac:dyDescent="0.35">
      <c r="A631" s="472" t="s">
        <v>526</v>
      </c>
      <c r="B631" s="472" t="s">
        <v>159</v>
      </c>
      <c r="C631" s="472" t="s">
        <v>584</v>
      </c>
      <c r="D631" s="472" t="s">
        <v>585</v>
      </c>
      <c r="E631" s="472" t="s">
        <v>586</v>
      </c>
      <c r="F631" s="472" t="s">
        <v>276</v>
      </c>
      <c r="G631" s="472" t="s">
        <v>527</v>
      </c>
      <c r="H631" s="472" t="s">
        <v>533</v>
      </c>
      <c r="I631" s="472" t="s">
        <v>277</v>
      </c>
      <c r="J631" s="472" t="s">
        <v>522</v>
      </c>
      <c r="K631" s="472" t="s">
        <v>587</v>
      </c>
      <c r="L631" s="472" t="s">
        <v>599</v>
      </c>
      <c r="M631" s="472" t="s">
        <v>535</v>
      </c>
      <c r="N631" s="472"/>
      <c r="O631" s="472"/>
      <c r="P631" s="472" t="s">
        <v>522</v>
      </c>
      <c r="Q631" s="472"/>
      <c r="R631" s="473">
        <v>45589</v>
      </c>
      <c r="S631" s="472" t="s">
        <v>278</v>
      </c>
      <c r="T631" s="473">
        <v>45594</v>
      </c>
      <c r="U631" s="474">
        <v>1</v>
      </c>
      <c r="V631" s="475">
        <v>103.36</v>
      </c>
      <c r="W631" s="260">
        <v>45566</v>
      </c>
    </row>
    <row r="632" spans="1:23" hidden="1" x14ac:dyDescent="0.35">
      <c r="A632" s="472" t="s">
        <v>526</v>
      </c>
      <c r="B632" s="472" t="s">
        <v>159</v>
      </c>
      <c r="C632" s="472" t="s">
        <v>584</v>
      </c>
      <c r="D632" s="472" t="s">
        <v>585</v>
      </c>
      <c r="E632" s="472" t="s">
        <v>586</v>
      </c>
      <c r="F632" s="472" t="s">
        <v>276</v>
      </c>
      <c r="G632" s="472" t="s">
        <v>527</v>
      </c>
      <c r="H632" s="472" t="s">
        <v>533</v>
      </c>
      <c r="I632" s="472" t="s">
        <v>277</v>
      </c>
      <c r="J632" s="472" t="s">
        <v>522</v>
      </c>
      <c r="K632" s="472" t="s">
        <v>587</v>
      </c>
      <c r="L632" s="472" t="s">
        <v>599</v>
      </c>
      <c r="M632" s="472" t="s">
        <v>535</v>
      </c>
      <c r="N632" s="472"/>
      <c r="O632" s="472"/>
      <c r="P632" s="472" t="s">
        <v>522</v>
      </c>
      <c r="Q632" s="472"/>
      <c r="R632" s="473">
        <v>45588</v>
      </c>
      <c r="S632" s="472" t="s">
        <v>278</v>
      </c>
      <c r="T632" s="473">
        <v>45594</v>
      </c>
      <c r="U632" s="474">
        <v>2</v>
      </c>
      <c r="V632" s="475">
        <v>206.72</v>
      </c>
      <c r="W632" s="260">
        <v>45566</v>
      </c>
    </row>
    <row r="633" spans="1:23" hidden="1" x14ac:dyDescent="0.35">
      <c r="A633" s="472" t="s">
        <v>526</v>
      </c>
      <c r="B633" s="472" t="s">
        <v>53</v>
      </c>
      <c r="C633" s="472"/>
      <c r="D633" s="472" t="s">
        <v>575</v>
      </c>
      <c r="E633" s="472" t="s">
        <v>576</v>
      </c>
      <c r="F633" s="472" t="s">
        <v>588</v>
      </c>
      <c r="G633" s="472" t="s">
        <v>527</v>
      </c>
      <c r="H633" s="472"/>
      <c r="I633" s="472" t="s">
        <v>277</v>
      </c>
      <c r="J633" s="472" t="s">
        <v>577</v>
      </c>
      <c r="K633" s="472"/>
      <c r="L633" s="472" t="s">
        <v>600</v>
      </c>
      <c r="M633" s="472" t="s">
        <v>285</v>
      </c>
      <c r="N633" s="472"/>
      <c r="O633" s="472" t="s">
        <v>591</v>
      </c>
      <c r="P633" s="472" t="s">
        <v>577</v>
      </c>
      <c r="Q633" s="472" t="s">
        <v>589</v>
      </c>
      <c r="R633" s="473">
        <v>45593</v>
      </c>
      <c r="S633" s="472"/>
      <c r="T633" s="473">
        <v>45597</v>
      </c>
      <c r="U633" s="474">
        <v>0</v>
      </c>
      <c r="V633" s="475">
        <v>-16250</v>
      </c>
      <c r="W633" s="260">
        <v>45597</v>
      </c>
    </row>
    <row r="634" spans="1:23" hidden="1" x14ac:dyDescent="0.35">
      <c r="A634" s="472" t="s">
        <v>526</v>
      </c>
      <c r="B634" s="472" t="s">
        <v>53</v>
      </c>
      <c r="C634" s="472"/>
      <c r="D634" s="472" t="s">
        <v>575</v>
      </c>
      <c r="E634" s="472" t="s">
        <v>576</v>
      </c>
      <c r="F634" s="472" t="s">
        <v>588</v>
      </c>
      <c r="G634" s="472" t="s">
        <v>527</v>
      </c>
      <c r="H634" s="472"/>
      <c r="I634" s="472" t="s">
        <v>277</v>
      </c>
      <c r="J634" s="472" t="s">
        <v>577</v>
      </c>
      <c r="K634" s="472"/>
      <c r="L634" s="472" t="s">
        <v>600</v>
      </c>
      <c r="M634" s="472" t="s">
        <v>285</v>
      </c>
      <c r="N634" s="472"/>
      <c r="O634" s="472" t="s">
        <v>591</v>
      </c>
      <c r="P634" s="472" t="s">
        <v>577</v>
      </c>
      <c r="Q634" s="472" t="s">
        <v>589</v>
      </c>
      <c r="R634" s="473">
        <v>45593</v>
      </c>
      <c r="S634" s="472"/>
      <c r="T634" s="473">
        <v>45597</v>
      </c>
      <c r="U634" s="474">
        <v>0</v>
      </c>
      <c r="V634" s="475">
        <v>-109700</v>
      </c>
      <c r="W634" s="260">
        <v>45597</v>
      </c>
    </row>
    <row r="635" spans="1:23" hidden="1" x14ac:dyDescent="0.35">
      <c r="A635" s="472" t="s">
        <v>526</v>
      </c>
      <c r="B635" s="472" t="s">
        <v>53</v>
      </c>
      <c r="C635" s="472"/>
      <c r="D635" s="472" t="s">
        <v>575</v>
      </c>
      <c r="E635" s="472" t="s">
        <v>576</v>
      </c>
      <c r="F635" s="472" t="s">
        <v>276</v>
      </c>
      <c r="G635" s="472" t="s">
        <v>527</v>
      </c>
      <c r="H635" s="472"/>
      <c r="I635" s="472" t="s">
        <v>277</v>
      </c>
      <c r="J635" s="472" t="s">
        <v>577</v>
      </c>
      <c r="K635" s="472"/>
      <c r="L635" s="472" t="s">
        <v>600</v>
      </c>
      <c r="M635" s="472" t="s">
        <v>285</v>
      </c>
      <c r="N635" s="472"/>
      <c r="O635" s="472" t="s">
        <v>591</v>
      </c>
      <c r="P635" s="472" t="s">
        <v>577</v>
      </c>
      <c r="Q635" s="472" t="s">
        <v>400</v>
      </c>
      <c r="R635" s="473">
        <v>45621</v>
      </c>
      <c r="S635" s="472"/>
      <c r="T635" s="473">
        <v>45626</v>
      </c>
      <c r="U635" s="474">
        <v>0</v>
      </c>
      <c r="V635" s="475">
        <v>16250</v>
      </c>
      <c r="W635" s="260">
        <v>45597</v>
      </c>
    </row>
    <row r="636" spans="1:23" hidden="1" x14ac:dyDescent="0.35">
      <c r="A636" s="472" t="s">
        <v>526</v>
      </c>
      <c r="B636" s="472" t="s">
        <v>53</v>
      </c>
      <c r="C636" s="472"/>
      <c r="D636" s="472" t="s">
        <v>575</v>
      </c>
      <c r="E636" s="472" t="s">
        <v>576</v>
      </c>
      <c r="F636" s="472" t="s">
        <v>276</v>
      </c>
      <c r="G636" s="472" t="s">
        <v>527</v>
      </c>
      <c r="H636" s="472"/>
      <c r="I636" s="472" t="s">
        <v>277</v>
      </c>
      <c r="J636" s="472" t="s">
        <v>577</v>
      </c>
      <c r="K636" s="472"/>
      <c r="L636" s="472" t="s">
        <v>600</v>
      </c>
      <c r="M636" s="472" t="s">
        <v>285</v>
      </c>
      <c r="N636" s="472"/>
      <c r="O636" s="472" t="s">
        <v>591</v>
      </c>
      <c r="P636" s="472" t="s">
        <v>577</v>
      </c>
      <c r="Q636" s="472" t="s">
        <v>400</v>
      </c>
      <c r="R636" s="473">
        <v>45621</v>
      </c>
      <c r="S636" s="472"/>
      <c r="T636" s="473">
        <v>45626</v>
      </c>
      <c r="U636" s="474">
        <v>0</v>
      </c>
      <c r="V636" s="475">
        <v>109700</v>
      </c>
      <c r="W636" s="260">
        <v>45597</v>
      </c>
    </row>
    <row r="637" spans="1:23" hidden="1" x14ac:dyDescent="0.35">
      <c r="A637" s="472" t="s">
        <v>526</v>
      </c>
      <c r="B637" s="472" t="s">
        <v>159</v>
      </c>
      <c r="C637" s="472" t="s">
        <v>281</v>
      </c>
      <c r="D637" s="472" t="s">
        <v>282</v>
      </c>
      <c r="E637" s="472" t="s">
        <v>283</v>
      </c>
      <c r="F637" s="472" t="s">
        <v>276</v>
      </c>
      <c r="G637" s="472" t="s">
        <v>527</v>
      </c>
      <c r="H637" s="472"/>
      <c r="I637" s="472" t="s">
        <v>277</v>
      </c>
      <c r="J637" s="472" t="s">
        <v>522</v>
      </c>
      <c r="K637" s="472" t="s">
        <v>284</v>
      </c>
      <c r="L637" s="472" t="s">
        <v>600</v>
      </c>
      <c r="M637" s="472" t="s">
        <v>285</v>
      </c>
      <c r="N637" s="472"/>
      <c r="O637" s="472"/>
      <c r="P637" s="472" t="s">
        <v>522</v>
      </c>
      <c r="Q637" s="472"/>
      <c r="R637" s="473">
        <v>45628</v>
      </c>
      <c r="S637" s="472"/>
      <c r="T637" s="473">
        <v>45626</v>
      </c>
      <c r="U637" s="474">
        <v>0</v>
      </c>
      <c r="V637" s="475">
        <v>488.44</v>
      </c>
      <c r="W637" s="260">
        <v>45597</v>
      </c>
    </row>
    <row r="638" spans="1:23" hidden="1" x14ac:dyDescent="0.35">
      <c r="A638" s="472" t="s">
        <v>526</v>
      </c>
      <c r="B638" s="472" t="s">
        <v>159</v>
      </c>
      <c r="C638" s="472" t="s">
        <v>286</v>
      </c>
      <c r="D638" s="472" t="s">
        <v>287</v>
      </c>
      <c r="E638" s="472" t="s">
        <v>288</v>
      </c>
      <c r="F638" s="472" t="s">
        <v>276</v>
      </c>
      <c r="G638" s="472" t="s">
        <v>527</v>
      </c>
      <c r="H638" s="472"/>
      <c r="I638" s="472" t="s">
        <v>277</v>
      </c>
      <c r="J638" s="472" t="s">
        <v>522</v>
      </c>
      <c r="K638" s="472" t="s">
        <v>289</v>
      </c>
      <c r="L638" s="472" t="s">
        <v>600</v>
      </c>
      <c r="M638" s="472" t="s">
        <v>285</v>
      </c>
      <c r="N638" s="472"/>
      <c r="O638" s="472"/>
      <c r="P638" s="472" t="s">
        <v>522</v>
      </c>
      <c r="Q638" s="472"/>
      <c r="R638" s="473">
        <v>45628</v>
      </c>
      <c r="S638" s="472"/>
      <c r="T638" s="473">
        <v>45626</v>
      </c>
      <c r="U638" s="474">
        <v>0</v>
      </c>
      <c r="V638" s="475">
        <v>1401.19</v>
      </c>
      <c r="W638" s="260">
        <v>45597</v>
      </c>
    </row>
    <row r="639" spans="1:23" hidden="1" x14ac:dyDescent="0.35">
      <c r="A639" s="472" t="s">
        <v>526</v>
      </c>
      <c r="B639" s="472" t="s">
        <v>159</v>
      </c>
      <c r="C639" s="472" t="s">
        <v>281</v>
      </c>
      <c r="D639" s="472" t="s">
        <v>290</v>
      </c>
      <c r="E639" s="472" t="s">
        <v>291</v>
      </c>
      <c r="F639" s="472" t="s">
        <v>276</v>
      </c>
      <c r="G639" s="472" t="s">
        <v>527</v>
      </c>
      <c r="H639" s="472"/>
      <c r="I639" s="472" t="s">
        <v>277</v>
      </c>
      <c r="J639" s="472" t="s">
        <v>522</v>
      </c>
      <c r="K639" s="472" t="s">
        <v>284</v>
      </c>
      <c r="L639" s="472" t="s">
        <v>600</v>
      </c>
      <c r="M639" s="472" t="s">
        <v>285</v>
      </c>
      <c r="N639" s="472"/>
      <c r="O639" s="472"/>
      <c r="P639" s="472" t="s">
        <v>522</v>
      </c>
      <c r="Q639" s="472"/>
      <c r="R639" s="473">
        <v>45628</v>
      </c>
      <c r="S639" s="472"/>
      <c r="T639" s="473">
        <v>45626</v>
      </c>
      <c r="U639" s="474">
        <v>0</v>
      </c>
      <c r="V639" s="475">
        <v>303.57</v>
      </c>
      <c r="W639" s="260">
        <v>45597</v>
      </c>
    </row>
    <row r="640" spans="1:23" hidden="1" x14ac:dyDescent="0.35">
      <c r="A640" s="472" t="s">
        <v>526</v>
      </c>
      <c r="B640" s="472" t="s">
        <v>159</v>
      </c>
      <c r="C640" s="472" t="s">
        <v>281</v>
      </c>
      <c r="D640" s="472" t="s">
        <v>292</v>
      </c>
      <c r="E640" s="472" t="s">
        <v>293</v>
      </c>
      <c r="F640" s="472" t="s">
        <v>276</v>
      </c>
      <c r="G640" s="472" t="s">
        <v>527</v>
      </c>
      <c r="H640" s="472"/>
      <c r="I640" s="472" t="s">
        <v>277</v>
      </c>
      <c r="J640" s="472" t="s">
        <v>522</v>
      </c>
      <c r="K640" s="472" t="s">
        <v>294</v>
      </c>
      <c r="L640" s="472" t="s">
        <v>600</v>
      </c>
      <c r="M640" s="472" t="s">
        <v>285</v>
      </c>
      <c r="N640" s="472"/>
      <c r="O640" s="472"/>
      <c r="P640" s="472" t="s">
        <v>522</v>
      </c>
      <c r="Q640" s="472"/>
      <c r="R640" s="473">
        <v>45628</v>
      </c>
      <c r="S640" s="472"/>
      <c r="T640" s="473">
        <v>45626</v>
      </c>
      <c r="U640" s="474">
        <v>0</v>
      </c>
      <c r="V640" s="475">
        <v>430.45</v>
      </c>
      <c r="W640" s="260">
        <v>45597</v>
      </c>
    </row>
    <row r="641" spans="1:23" hidden="1" x14ac:dyDescent="0.35">
      <c r="A641" s="472" t="s">
        <v>526</v>
      </c>
      <c r="B641" s="472" t="s">
        <v>159</v>
      </c>
      <c r="C641" s="472" t="s">
        <v>286</v>
      </c>
      <c r="D641" s="472" t="s">
        <v>295</v>
      </c>
      <c r="E641" s="472" t="s">
        <v>296</v>
      </c>
      <c r="F641" s="472" t="s">
        <v>276</v>
      </c>
      <c r="G641" s="472" t="s">
        <v>527</v>
      </c>
      <c r="H641" s="472"/>
      <c r="I641" s="472" t="s">
        <v>277</v>
      </c>
      <c r="J641" s="472" t="s">
        <v>522</v>
      </c>
      <c r="K641" s="472" t="s">
        <v>297</v>
      </c>
      <c r="L641" s="472" t="s">
        <v>600</v>
      </c>
      <c r="M641" s="472" t="s">
        <v>285</v>
      </c>
      <c r="N641" s="472"/>
      <c r="O641" s="472"/>
      <c r="P641" s="472" t="s">
        <v>522</v>
      </c>
      <c r="Q641" s="472"/>
      <c r="R641" s="473">
        <v>45628</v>
      </c>
      <c r="S641" s="472"/>
      <c r="T641" s="473">
        <v>45626</v>
      </c>
      <c r="U641" s="474">
        <v>0</v>
      </c>
      <c r="V641" s="475">
        <v>542.33000000000004</v>
      </c>
      <c r="W641" s="260">
        <v>45597</v>
      </c>
    </row>
    <row r="642" spans="1:23" hidden="1" x14ac:dyDescent="0.35">
      <c r="A642" s="472" t="s">
        <v>526</v>
      </c>
      <c r="B642" s="472" t="s">
        <v>159</v>
      </c>
      <c r="C642" s="472" t="s">
        <v>302</v>
      </c>
      <c r="D642" s="472" t="s">
        <v>308</v>
      </c>
      <c r="E642" s="472" t="s">
        <v>309</v>
      </c>
      <c r="F642" s="472" t="s">
        <v>276</v>
      </c>
      <c r="G642" s="472" t="s">
        <v>527</v>
      </c>
      <c r="H642" s="472"/>
      <c r="I642" s="472" t="s">
        <v>277</v>
      </c>
      <c r="J642" s="472" t="s">
        <v>522</v>
      </c>
      <c r="K642" s="472" t="s">
        <v>303</v>
      </c>
      <c r="L642" s="472" t="s">
        <v>600</v>
      </c>
      <c r="M642" s="472" t="s">
        <v>285</v>
      </c>
      <c r="N642" s="472"/>
      <c r="O642" s="472"/>
      <c r="P642" s="472" t="s">
        <v>522</v>
      </c>
      <c r="Q642" s="472"/>
      <c r="R642" s="473">
        <v>45629</v>
      </c>
      <c r="S642" s="472"/>
      <c r="T642" s="473">
        <v>45626</v>
      </c>
      <c r="U642" s="474">
        <v>0</v>
      </c>
      <c r="V642" s="475">
        <v>369.4</v>
      </c>
      <c r="W642" s="260">
        <v>45597</v>
      </c>
    </row>
    <row r="643" spans="1:23" hidden="1" x14ac:dyDescent="0.35">
      <c r="A643" s="472" t="s">
        <v>526</v>
      </c>
      <c r="B643" s="472" t="s">
        <v>159</v>
      </c>
      <c r="C643" s="472" t="s">
        <v>302</v>
      </c>
      <c r="D643" s="472" t="s">
        <v>310</v>
      </c>
      <c r="E643" s="472" t="s">
        <v>311</v>
      </c>
      <c r="F643" s="472" t="s">
        <v>276</v>
      </c>
      <c r="G643" s="472" t="s">
        <v>527</v>
      </c>
      <c r="H643" s="472"/>
      <c r="I643" s="472" t="s">
        <v>277</v>
      </c>
      <c r="J643" s="472" t="s">
        <v>522</v>
      </c>
      <c r="K643" s="472" t="s">
        <v>303</v>
      </c>
      <c r="L643" s="472" t="s">
        <v>600</v>
      </c>
      <c r="M643" s="472" t="s">
        <v>285</v>
      </c>
      <c r="N643" s="472"/>
      <c r="O643" s="472"/>
      <c r="P643" s="472" t="s">
        <v>522</v>
      </c>
      <c r="Q643" s="472"/>
      <c r="R643" s="473">
        <v>45629</v>
      </c>
      <c r="S643" s="472"/>
      <c r="T643" s="473">
        <v>45626</v>
      </c>
      <c r="U643" s="474">
        <v>0</v>
      </c>
      <c r="V643" s="475">
        <v>1233.48</v>
      </c>
      <c r="W643" s="260">
        <v>45597</v>
      </c>
    </row>
    <row r="644" spans="1:23" hidden="1" x14ac:dyDescent="0.35">
      <c r="A644" s="472" t="s">
        <v>526</v>
      </c>
      <c r="B644" s="472" t="s">
        <v>159</v>
      </c>
      <c r="C644" s="472" t="s">
        <v>281</v>
      </c>
      <c r="D644" s="472" t="s">
        <v>340</v>
      </c>
      <c r="E644" s="472" t="s">
        <v>283</v>
      </c>
      <c r="F644" s="472" t="s">
        <v>276</v>
      </c>
      <c r="G644" s="472" t="s">
        <v>527</v>
      </c>
      <c r="H644" s="472"/>
      <c r="I644" s="472" t="s">
        <v>277</v>
      </c>
      <c r="J644" s="472" t="s">
        <v>522</v>
      </c>
      <c r="K644" s="472" t="s">
        <v>284</v>
      </c>
      <c r="L644" s="472" t="s">
        <v>600</v>
      </c>
      <c r="M644" s="472" t="s">
        <v>285</v>
      </c>
      <c r="N644" s="472"/>
      <c r="O644" s="472"/>
      <c r="P644" s="472" t="s">
        <v>522</v>
      </c>
      <c r="Q644" s="472"/>
      <c r="R644" s="473">
        <v>45628</v>
      </c>
      <c r="S644" s="472"/>
      <c r="T644" s="473">
        <v>45626</v>
      </c>
      <c r="U644" s="474">
        <v>0</v>
      </c>
      <c r="V644" s="475">
        <v>107.45</v>
      </c>
      <c r="W644" s="260">
        <v>45597</v>
      </c>
    </row>
    <row r="645" spans="1:23" hidden="1" x14ac:dyDescent="0.35">
      <c r="A645" s="472" t="s">
        <v>526</v>
      </c>
      <c r="B645" s="472" t="s">
        <v>159</v>
      </c>
      <c r="C645" s="472" t="s">
        <v>302</v>
      </c>
      <c r="D645" s="472" t="s">
        <v>340</v>
      </c>
      <c r="E645" s="472" t="s">
        <v>283</v>
      </c>
      <c r="F645" s="472" t="s">
        <v>276</v>
      </c>
      <c r="G645" s="472" t="s">
        <v>527</v>
      </c>
      <c r="H645" s="472"/>
      <c r="I645" s="472" t="s">
        <v>277</v>
      </c>
      <c r="J645" s="472" t="s">
        <v>522</v>
      </c>
      <c r="K645" s="472" t="s">
        <v>303</v>
      </c>
      <c r="L645" s="472" t="s">
        <v>600</v>
      </c>
      <c r="M645" s="472" t="s">
        <v>285</v>
      </c>
      <c r="N645" s="472"/>
      <c r="O645" s="472"/>
      <c r="P645" s="472" t="s">
        <v>522</v>
      </c>
      <c r="Q645" s="472"/>
      <c r="R645" s="473">
        <v>45629</v>
      </c>
      <c r="S645" s="472"/>
      <c r="T645" s="473">
        <v>45626</v>
      </c>
      <c r="U645" s="474">
        <v>0</v>
      </c>
      <c r="V645" s="475">
        <v>5.82</v>
      </c>
      <c r="W645" s="260">
        <v>45597</v>
      </c>
    </row>
    <row r="646" spans="1:23" hidden="1" x14ac:dyDescent="0.35">
      <c r="A646" s="472" t="s">
        <v>526</v>
      </c>
      <c r="B646" s="472" t="s">
        <v>159</v>
      </c>
      <c r="C646" s="472" t="s">
        <v>302</v>
      </c>
      <c r="D646" s="472" t="s">
        <v>340</v>
      </c>
      <c r="E646" s="472" t="s">
        <v>283</v>
      </c>
      <c r="F646" s="472" t="s">
        <v>276</v>
      </c>
      <c r="G646" s="472" t="s">
        <v>527</v>
      </c>
      <c r="H646" s="472"/>
      <c r="I646" s="472" t="s">
        <v>277</v>
      </c>
      <c r="J646" s="472" t="s">
        <v>522</v>
      </c>
      <c r="K646" s="472" t="s">
        <v>303</v>
      </c>
      <c r="L646" s="472" t="s">
        <v>600</v>
      </c>
      <c r="M646" s="472" t="s">
        <v>285</v>
      </c>
      <c r="N646" s="472"/>
      <c r="O646" s="472"/>
      <c r="P646" s="472" t="s">
        <v>522</v>
      </c>
      <c r="Q646" s="472"/>
      <c r="R646" s="473">
        <v>45629</v>
      </c>
      <c r="S646" s="472"/>
      <c r="T646" s="473">
        <v>45626</v>
      </c>
      <c r="U646" s="474">
        <v>0</v>
      </c>
      <c r="V646" s="475">
        <v>26.45</v>
      </c>
      <c r="W646" s="260">
        <v>45597</v>
      </c>
    </row>
    <row r="647" spans="1:23" hidden="1" x14ac:dyDescent="0.35">
      <c r="A647" s="472" t="s">
        <v>526</v>
      </c>
      <c r="B647" s="472" t="s">
        <v>159</v>
      </c>
      <c r="C647" s="472" t="s">
        <v>286</v>
      </c>
      <c r="D647" s="472" t="s">
        <v>341</v>
      </c>
      <c r="E647" s="472" t="s">
        <v>288</v>
      </c>
      <c r="F647" s="472" t="s">
        <v>276</v>
      </c>
      <c r="G647" s="472" t="s">
        <v>527</v>
      </c>
      <c r="H647" s="472"/>
      <c r="I647" s="472" t="s">
        <v>277</v>
      </c>
      <c r="J647" s="472" t="s">
        <v>522</v>
      </c>
      <c r="K647" s="472" t="s">
        <v>289</v>
      </c>
      <c r="L647" s="472" t="s">
        <v>600</v>
      </c>
      <c r="M647" s="472" t="s">
        <v>285</v>
      </c>
      <c r="N647" s="472"/>
      <c r="O647" s="472"/>
      <c r="P647" s="472" t="s">
        <v>522</v>
      </c>
      <c r="Q647" s="472"/>
      <c r="R647" s="473">
        <v>45628</v>
      </c>
      <c r="S647" s="472"/>
      <c r="T647" s="473">
        <v>45626</v>
      </c>
      <c r="U647" s="474">
        <v>0</v>
      </c>
      <c r="V647" s="475">
        <v>528.16</v>
      </c>
      <c r="W647" s="260">
        <v>45597</v>
      </c>
    </row>
    <row r="648" spans="1:23" hidden="1" x14ac:dyDescent="0.35">
      <c r="A648" s="472" t="s">
        <v>526</v>
      </c>
      <c r="B648" s="472" t="s">
        <v>159</v>
      </c>
      <c r="C648" s="472" t="s">
        <v>302</v>
      </c>
      <c r="D648" s="472" t="s">
        <v>341</v>
      </c>
      <c r="E648" s="472" t="s">
        <v>288</v>
      </c>
      <c r="F648" s="472" t="s">
        <v>276</v>
      </c>
      <c r="G648" s="472" t="s">
        <v>527</v>
      </c>
      <c r="H648" s="472"/>
      <c r="I648" s="472" t="s">
        <v>277</v>
      </c>
      <c r="J648" s="472" t="s">
        <v>522</v>
      </c>
      <c r="K648" s="472" t="s">
        <v>303</v>
      </c>
      <c r="L648" s="472" t="s">
        <v>600</v>
      </c>
      <c r="M648" s="472" t="s">
        <v>285</v>
      </c>
      <c r="N648" s="472"/>
      <c r="O648" s="472"/>
      <c r="P648" s="472" t="s">
        <v>522</v>
      </c>
      <c r="Q648" s="472"/>
      <c r="R648" s="473">
        <v>45629</v>
      </c>
      <c r="S648" s="472"/>
      <c r="T648" s="473">
        <v>45626</v>
      </c>
      <c r="U648" s="474">
        <v>0</v>
      </c>
      <c r="V648" s="475">
        <v>75.87</v>
      </c>
      <c r="W648" s="260">
        <v>45597</v>
      </c>
    </row>
    <row r="649" spans="1:23" hidden="1" x14ac:dyDescent="0.35">
      <c r="A649" s="472" t="s">
        <v>526</v>
      </c>
      <c r="B649" s="472" t="s">
        <v>159</v>
      </c>
      <c r="C649" s="472" t="s">
        <v>302</v>
      </c>
      <c r="D649" s="472" t="s">
        <v>341</v>
      </c>
      <c r="E649" s="472" t="s">
        <v>288</v>
      </c>
      <c r="F649" s="472" t="s">
        <v>276</v>
      </c>
      <c r="G649" s="472" t="s">
        <v>527</v>
      </c>
      <c r="H649" s="472"/>
      <c r="I649" s="472" t="s">
        <v>277</v>
      </c>
      <c r="J649" s="472" t="s">
        <v>522</v>
      </c>
      <c r="K649" s="472" t="s">
        <v>303</v>
      </c>
      <c r="L649" s="472" t="s">
        <v>600</v>
      </c>
      <c r="M649" s="472" t="s">
        <v>285</v>
      </c>
      <c r="N649" s="472"/>
      <c r="O649" s="472"/>
      <c r="P649" s="472" t="s">
        <v>522</v>
      </c>
      <c r="Q649" s="472"/>
      <c r="R649" s="473">
        <v>45629</v>
      </c>
      <c r="S649" s="472"/>
      <c r="T649" s="473">
        <v>45626</v>
      </c>
      <c r="U649" s="474">
        <v>0</v>
      </c>
      <c r="V649" s="475">
        <v>28.6</v>
      </c>
      <c r="W649" s="260">
        <v>45597</v>
      </c>
    </row>
    <row r="650" spans="1:23" hidden="1" x14ac:dyDescent="0.35">
      <c r="A650" s="472" t="s">
        <v>526</v>
      </c>
      <c r="B650" s="472" t="s">
        <v>159</v>
      </c>
      <c r="C650" s="472" t="s">
        <v>281</v>
      </c>
      <c r="D650" s="472" t="s">
        <v>342</v>
      </c>
      <c r="E650" s="472" t="s">
        <v>291</v>
      </c>
      <c r="F650" s="472" t="s">
        <v>276</v>
      </c>
      <c r="G650" s="472" t="s">
        <v>527</v>
      </c>
      <c r="H650" s="472"/>
      <c r="I650" s="472" t="s">
        <v>277</v>
      </c>
      <c r="J650" s="472" t="s">
        <v>522</v>
      </c>
      <c r="K650" s="472" t="s">
        <v>284</v>
      </c>
      <c r="L650" s="472" t="s">
        <v>600</v>
      </c>
      <c r="M650" s="472" t="s">
        <v>285</v>
      </c>
      <c r="N650" s="472"/>
      <c r="O650" s="472"/>
      <c r="P650" s="472" t="s">
        <v>522</v>
      </c>
      <c r="Q650" s="472"/>
      <c r="R650" s="473">
        <v>45628</v>
      </c>
      <c r="S650" s="472"/>
      <c r="T650" s="473">
        <v>45626</v>
      </c>
      <c r="U650" s="474">
        <v>0</v>
      </c>
      <c r="V650" s="475">
        <v>206.42</v>
      </c>
      <c r="W650" s="260">
        <v>45597</v>
      </c>
    </row>
    <row r="651" spans="1:23" hidden="1" x14ac:dyDescent="0.35">
      <c r="A651" s="472" t="s">
        <v>526</v>
      </c>
      <c r="B651" s="472" t="s">
        <v>159</v>
      </c>
      <c r="C651" s="472" t="s">
        <v>302</v>
      </c>
      <c r="D651" s="472" t="s">
        <v>342</v>
      </c>
      <c r="E651" s="472" t="s">
        <v>291</v>
      </c>
      <c r="F651" s="472" t="s">
        <v>276</v>
      </c>
      <c r="G651" s="472" t="s">
        <v>527</v>
      </c>
      <c r="H651" s="472"/>
      <c r="I651" s="472" t="s">
        <v>277</v>
      </c>
      <c r="J651" s="472" t="s">
        <v>522</v>
      </c>
      <c r="K651" s="472" t="s">
        <v>303</v>
      </c>
      <c r="L651" s="472" t="s">
        <v>600</v>
      </c>
      <c r="M651" s="472" t="s">
        <v>285</v>
      </c>
      <c r="N651" s="472"/>
      <c r="O651" s="472"/>
      <c r="P651" s="472" t="s">
        <v>522</v>
      </c>
      <c r="Q651" s="472"/>
      <c r="R651" s="473">
        <v>45629</v>
      </c>
      <c r="S651" s="472"/>
      <c r="T651" s="473">
        <v>45626</v>
      </c>
      <c r="U651" s="474">
        <v>0</v>
      </c>
      <c r="V651" s="475">
        <v>11.18</v>
      </c>
      <c r="W651" s="260">
        <v>45597</v>
      </c>
    </row>
    <row r="652" spans="1:23" hidden="1" x14ac:dyDescent="0.35">
      <c r="A652" s="472" t="s">
        <v>526</v>
      </c>
      <c r="B652" s="472" t="s">
        <v>159</v>
      </c>
      <c r="C652" s="472" t="s">
        <v>302</v>
      </c>
      <c r="D652" s="472" t="s">
        <v>342</v>
      </c>
      <c r="E652" s="472" t="s">
        <v>291</v>
      </c>
      <c r="F652" s="472" t="s">
        <v>276</v>
      </c>
      <c r="G652" s="472" t="s">
        <v>527</v>
      </c>
      <c r="H652" s="472"/>
      <c r="I652" s="472" t="s">
        <v>277</v>
      </c>
      <c r="J652" s="472" t="s">
        <v>522</v>
      </c>
      <c r="K652" s="472" t="s">
        <v>303</v>
      </c>
      <c r="L652" s="472" t="s">
        <v>600</v>
      </c>
      <c r="M652" s="472" t="s">
        <v>285</v>
      </c>
      <c r="N652" s="472"/>
      <c r="O652" s="472"/>
      <c r="P652" s="472" t="s">
        <v>522</v>
      </c>
      <c r="Q652" s="472"/>
      <c r="R652" s="473">
        <v>45629</v>
      </c>
      <c r="S652" s="472"/>
      <c r="T652" s="473">
        <v>45626</v>
      </c>
      <c r="U652" s="474">
        <v>0</v>
      </c>
      <c r="V652" s="475">
        <v>16.440000000000001</v>
      </c>
      <c r="W652" s="260">
        <v>45597</v>
      </c>
    </row>
    <row r="653" spans="1:23" hidden="1" x14ac:dyDescent="0.35">
      <c r="A653" s="472" t="s">
        <v>526</v>
      </c>
      <c r="B653" s="472" t="s">
        <v>159</v>
      </c>
      <c r="C653" s="472" t="s">
        <v>281</v>
      </c>
      <c r="D653" s="472" t="s">
        <v>343</v>
      </c>
      <c r="E653" s="472" t="s">
        <v>293</v>
      </c>
      <c r="F653" s="472" t="s">
        <v>276</v>
      </c>
      <c r="G653" s="472" t="s">
        <v>527</v>
      </c>
      <c r="H653" s="472"/>
      <c r="I653" s="472" t="s">
        <v>277</v>
      </c>
      <c r="J653" s="472" t="s">
        <v>522</v>
      </c>
      <c r="K653" s="472" t="s">
        <v>294</v>
      </c>
      <c r="L653" s="472" t="s">
        <v>600</v>
      </c>
      <c r="M653" s="472" t="s">
        <v>285</v>
      </c>
      <c r="N653" s="472"/>
      <c r="O653" s="472"/>
      <c r="P653" s="472" t="s">
        <v>522</v>
      </c>
      <c r="Q653" s="472"/>
      <c r="R653" s="473">
        <v>45628</v>
      </c>
      <c r="S653" s="472"/>
      <c r="T653" s="473">
        <v>45626</v>
      </c>
      <c r="U653" s="474">
        <v>0</v>
      </c>
      <c r="V653" s="475">
        <v>309.69</v>
      </c>
      <c r="W653" s="260">
        <v>45597</v>
      </c>
    </row>
    <row r="654" spans="1:23" hidden="1" x14ac:dyDescent="0.35">
      <c r="A654" s="472" t="s">
        <v>526</v>
      </c>
      <c r="B654" s="472" t="s">
        <v>159</v>
      </c>
      <c r="C654" s="472" t="s">
        <v>302</v>
      </c>
      <c r="D654" s="472" t="s">
        <v>343</v>
      </c>
      <c r="E654" s="472" t="s">
        <v>293</v>
      </c>
      <c r="F654" s="472" t="s">
        <v>276</v>
      </c>
      <c r="G654" s="472" t="s">
        <v>527</v>
      </c>
      <c r="H654" s="472"/>
      <c r="I654" s="472" t="s">
        <v>277</v>
      </c>
      <c r="J654" s="472" t="s">
        <v>522</v>
      </c>
      <c r="K654" s="472" t="s">
        <v>303</v>
      </c>
      <c r="L654" s="472" t="s">
        <v>600</v>
      </c>
      <c r="M654" s="472" t="s">
        <v>285</v>
      </c>
      <c r="N654" s="472"/>
      <c r="O654" s="472"/>
      <c r="P654" s="472" t="s">
        <v>522</v>
      </c>
      <c r="Q654" s="472"/>
      <c r="R654" s="473">
        <v>45629</v>
      </c>
      <c r="S654" s="472"/>
      <c r="T654" s="473">
        <v>45626</v>
      </c>
      <c r="U654" s="474">
        <v>0</v>
      </c>
      <c r="V654" s="475">
        <v>16.77</v>
      </c>
      <c r="W654" s="260">
        <v>45597</v>
      </c>
    </row>
    <row r="655" spans="1:23" hidden="1" x14ac:dyDescent="0.35">
      <c r="A655" s="472" t="s">
        <v>526</v>
      </c>
      <c r="B655" s="472" t="s">
        <v>159</v>
      </c>
      <c r="C655" s="472" t="s">
        <v>302</v>
      </c>
      <c r="D655" s="472" t="s">
        <v>343</v>
      </c>
      <c r="E655" s="472" t="s">
        <v>293</v>
      </c>
      <c r="F655" s="472" t="s">
        <v>276</v>
      </c>
      <c r="G655" s="472" t="s">
        <v>527</v>
      </c>
      <c r="H655" s="472"/>
      <c r="I655" s="472" t="s">
        <v>277</v>
      </c>
      <c r="J655" s="472" t="s">
        <v>522</v>
      </c>
      <c r="K655" s="472" t="s">
        <v>303</v>
      </c>
      <c r="L655" s="472" t="s">
        <v>600</v>
      </c>
      <c r="M655" s="472" t="s">
        <v>285</v>
      </c>
      <c r="N655" s="472"/>
      <c r="O655" s="472"/>
      <c r="P655" s="472" t="s">
        <v>522</v>
      </c>
      <c r="Q655" s="472"/>
      <c r="R655" s="473">
        <v>45629</v>
      </c>
      <c r="S655" s="472"/>
      <c r="T655" s="473">
        <v>45626</v>
      </c>
      <c r="U655" s="474">
        <v>0</v>
      </c>
      <c r="V655" s="475">
        <v>23.31</v>
      </c>
      <c r="W655" s="260">
        <v>45597</v>
      </c>
    </row>
    <row r="656" spans="1:23" hidden="1" x14ac:dyDescent="0.35">
      <c r="A656" s="472" t="s">
        <v>526</v>
      </c>
      <c r="B656" s="472" t="s">
        <v>159</v>
      </c>
      <c r="C656" s="472" t="s">
        <v>286</v>
      </c>
      <c r="D656" s="472" t="s">
        <v>344</v>
      </c>
      <c r="E656" s="472" t="s">
        <v>296</v>
      </c>
      <c r="F656" s="472" t="s">
        <v>276</v>
      </c>
      <c r="G656" s="472" t="s">
        <v>527</v>
      </c>
      <c r="H656" s="472"/>
      <c r="I656" s="472" t="s">
        <v>277</v>
      </c>
      <c r="J656" s="472" t="s">
        <v>522</v>
      </c>
      <c r="K656" s="472" t="s">
        <v>297</v>
      </c>
      <c r="L656" s="472" t="s">
        <v>600</v>
      </c>
      <c r="M656" s="472" t="s">
        <v>285</v>
      </c>
      <c r="N656" s="472"/>
      <c r="O656" s="472"/>
      <c r="P656" s="472" t="s">
        <v>522</v>
      </c>
      <c r="Q656" s="472"/>
      <c r="R656" s="473">
        <v>45628</v>
      </c>
      <c r="S656" s="472"/>
      <c r="T656" s="473">
        <v>45626</v>
      </c>
      <c r="U656" s="474">
        <v>0</v>
      </c>
      <c r="V656" s="475">
        <v>406.73</v>
      </c>
      <c r="W656" s="260">
        <v>45597</v>
      </c>
    </row>
    <row r="657" spans="1:23" hidden="1" x14ac:dyDescent="0.35">
      <c r="A657" s="472" t="s">
        <v>526</v>
      </c>
      <c r="B657" s="472" t="s">
        <v>159</v>
      </c>
      <c r="C657" s="472" t="s">
        <v>302</v>
      </c>
      <c r="D657" s="472" t="s">
        <v>344</v>
      </c>
      <c r="E657" s="472" t="s">
        <v>296</v>
      </c>
      <c r="F657" s="472" t="s">
        <v>276</v>
      </c>
      <c r="G657" s="472" t="s">
        <v>527</v>
      </c>
      <c r="H657" s="472"/>
      <c r="I657" s="472" t="s">
        <v>277</v>
      </c>
      <c r="J657" s="472" t="s">
        <v>522</v>
      </c>
      <c r="K657" s="472" t="s">
        <v>303</v>
      </c>
      <c r="L657" s="472" t="s">
        <v>600</v>
      </c>
      <c r="M657" s="472" t="s">
        <v>285</v>
      </c>
      <c r="N657" s="472"/>
      <c r="O657" s="472"/>
      <c r="P657" s="472" t="s">
        <v>522</v>
      </c>
      <c r="Q657" s="472"/>
      <c r="R657" s="473">
        <v>45629</v>
      </c>
      <c r="S657" s="472"/>
      <c r="T657" s="473">
        <v>45626</v>
      </c>
      <c r="U657" s="474">
        <v>0</v>
      </c>
      <c r="V657" s="475">
        <v>22.02</v>
      </c>
      <c r="W657" s="260">
        <v>45597</v>
      </c>
    </row>
    <row r="658" spans="1:23" hidden="1" x14ac:dyDescent="0.35">
      <c r="A658" s="472" t="s">
        <v>526</v>
      </c>
      <c r="B658" s="472" t="s">
        <v>159</v>
      </c>
      <c r="C658" s="472" t="s">
        <v>302</v>
      </c>
      <c r="D658" s="472" t="s">
        <v>344</v>
      </c>
      <c r="E658" s="472" t="s">
        <v>296</v>
      </c>
      <c r="F658" s="472" t="s">
        <v>276</v>
      </c>
      <c r="G658" s="472" t="s">
        <v>527</v>
      </c>
      <c r="H658" s="472"/>
      <c r="I658" s="472" t="s">
        <v>277</v>
      </c>
      <c r="J658" s="472" t="s">
        <v>522</v>
      </c>
      <c r="K658" s="472" t="s">
        <v>303</v>
      </c>
      <c r="L658" s="472" t="s">
        <v>600</v>
      </c>
      <c r="M658" s="472" t="s">
        <v>285</v>
      </c>
      <c r="N658" s="472"/>
      <c r="O658" s="472"/>
      <c r="P658" s="472" t="s">
        <v>522</v>
      </c>
      <c r="Q658" s="472"/>
      <c r="R658" s="473">
        <v>45629</v>
      </c>
      <c r="S658" s="472"/>
      <c r="T658" s="473">
        <v>45626</v>
      </c>
      <c r="U658" s="474">
        <v>0</v>
      </c>
      <c r="V658" s="475">
        <v>29.37</v>
      </c>
      <c r="W658" s="260">
        <v>45597</v>
      </c>
    </row>
    <row r="659" spans="1:23" hidden="1" x14ac:dyDescent="0.35">
      <c r="A659" s="472" t="s">
        <v>526</v>
      </c>
      <c r="B659" s="472" t="s">
        <v>159</v>
      </c>
      <c r="C659" s="472" t="s">
        <v>584</v>
      </c>
      <c r="D659" s="472" t="s">
        <v>585</v>
      </c>
      <c r="E659" s="472" t="s">
        <v>586</v>
      </c>
      <c r="F659" s="472" t="s">
        <v>276</v>
      </c>
      <c r="G659" s="472" t="s">
        <v>527</v>
      </c>
      <c r="H659" s="472" t="s">
        <v>533</v>
      </c>
      <c r="I659" s="472" t="s">
        <v>277</v>
      </c>
      <c r="J659" s="472" t="s">
        <v>522</v>
      </c>
      <c r="K659" s="472" t="s">
        <v>587</v>
      </c>
      <c r="L659" s="472" t="s">
        <v>600</v>
      </c>
      <c r="M659" s="472" t="s">
        <v>535</v>
      </c>
      <c r="N659" s="472"/>
      <c r="O659" s="472"/>
      <c r="P659" s="472" t="s">
        <v>522</v>
      </c>
      <c r="Q659" s="472"/>
      <c r="R659" s="473">
        <v>45600</v>
      </c>
      <c r="S659" s="472" t="s">
        <v>278</v>
      </c>
      <c r="T659" s="473">
        <v>45608</v>
      </c>
      <c r="U659" s="474">
        <v>5</v>
      </c>
      <c r="V659" s="475">
        <v>516.79999999999995</v>
      </c>
      <c r="W659" s="260">
        <v>45597</v>
      </c>
    </row>
    <row r="660" spans="1:23" hidden="1" x14ac:dyDescent="0.35">
      <c r="A660" s="472" t="s">
        <v>526</v>
      </c>
      <c r="B660" s="472" t="s">
        <v>159</v>
      </c>
      <c r="C660" s="472" t="s">
        <v>584</v>
      </c>
      <c r="D660" s="472" t="s">
        <v>585</v>
      </c>
      <c r="E660" s="472" t="s">
        <v>586</v>
      </c>
      <c r="F660" s="472" t="s">
        <v>276</v>
      </c>
      <c r="G660" s="472" t="s">
        <v>527</v>
      </c>
      <c r="H660" s="472" t="s">
        <v>533</v>
      </c>
      <c r="I660" s="472" t="s">
        <v>277</v>
      </c>
      <c r="J660" s="472" t="s">
        <v>522</v>
      </c>
      <c r="K660" s="472" t="s">
        <v>587</v>
      </c>
      <c r="L660" s="472" t="s">
        <v>600</v>
      </c>
      <c r="M660" s="472" t="s">
        <v>535</v>
      </c>
      <c r="N660" s="472"/>
      <c r="O660" s="472"/>
      <c r="P660" s="472" t="s">
        <v>522</v>
      </c>
      <c r="Q660" s="472"/>
      <c r="R660" s="473">
        <v>45594</v>
      </c>
      <c r="S660" s="472" t="s">
        <v>278</v>
      </c>
      <c r="T660" s="473">
        <v>45601</v>
      </c>
      <c r="U660" s="474">
        <v>2</v>
      </c>
      <c r="V660" s="475">
        <v>206.72</v>
      </c>
      <c r="W660" s="260">
        <v>45597</v>
      </c>
    </row>
    <row r="661" spans="1:23" hidden="1" x14ac:dyDescent="0.35">
      <c r="A661" s="472" t="s">
        <v>526</v>
      </c>
      <c r="B661" s="472" t="s">
        <v>159</v>
      </c>
      <c r="C661" s="472" t="s">
        <v>584</v>
      </c>
      <c r="D661" s="472" t="s">
        <v>585</v>
      </c>
      <c r="E661" s="472" t="s">
        <v>586</v>
      </c>
      <c r="F661" s="472" t="s">
        <v>276</v>
      </c>
      <c r="G661" s="472" t="s">
        <v>527</v>
      </c>
      <c r="H661" s="472" t="s">
        <v>533</v>
      </c>
      <c r="I661" s="472" t="s">
        <v>277</v>
      </c>
      <c r="J661" s="472" t="s">
        <v>522</v>
      </c>
      <c r="K661" s="472" t="s">
        <v>587</v>
      </c>
      <c r="L661" s="472" t="s">
        <v>600</v>
      </c>
      <c r="M661" s="472" t="s">
        <v>535</v>
      </c>
      <c r="N661" s="472"/>
      <c r="O661" s="472"/>
      <c r="P661" s="472" t="s">
        <v>522</v>
      </c>
      <c r="Q661" s="472"/>
      <c r="R661" s="473">
        <v>45596</v>
      </c>
      <c r="S661" s="472" t="s">
        <v>278</v>
      </c>
      <c r="T661" s="473">
        <v>45601</v>
      </c>
      <c r="U661" s="474">
        <v>2</v>
      </c>
      <c r="V661" s="475">
        <v>206.72</v>
      </c>
      <c r="W661" s="260">
        <v>45597</v>
      </c>
    </row>
    <row r="662" spans="1:23" hidden="1" x14ac:dyDescent="0.35">
      <c r="A662" s="472" t="s">
        <v>526</v>
      </c>
      <c r="B662" s="472" t="s">
        <v>159</v>
      </c>
      <c r="C662" s="472" t="s">
        <v>584</v>
      </c>
      <c r="D662" s="472" t="s">
        <v>585</v>
      </c>
      <c r="E662" s="472" t="s">
        <v>586</v>
      </c>
      <c r="F662" s="472" t="s">
        <v>276</v>
      </c>
      <c r="G662" s="472" t="s">
        <v>527</v>
      </c>
      <c r="H662" s="472" t="s">
        <v>533</v>
      </c>
      <c r="I662" s="472" t="s">
        <v>277</v>
      </c>
      <c r="J662" s="472" t="s">
        <v>522</v>
      </c>
      <c r="K662" s="472" t="s">
        <v>587</v>
      </c>
      <c r="L662" s="472" t="s">
        <v>600</v>
      </c>
      <c r="M662" s="472" t="s">
        <v>535</v>
      </c>
      <c r="N662" s="472"/>
      <c r="O662" s="472"/>
      <c r="P662" s="472" t="s">
        <v>522</v>
      </c>
      <c r="Q662" s="472"/>
      <c r="R662" s="473">
        <v>45595</v>
      </c>
      <c r="S662" s="472" t="s">
        <v>278</v>
      </c>
      <c r="T662" s="473">
        <v>45601</v>
      </c>
      <c r="U662" s="474">
        <v>2</v>
      </c>
      <c r="V662" s="475">
        <v>206.72</v>
      </c>
      <c r="W662" s="260">
        <v>45597</v>
      </c>
    </row>
    <row r="663" spans="1:23" hidden="1" x14ac:dyDescent="0.35">
      <c r="A663" s="472" t="s">
        <v>526</v>
      </c>
      <c r="B663" s="472" t="s">
        <v>159</v>
      </c>
      <c r="C663" s="472" t="s">
        <v>584</v>
      </c>
      <c r="D663" s="472" t="s">
        <v>585</v>
      </c>
      <c r="E663" s="472" t="s">
        <v>586</v>
      </c>
      <c r="F663" s="472" t="s">
        <v>276</v>
      </c>
      <c r="G663" s="472" t="s">
        <v>527</v>
      </c>
      <c r="H663" s="472" t="s">
        <v>533</v>
      </c>
      <c r="I663" s="472" t="s">
        <v>277</v>
      </c>
      <c r="J663" s="472" t="s">
        <v>522</v>
      </c>
      <c r="K663" s="472" t="s">
        <v>587</v>
      </c>
      <c r="L663" s="472" t="s">
        <v>600</v>
      </c>
      <c r="M663" s="472" t="s">
        <v>535</v>
      </c>
      <c r="N663" s="472"/>
      <c r="O663" s="472"/>
      <c r="P663" s="472" t="s">
        <v>522</v>
      </c>
      <c r="Q663" s="472"/>
      <c r="R663" s="473">
        <v>45593</v>
      </c>
      <c r="S663" s="472" t="s">
        <v>278</v>
      </c>
      <c r="T663" s="473">
        <v>45601</v>
      </c>
      <c r="U663" s="474">
        <v>2</v>
      </c>
      <c r="V663" s="475">
        <v>206.72</v>
      </c>
      <c r="W663" s="260">
        <v>45597</v>
      </c>
    </row>
    <row r="664" spans="1:23" hidden="1" x14ac:dyDescent="0.35">
      <c r="A664" s="472" t="s">
        <v>526</v>
      </c>
      <c r="B664" s="472" t="s">
        <v>159</v>
      </c>
      <c r="C664" s="472" t="s">
        <v>584</v>
      </c>
      <c r="D664" s="472" t="s">
        <v>585</v>
      </c>
      <c r="E664" s="472" t="s">
        <v>586</v>
      </c>
      <c r="F664" s="472" t="s">
        <v>276</v>
      </c>
      <c r="G664" s="472" t="s">
        <v>527</v>
      </c>
      <c r="H664" s="472" t="s">
        <v>533</v>
      </c>
      <c r="I664" s="472" t="s">
        <v>277</v>
      </c>
      <c r="J664" s="472" t="s">
        <v>522</v>
      </c>
      <c r="K664" s="472" t="s">
        <v>587</v>
      </c>
      <c r="L664" s="472" t="s">
        <v>600</v>
      </c>
      <c r="M664" s="472" t="s">
        <v>535</v>
      </c>
      <c r="N664" s="472"/>
      <c r="O664" s="472"/>
      <c r="P664" s="472" t="s">
        <v>522</v>
      </c>
      <c r="Q664" s="472"/>
      <c r="R664" s="473">
        <v>45597</v>
      </c>
      <c r="S664" s="472" t="s">
        <v>278</v>
      </c>
      <c r="T664" s="473">
        <v>45601</v>
      </c>
      <c r="U664" s="474">
        <v>8</v>
      </c>
      <c r="V664" s="475">
        <v>826.88</v>
      </c>
      <c r="W664" s="260">
        <v>45597</v>
      </c>
    </row>
    <row r="665" spans="1:23" hidden="1" x14ac:dyDescent="0.35">
      <c r="A665" s="472" t="s">
        <v>526</v>
      </c>
      <c r="B665" s="472" t="s">
        <v>159</v>
      </c>
      <c r="C665" s="472" t="s">
        <v>584</v>
      </c>
      <c r="D665" s="472" t="s">
        <v>585</v>
      </c>
      <c r="E665" s="472" t="s">
        <v>586</v>
      </c>
      <c r="F665" s="472" t="s">
        <v>276</v>
      </c>
      <c r="G665" s="472" t="s">
        <v>527</v>
      </c>
      <c r="H665" s="472" t="s">
        <v>533</v>
      </c>
      <c r="I665" s="472" t="s">
        <v>277</v>
      </c>
      <c r="J665" s="472" t="s">
        <v>522</v>
      </c>
      <c r="K665" s="472" t="s">
        <v>587</v>
      </c>
      <c r="L665" s="472" t="s">
        <v>600</v>
      </c>
      <c r="M665" s="472" t="s">
        <v>535</v>
      </c>
      <c r="N665" s="472"/>
      <c r="O665" s="472"/>
      <c r="P665" s="472" t="s">
        <v>522</v>
      </c>
      <c r="Q665" s="472"/>
      <c r="R665" s="473">
        <v>45603</v>
      </c>
      <c r="S665" s="472" t="s">
        <v>278</v>
      </c>
      <c r="T665" s="473">
        <v>45608</v>
      </c>
      <c r="U665" s="474">
        <v>6</v>
      </c>
      <c r="V665" s="475">
        <v>620.16</v>
      </c>
      <c r="W665" s="260">
        <v>45597</v>
      </c>
    </row>
    <row r="666" spans="1:23" hidden="1" x14ac:dyDescent="0.35">
      <c r="A666" s="472" t="s">
        <v>526</v>
      </c>
      <c r="B666" s="472" t="s">
        <v>159</v>
      </c>
      <c r="C666" s="472" t="s">
        <v>584</v>
      </c>
      <c r="D666" s="472" t="s">
        <v>585</v>
      </c>
      <c r="E666" s="472" t="s">
        <v>586</v>
      </c>
      <c r="F666" s="472" t="s">
        <v>276</v>
      </c>
      <c r="G666" s="472" t="s">
        <v>527</v>
      </c>
      <c r="H666" s="472" t="s">
        <v>533</v>
      </c>
      <c r="I666" s="472" t="s">
        <v>277</v>
      </c>
      <c r="J666" s="472" t="s">
        <v>522</v>
      </c>
      <c r="K666" s="472" t="s">
        <v>587</v>
      </c>
      <c r="L666" s="472" t="s">
        <v>600</v>
      </c>
      <c r="M666" s="472" t="s">
        <v>535</v>
      </c>
      <c r="N666" s="472"/>
      <c r="O666" s="472"/>
      <c r="P666" s="472" t="s">
        <v>522</v>
      </c>
      <c r="Q666" s="472"/>
      <c r="R666" s="473">
        <v>45602</v>
      </c>
      <c r="S666" s="472" t="s">
        <v>278</v>
      </c>
      <c r="T666" s="473">
        <v>45608</v>
      </c>
      <c r="U666" s="474">
        <v>5</v>
      </c>
      <c r="V666" s="475">
        <v>516.79999999999995</v>
      </c>
      <c r="W666" s="260">
        <v>45597</v>
      </c>
    </row>
    <row r="667" spans="1:23" hidden="1" x14ac:dyDescent="0.35">
      <c r="A667" s="472" t="s">
        <v>526</v>
      </c>
      <c r="B667" s="472" t="s">
        <v>159</v>
      </c>
      <c r="C667" s="472" t="s">
        <v>584</v>
      </c>
      <c r="D667" s="472" t="s">
        <v>585</v>
      </c>
      <c r="E667" s="472" t="s">
        <v>586</v>
      </c>
      <c r="F667" s="472" t="s">
        <v>276</v>
      </c>
      <c r="G667" s="472" t="s">
        <v>527</v>
      </c>
      <c r="H667" s="472" t="s">
        <v>533</v>
      </c>
      <c r="I667" s="472" t="s">
        <v>277</v>
      </c>
      <c r="J667" s="472" t="s">
        <v>522</v>
      </c>
      <c r="K667" s="472" t="s">
        <v>587</v>
      </c>
      <c r="L667" s="472" t="s">
        <v>600</v>
      </c>
      <c r="M667" s="472" t="s">
        <v>535</v>
      </c>
      <c r="N667" s="472"/>
      <c r="O667" s="472"/>
      <c r="P667" s="472" t="s">
        <v>522</v>
      </c>
      <c r="Q667" s="472"/>
      <c r="R667" s="473">
        <v>45601</v>
      </c>
      <c r="S667" s="472" t="s">
        <v>278</v>
      </c>
      <c r="T667" s="473">
        <v>45608</v>
      </c>
      <c r="U667" s="474">
        <v>6</v>
      </c>
      <c r="V667" s="475">
        <v>620.16</v>
      </c>
      <c r="W667" s="260">
        <v>45597</v>
      </c>
    </row>
    <row r="668" spans="1:23" hidden="1" x14ac:dyDescent="0.35">
      <c r="A668" s="472" t="s">
        <v>526</v>
      </c>
      <c r="B668" s="472" t="s">
        <v>159</v>
      </c>
      <c r="C668" s="472" t="s">
        <v>584</v>
      </c>
      <c r="D668" s="472" t="s">
        <v>585</v>
      </c>
      <c r="E668" s="472" t="s">
        <v>586</v>
      </c>
      <c r="F668" s="472" t="s">
        <v>276</v>
      </c>
      <c r="G668" s="472" t="s">
        <v>527</v>
      </c>
      <c r="H668" s="472" t="s">
        <v>533</v>
      </c>
      <c r="I668" s="472" t="s">
        <v>277</v>
      </c>
      <c r="J668" s="472" t="s">
        <v>522</v>
      </c>
      <c r="K668" s="472" t="s">
        <v>587</v>
      </c>
      <c r="L668" s="472" t="s">
        <v>600</v>
      </c>
      <c r="M668" s="472" t="s">
        <v>535</v>
      </c>
      <c r="N668" s="472"/>
      <c r="O668" s="472"/>
      <c r="P668" s="472" t="s">
        <v>522</v>
      </c>
      <c r="Q668" s="472"/>
      <c r="R668" s="473">
        <v>45618</v>
      </c>
      <c r="S668" s="472" t="s">
        <v>278</v>
      </c>
      <c r="T668" s="473">
        <v>45621</v>
      </c>
      <c r="U668" s="474">
        <v>6</v>
      </c>
      <c r="V668" s="475">
        <v>620.16</v>
      </c>
      <c r="W668" s="260">
        <v>45597</v>
      </c>
    </row>
    <row r="669" spans="1:23" hidden="1" x14ac:dyDescent="0.35">
      <c r="A669" s="472" t="s">
        <v>526</v>
      </c>
      <c r="B669" s="472" t="s">
        <v>159</v>
      </c>
      <c r="C669" s="472" t="s">
        <v>584</v>
      </c>
      <c r="D669" s="472" t="s">
        <v>585</v>
      </c>
      <c r="E669" s="472" t="s">
        <v>586</v>
      </c>
      <c r="F669" s="472" t="s">
        <v>276</v>
      </c>
      <c r="G669" s="472" t="s">
        <v>527</v>
      </c>
      <c r="H669" s="472" t="s">
        <v>533</v>
      </c>
      <c r="I669" s="472" t="s">
        <v>277</v>
      </c>
      <c r="J669" s="472" t="s">
        <v>522</v>
      </c>
      <c r="K669" s="472" t="s">
        <v>587</v>
      </c>
      <c r="L669" s="472" t="s">
        <v>600</v>
      </c>
      <c r="M669" s="472" t="s">
        <v>535</v>
      </c>
      <c r="N669" s="472"/>
      <c r="O669" s="472"/>
      <c r="P669" s="472" t="s">
        <v>522</v>
      </c>
      <c r="Q669" s="472"/>
      <c r="R669" s="473">
        <v>45616</v>
      </c>
      <c r="S669" s="472" t="s">
        <v>278</v>
      </c>
      <c r="T669" s="473">
        <v>45621</v>
      </c>
      <c r="U669" s="474">
        <v>6</v>
      </c>
      <c r="V669" s="475">
        <v>620.16</v>
      </c>
      <c r="W669" s="260">
        <v>45597</v>
      </c>
    </row>
    <row r="670" spans="1:23" hidden="1" x14ac:dyDescent="0.35">
      <c r="A670" s="472" t="s">
        <v>526</v>
      </c>
      <c r="B670" s="472" t="s">
        <v>159</v>
      </c>
      <c r="C670" s="472" t="s">
        <v>584</v>
      </c>
      <c r="D670" s="472" t="s">
        <v>585</v>
      </c>
      <c r="E670" s="472" t="s">
        <v>586</v>
      </c>
      <c r="F670" s="472" t="s">
        <v>276</v>
      </c>
      <c r="G670" s="472" t="s">
        <v>527</v>
      </c>
      <c r="H670" s="472" t="s">
        <v>533</v>
      </c>
      <c r="I670" s="472" t="s">
        <v>277</v>
      </c>
      <c r="J670" s="472" t="s">
        <v>522</v>
      </c>
      <c r="K670" s="472" t="s">
        <v>587</v>
      </c>
      <c r="L670" s="472" t="s">
        <v>600</v>
      </c>
      <c r="M670" s="472" t="s">
        <v>535</v>
      </c>
      <c r="N670" s="472"/>
      <c r="O670" s="472"/>
      <c r="P670" s="472" t="s">
        <v>522</v>
      </c>
      <c r="Q670" s="472"/>
      <c r="R670" s="473">
        <v>45617</v>
      </c>
      <c r="S670" s="472" t="s">
        <v>278</v>
      </c>
      <c r="T670" s="473">
        <v>45621</v>
      </c>
      <c r="U670" s="474">
        <v>8</v>
      </c>
      <c r="V670" s="475">
        <v>826.88</v>
      </c>
      <c r="W670" s="260">
        <v>45597</v>
      </c>
    </row>
    <row r="671" spans="1:23" hidden="1" x14ac:dyDescent="0.35">
      <c r="A671" s="472" t="s">
        <v>526</v>
      </c>
      <c r="B671" s="472" t="s">
        <v>159</v>
      </c>
      <c r="C671" s="472" t="s">
        <v>584</v>
      </c>
      <c r="D671" s="472" t="s">
        <v>585</v>
      </c>
      <c r="E671" s="472" t="s">
        <v>586</v>
      </c>
      <c r="F671" s="472" t="s">
        <v>276</v>
      </c>
      <c r="G671" s="472" t="s">
        <v>527</v>
      </c>
      <c r="H671" s="472" t="s">
        <v>533</v>
      </c>
      <c r="I671" s="472" t="s">
        <v>277</v>
      </c>
      <c r="J671" s="472" t="s">
        <v>522</v>
      </c>
      <c r="K671" s="472" t="s">
        <v>587</v>
      </c>
      <c r="L671" s="472" t="s">
        <v>600</v>
      </c>
      <c r="M671" s="472" t="s">
        <v>535</v>
      </c>
      <c r="N671" s="472"/>
      <c r="O671" s="472"/>
      <c r="P671" s="472" t="s">
        <v>522</v>
      </c>
      <c r="Q671" s="472"/>
      <c r="R671" s="473">
        <v>45615</v>
      </c>
      <c r="S671" s="472" t="s">
        <v>278</v>
      </c>
      <c r="T671" s="473">
        <v>45621</v>
      </c>
      <c r="U671" s="474">
        <v>8</v>
      </c>
      <c r="V671" s="475">
        <v>826.88</v>
      </c>
      <c r="W671" s="260">
        <v>45597</v>
      </c>
    </row>
    <row r="672" spans="1:23" hidden="1" x14ac:dyDescent="0.35">
      <c r="A672" s="472" t="s">
        <v>526</v>
      </c>
      <c r="B672" s="472" t="s">
        <v>53</v>
      </c>
      <c r="C672" s="472"/>
      <c r="D672" s="472" t="s">
        <v>575</v>
      </c>
      <c r="E672" s="472" t="s">
        <v>576</v>
      </c>
      <c r="F672" s="472" t="s">
        <v>276</v>
      </c>
      <c r="G672" s="472" t="s">
        <v>527</v>
      </c>
      <c r="H672" s="472"/>
      <c r="I672" s="472" t="s">
        <v>277</v>
      </c>
      <c r="J672" s="472" t="s">
        <v>524</v>
      </c>
      <c r="K672" s="472"/>
      <c r="L672" s="472" t="s">
        <v>600</v>
      </c>
      <c r="M672" s="472" t="s">
        <v>285</v>
      </c>
      <c r="N672" s="472"/>
      <c r="O672" s="472" t="s">
        <v>601</v>
      </c>
      <c r="P672" s="472" t="s">
        <v>524</v>
      </c>
      <c r="Q672" s="472" t="s">
        <v>400</v>
      </c>
      <c r="R672" s="473">
        <v>45621</v>
      </c>
      <c r="S672" s="472"/>
      <c r="T672" s="473">
        <v>45626</v>
      </c>
      <c r="U672" s="474">
        <v>0</v>
      </c>
      <c r="V672" s="475">
        <v>51250</v>
      </c>
      <c r="W672" s="260">
        <v>45597</v>
      </c>
    </row>
    <row r="673" spans="1:23" hidden="1" x14ac:dyDescent="0.35">
      <c r="A673" s="472" t="s">
        <v>526</v>
      </c>
      <c r="B673" s="472" t="s">
        <v>53</v>
      </c>
      <c r="C673" s="472"/>
      <c r="D673" s="472" t="s">
        <v>575</v>
      </c>
      <c r="E673" s="472" t="s">
        <v>576</v>
      </c>
      <c r="F673" s="472" t="s">
        <v>588</v>
      </c>
      <c r="G673" s="472" t="s">
        <v>527</v>
      </c>
      <c r="H673" s="472"/>
      <c r="I673" s="472" t="s">
        <v>277</v>
      </c>
      <c r="J673" s="472" t="s">
        <v>577</v>
      </c>
      <c r="K673" s="472"/>
      <c r="L673" s="472" t="s">
        <v>602</v>
      </c>
      <c r="M673" s="472" t="s">
        <v>285</v>
      </c>
      <c r="N673" s="472"/>
      <c r="O673" s="472">
        <v>5000055979</v>
      </c>
      <c r="P673" s="472" t="s">
        <v>577</v>
      </c>
      <c r="Q673" s="472" t="s">
        <v>589</v>
      </c>
      <c r="R673" s="473">
        <v>45621</v>
      </c>
      <c r="S673" s="472"/>
      <c r="T673" s="473">
        <v>45627</v>
      </c>
      <c r="U673" s="474">
        <v>0</v>
      </c>
      <c r="V673" s="475">
        <v>-16250</v>
      </c>
      <c r="W673" s="260">
        <v>45627</v>
      </c>
    </row>
    <row r="674" spans="1:23" hidden="1" x14ac:dyDescent="0.35">
      <c r="A674" s="472" t="s">
        <v>526</v>
      </c>
      <c r="B674" s="472" t="s">
        <v>53</v>
      </c>
      <c r="C674" s="472"/>
      <c r="D674" s="472" t="s">
        <v>575</v>
      </c>
      <c r="E674" s="472" t="s">
        <v>576</v>
      </c>
      <c r="F674" s="472" t="s">
        <v>588</v>
      </c>
      <c r="G674" s="472" t="s">
        <v>527</v>
      </c>
      <c r="H674" s="472"/>
      <c r="I674" s="472" t="s">
        <v>277</v>
      </c>
      <c r="J674" s="472" t="s">
        <v>577</v>
      </c>
      <c r="K674" s="472"/>
      <c r="L674" s="472" t="s">
        <v>602</v>
      </c>
      <c r="M674" s="472" t="s">
        <v>285</v>
      </c>
      <c r="N674" s="472"/>
      <c r="O674" s="472" t="s">
        <v>591</v>
      </c>
      <c r="P674" s="472" t="s">
        <v>577</v>
      </c>
      <c r="Q674" s="472" t="s">
        <v>589</v>
      </c>
      <c r="R674" s="473">
        <v>45621</v>
      </c>
      <c r="S674" s="472"/>
      <c r="T674" s="473">
        <v>45627</v>
      </c>
      <c r="U674" s="474">
        <v>0</v>
      </c>
      <c r="V674" s="475">
        <v>-109700</v>
      </c>
      <c r="W674" s="260">
        <v>45627</v>
      </c>
    </row>
    <row r="675" spans="1:23" hidden="1" x14ac:dyDescent="0.35">
      <c r="A675" s="472" t="s">
        <v>526</v>
      </c>
      <c r="B675" s="472" t="s">
        <v>53</v>
      </c>
      <c r="C675" s="472"/>
      <c r="D675" s="472" t="s">
        <v>575</v>
      </c>
      <c r="E675" s="472" t="s">
        <v>576</v>
      </c>
      <c r="F675" s="472" t="s">
        <v>276</v>
      </c>
      <c r="G675" s="472" t="s">
        <v>527</v>
      </c>
      <c r="H675" s="472"/>
      <c r="I675" s="472" t="s">
        <v>277</v>
      </c>
      <c r="J675" s="472" t="s">
        <v>577</v>
      </c>
      <c r="K675" s="472"/>
      <c r="L675" s="472" t="s">
        <v>602</v>
      </c>
      <c r="M675" s="472" t="s">
        <v>285</v>
      </c>
      <c r="N675" s="472"/>
      <c r="O675" s="472" t="s">
        <v>591</v>
      </c>
      <c r="P675" s="472" t="s">
        <v>577</v>
      </c>
      <c r="Q675" s="472" t="s">
        <v>400</v>
      </c>
      <c r="R675" s="473">
        <v>45650</v>
      </c>
      <c r="S675" s="472"/>
      <c r="T675" s="473">
        <v>45657</v>
      </c>
      <c r="U675" s="474">
        <v>0</v>
      </c>
      <c r="V675" s="475">
        <v>16250</v>
      </c>
      <c r="W675" s="260">
        <v>45627</v>
      </c>
    </row>
    <row r="676" spans="1:23" hidden="1" x14ac:dyDescent="0.35">
      <c r="A676" s="472" t="s">
        <v>526</v>
      </c>
      <c r="B676" s="472" t="s">
        <v>53</v>
      </c>
      <c r="C676" s="472"/>
      <c r="D676" s="472" t="s">
        <v>575</v>
      </c>
      <c r="E676" s="472" t="s">
        <v>576</v>
      </c>
      <c r="F676" s="472" t="s">
        <v>276</v>
      </c>
      <c r="G676" s="472" t="s">
        <v>527</v>
      </c>
      <c r="H676" s="472"/>
      <c r="I676" s="472" t="s">
        <v>277</v>
      </c>
      <c r="J676" s="472" t="s">
        <v>577</v>
      </c>
      <c r="K676" s="472"/>
      <c r="L676" s="472" t="s">
        <v>602</v>
      </c>
      <c r="M676" s="472" t="s">
        <v>285</v>
      </c>
      <c r="N676" s="472"/>
      <c r="O676" s="472" t="s">
        <v>591</v>
      </c>
      <c r="P676" s="472" t="s">
        <v>577</v>
      </c>
      <c r="Q676" s="472" t="s">
        <v>400</v>
      </c>
      <c r="R676" s="473">
        <v>45650</v>
      </c>
      <c r="S676" s="472"/>
      <c r="T676" s="473">
        <v>45657</v>
      </c>
      <c r="U676" s="474">
        <v>0</v>
      </c>
      <c r="V676" s="475">
        <v>109700</v>
      </c>
      <c r="W676" s="260">
        <v>45627</v>
      </c>
    </row>
    <row r="677" spans="1:23" hidden="1" x14ac:dyDescent="0.35">
      <c r="A677" s="472" t="s">
        <v>526</v>
      </c>
      <c r="B677" s="472" t="s">
        <v>159</v>
      </c>
      <c r="C677" s="472" t="s">
        <v>281</v>
      </c>
      <c r="D677" s="472" t="s">
        <v>282</v>
      </c>
      <c r="E677" s="472" t="s">
        <v>283</v>
      </c>
      <c r="F677" s="472" t="s">
        <v>276</v>
      </c>
      <c r="G677" s="472" t="s">
        <v>527</v>
      </c>
      <c r="H677" s="472"/>
      <c r="I677" s="472" t="s">
        <v>277</v>
      </c>
      <c r="J677" s="472" t="s">
        <v>522</v>
      </c>
      <c r="K677" s="472" t="s">
        <v>284</v>
      </c>
      <c r="L677" s="472" t="s">
        <v>602</v>
      </c>
      <c r="M677" s="472" t="s">
        <v>285</v>
      </c>
      <c r="N677" s="472"/>
      <c r="O677" s="472"/>
      <c r="P677" s="472" t="s">
        <v>522</v>
      </c>
      <c r="Q677" s="472"/>
      <c r="R677" s="473">
        <v>45659</v>
      </c>
      <c r="S677" s="472"/>
      <c r="T677" s="473">
        <v>45657</v>
      </c>
      <c r="U677" s="474">
        <v>0</v>
      </c>
      <c r="V677" s="475">
        <v>865.87</v>
      </c>
      <c r="W677" s="260">
        <v>45627</v>
      </c>
    </row>
    <row r="678" spans="1:23" hidden="1" x14ac:dyDescent="0.35">
      <c r="A678" s="472" t="s">
        <v>526</v>
      </c>
      <c r="B678" s="472" t="s">
        <v>159</v>
      </c>
      <c r="C678" s="472" t="s">
        <v>286</v>
      </c>
      <c r="D678" s="472" t="s">
        <v>287</v>
      </c>
      <c r="E678" s="472" t="s">
        <v>288</v>
      </c>
      <c r="F678" s="472" t="s">
        <v>276</v>
      </c>
      <c r="G678" s="472" t="s">
        <v>527</v>
      </c>
      <c r="H678" s="472"/>
      <c r="I678" s="472" t="s">
        <v>277</v>
      </c>
      <c r="J678" s="472" t="s">
        <v>522</v>
      </c>
      <c r="K678" s="472" t="s">
        <v>289</v>
      </c>
      <c r="L678" s="472" t="s">
        <v>602</v>
      </c>
      <c r="M678" s="472" t="s">
        <v>285</v>
      </c>
      <c r="N678" s="472"/>
      <c r="O678" s="472"/>
      <c r="P678" s="472" t="s">
        <v>522</v>
      </c>
      <c r="Q678" s="472"/>
      <c r="R678" s="473">
        <v>45659</v>
      </c>
      <c r="S678" s="472"/>
      <c r="T678" s="473">
        <v>45657</v>
      </c>
      <c r="U678" s="474">
        <v>0</v>
      </c>
      <c r="V678" s="475">
        <v>2483.9299999999998</v>
      </c>
      <c r="W678" s="260">
        <v>45627</v>
      </c>
    </row>
    <row r="679" spans="1:23" hidden="1" x14ac:dyDescent="0.35">
      <c r="A679" s="472" t="s">
        <v>526</v>
      </c>
      <c r="B679" s="472" t="s">
        <v>159</v>
      </c>
      <c r="C679" s="472" t="s">
        <v>281</v>
      </c>
      <c r="D679" s="472" t="s">
        <v>290</v>
      </c>
      <c r="E679" s="472" t="s">
        <v>291</v>
      </c>
      <c r="F679" s="472" t="s">
        <v>276</v>
      </c>
      <c r="G679" s="472" t="s">
        <v>527</v>
      </c>
      <c r="H679" s="472"/>
      <c r="I679" s="472" t="s">
        <v>277</v>
      </c>
      <c r="J679" s="472" t="s">
        <v>522</v>
      </c>
      <c r="K679" s="472" t="s">
        <v>284</v>
      </c>
      <c r="L679" s="472" t="s">
        <v>602</v>
      </c>
      <c r="M679" s="472" t="s">
        <v>285</v>
      </c>
      <c r="N679" s="472"/>
      <c r="O679" s="472"/>
      <c r="P679" s="472" t="s">
        <v>522</v>
      </c>
      <c r="Q679" s="472"/>
      <c r="R679" s="473">
        <v>45659</v>
      </c>
      <c r="S679" s="472"/>
      <c r="T679" s="473">
        <v>45657</v>
      </c>
      <c r="U679" s="474">
        <v>0</v>
      </c>
      <c r="V679" s="475">
        <v>538.14</v>
      </c>
      <c r="W679" s="260">
        <v>45627</v>
      </c>
    </row>
    <row r="680" spans="1:23" hidden="1" x14ac:dyDescent="0.35">
      <c r="A680" s="472" t="s">
        <v>526</v>
      </c>
      <c r="B680" s="472" t="s">
        <v>159</v>
      </c>
      <c r="C680" s="472" t="s">
        <v>281</v>
      </c>
      <c r="D680" s="472" t="s">
        <v>292</v>
      </c>
      <c r="E680" s="472" t="s">
        <v>293</v>
      </c>
      <c r="F680" s="472" t="s">
        <v>276</v>
      </c>
      <c r="G680" s="472" t="s">
        <v>527</v>
      </c>
      <c r="H680" s="472"/>
      <c r="I680" s="472" t="s">
        <v>277</v>
      </c>
      <c r="J680" s="472" t="s">
        <v>522</v>
      </c>
      <c r="K680" s="472" t="s">
        <v>294</v>
      </c>
      <c r="L680" s="472" t="s">
        <v>602</v>
      </c>
      <c r="M680" s="472" t="s">
        <v>285</v>
      </c>
      <c r="N680" s="472"/>
      <c r="O680" s="472"/>
      <c r="P680" s="472" t="s">
        <v>522</v>
      </c>
      <c r="Q680" s="472"/>
      <c r="R680" s="473">
        <v>45659</v>
      </c>
      <c r="S680" s="472"/>
      <c r="T680" s="473">
        <v>45657</v>
      </c>
      <c r="U680" s="474">
        <v>0</v>
      </c>
      <c r="V680" s="475">
        <v>763.08</v>
      </c>
      <c r="W680" s="260">
        <v>45627</v>
      </c>
    </row>
    <row r="681" spans="1:23" hidden="1" x14ac:dyDescent="0.35">
      <c r="A681" s="472" t="s">
        <v>526</v>
      </c>
      <c r="B681" s="472" t="s">
        <v>159</v>
      </c>
      <c r="C681" s="472" t="s">
        <v>286</v>
      </c>
      <c r="D681" s="472" t="s">
        <v>295</v>
      </c>
      <c r="E681" s="472" t="s">
        <v>296</v>
      </c>
      <c r="F681" s="472" t="s">
        <v>276</v>
      </c>
      <c r="G681" s="472" t="s">
        <v>527</v>
      </c>
      <c r="H681" s="472"/>
      <c r="I681" s="472" t="s">
        <v>277</v>
      </c>
      <c r="J681" s="472" t="s">
        <v>522</v>
      </c>
      <c r="K681" s="472" t="s">
        <v>297</v>
      </c>
      <c r="L681" s="472" t="s">
        <v>602</v>
      </c>
      <c r="M681" s="472" t="s">
        <v>285</v>
      </c>
      <c r="N681" s="472"/>
      <c r="O681" s="472"/>
      <c r="P681" s="472" t="s">
        <v>522</v>
      </c>
      <c r="Q681" s="472"/>
      <c r="R681" s="473">
        <v>45659</v>
      </c>
      <c r="S681" s="472"/>
      <c r="T681" s="473">
        <v>45657</v>
      </c>
      <c r="U681" s="474">
        <v>0</v>
      </c>
      <c r="V681" s="475">
        <v>961.4</v>
      </c>
      <c r="W681" s="260">
        <v>45627</v>
      </c>
    </row>
    <row r="682" spans="1:23" hidden="1" x14ac:dyDescent="0.35">
      <c r="A682" s="472" t="s">
        <v>526</v>
      </c>
      <c r="B682" s="472" t="s">
        <v>159</v>
      </c>
      <c r="C682" s="472" t="s">
        <v>302</v>
      </c>
      <c r="D682" s="472" t="s">
        <v>308</v>
      </c>
      <c r="E682" s="472" t="s">
        <v>309</v>
      </c>
      <c r="F682" s="472" t="s">
        <v>276</v>
      </c>
      <c r="G682" s="472" t="s">
        <v>527</v>
      </c>
      <c r="H682" s="472"/>
      <c r="I682" s="472" t="s">
        <v>277</v>
      </c>
      <c r="J682" s="472" t="s">
        <v>522</v>
      </c>
      <c r="K682" s="472" t="s">
        <v>303</v>
      </c>
      <c r="L682" s="472" t="s">
        <v>602</v>
      </c>
      <c r="M682" s="472" t="s">
        <v>285</v>
      </c>
      <c r="N682" s="472"/>
      <c r="O682" s="472"/>
      <c r="P682" s="472" t="s">
        <v>522</v>
      </c>
      <c r="Q682" s="472"/>
      <c r="R682" s="473">
        <v>45660</v>
      </c>
      <c r="S682" s="472"/>
      <c r="T682" s="473">
        <v>45657</v>
      </c>
      <c r="U682" s="474">
        <v>0</v>
      </c>
      <c r="V682" s="475">
        <v>116</v>
      </c>
      <c r="W682" s="260">
        <v>45627</v>
      </c>
    </row>
    <row r="683" spans="1:23" hidden="1" x14ac:dyDescent="0.35">
      <c r="A683" s="472" t="s">
        <v>526</v>
      </c>
      <c r="B683" s="472" t="s">
        <v>159</v>
      </c>
      <c r="C683" s="472" t="s">
        <v>302</v>
      </c>
      <c r="D683" s="472" t="s">
        <v>310</v>
      </c>
      <c r="E683" s="472" t="s">
        <v>311</v>
      </c>
      <c r="F683" s="472" t="s">
        <v>276</v>
      </c>
      <c r="G683" s="472" t="s">
        <v>527</v>
      </c>
      <c r="H683" s="472"/>
      <c r="I683" s="472" t="s">
        <v>277</v>
      </c>
      <c r="J683" s="472" t="s">
        <v>522</v>
      </c>
      <c r="K683" s="472" t="s">
        <v>303</v>
      </c>
      <c r="L683" s="472" t="s">
        <v>602</v>
      </c>
      <c r="M683" s="472" t="s">
        <v>285</v>
      </c>
      <c r="N683" s="472"/>
      <c r="O683" s="472"/>
      <c r="P683" s="472" t="s">
        <v>522</v>
      </c>
      <c r="Q683" s="472"/>
      <c r="R683" s="473">
        <v>45660</v>
      </c>
      <c r="S683" s="472"/>
      <c r="T683" s="473">
        <v>45657</v>
      </c>
      <c r="U683" s="474">
        <v>0</v>
      </c>
      <c r="V683" s="475">
        <v>943.6</v>
      </c>
      <c r="W683" s="260">
        <v>45627</v>
      </c>
    </row>
    <row r="684" spans="1:23" hidden="1" x14ac:dyDescent="0.35">
      <c r="A684" s="472" t="s">
        <v>526</v>
      </c>
      <c r="B684" s="472" t="s">
        <v>159</v>
      </c>
      <c r="C684" s="472" t="s">
        <v>281</v>
      </c>
      <c r="D684" s="472" t="s">
        <v>340</v>
      </c>
      <c r="E684" s="472" t="s">
        <v>283</v>
      </c>
      <c r="F684" s="472" t="s">
        <v>276</v>
      </c>
      <c r="G684" s="472" t="s">
        <v>527</v>
      </c>
      <c r="H684" s="472"/>
      <c r="I684" s="472" t="s">
        <v>277</v>
      </c>
      <c r="J684" s="472" t="s">
        <v>522</v>
      </c>
      <c r="K684" s="472" t="s">
        <v>284</v>
      </c>
      <c r="L684" s="472" t="s">
        <v>602</v>
      </c>
      <c r="M684" s="472" t="s">
        <v>285</v>
      </c>
      <c r="N684" s="472"/>
      <c r="O684" s="472"/>
      <c r="P684" s="472" t="s">
        <v>522</v>
      </c>
      <c r="Q684" s="472"/>
      <c r="R684" s="473">
        <v>45660</v>
      </c>
      <c r="S684" s="472"/>
      <c r="T684" s="473">
        <v>45657</v>
      </c>
      <c r="U684" s="474">
        <v>0</v>
      </c>
      <c r="V684" s="475">
        <v>413.47</v>
      </c>
      <c r="W684" s="260">
        <v>45627</v>
      </c>
    </row>
    <row r="685" spans="1:23" hidden="1" x14ac:dyDescent="0.35">
      <c r="A685" s="472" t="s">
        <v>526</v>
      </c>
      <c r="B685" s="472" t="s">
        <v>159</v>
      </c>
      <c r="C685" s="472" t="s">
        <v>302</v>
      </c>
      <c r="D685" s="472" t="s">
        <v>340</v>
      </c>
      <c r="E685" s="472" t="s">
        <v>283</v>
      </c>
      <c r="F685" s="472" t="s">
        <v>276</v>
      </c>
      <c r="G685" s="472" t="s">
        <v>527</v>
      </c>
      <c r="H685" s="472"/>
      <c r="I685" s="472" t="s">
        <v>277</v>
      </c>
      <c r="J685" s="472" t="s">
        <v>522</v>
      </c>
      <c r="K685" s="472" t="s">
        <v>303</v>
      </c>
      <c r="L685" s="472" t="s">
        <v>602</v>
      </c>
      <c r="M685" s="472" t="s">
        <v>285</v>
      </c>
      <c r="N685" s="472"/>
      <c r="O685" s="472"/>
      <c r="P685" s="472" t="s">
        <v>522</v>
      </c>
      <c r="Q685" s="472"/>
      <c r="R685" s="473">
        <v>45660</v>
      </c>
      <c r="S685" s="472"/>
      <c r="T685" s="473">
        <v>45657</v>
      </c>
      <c r="U685" s="474">
        <v>0</v>
      </c>
      <c r="V685" s="475">
        <v>8.31</v>
      </c>
      <c r="W685" s="260">
        <v>45627</v>
      </c>
    </row>
    <row r="686" spans="1:23" hidden="1" x14ac:dyDescent="0.35">
      <c r="A686" s="472" t="s">
        <v>526</v>
      </c>
      <c r="B686" s="472" t="s">
        <v>159</v>
      </c>
      <c r="C686" s="472" t="s">
        <v>302</v>
      </c>
      <c r="D686" s="472" t="s">
        <v>340</v>
      </c>
      <c r="E686" s="472" t="s">
        <v>283</v>
      </c>
      <c r="F686" s="472" t="s">
        <v>276</v>
      </c>
      <c r="G686" s="472" t="s">
        <v>527</v>
      </c>
      <c r="H686" s="472"/>
      <c r="I686" s="472" t="s">
        <v>277</v>
      </c>
      <c r="J686" s="472" t="s">
        <v>522</v>
      </c>
      <c r="K686" s="472" t="s">
        <v>303</v>
      </c>
      <c r="L686" s="472" t="s">
        <v>602</v>
      </c>
      <c r="M686" s="472" t="s">
        <v>285</v>
      </c>
      <c r="N686" s="472"/>
      <c r="O686" s="472"/>
      <c r="P686" s="472" t="s">
        <v>522</v>
      </c>
      <c r="Q686" s="472"/>
      <c r="R686" s="473">
        <v>45660</v>
      </c>
      <c r="S686" s="472"/>
      <c r="T686" s="473">
        <v>45657</v>
      </c>
      <c r="U686" s="474">
        <v>0</v>
      </c>
      <c r="V686" s="475">
        <v>3.97</v>
      </c>
      <c r="W686" s="260">
        <v>45627</v>
      </c>
    </row>
    <row r="687" spans="1:23" hidden="1" x14ac:dyDescent="0.35">
      <c r="A687" s="472" t="s">
        <v>526</v>
      </c>
      <c r="B687" s="472" t="s">
        <v>159</v>
      </c>
      <c r="C687" s="472" t="s">
        <v>286</v>
      </c>
      <c r="D687" s="472" t="s">
        <v>341</v>
      </c>
      <c r="E687" s="472" t="s">
        <v>288</v>
      </c>
      <c r="F687" s="472" t="s">
        <v>276</v>
      </c>
      <c r="G687" s="472" t="s">
        <v>527</v>
      </c>
      <c r="H687" s="472"/>
      <c r="I687" s="472" t="s">
        <v>277</v>
      </c>
      <c r="J687" s="472" t="s">
        <v>522</v>
      </c>
      <c r="K687" s="472" t="s">
        <v>289</v>
      </c>
      <c r="L687" s="472" t="s">
        <v>602</v>
      </c>
      <c r="M687" s="472" t="s">
        <v>285</v>
      </c>
      <c r="N687" s="472"/>
      <c r="O687" s="472"/>
      <c r="P687" s="472" t="s">
        <v>522</v>
      </c>
      <c r="Q687" s="472"/>
      <c r="R687" s="473">
        <v>45660</v>
      </c>
      <c r="S687" s="472"/>
      <c r="T687" s="473">
        <v>45657</v>
      </c>
      <c r="U687" s="474">
        <v>0</v>
      </c>
      <c r="V687" s="475">
        <v>388.56</v>
      </c>
      <c r="W687" s="260">
        <v>45627</v>
      </c>
    </row>
    <row r="688" spans="1:23" hidden="1" x14ac:dyDescent="0.35">
      <c r="A688" s="472" t="s">
        <v>526</v>
      </c>
      <c r="B688" s="472" t="s">
        <v>159</v>
      </c>
      <c r="C688" s="472" t="s">
        <v>302</v>
      </c>
      <c r="D688" s="472" t="s">
        <v>341</v>
      </c>
      <c r="E688" s="472" t="s">
        <v>288</v>
      </c>
      <c r="F688" s="472" t="s">
        <v>276</v>
      </c>
      <c r="G688" s="472" t="s">
        <v>527</v>
      </c>
      <c r="H688" s="472"/>
      <c r="I688" s="472" t="s">
        <v>277</v>
      </c>
      <c r="J688" s="472" t="s">
        <v>522</v>
      </c>
      <c r="K688" s="472" t="s">
        <v>303</v>
      </c>
      <c r="L688" s="472" t="s">
        <v>602</v>
      </c>
      <c r="M688" s="472" t="s">
        <v>285</v>
      </c>
      <c r="N688" s="472"/>
      <c r="O688" s="472"/>
      <c r="P688" s="472" t="s">
        <v>522</v>
      </c>
      <c r="Q688" s="472"/>
      <c r="R688" s="473">
        <v>45660</v>
      </c>
      <c r="S688" s="472"/>
      <c r="T688" s="473">
        <v>45657</v>
      </c>
      <c r="U688" s="474">
        <v>0</v>
      </c>
      <c r="V688" s="475">
        <v>23.83</v>
      </c>
      <c r="W688" s="260">
        <v>45627</v>
      </c>
    </row>
    <row r="689" spans="1:23" hidden="1" x14ac:dyDescent="0.35">
      <c r="A689" s="472" t="s">
        <v>526</v>
      </c>
      <c r="B689" s="472" t="s">
        <v>159</v>
      </c>
      <c r="C689" s="472" t="s">
        <v>302</v>
      </c>
      <c r="D689" s="472" t="s">
        <v>341</v>
      </c>
      <c r="E689" s="472" t="s">
        <v>288</v>
      </c>
      <c r="F689" s="472" t="s">
        <v>276</v>
      </c>
      <c r="G689" s="472" t="s">
        <v>527</v>
      </c>
      <c r="H689" s="472"/>
      <c r="I689" s="472" t="s">
        <v>277</v>
      </c>
      <c r="J689" s="472" t="s">
        <v>522</v>
      </c>
      <c r="K689" s="472" t="s">
        <v>303</v>
      </c>
      <c r="L689" s="472" t="s">
        <v>602</v>
      </c>
      <c r="M689" s="472" t="s">
        <v>285</v>
      </c>
      <c r="N689" s="472"/>
      <c r="O689" s="472"/>
      <c r="P689" s="472" t="s">
        <v>522</v>
      </c>
      <c r="Q689" s="472"/>
      <c r="R689" s="473">
        <v>45660</v>
      </c>
      <c r="S689" s="472"/>
      <c r="T689" s="473">
        <v>45657</v>
      </c>
      <c r="U689" s="474">
        <v>0</v>
      </c>
      <c r="V689" s="475">
        <v>3.73</v>
      </c>
      <c r="W689" s="260">
        <v>45627</v>
      </c>
    </row>
    <row r="690" spans="1:23" hidden="1" x14ac:dyDescent="0.35">
      <c r="A690" s="472" t="s">
        <v>526</v>
      </c>
      <c r="B690" s="472" t="s">
        <v>159</v>
      </c>
      <c r="C690" s="472" t="s">
        <v>281</v>
      </c>
      <c r="D690" s="472" t="s">
        <v>342</v>
      </c>
      <c r="E690" s="472" t="s">
        <v>291</v>
      </c>
      <c r="F690" s="472" t="s">
        <v>276</v>
      </c>
      <c r="G690" s="472" t="s">
        <v>527</v>
      </c>
      <c r="H690" s="472"/>
      <c r="I690" s="472" t="s">
        <v>277</v>
      </c>
      <c r="J690" s="472" t="s">
        <v>522</v>
      </c>
      <c r="K690" s="472" t="s">
        <v>284</v>
      </c>
      <c r="L690" s="472" t="s">
        <v>602</v>
      </c>
      <c r="M690" s="472" t="s">
        <v>285</v>
      </c>
      <c r="N690" s="472"/>
      <c r="O690" s="472"/>
      <c r="P690" s="472" t="s">
        <v>522</v>
      </c>
      <c r="Q690" s="472"/>
      <c r="R690" s="473">
        <v>45660</v>
      </c>
      <c r="S690" s="472"/>
      <c r="T690" s="473">
        <v>45657</v>
      </c>
      <c r="U690" s="474">
        <v>0</v>
      </c>
      <c r="V690" s="475">
        <v>91.23</v>
      </c>
      <c r="W690" s="260">
        <v>45627</v>
      </c>
    </row>
    <row r="691" spans="1:23" hidden="1" x14ac:dyDescent="0.35">
      <c r="A691" s="472" t="s">
        <v>526</v>
      </c>
      <c r="B691" s="472" t="s">
        <v>159</v>
      </c>
      <c r="C691" s="472" t="s">
        <v>302</v>
      </c>
      <c r="D691" s="472" t="s">
        <v>342</v>
      </c>
      <c r="E691" s="472" t="s">
        <v>291</v>
      </c>
      <c r="F691" s="472" t="s">
        <v>276</v>
      </c>
      <c r="G691" s="472" t="s">
        <v>527</v>
      </c>
      <c r="H691" s="472"/>
      <c r="I691" s="472" t="s">
        <v>277</v>
      </c>
      <c r="J691" s="472" t="s">
        <v>522</v>
      </c>
      <c r="K691" s="472" t="s">
        <v>303</v>
      </c>
      <c r="L691" s="472" t="s">
        <v>602</v>
      </c>
      <c r="M691" s="472" t="s">
        <v>285</v>
      </c>
      <c r="N691" s="472"/>
      <c r="O691" s="472"/>
      <c r="P691" s="472" t="s">
        <v>522</v>
      </c>
      <c r="Q691" s="472"/>
      <c r="R691" s="473">
        <v>45660</v>
      </c>
      <c r="S691" s="472"/>
      <c r="T691" s="473">
        <v>45657</v>
      </c>
      <c r="U691" s="474">
        <v>0</v>
      </c>
      <c r="V691" s="475">
        <v>5.16</v>
      </c>
      <c r="W691" s="260">
        <v>45627</v>
      </c>
    </row>
    <row r="692" spans="1:23" hidden="1" x14ac:dyDescent="0.35">
      <c r="A692" s="472" t="s">
        <v>526</v>
      </c>
      <c r="B692" s="472" t="s">
        <v>159</v>
      </c>
      <c r="C692" s="472" t="s">
        <v>302</v>
      </c>
      <c r="D692" s="472" t="s">
        <v>342</v>
      </c>
      <c r="E692" s="472" t="s">
        <v>291</v>
      </c>
      <c r="F692" s="472" t="s">
        <v>276</v>
      </c>
      <c r="G692" s="472" t="s">
        <v>527</v>
      </c>
      <c r="H692" s="472"/>
      <c r="I692" s="472" t="s">
        <v>277</v>
      </c>
      <c r="J692" s="472" t="s">
        <v>522</v>
      </c>
      <c r="K692" s="472" t="s">
        <v>303</v>
      </c>
      <c r="L692" s="472" t="s">
        <v>602</v>
      </c>
      <c r="M692" s="472" t="s">
        <v>285</v>
      </c>
      <c r="N692" s="472"/>
      <c r="O692" s="472"/>
      <c r="P692" s="472" t="s">
        <v>522</v>
      </c>
      <c r="Q692" s="472"/>
      <c r="R692" s="473">
        <v>45660</v>
      </c>
      <c r="S692" s="472"/>
      <c r="T692" s="473">
        <v>45657</v>
      </c>
      <c r="U692" s="474">
        <v>0</v>
      </c>
      <c r="V692" s="475">
        <v>0.88</v>
      </c>
      <c r="W692" s="260">
        <v>45627</v>
      </c>
    </row>
    <row r="693" spans="1:23" hidden="1" x14ac:dyDescent="0.35">
      <c r="A693" s="472" t="s">
        <v>526</v>
      </c>
      <c r="B693" s="472" t="s">
        <v>159</v>
      </c>
      <c r="C693" s="472" t="s">
        <v>281</v>
      </c>
      <c r="D693" s="472" t="s">
        <v>343</v>
      </c>
      <c r="E693" s="472" t="s">
        <v>293</v>
      </c>
      <c r="F693" s="472" t="s">
        <v>276</v>
      </c>
      <c r="G693" s="472" t="s">
        <v>527</v>
      </c>
      <c r="H693" s="472"/>
      <c r="I693" s="472" t="s">
        <v>277</v>
      </c>
      <c r="J693" s="472" t="s">
        <v>522</v>
      </c>
      <c r="K693" s="472" t="s">
        <v>294</v>
      </c>
      <c r="L693" s="472" t="s">
        <v>602</v>
      </c>
      <c r="M693" s="472" t="s">
        <v>285</v>
      </c>
      <c r="N693" s="472"/>
      <c r="O693" s="472"/>
      <c r="P693" s="472" t="s">
        <v>522</v>
      </c>
      <c r="Q693" s="472"/>
      <c r="R693" s="473">
        <v>45660</v>
      </c>
      <c r="S693" s="472"/>
      <c r="T693" s="473">
        <v>45657</v>
      </c>
      <c r="U693" s="474">
        <v>0</v>
      </c>
      <c r="V693" s="475">
        <v>556.34</v>
      </c>
      <c r="W693" s="260">
        <v>45627</v>
      </c>
    </row>
    <row r="694" spans="1:23" hidden="1" x14ac:dyDescent="0.35">
      <c r="A694" s="472" t="s">
        <v>526</v>
      </c>
      <c r="B694" s="472" t="s">
        <v>159</v>
      </c>
      <c r="C694" s="472" t="s">
        <v>302</v>
      </c>
      <c r="D694" s="472" t="s">
        <v>343</v>
      </c>
      <c r="E694" s="472" t="s">
        <v>293</v>
      </c>
      <c r="F694" s="472" t="s">
        <v>276</v>
      </c>
      <c r="G694" s="472" t="s">
        <v>527</v>
      </c>
      <c r="H694" s="472"/>
      <c r="I694" s="472" t="s">
        <v>277</v>
      </c>
      <c r="J694" s="472" t="s">
        <v>522</v>
      </c>
      <c r="K694" s="472" t="s">
        <v>303</v>
      </c>
      <c r="L694" s="472" t="s">
        <v>602</v>
      </c>
      <c r="M694" s="472" t="s">
        <v>285</v>
      </c>
      <c r="N694" s="472"/>
      <c r="O694" s="472"/>
      <c r="P694" s="472" t="s">
        <v>522</v>
      </c>
      <c r="Q694" s="472"/>
      <c r="R694" s="473">
        <v>45660</v>
      </c>
      <c r="S694" s="472"/>
      <c r="T694" s="473">
        <v>45657</v>
      </c>
      <c r="U694" s="474">
        <v>0</v>
      </c>
      <c r="V694" s="475">
        <v>7.32</v>
      </c>
      <c r="W694" s="260">
        <v>45627</v>
      </c>
    </row>
    <row r="695" spans="1:23" hidden="1" x14ac:dyDescent="0.35">
      <c r="A695" s="472" t="s">
        <v>526</v>
      </c>
      <c r="B695" s="472" t="s">
        <v>159</v>
      </c>
      <c r="C695" s="472" t="s">
        <v>302</v>
      </c>
      <c r="D695" s="472" t="s">
        <v>343</v>
      </c>
      <c r="E695" s="472" t="s">
        <v>293</v>
      </c>
      <c r="F695" s="472" t="s">
        <v>276</v>
      </c>
      <c r="G695" s="472" t="s">
        <v>527</v>
      </c>
      <c r="H695" s="472"/>
      <c r="I695" s="472" t="s">
        <v>277</v>
      </c>
      <c r="J695" s="472" t="s">
        <v>522</v>
      </c>
      <c r="K695" s="472" t="s">
        <v>303</v>
      </c>
      <c r="L695" s="472" t="s">
        <v>602</v>
      </c>
      <c r="M695" s="472" t="s">
        <v>285</v>
      </c>
      <c r="N695" s="472"/>
      <c r="O695" s="472"/>
      <c r="P695" s="472" t="s">
        <v>522</v>
      </c>
      <c r="Q695" s="472"/>
      <c r="R695" s="473">
        <v>45660</v>
      </c>
      <c r="S695" s="472"/>
      <c r="T695" s="473">
        <v>45657</v>
      </c>
      <c r="U695" s="474">
        <v>0</v>
      </c>
      <c r="V695" s="475">
        <v>5.34</v>
      </c>
      <c r="W695" s="260">
        <v>45627</v>
      </c>
    </row>
    <row r="696" spans="1:23" hidden="1" x14ac:dyDescent="0.35">
      <c r="A696" s="472" t="s">
        <v>526</v>
      </c>
      <c r="B696" s="472" t="s">
        <v>159</v>
      </c>
      <c r="C696" s="472" t="s">
        <v>286</v>
      </c>
      <c r="D696" s="472" t="s">
        <v>344</v>
      </c>
      <c r="E696" s="472" t="s">
        <v>296</v>
      </c>
      <c r="F696" s="472" t="s">
        <v>276</v>
      </c>
      <c r="G696" s="472" t="s">
        <v>527</v>
      </c>
      <c r="H696" s="472"/>
      <c r="I696" s="472" t="s">
        <v>277</v>
      </c>
      <c r="J696" s="472" t="s">
        <v>522</v>
      </c>
      <c r="K696" s="472" t="s">
        <v>297</v>
      </c>
      <c r="L696" s="472" t="s">
        <v>602</v>
      </c>
      <c r="M696" s="472" t="s">
        <v>285</v>
      </c>
      <c r="N696" s="472"/>
      <c r="O696" s="472"/>
      <c r="P696" s="472" t="s">
        <v>522</v>
      </c>
      <c r="Q696" s="472"/>
      <c r="R696" s="473">
        <v>45660</v>
      </c>
      <c r="S696" s="472"/>
      <c r="T696" s="473">
        <v>45657</v>
      </c>
      <c r="U696" s="474">
        <v>0</v>
      </c>
      <c r="V696" s="475">
        <v>731.98</v>
      </c>
      <c r="W696" s="260">
        <v>45627</v>
      </c>
    </row>
    <row r="697" spans="1:23" hidden="1" x14ac:dyDescent="0.35">
      <c r="A697" s="472" t="s">
        <v>526</v>
      </c>
      <c r="B697" s="472" t="s">
        <v>159</v>
      </c>
      <c r="C697" s="472" t="s">
        <v>302</v>
      </c>
      <c r="D697" s="472" t="s">
        <v>344</v>
      </c>
      <c r="E697" s="472" t="s">
        <v>296</v>
      </c>
      <c r="F697" s="472" t="s">
        <v>276</v>
      </c>
      <c r="G697" s="472" t="s">
        <v>527</v>
      </c>
      <c r="H697" s="472"/>
      <c r="I697" s="472" t="s">
        <v>277</v>
      </c>
      <c r="J697" s="472" t="s">
        <v>522</v>
      </c>
      <c r="K697" s="472" t="s">
        <v>303</v>
      </c>
      <c r="L697" s="472" t="s">
        <v>602</v>
      </c>
      <c r="M697" s="472" t="s">
        <v>285</v>
      </c>
      <c r="N697" s="472"/>
      <c r="O697" s="472"/>
      <c r="P697" s="472" t="s">
        <v>522</v>
      </c>
      <c r="Q697" s="472"/>
      <c r="R697" s="473">
        <v>45660</v>
      </c>
      <c r="S697" s="472"/>
      <c r="T697" s="473">
        <v>45657</v>
      </c>
      <c r="U697" s="474">
        <v>0</v>
      </c>
      <c r="V697" s="475">
        <v>9.2200000000000006</v>
      </c>
      <c r="W697" s="260">
        <v>45627</v>
      </c>
    </row>
    <row r="698" spans="1:23" hidden="1" x14ac:dyDescent="0.35">
      <c r="A698" s="472" t="s">
        <v>526</v>
      </c>
      <c r="B698" s="472" t="s">
        <v>159</v>
      </c>
      <c r="C698" s="472" t="s">
        <v>302</v>
      </c>
      <c r="D698" s="472" t="s">
        <v>344</v>
      </c>
      <c r="E698" s="472" t="s">
        <v>296</v>
      </c>
      <c r="F698" s="472" t="s">
        <v>276</v>
      </c>
      <c r="G698" s="472" t="s">
        <v>527</v>
      </c>
      <c r="H698" s="472"/>
      <c r="I698" s="472" t="s">
        <v>277</v>
      </c>
      <c r="J698" s="472" t="s">
        <v>522</v>
      </c>
      <c r="K698" s="472" t="s">
        <v>303</v>
      </c>
      <c r="L698" s="472" t="s">
        <v>602</v>
      </c>
      <c r="M698" s="472" t="s">
        <v>285</v>
      </c>
      <c r="N698" s="472"/>
      <c r="O698" s="472"/>
      <c r="P698" s="472" t="s">
        <v>522</v>
      </c>
      <c r="Q698" s="472"/>
      <c r="R698" s="473">
        <v>45660</v>
      </c>
      <c r="S698" s="472"/>
      <c r="T698" s="473">
        <v>45657</v>
      </c>
      <c r="U698" s="474">
        <v>0</v>
      </c>
      <c r="V698" s="475">
        <v>7.02</v>
      </c>
      <c r="W698" s="260">
        <v>45627</v>
      </c>
    </row>
    <row r="699" spans="1:23" hidden="1" x14ac:dyDescent="0.35">
      <c r="A699" s="472" t="s">
        <v>526</v>
      </c>
      <c r="B699" s="472" t="s">
        <v>159</v>
      </c>
      <c r="C699" s="472" t="s">
        <v>584</v>
      </c>
      <c r="D699" s="472" t="s">
        <v>585</v>
      </c>
      <c r="E699" s="472" t="s">
        <v>586</v>
      </c>
      <c r="F699" s="472" t="s">
        <v>276</v>
      </c>
      <c r="G699" s="472" t="s">
        <v>527</v>
      </c>
      <c r="H699" s="472" t="s">
        <v>533</v>
      </c>
      <c r="I699" s="472" t="s">
        <v>277</v>
      </c>
      <c r="J699" s="472" t="s">
        <v>522</v>
      </c>
      <c r="K699" s="472" t="s">
        <v>587</v>
      </c>
      <c r="L699" s="472" t="s">
        <v>602</v>
      </c>
      <c r="M699" s="472" t="s">
        <v>535</v>
      </c>
      <c r="N699" s="472"/>
      <c r="O699" s="472"/>
      <c r="P699" s="472" t="s">
        <v>522</v>
      </c>
      <c r="Q699" s="472"/>
      <c r="R699" s="473">
        <v>45621</v>
      </c>
      <c r="S699" s="472" t="s">
        <v>278</v>
      </c>
      <c r="T699" s="473">
        <v>45630</v>
      </c>
      <c r="U699" s="474">
        <v>5</v>
      </c>
      <c r="V699" s="475">
        <v>516.79999999999995</v>
      </c>
      <c r="W699" s="260">
        <v>45627</v>
      </c>
    </row>
    <row r="700" spans="1:23" hidden="1" x14ac:dyDescent="0.35">
      <c r="A700" s="472" t="s">
        <v>526</v>
      </c>
      <c r="B700" s="472" t="s">
        <v>159</v>
      </c>
      <c r="C700" s="472" t="s">
        <v>584</v>
      </c>
      <c r="D700" s="472" t="s">
        <v>585</v>
      </c>
      <c r="E700" s="472" t="s">
        <v>586</v>
      </c>
      <c r="F700" s="472" t="s">
        <v>276</v>
      </c>
      <c r="G700" s="472" t="s">
        <v>527</v>
      </c>
      <c r="H700" s="472" t="s">
        <v>533</v>
      </c>
      <c r="I700" s="472" t="s">
        <v>277</v>
      </c>
      <c r="J700" s="472" t="s">
        <v>522</v>
      </c>
      <c r="K700" s="472" t="s">
        <v>587</v>
      </c>
      <c r="L700" s="472" t="s">
        <v>602</v>
      </c>
      <c r="M700" s="472" t="s">
        <v>535</v>
      </c>
      <c r="N700" s="472"/>
      <c r="O700" s="472"/>
      <c r="P700" s="472" t="s">
        <v>522</v>
      </c>
      <c r="Q700" s="472"/>
      <c r="R700" s="473">
        <v>45622</v>
      </c>
      <c r="S700" s="472" t="s">
        <v>278</v>
      </c>
      <c r="T700" s="473">
        <v>45630</v>
      </c>
      <c r="U700" s="474">
        <v>8</v>
      </c>
      <c r="V700" s="475">
        <v>826.88</v>
      </c>
      <c r="W700" s="260">
        <v>45627</v>
      </c>
    </row>
    <row r="701" spans="1:23" hidden="1" x14ac:dyDescent="0.35">
      <c r="A701" s="472" t="s">
        <v>526</v>
      </c>
      <c r="B701" s="472" t="s">
        <v>159</v>
      </c>
      <c r="C701" s="472" t="s">
        <v>584</v>
      </c>
      <c r="D701" s="472" t="s">
        <v>585</v>
      </c>
      <c r="E701" s="472" t="s">
        <v>586</v>
      </c>
      <c r="F701" s="472" t="s">
        <v>276</v>
      </c>
      <c r="G701" s="472" t="s">
        <v>527</v>
      </c>
      <c r="H701" s="472" t="s">
        <v>533</v>
      </c>
      <c r="I701" s="472" t="s">
        <v>277</v>
      </c>
      <c r="J701" s="472" t="s">
        <v>522</v>
      </c>
      <c r="K701" s="472" t="s">
        <v>587</v>
      </c>
      <c r="L701" s="472" t="s">
        <v>602</v>
      </c>
      <c r="M701" s="472" t="s">
        <v>535</v>
      </c>
      <c r="N701" s="472"/>
      <c r="O701" s="472"/>
      <c r="P701" s="472" t="s">
        <v>522</v>
      </c>
      <c r="Q701" s="472"/>
      <c r="R701" s="473">
        <v>45623</v>
      </c>
      <c r="S701" s="472" t="s">
        <v>278</v>
      </c>
      <c r="T701" s="473">
        <v>45630</v>
      </c>
      <c r="U701" s="474">
        <v>8</v>
      </c>
      <c r="V701" s="475">
        <v>826.88</v>
      </c>
      <c r="W701" s="260">
        <v>45627</v>
      </c>
    </row>
    <row r="702" spans="1:23" hidden="1" x14ac:dyDescent="0.35">
      <c r="A702" s="472" t="s">
        <v>526</v>
      </c>
      <c r="B702" s="472" t="s">
        <v>159</v>
      </c>
      <c r="C702" s="472" t="s">
        <v>584</v>
      </c>
      <c r="D702" s="472" t="s">
        <v>585</v>
      </c>
      <c r="E702" s="472" t="s">
        <v>586</v>
      </c>
      <c r="F702" s="472" t="s">
        <v>276</v>
      </c>
      <c r="G702" s="472" t="s">
        <v>527</v>
      </c>
      <c r="H702" s="472" t="s">
        <v>533</v>
      </c>
      <c r="I702" s="472" t="s">
        <v>277</v>
      </c>
      <c r="J702" s="472" t="s">
        <v>522</v>
      </c>
      <c r="K702" s="472" t="s">
        <v>587</v>
      </c>
      <c r="L702" s="472" t="s">
        <v>602</v>
      </c>
      <c r="M702" s="472" t="s">
        <v>535</v>
      </c>
      <c r="N702" s="472"/>
      <c r="O702" s="472"/>
      <c r="P702" s="472" t="s">
        <v>522</v>
      </c>
      <c r="Q702" s="472"/>
      <c r="R702" s="473">
        <v>45629</v>
      </c>
      <c r="S702" s="472" t="s">
        <v>278</v>
      </c>
      <c r="T702" s="473">
        <v>45632</v>
      </c>
      <c r="U702" s="474">
        <v>5</v>
      </c>
      <c r="V702" s="475">
        <v>516.79999999999995</v>
      </c>
      <c r="W702" s="260">
        <v>45627</v>
      </c>
    </row>
    <row r="703" spans="1:23" hidden="1" x14ac:dyDescent="0.35">
      <c r="A703" s="472" t="s">
        <v>526</v>
      </c>
      <c r="B703" s="472" t="s">
        <v>159</v>
      </c>
      <c r="C703" s="472" t="s">
        <v>584</v>
      </c>
      <c r="D703" s="472" t="s">
        <v>585</v>
      </c>
      <c r="E703" s="472" t="s">
        <v>586</v>
      </c>
      <c r="F703" s="472" t="s">
        <v>276</v>
      </c>
      <c r="G703" s="472" t="s">
        <v>527</v>
      </c>
      <c r="H703" s="472" t="s">
        <v>533</v>
      </c>
      <c r="I703" s="472" t="s">
        <v>277</v>
      </c>
      <c r="J703" s="472" t="s">
        <v>522</v>
      </c>
      <c r="K703" s="472" t="s">
        <v>587</v>
      </c>
      <c r="L703" s="472" t="s">
        <v>602</v>
      </c>
      <c r="M703" s="472" t="s">
        <v>535</v>
      </c>
      <c r="N703" s="472"/>
      <c r="O703" s="472"/>
      <c r="P703" s="472" t="s">
        <v>522</v>
      </c>
      <c r="Q703" s="472"/>
      <c r="R703" s="473">
        <v>45631</v>
      </c>
      <c r="S703" s="472" t="s">
        <v>278</v>
      </c>
      <c r="T703" s="473">
        <v>45632</v>
      </c>
      <c r="U703" s="474">
        <v>6</v>
      </c>
      <c r="V703" s="475">
        <v>620.16</v>
      </c>
      <c r="W703" s="260">
        <v>45627</v>
      </c>
    </row>
    <row r="704" spans="1:23" hidden="1" x14ac:dyDescent="0.35">
      <c r="A704" s="472" t="s">
        <v>526</v>
      </c>
      <c r="B704" s="472" t="s">
        <v>159</v>
      </c>
      <c r="C704" s="472" t="s">
        <v>584</v>
      </c>
      <c r="D704" s="472" t="s">
        <v>585</v>
      </c>
      <c r="E704" s="472" t="s">
        <v>586</v>
      </c>
      <c r="F704" s="472" t="s">
        <v>276</v>
      </c>
      <c r="G704" s="472" t="s">
        <v>527</v>
      </c>
      <c r="H704" s="472" t="s">
        <v>533</v>
      </c>
      <c r="I704" s="472" t="s">
        <v>277</v>
      </c>
      <c r="J704" s="472" t="s">
        <v>522</v>
      </c>
      <c r="K704" s="472" t="s">
        <v>587</v>
      </c>
      <c r="L704" s="472" t="s">
        <v>602</v>
      </c>
      <c r="M704" s="472" t="s">
        <v>535</v>
      </c>
      <c r="N704" s="472"/>
      <c r="O704" s="472"/>
      <c r="P704" s="472" t="s">
        <v>522</v>
      </c>
      <c r="Q704" s="472"/>
      <c r="R704" s="473">
        <v>45630</v>
      </c>
      <c r="S704" s="472" t="s">
        <v>278</v>
      </c>
      <c r="T704" s="473">
        <v>45632</v>
      </c>
      <c r="U704" s="474">
        <v>8</v>
      </c>
      <c r="V704" s="475">
        <v>826.88</v>
      </c>
      <c r="W704" s="260">
        <v>45627</v>
      </c>
    </row>
    <row r="705" spans="1:23" hidden="1" x14ac:dyDescent="0.35">
      <c r="A705" s="472" t="s">
        <v>526</v>
      </c>
      <c r="B705" s="472" t="s">
        <v>159</v>
      </c>
      <c r="C705" s="472" t="s">
        <v>584</v>
      </c>
      <c r="D705" s="472" t="s">
        <v>585</v>
      </c>
      <c r="E705" s="472" t="s">
        <v>586</v>
      </c>
      <c r="F705" s="472" t="s">
        <v>276</v>
      </c>
      <c r="G705" s="472" t="s">
        <v>527</v>
      </c>
      <c r="H705" s="472" t="s">
        <v>533</v>
      </c>
      <c r="I705" s="472" t="s">
        <v>277</v>
      </c>
      <c r="J705" s="472" t="s">
        <v>522</v>
      </c>
      <c r="K705" s="472" t="s">
        <v>587</v>
      </c>
      <c r="L705" s="472" t="s">
        <v>602</v>
      </c>
      <c r="M705" s="472" t="s">
        <v>535</v>
      </c>
      <c r="N705" s="472"/>
      <c r="O705" s="472"/>
      <c r="P705" s="472" t="s">
        <v>522</v>
      </c>
      <c r="Q705" s="472"/>
      <c r="R705" s="473">
        <v>45628</v>
      </c>
      <c r="S705" s="472" t="s">
        <v>278</v>
      </c>
      <c r="T705" s="473">
        <v>45632</v>
      </c>
      <c r="U705" s="474">
        <v>4</v>
      </c>
      <c r="V705" s="475">
        <v>413.44</v>
      </c>
      <c r="W705" s="260">
        <v>45627</v>
      </c>
    </row>
    <row r="706" spans="1:23" hidden="1" x14ac:dyDescent="0.35">
      <c r="A706" s="472" t="s">
        <v>526</v>
      </c>
      <c r="B706" s="472" t="s">
        <v>159</v>
      </c>
      <c r="C706" s="472" t="s">
        <v>584</v>
      </c>
      <c r="D706" s="472" t="s">
        <v>585</v>
      </c>
      <c r="E706" s="472" t="s">
        <v>586</v>
      </c>
      <c r="F706" s="472" t="s">
        <v>276</v>
      </c>
      <c r="G706" s="472" t="s">
        <v>527</v>
      </c>
      <c r="H706" s="472" t="s">
        <v>533</v>
      </c>
      <c r="I706" s="472" t="s">
        <v>277</v>
      </c>
      <c r="J706" s="472" t="s">
        <v>522</v>
      </c>
      <c r="K706" s="472" t="s">
        <v>587</v>
      </c>
      <c r="L706" s="472" t="s">
        <v>602</v>
      </c>
      <c r="M706" s="472" t="s">
        <v>535</v>
      </c>
      <c r="N706" s="472"/>
      <c r="O706" s="472"/>
      <c r="P706" s="472" t="s">
        <v>522</v>
      </c>
      <c r="Q706" s="472"/>
      <c r="R706" s="473">
        <v>45636</v>
      </c>
      <c r="S706" s="472" t="s">
        <v>278</v>
      </c>
      <c r="T706" s="473">
        <v>45642</v>
      </c>
      <c r="U706" s="474">
        <v>7</v>
      </c>
      <c r="V706" s="475">
        <v>723.52</v>
      </c>
      <c r="W706" s="260">
        <v>45627</v>
      </c>
    </row>
    <row r="707" spans="1:23" hidden="1" x14ac:dyDescent="0.35">
      <c r="A707" s="472" t="s">
        <v>526</v>
      </c>
      <c r="B707" s="472" t="s">
        <v>159</v>
      </c>
      <c r="C707" s="472" t="s">
        <v>584</v>
      </c>
      <c r="D707" s="472" t="s">
        <v>585</v>
      </c>
      <c r="E707" s="472" t="s">
        <v>586</v>
      </c>
      <c r="F707" s="472" t="s">
        <v>276</v>
      </c>
      <c r="G707" s="472" t="s">
        <v>527</v>
      </c>
      <c r="H707" s="472" t="s">
        <v>533</v>
      </c>
      <c r="I707" s="472" t="s">
        <v>277</v>
      </c>
      <c r="J707" s="472" t="s">
        <v>522</v>
      </c>
      <c r="K707" s="472" t="s">
        <v>587</v>
      </c>
      <c r="L707" s="472" t="s">
        <v>602</v>
      </c>
      <c r="M707" s="472" t="s">
        <v>535</v>
      </c>
      <c r="N707" s="472"/>
      <c r="O707" s="472"/>
      <c r="P707" s="472" t="s">
        <v>522</v>
      </c>
      <c r="Q707" s="472"/>
      <c r="R707" s="473">
        <v>45637</v>
      </c>
      <c r="S707" s="472" t="s">
        <v>278</v>
      </c>
      <c r="T707" s="473">
        <v>45642</v>
      </c>
      <c r="U707" s="474">
        <v>7</v>
      </c>
      <c r="V707" s="475">
        <v>723.52</v>
      </c>
      <c r="W707" s="260">
        <v>45627</v>
      </c>
    </row>
    <row r="708" spans="1:23" hidden="1" x14ac:dyDescent="0.35">
      <c r="A708" s="472" t="s">
        <v>526</v>
      </c>
      <c r="B708" s="472" t="s">
        <v>159</v>
      </c>
      <c r="C708" s="472" t="s">
        <v>584</v>
      </c>
      <c r="D708" s="472" t="s">
        <v>585</v>
      </c>
      <c r="E708" s="472" t="s">
        <v>586</v>
      </c>
      <c r="F708" s="472" t="s">
        <v>276</v>
      </c>
      <c r="G708" s="472" t="s">
        <v>527</v>
      </c>
      <c r="H708" s="472" t="s">
        <v>533</v>
      </c>
      <c r="I708" s="472" t="s">
        <v>277</v>
      </c>
      <c r="J708" s="472" t="s">
        <v>522</v>
      </c>
      <c r="K708" s="472" t="s">
        <v>587</v>
      </c>
      <c r="L708" s="472" t="s">
        <v>602</v>
      </c>
      <c r="M708" s="472" t="s">
        <v>535</v>
      </c>
      <c r="N708" s="472"/>
      <c r="O708" s="472"/>
      <c r="P708" s="472" t="s">
        <v>522</v>
      </c>
      <c r="Q708" s="472"/>
      <c r="R708" s="473">
        <v>45638</v>
      </c>
      <c r="S708" s="472" t="s">
        <v>278</v>
      </c>
      <c r="T708" s="473">
        <v>45642</v>
      </c>
      <c r="U708" s="474">
        <v>8</v>
      </c>
      <c r="V708" s="475">
        <v>826.88</v>
      </c>
      <c r="W708" s="260">
        <v>45627</v>
      </c>
    </row>
    <row r="709" spans="1:23" hidden="1" x14ac:dyDescent="0.35">
      <c r="A709" s="472" t="s">
        <v>526</v>
      </c>
      <c r="B709" s="472" t="s">
        <v>159</v>
      </c>
      <c r="C709" s="472" t="s">
        <v>584</v>
      </c>
      <c r="D709" s="472" t="s">
        <v>585</v>
      </c>
      <c r="E709" s="472" t="s">
        <v>586</v>
      </c>
      <c r="F709" s="472" t="s">
        <v>276</v>
      </c>
      <c r="G709" s="472" t="s">
        <v>527</v>
      </c>
      <c r="H709" s="472" t="s">
        <v>533</v>
      </c>
      <c r="I709" s="472" t="s">
        <v>277</v>
      </c>
      <c r="J709" s="472" t="s">
        <v>522</v>
      </c>
      <c r="K709" s="472" t="s">
        <v>587</v>
      </c>
      <c r="L709" s="472" t="s">
        <v>602</v>
      </c>
      <c r="M709" s="472" t="s">
        <v>535</v>
      </c>
      <c r="N709" s="472"/>
      <c r="O709" s="472"/>
      <c r="P709" s="472" t="s">
        <v>522</v>
      </c>
      <c r="Q709" s="472"/>
      <c r="R709" s="473">
        <v>45639</v>
      </c>
      <c r="S709" s="472" t="s">
        <v>278</v>
      </c>
      <c r="T709" s="473">
        <v>45642</v>
      </c>
      <c r="U709" s="474">
        <v>8</v>
      </c>
      <c r="V709" s="475">
        <v>826.88</v>
      </c>
      <c r="W709" s="260">
        <v>45627</v>
      </c>
    </row>
    <row r="710" spans="1:23" hidden="1" x14ac:dyDescent="0.35">
      <c r="A710" s="472" t="s">
        <v>526</v>
      </c>
      <c r="B710" s="472" t="s">
        <v>159</v>
      </c>
      <c r="C710" s="472" t="s">
        <v>584</v>
      </c>
      <c r="D710" s="472" t="s">
        <v>585</v>
      </c>
      <c r="E710" s="472" t="s">
        <v>586</v>
      </c>
      <c r="F710" s="472" t="s">
        <v>276</v>
      </c>
      <c r="G710" s="472" t="s">
        <v>527</v>
      </c>
      <c r="H710" s="472" t="s">
        <v>533</v>
      </c>
      <c r="I710" s="472" t="s">
        <v>277</v>
      </c>
      <c r="J710" s="472" t="s">
        <v>522</v>
      </c>
      <c r="K710" s="472" t="s">
        <v>587</v>
      </c>
      <c r="L710" s="472" t="s">
        <v>602</v>
      </c>
      <c r="M710" s="472" t="s">
        <v>535</v>
      </c>
      <c r="N710" s="472"/>
      <c r="O710" s="472"/>
      <c r="P710" s="472" t="s">
        <v>522</v>
      </c>
      <c r="Q710" s="472"/>
      <c r="R710" s="473">
        <v>45635</v>
      </c>
      <c r="S710" s="472" t="s">
        <v>278</v>
      </c>
      <c r="T710" s="473">
        <v>45642</v>
      </c>
      <c r="U710" s="474">
        <v>6</v>
      </c>
      <c r="V710" s="475">
        <v>620.16</v>
      </c>
      <c r="W710" s="260">
        <v>45627</v>
      </c>
    </row>
    <row r="711" spans="1:23" hidden="1" x14ac:dyDescent="0.35">
      <c r="A711" s="472" t="s">
        <v>526</v>
      </c>
      <c r="B711" s="472" t="s">
        <v>159</v>
      </c>
      <c r="C711" s="472" t="s">
        <v>584</v>
      </c>
      <c r="D711" s="472" t="s">
        <v>585</v>
      </c>
      <c r="E711" s="472" t="s">
        <v>586</v>
      </c>
      <c r="F711" s="472" t="s">
        <v>276</v>
      </c>
      <c r="G711" s="472" t="s">
        <v>527</v>
      </c>
      <c r="H711" s="472" t="s">
        <v>533</v>
      </c>
      <c r="I711" s="472" t="s">
        <v>277</v>
      </c>
      <c r="J711" s="472" t="s">
        <v>522</v>
      </c>
      <c r="K711" s="472" t="s">
        <v>587</v>
      </c>
      <c r="L711" s="472" t="s">
        <v>602</v>
      </c>
      <c r="M711" s="472" t="s">
        <v>535</v>
      </c>
      <c r="N711" s="472"/>
      <c r="O711" s="472"/>
      <c r="P711" s="472" t="s">
        <v>522</v>
      </c>
      <c r="Q711" s="472"/>
      <c r="R711" s="473">
        <v>45643</v>
      </c>
      <c r="S711" s="472" t="s">
        <v>278</v>
      </c>
      <c r="T711" s="473">
        <v>45652</v>
      </c>
      <c r="U711" s="474">
        <v>6</v>
      </c>
      <c r="V711" s="475">
        <v>620.16</v>
      </c>
      <c r="W711" s="260">
        <v>45627</v>
      </c>
    </row>
    <row r="712" spans="1:23" hidden="1" x14ac:dyDescent="0.35">
      <c r="A712" s="472" t="s">
        <v>526</v>
      </c>
      <c r="B712" s="472" t="s">
        <v>159</v>
      </c>
      <c r="C712" s="472" t="s">
        <v>584</v>
      </c>
      <c r="D712" s="472" t="s">
        <v>585</v>
      </c>
      <c r="E712" s="472" t="s">
        <v>586</v>
      </c>
      <c r="F712" s="472" t="s">
        <v>276</v>
      </c>
      <c r="G712" s="472" t="s">
        <v>527</v>
      </c>
      <c r="H712" s="472" t="s">
        <v>533</v>
      </c>
      <c r="I712" s="472" t="s">
        <v>277</v>
      </c>
      <c r="J712" s="472" t="s">
        <v>522</v>
      </c>
      <c r="K712" s="472" t="s">
        <v>587</v>
      </c>
      <c r="L712" s="472" t="s">
        <v>602</v>
      </c>
      <c r="M712" s="472" t="s">
        <v>535</v>
      </c>
      <c r="N712" s="472"/>
      <c r="O712" s="472"/>
      <c r="P712" s="472" t="s">
        <v>522</v>
      </c>
      <c r="Q712" s="472"/>
      <c r="R712" s="473">
        <v>45645</v>
      </c>
      <c r="S712" s="472" t="s">
        <v>278</v>
      </c>
      <c r="T712" s="473">
        <v>45652</v>
      </c>
      <c r="U712" s="474">
        <v>4</v>
      </c>
      <c r="V712" s="475">
        <v>413.44</v>
      </c>
      <c r="W712" s="260">
        <v>45627</v>
      </c>
    </row>
    <row r="713" spans="1:23" hidden="1" x14ac:dyDescent="0.35">
      <c r="A713" s="472" t="s">
        <v>526</v>
      </c>
      <c r="B713" s="472" t="s">
        <v>159</v>
      </c>
      <c r="C713" s="472" t="s">
        <v>584</v>
      </c>
      <c r="D713" s="472" t="s">
        <v>585</v>
      </c>
      <c r="E713" s="472" t="s">
        <v>586</v>
      </c>
      <c r="F713" s="472" t="s">
        <v>276</v>
      </c>
      <c r="G713" s="472" t="s">
        <v>527</v>
      </c>
      <c r="H713" s="472" t="s">
        <v>533</v>
      </c>
      <c r="I713" s="472" t="s">
        <v>277</v>
      </c>
      <c r="J713" s="472" t="s">
        <v>522</v>
      </c>
      <c r="K713" s="472" t="s">
        <v>587</v>
      </c>
      <c r="L713" s="472" t="s">
        <v>602</v>
      </c>
      <c r="M713" s="472" t="s">
        <v>535</v>
      </c>
      <c r="N713" s="472"/>
      <c r="O713" s="472"/>
      <c r="P713" s="472" t="s">
        <v>522</v>
      </c>
      <c r="Q713" s="472"/>
      <c r="R713" s="473">
        <v>45644</v>
      </c>
      <c r="S713" s="472" t="s">
        <v>278</v>
      </c>
      <c r="T713" s="473">
        <v>45652</v>
      </c>
      <c r="U713" s="474">
        <v>7</v>
      </c>
      <c r="V713" s="475">
        <v>723.52</v>
      </c>
      <c r="W713" s="260">
        <v>45627</v>
      </c>
    </row>
    <row r="714" spans="1:23" hidden="1" x14ac:dyDescent="0.35">
      <c r="A714" s="472" t="s">
        <v>526</v>
      </c>
      <c r="B714" s="472" t="s">
        <v>159</v>
      </c>
      <c r="C714" s="472" t="s">
        <v>584</v>
      </c>
      <c r="D714" s="472" t="s">
        <v>585</v>
      </c>
      <c r="E714" s="472" t="s">
        <v>586</v>
      </c>
      <c r="F714" s="472" t="s">
        <v>276</v>
      </c>
      <c r="G714" s="472" t="s">
        <v>527</v>
      </c>
      <c r="H714" s="472" t="s">
        <v>533</v>
      </c>
      <c r="I714" s="472" t="s">
        <v>277</v>
      </c>
      <c r="J714" s="472" t="s">
        <v>522</v>
      </c>
      <c r="K714" s="472" t="s">
        <v>587</v>
      </c>
      <c r="L714" s="472" t="s">
        <v>602</v>
      </c>
      <c r="M714" s="472" t="s">
        <v>535</v>
      </c>
      <c r="N714" s="472"/>
      <c r="O714" s="472"/>
      <c r="P714" s="472" t="s">
        <v>522</v>
      </c>
      <c r="Q714" s="472"/>
      <c r="R714" s="473">
        <v>45642</v>
      </c>
      <c r="S714" s="472" t="s">
        <v>278</v>
      </c>
      <c r="T714" s="473">
        <v>45652</v>
      </c>
      <c r="U714" s="474">
        <v>4</v>
      </c>
      <c r="V714" s="475">
        <v>413.44</v>
      </c>
      <c r="W714" s="260">
        <v>45627</v>
      </c>
    </row>
    <row r="715" spans="1:23" hidden="1" x14ac:dyDescent="0.35">
      <c r="A715" s="472" t="s">
        <v>526</v>
      </c>
      <c r="B715" s="472" t="s">
        <v>159</v>
      </c>
      <c r="C715" s="472" t="s">
        <v>584</v>
      </c>
      <c r="D715" s="472" t="s">
        <v>585</v>
      </c>
      <c r="E715" s="472" t="s">
        <v>586</v>
      </c>
      <c r="F715" s="472" t="s">
        <v>276</v>
      </c>
      <c r="G715" s="472" t="s">
        <v>527</v>
      </c>
      <c r="H715" s="472" t="s">
        <v>533</v>
      </c>
      <c r="I715" s="472" t="s">
        <v>277</v>
      </c>
      <c r="J715" s="472" t="s">
        <v>522</v>
      </c>
      <c r="K715" s="472" t="s">
        <v>587</v>
      </c>
      <c r="L715" s="472" t="s">
        <v>602</v>
      </c>
      <c r="M715" s="472" t="s">
        <v>535</v>
      </c>
      <c r="N715" s="472"/>
      <c r="O715" s="472"/>
      <c r="P715" s="472" t="s">
        <v>522</v>
      </c>
      <c r="Q715" s="472"/>
      <c r="R715" s="473">
        <v>45646</v>
      </c>
      <c r="S715" s="472" t="s">
        <v>278</v>
      </c>
      <c r="T715" s="473">
        <v>45652</v>
      </c>
      <c r="U715" s="474">
        <v>6</v>
      </c>
      <c r="V715" s="475">
        <v>620.16</v>
      </c>
      <c r="W715" s="260">
        <v>45627</v>
      </c>
    </row>
    <row r="716" spans="1:23" hidden="1" x14ac:dyDescent="0.35">
      <c r="A716" s="472" t="s">
        <v>526</v>
      </c>
      <c r="B716" s="472" t="s">
        <v>159</v>
      </c>
      <c r="C716" s="472" t="s">
        <v>584</v>
      </c>
      <c r="D716" s="472" t="s">
        <v>585</v>
      </c>
      <c r="E716" s="472" t="s">
        <v>586</v>
      </c>
      <c r="F716" s="472" t="s">
        <v>276</v>
      </c>
      <c r="G716" s="472" t="s">
        <v>527</v>
      </c>
      <c r="H716" s="472" t="s">
        <v>533</v>
      </c>
      <c r="I716" s="472" t="s">
        <v>277</v>
      </c>
      <c r="J716" s="472" t="s">
        <v>522</v>
      </c>
      <c r="K716" s="472" t="s">
        <v>587</v>
      </c>
      <c r="L716" s="472" t="s">
        <v>602</v>
      </c>
      <c r="M716" s="472" t="s">
        <v>535</v>
      </c>
      <c r="N716" s="472"/>
      <c r="O716" s="472"/>
      <c r="P716" s="472" t="s">
        <v>522</v>
      </c>
      <c r="Q716" s="472"/>
      <c r="R716" s="473">
        <v>45649</v>
      </c>
      <c r="S716" s="472" t="s">
        <v>278</v>
      </c>
      <c r="T716" s="473">
        <v>45652</v>
      </c>
      <c r="U716" s="474">
        <v>6</v>
      </c>
      <c r="V716" s="475">
        <v>620.16</v>
      </c>
      <c r="W716" s="260">
        <v>45627</v>
      </c>
    </row>
    <row r="717" spans="1:23" hidden="1" x14ac:dyDescent="0.35">
      <c r="A717" s="472" t="s">
        <v>526</v>
      </c>
      <c r="B717" s="472" t="s">
        <v>159</v>
      </c>
      <c r="C717" s="472" t="s">
        <v>584</v>
      </c>
      <c r="D717" s="472" t="s">
        <v>585</v>
      </c>
      <c r="E717" s="472" t="s">
        <v>586</v>
      </c>
      <c r="F717" s="472" t="s">
        <v>276</v>
      </c>
      <c r="G717" s="472" t="s">
        <v>527</v>
      </c>
      <c r="H717" s="472" t="s">
        <v>533</v>
      </c>
      <c r="I717" s="472" t="s">
        <v>277</v>
      </c>
      <c r="J717" s="472" t="s">
        <v>522</v>
      </c>
      <c r="K717" s="472" t="s">
        <v>587</v>
      </c>
      <c r="L717" s="472" t="s">
        <v>602</v>
      </c>
      <c r="M717" s="472" t="s">
        <v>535</v>
      </c>
      <c r="N717" s="472"/>
      <c r="O717" s="472"/>
      <c r="P717" s="472" t="s">
        <v>522</v>
      </c>
      <c r="Q717" s="472"/>
      <c r="R717" s="473">
        <v>45657</v>
      </c>
      <c r="S717" s="472" t="s">
        <v>278</v>
      </c>
      <c r="T717" s="473">
        <v>45657</v>
      </c>
      <c r="U717" s="474">
        <v>4</v>
      </c>
      <c r="V717" s="475">
        <v>413.44</v>
      </c>
      <c r="W717" s="260">
        <v>45627</v>
      </c>
    </row>
    <row r="718" spans="1:23" hidden="1" x14ac:dyDescent="0.35">
      <c r="A718" s="472" t="s">
        <v>526</v>
      </c>
      <c r="B718" s="472" t="s">
        <v>53</v>
      </c>
      <c r="C718" s="472"/>
      <c r="D718" s="472" t="s">
        <v>385</v>
      </c>
      <c r="E718" s="472" t="s">
        <v>386</v>
      </c>
      <c r="F718" s="472" t="s">
        <v>276</v>
      </c>
      <c r="G718" s="472" t="s">
        <v>527</v>
      </c>
      <c r="H718" s="472"/>
      <c r="I718" s="472" t="s">
        <v>277</v>
      </c>
      <c r="J718" s="472" t="s">
        <v>524</v>
      </c>
      <c r="K718" s="472"/>
      <c r="L718" s="472" t="s">
        <v>602</v>
      </c>
      <c r="M718" s="472" t="s">
        <v>285</v>
      </c>
      <c r="N718" s="472" t="s">
        <v>605</v>
      </c>
      <c r="O718" s="472" t="s">
        <v>606</v>
      </c>
      <c r="P718" s="472" t="s">
        <v>524</v>
      </c>
      <c r="Q718" s="472" t="s">
        <v>387</v>
      </c>
      <c r="R718" s="473">
        <v>45611</v>
      </c>
      <c r="S718" s="472" t="s">
        <v>388</v>
      </c>
      <c r="T718" s="473">
        <v>45644</v>
      </c>
      <c r="U718" s="476">
        <v>1</v>
      </c>
      <c r="V718" s="475">
        <v>909.42</v>
      </c>
      <c r="W718" s="260">
        <v>45627</v>
      </c>
    </row>
    <row r="719" spans="1:23" hidden="1" x14ac:dyDescent="0.35">
      <c r="A719" s="472" t="s">
        <v>526</v>
      </c>
      <c r="B719" s="472" t="s">
        <v>53</v>
      </c>
      <c r="C719" s="472"/>
      <c r="D719" s="472" t="s">
        <v>385</v>
      </c>
      <c r="E719" s="472" t="s">
        <v>386</v>
      </c>
      <c r="F719" s="472" t="s">
        <v>276</v>
      </c>
      <c r="G719" s="472" t="s">
        <v>527</v>
      </c>
      <c r="H719" s="472"/>
      <c r="I719" s="472" t="s">
        <v>277</v>
      </c>
      <c r="J719" s="472" t="s">
        <v>524</v>
      </c>
      <c r="K719" s="472"/>
      <c r="L719" s="472" t="s">
        <v>602</v>
      </c>
      <c r="M719" s="472" t="s">
        <v>285</v>
      </c>
      <c r="N719" s="472" t="s">
        <v>607</v>
      </c>
      <c r="O719" s="472" t="s">
        <v>606</v>
      </c>
      <c r="P719" s="472" t="s">
        <v>524</v>
      </c>
      <c r="Q719" s="472" t="s">
        <v>387</v>
      </c>
      <c r="R719" s="473">
        <v>45626</v>
      </c>
      <c r="S719" s="472" t="s">
        <v>388</v>
      </c>
      <c r="T719" s="473">
        <v>45645</v>
      </c>
      <c r="U719" s="476">
        <v>1</v>
      </c>
      <c r="V719" s="475">
        <v>909.42</v>
      </c>
      <c r="W719" s="260">
        <v>45627</v>
      </c>
    </row>
    <row r="720" spans="1:23" hidden="1" x14ac:dyDescent="0.35">
      <c r="A720" s="472" t="s">
        <v>526</v>
      </c>
      <c r="B720" s="472" t="s">
        <v>53</v>
      </c>
      <c r="C720" s="472"/>
      <c r="D720" s="472" t="s">
        <v>575</v>
      </c>
      <c r="E720" s="472" t="s">
        <v>576</v>
      </c>
      <c r="F720" s="472" t="s">
        <v>588</v>
      </c>
      <c r="G720" s="472" t="s">
        <v>527</v>
      </c>
      <c r="H720" s="472"/>
      <c r="I720" s="472" t="s">
        <v>277</v>
      </c>
      <c r="J720" s="472" t="s">
        <v>524</v>
      </c>
      <c r="K720" s="472"/>
      <c r="L720" s="472" t="s">
        <v>602</v>
      </c>
      <c r="M720" s="472" t="s">
        <v>285</v>
      </c>
      <c r="N720" s="472"/>
      <c r="O720" s="472" t="s">
        <v>601</v>
      </c>
      <c r="P720" s="472" t="s">
        <v>524</v>
      </c>
      <c r="Q720" s="472" t="s">
        <v>589</v>
      </c>
      <c r="R720" s="473">
        <v>45621</v>
      </c>
      <c r="S720" s="472"/>
      <c r="T720" s="473">
        <v>45627</v>
      </c>
      <c r="U720" s="474">
        <v>0</v>
      </c>
      <c r="V720" s="475">
        <v>-51250</v>
      </c>
      <c r="W720" s="260">
        <v>45627</v>
      </c>
    </row>
    <row r="721" spans="1:23" hidden="1" x14ac:dyDescent="0.35">
      <c r="A721" s="472" t="s">
        <v>526</v>
      </c>
      <c r="B721" s="472" t="s">
        <v>53</v>
      </c>
      <c r="C721" s="472"/>
      <c r="D721" s="472" t="s">
        <v>575</v>
      </c>
      <c r="E721" s="472" t="s">
        <v>576</v>
      </c>
      <c r="F721" s="472" t="s">
        <v>276</v>
      </c>
      <c r="G721" s="472" t="s">
        <v>527</v>
      </c>
      <c r="H721" s="472"/>
      <c r="I721" s="472" t="s">
        <v>277</v>
      </c>
      <c r="J721" s="472" t="s">
        <v>524</v>
      </c>
      <c r="K721" s="472"/>
      <c r="L721" s="472" t="s">
        <v>602</v>
      </c>
      <c r="M721" s="472" t="s">
        <v>285</v>
      </c>
      <c r="N721" s="472"/>
      <c r="O721" s="472" t="s">
        <v>608</v>
      </c>
      <c r="P721" s="472" t="s">
        <v>524</v>
      </c>
      <c r="Q721" s="472" t="s">
        <v>400</v>
      </c>
      <c r="R721" s="473">
        <v>45650</v>
      </c>
      <c r="S721" s="472"/>
      <c r="T721" s="473">
        <v>45657</v>
      </c>
      <c r="U721" s="474">
        <v>0</v>
      </c>
      <c r="V721" s="475">
        <v>320</v>
      </c>
      <c r="W721" s="260">
        <v>45627</v>
      </c>
    </row>
    <row r="722" spans="1:23" hidden="1" x14ac:dyDescent="0.35">
      <c r="A722" s="472" t="s">
        <v>526</v>
      </c>
      <c r="B722" s="472" t="s">
        <v>53</v>
      </c>
      <c r="C722" s="472"/>
      <c r="D722" s="472" t="s">
        <v>575</v>
      </c>
      <c r="E722" s="472" t="s">
        <v>576</v>
      </c>
      <c r="F722" s="472" t="s">
        <v>276</v>
      </c>
      <c r="G722" s="472" t="s">
        <v>527</v>
      </c>
      <c r="H722" s="472"/>
      <c r="I722" s="472" t="s">
        <v>277</v>
      </c>
      <c r="J722" s="472" t="s">
        <v>524</v>
      </c>
      <c r="K722" s="472"/>
      <c r="L722" s="472" t="s">
        <v>602</v>
      </c>
      <c r="M722" s="472" t="s">
        <v>285</v>
      </c>
      <c r="N722" s="472"/>
      <c r="O722" s="472" t="s">
        <v>601</v>
      </c>
      <c r="P722" s="472" t="s">
        <v>524</v>
      </c>
      <c r="Q722" s="472" t="s">
        <v>400</v>
      </c>
      <c r="R722" s="473">
        <v>45650</v>
      </c>
      <c r="S722" s="472"/>
      <c r="T722" s="473">
        <v>45657</v>
      </c>
      <c r="U722" s="474">
        <v>0</v>
      </c>
      <c r="V722" s="475">
        <v>31070</v>
      </c>
      <c r="W722" s="260">
        <v>45627</v>
      </c>
    </row>
    <row r="723" spans="1:23" hidden="1" x14ac:dyDescent="0.35">
      <c r="A723" s="472" t="s">
        <v>526</v>
      </c>
      <c r="B723" s="472" t="s">
        <v>53</v>
      </c>
      <c r="C723" s="472"/>
      <c r="D723" s="472" t="s">
        <v>575</v>
      </c>
      <c r="E723" s="472" t="s">
        <v>576</v>
      </c>
      <c r="F723" s="472" t="s">
        <v>276</v>
      </c>
      <c r="G723" s="472" t="s">
        <v>527</v>
      </c>
      <c r="H723" s="472"/>
      <c r="I723" s="472" t="s">
        <v>277</v>
      </c>
      <c r="J723" s="472" t="s">
        <v>524</v>
      </c>
      <c r="K723" s="472"/>
      <c r="L723" s="472" t="s">
        <v>602</v>
      </c>
      <c r="M723" s="472" t="s">
        <v>285</v>
      </c>
      <c r="N723" s="472"/>
      <c r="O723" s="472" t="s">
        <v>601</v>
      </c>
      <c r="P723" s="472" t="s">
        <v>524</v>
      </c>
      <c r="Q723" s="472" t="s">
        <v>400</v>
      </c>
      <c r="R723" s="473">
        <v>45650</v>
      </c>
      <c r="S723" s="472"/>
      <c r="T723" s="473">
        <v>45657</v>
      </c>
      <c r="U723" s="474">
        <v>0</v>
      </c>
      <c r="V723" s="475">
        <v>51250</v>
      </c>
      <c r="W723" s="260">
        <v>45627</v>
      </c>
    </row>
    <row r="724" spans="1:23" hidden="1" x14ac:dyDescent="0.35">
      <c r="A724" s="472" t="s">
        <v>526</v>
      </c>
      <c r="B724" s="472" t="s">
        <v>53</v>
      </c>
      <c r="C724" s="472"/>
      <c r="D724" s="472" t="s">
        <v>575</v>
      </c>
      <c r="E724" s="472" t="s">
        <v>576</v>
      </c>
      <c r="F724" s="472" t="s">
        <v>276</v>
      </c>
      <c r="G724" s="472" t="s">
        <v>527</v>
      </c>
      <c r="H724" s="472"/>
      <c r="I724" s="472" t="s">
        <v>277</v>
      </c>
      <c r="J724" s="472" t="s">
        <v>524</v>
      </c>
      <c r="K724" s="472"/>
      <c r="L724" s="472" t="s">
        <v>602</v>
      </c>
      <c r="M724" s="472" t="s">
        <v>285</v>
      </c>
      <c r="N724" s="472"/>
      <c r="O724" s="472" t="s">
        <v>601</v>
      </c>
      <c r="P724" s="472" t="s">
        <v>524</v>
      </c>
      <c r="Q724" s="472" t="s">
        <v>400</v>
      </c>
      <c r="R724" s="473">
        <v>45650</v>
      </c>
      <c r="S724" s="472"/>
      <c r="T724" s="473">
        <v>45657</v>
      </c>
      <c r="U724" s="474">
        <v>0</v>
      </c>
      <c r="V724" s="475">
        <v>18950</v>
      </c>
      <c r="W724" s="260">
        <v>45627</v>
      </c>
    </row>
    <row r="725" spans="1:23" hidden="1" x14ac:dyDescent="0.35">
      <c r="A725" s="472" t="s">
        <v>526</v>
      </c>
      <c r="B725" s="472" t="s">
        <v>53</v>
      </c>
      <c r="C725" s="472"/>
      <c r="D725" s="472" t="s">
        <v>575</v>
      </c>
      <c r="E725" s="472" t="s">
        <v>576</v>
      </c>
      <c r="F725" s="472" t="s">
        <v>588</v>
      </c>
      <c r="G725" s="472" t="s">
        <v>356</v>
      </c>
      <c r="H725" s="472"/>
      <c r="I725" s="472" t="s">
        <v>277</v>
      </c>
      <c r="J725" s="472" t="s">
        <v>577</v>
      </c>
      <c r="K725" s="472"/>
      <c r="L725" s="472" t="s">
        <v>357</v>
      </c>
      <c r="M725" s="472" t="s">
        <v>285</v>
      </c>
      <c r="N725" s="472"/>
      <c r="O725" s="472" t="s">
        <v>591</v>
      </c>
      <c r="P725" s="472" t="s">
        <v>577</v>
      </c>
      <c r="Q725" s="472" t="s">
        <v>589</v>
      </c>
      <c r="R725" s="473">
        <v>45650</v>
      </c>
      <c r="S725" s="472"/>
      <c r="T725" s="473">
        <v>45658</v>
      </c>
      <c r="U725" s="474">
        <v>0</v>
      </c>
      <c r="V725" s="475">
        <v>-16250</v>
      </c>
      <c r="W725" s="260">
        <v>45658</v>
      </c>
    </row>
    <row r="726" spans="1:23" hidden="1" x14ac:dyDescent="0.35">
      <c r="A726" s="472" t="s">
        <v>526</v>
      </c>
      <c r="B726" s="472" t="s">
        <v>53</v>
      </c>
      <c r="C726" s="472"/>
      <c r="D726" s="472" t="s">
        <v>575</v>
      </c>
      <c r="E726" s="472" t="s">
        <v>576</v>
      </c>
      <c r="F726" s="472" t="s">
        <v>588</v>
      </c>
      <c r="G726" s="472" t="s">
        <v>356</v>
      </c>
      <c r="H726" s="472"/>
      <c r="I726" s="472" t="s">
        <v>277</v>
      </c>
      <c r="J726" s="472" t="s">
        <v>577</v>
      </c>
      <c r="K726" s="472"/>
      <c r="L726" s="472" t="s">
        <v>357</v>
      </c>
      <c r="M726" s="472" t="s">
        <v>285</v>
      </c>
      <c r="N726" s="472"/>
      <c r="O726" s="472" t="s">
        <v>591</v>
      </c>
      <c r="P726" s="472" t="s">
        <v>577</v>
      </c>
      <c r="Q726" s="472" t="s">
        <v>589</v>
      </c>
      <c r="R726" s="473">
        <v>45650</v>
      </c>
      <c r="S726" s="472"/>
      <c r="T726" s="473">
        <v>45658</v>
      </c>
      <c r="U726" s="474">
        <v>0</v>
      </c>
      <c r="V726" s="475">
        <v>-109700</v>
      </c>
      <c r="W726" s="260">
        <v>45658</v>
      </c>
    </row>
    <row r="727" spans="1:23" hidden="1" x14ac:dyDescent="0.35">
      <c r="A727" s="472" t="s">
        <v>526</v>
      </c>
      <c r="B727" s="472" t="s">
        <v>53</v>
      </c>
      <c r="C727" s="472"/>
      <c r="D727" s="472" t="s">
        <v>575</v>
      </c>
      <c r="E727" s="472" t="s">
        <v>576</v>
      </c>
      <c r="F727" s="472" t="s">
        <v>276</v>
      </c>
      <c r="G727" s="472" t="s">
        <v>356</v>
      </c>
      <c r="H727" s="472"/>
      <c r="I727" s="472" t="s">
        <v>277</v>
      </c>
      <c r="J727" s="472" t="s">
        <v>577</v>
      </c>
      <c r="K727" s="472"/>
      <c r="L727" s="472" t="s">
        <v>357</v>
      </c>
      <c r="M727" s="472" t="s">
        <v>285</v>
      </c>
      <c r="N727" s="472"/>
      <c r="O727" s="472" t="s">
        <v>591</v>
      </c>
      <c r="P727" s="472" t="s">
        <v>577</v>
      </c>
      <c r="Q727" s="472" t="s">
        <v>400</v>
      </c>
      <c r="R727" s="473">
        <v>45685</v>
      </c>
      <c r="S727" s="472"/>
      <c r="T727" s="473">
        <v>45688</v>
      </c>
      <c r="U727" s="474">
        <v>0</v>
      </c>
      <c r="V727" s="475">
        <v>16250</v>
      </c>
      <c r="W727" s="260">
        <v>45658</v>
      </c>
    </row>
    <row r="728" spans="1:23" hidden="1" x14ac:dyDescent="0.35">
      <c r="A728" s="472" t="s">
        <v>526</v>
      </c>
      <c r="B728" s="472" t="s">
        <v>53</v>
      </c>
      <c r="C728" s="472"/>
      <c r="D728" s="472" t="s">
        <v>575</v>
      </c>
      <c r="E728" s="472" t="s">
        <v>576</v>
      </c>
      <c r="F728" s="472" t="s">
        <v>276</v>
      </c>
      <c r="G728" s="472" t="s">
        <v>356</v>
      </c>
      <c r="H728" s="472"/>
      <c r="I728" s="472" t="s">
        <v>277</v>
      </c>
      <c r="J728" s="578" t="s">
        <v>577</v>
      </c>
      <c r="K728" s="472"/>
      <c r="L728" s="472" t="s">
        <v>357</v>
      </c>
      <c r="M728" s="472" t="s">
        <v>285</v>
      </c>
      <c r="N728" s="472"/>
      <c r="O728" s="472">
        <v>5000055979</v>
      </c>
      <c r="P728" s="472" t="s">
        <v>577</v>
      </c>
      <c r="Q728" s="472" t="s">
        <v>400</v>
      </c>
      <c r="R728" s="473">
        <v>45685</v>
      </c>
      <c r="S728" s="472"/>
      <c r="T728" s="473">
        <v>45688</v>
      </c>
      <c r="U728" s="474">
        <v>0</v>
      </c>
      <c r="V728" s="475">
        <v>109700</v>
      </c>
      <c r="W728" s="260">
        <v>45658</v>
      </c>
    </row>
    <row r="729" spans="1:23" hidden="1" x14ac:dyDescent="0.35">
      <c r="A729" s="472" t="s">
        <v>526</v>
      </c>
      <c r="B729" s="472" t="s">
        <v>159</v>
      </c>
      <c r="C729" s="472" t="s">
        <v>281</v>
      </c>
      <c r="D729" s="472" t="s">
        <v>282</v>
      </c>
      <c r="E729" s="472" t="s">
        <v>283</v>
      </c>
      <c r="F729" s="472" t="s">
        <v>276</v>
      </c>
      <c r="G729" s="472" t="s">
        <v>356</v>
      </c>
      <c r="H729" s="472"/>
      <c r="I729" s="472" t="s">
        <v>277</v>
      </c>
      <c r="J729" s="472" t="s">
        <v>522</v>
      </c>
      <c r="K729" s="472" t="s">
        <v>284</v>
      </c>
      <c r="L729" s="472" t="s">
        <v>357</v>
      </c>
      <c r="M729" s="472" t="s">
        <v>285</v>
      </c>
      <c r="N729" s="472"/>
      <c r="O729" s="472"/>
      <c r="P729" s="472" t="s">
        <v>522</v>
      </c>
      <c r="Q729" s="472"/>
      <c r="R729" s="473">
        <v>45691</v>
      </c>
      <c r="S729" s="472"/>
      <c r="T729" s="473">
        <v>45688</v>
      </c>
      <c r="U729" s="474">
        <v>0</v>
      </c>
      <c r="V729" s="475">
        <v>952.77</v>
      </c>
      <c r="W729" s="260">
        <v>45658</v>
      </c>
    </row>
    <row r="730" spans="1:23" hidden="1" x14ac:dyDescent="0.35">
      <c r="A730" s="472" t="s">
        <v>526</v>
      </c>
      <c r="B730" s="472" t="s">
        <v>159</v>
      </c>
      <c r="C730" s="472" t="s">
        <v>286</v>
      </c>
      <c r="D730" s="472" t="s">
        <v>287</v>
      </c>
      <c r="E730" s="472" t="s">
        <v>288</v>
      </c>
      <c r="F730" s="472" t="s">
        <v>276</v>
      </c>
      <c r="G730" s="472" t="s">
        <v>356</v>
      </c>
      <c r="H730" s="472"/>
      <c r="I730" s="472" t="s">
        <v>277</v>
      </c>
      <c r="J730" s="472" t="s">
        <v>522</v>
      </c>
      <c r="K730" s="472" t="s">
        <v>289</v>
      </c>
      <c r="L730" s="472" t="s">
        <v>357</v>
      </c>
      <c r="M730" s="472" t="s">
        <v>285</v>
      </c>
      <c r="N730" s="472"/>
      <c r="O730" s="472"/>
      <c r="P730" s="472" t="s">
        <v>522</v>
      </c>
      <c r="Q730" s="472"/>
      <c r="R730" s="473">
        <v>45691</v>
      </c>
      <c r="S730" s="472"/>
      <c r="T730" s="473">
        <v>45688</v>
      </c>
      <c r="U730" s="474">
        <v>0</v>
      </c>
      <c r="V730" s="475">
        <v>2672.53</v>
      </c>
      <c r="W730" s="260">
        <v>45658</v>
      </c>
    </row>
    <row r="731" spans="1:23" hidden="1" x14ac:dyDescent="0.35">
      <c r="A731" s="472" t="s">
        <v>526</v>
      </c>
      <c r="B731" s="472" t="s">
        <v>159</v>
      </c>
      <c r="C731" s="472" t="s">
        <v>281</v>
      </c>
      <c r="D731" s="472" t="s">
        <v>290</v>
      </c>
      <c r="E731" s="472" t="s">
        <v>291</v>
      </c>
      <c r="F731" s="472" t="s">
        <v>276</v>
      </c>
      <c r="G731" s="472" t="s">
        <v>356</v>
      </c>
      <c r="H731" s="472"/>
      <c r="I731" s="472" t="s">
        <v>277</v>
      </c>
      <c r="J731" s="472" t="s">
        <v>522</v>
      </c>
      <c r="K731" s="472" t="s">
        <v>284</v>
      </c>
      <c r="L731" s="472" t="s">
        <v>357</v>
      </c>
      <c r="M731" s="472" t="s">
        <v>285</v>
      </c>
      <c r="N731" s="472"/>
      <c r="O731" s="472"/>
      <c r="P731" s="472" t="s">
        <v>522</v>
      </c>
      <c r="Q731" s="472"/>
      <c r="R731" s="473">
        <v>45691</v>
      </c>
      <c r="S731" s="472"/>
      <c r="T731" s="473">
        <v>45688</v>
      </c>
      <c r="U731" s="474">
        <v>0</v>
      </c>
      <c r="V731" s="475">
        <v>615.72</v>
      </c>
      <c r="W731" s="260">
        <v>45658</v>
      </c>
    </row>
    <row r="732" spans="1:23" hidden="1" x14ac:dyDescent="0.35">
      <c r="A732" s="472" t="s">
        <v>526</v>
      </c>
      <c r="B732" s="472" t="s">
        <v>159</v>
      </c>
      <c r="C732" s="472" t="s">
        <v>281</v>
      </c>
      <c r="D732" s="472" t="s">
        <v>292</v>
      </c>
      <c r="E732" s="472" t="s">
        <v>293</v>
      </c>
      <c r="F732" s="472" t="s">
        <v>276</v>
      </c>
      <c r="G732" s="472" t="s">
        <v>356</v>
      </c>
      <c r="H732" s="472"/>
      <c r="I732" s="472" t="s">
        <v>277</v>
      </c>
      <c r="J732" s="578" t="s">
        <v>522</v>
      </c>
      <c r="K732" s="472" t="s">
        <v>294</v>
      </c>
      <c r="L732" s="472" t="s">
        <v>357</v>
      </c>
      <c r="M732" s="472" t="s">
        <v>285</v>
      </c>
      <c r="N732" s="472"/>
      <c r="O732" s="472"/>
      <c r="P732" s="472" t="s">
        <v>522</v>
      </c>
      <c r="Q732" s="472"/>
      <c r="R732" s="473">
        <v>45691</v>
      </c>
      <c r="S732" s="472"/>
      <c r="T732" s="473">
        <v>45688</v>
      </c>
      <c r="U732" s="474">
        <v>0</v>
      </c>
      <c r="V732" s="475">
        <v>680.74</v>
      </c>
      <c r="W732" s="260">
        <v>45658</v>
      </c>
    </row>
    <row r="733" spans="1:23" hidden="1" x14ac:dyDescent="0.35">
      <c r="A733" s="472" t="s">
        <v>526</v>
      </c>
      <c r="B733" s="472" t="s">
        <v>159</v>
      </c>
      <c r="C733" s="472" t="s">
        <v>286</v>
      </c>
      <c r="D733" s="472" t="s">
        <v>295</v>
      </c>
      <c r="E733" s="472" t="s">
        <v>296</v>
      </c>
      <c r="F733" s="472" t="s">
        <v>276</v>
      </c>
      <c r="G733" s="472" t="s">
        <v>356</v>
      </c>
      <c r="H733" s="472"/>
      <c r="I733" s="472" t="s">
        <v>277</v>
      </c>
      <c r="J733" s="472" t="s">
        <v>522</v>
      </c>
      <c r="K733" s="472" t="s">
        <v>297</v>
      </c>
      <c r="L733" s="472" t="s">
        <v>357</v>
      </c>
      <c r="M733" s="472" t="s">
        <v>285</v>
      </c>
      <c r="N733" s="472"/>
      <c r="O733" s="472"/>
      <c r="P733" s="472" t="s">
        <v>522</v>
      </c>
      <c r="Q733" s="472"/>
      <c r="R733" s="473">
        <v>45691</v>
      </c>
      <c r="S733" s="472"/>
      <c r="T733" s="473">
        <v>45688</v>
      </c>
      <c r="U733" s="474">
        <v>0</v>
      </c>
      <c r="V733" s="475">
        <v>1457.02</v>
      </c>
      <c r="W733" s="260">
        <v>45658</v>
      </c>
    </row>
    <row r="734" spans="1:23" hidden="1" x14ac:dyDescent="0.35">
      <c r="A734" s="472" t="s">
        <v>526</v>
      </c>
      <c r="B734" s="472" t="s">
        <v>159</v>
      </c>
      <c r="C734" s="472" t="s">
        <v>298</v>
      </c>
      <c r="D734" s="472" t="s">
        <v>299</v>
      </c>
      <c r="E734" s="472" t="s">
        <v>300</v>
      </c>
      <c r="F734" s="472" t="s">
        <v>276</v>
      </c>
      <c r="G734" s="472" t="s">
        <v>356</v>
      </c>
      <c r="H734" s="472"/>
      <c r="I734" s="472" t="s">
        <v>277</v>
      </c>
      <c r="J734" s="472" t="s">
        <v>522</v>
      </c>
      <c r="K734" s="472" t="s">
        <v>301</v>
      </c>
      <c r="L734" s="472" t="s">
        <v>357</v>
      </c>
      <c r="M734" s="472" t="s">
        <v>285</v>
      </c>
      <c r="N734" s="472"/>
      <c r="O734" s="472"/>
      <c r="P734" s="472" t="s">
        <v>522</v>
      </c>
      <c r="Q734" s="472"/>
      <c r="R734" s="473">
        <v>45692</v>
      </c>
      <c r="S734" s="472"/>
      <c r="T734" s="473">
        <v>45688</v>
      </c>
      <c r="U734" s="474">
        <v>0</v>
      </c>
      <c r="V734" s="475">
        <v>0.13</v>
      </c>
      <c r="W734" s="260">
        <v>45658</v>
      </c>
    </row>
    <row r="735" spans="1:23" hidden="1" x14ac:dyDescent="0.35">
      <c r="A735" s="472" t="s">
        <v>526</v>
      </c>
      <c r="B735" s="472" t="s">
        <v>159</v>
      </c>
      <c r="C735" s="472" t="s">
        <v>298</v>
      </c>
      <c r="D735" s="472" t="s">
        <v>299</v>
      </c>
      <c r="E735" s="472" t="s">
        <v>300</v>
      </c>
      <c r="F735" s="472" t="s">
        <v>276</v>
      </c>
      <c r="G735" s="472" t="s">
        <v>356</v>
      </c>
      <c r="H735" s="472"/>
      <c r="I735" s="472" t="s">
        <v>277</v>
      </c>
      <c r="J735" s="472" t="s">
        <v>522</v>
      </c>
      <c r="K735" s="472" t="s">
        <v>301</v>
      </c>
      <c r="L735" s="472" t="s">
        <v>357</v>
      </c>
      <c r="M735" s="472" t="s">
        <v>285</v>
      </c>
      <c r="N735" s="472"/>
      <c r="O735" s="472"/>
      <c r="P735" s="472" t="s">
        <v>522</v>
      </c>
      <c r="Q735" s="472"/>
      <c r="R735" s="473">
        <v>45692</v>
      </c>
      <c r="S735" s="472"/>
      <c r="T735" s="473">
        <v>45688</v>
      </c>
      <c r="U735" s="474">
        <v>0</v>
      </c>
      <c r="V735" s="475">
        <v>1.89</v>
      </c>
      <c r="W735" s="260">
        <v>45658</v>
      </c>
    </row>
    <row r="736" spans="1:23" hidden="1" x14ac:dyDescent="0.35">
      <c r="A736" s="472" t="s">
        <v>526</v>
      </c>
      <c r="B736" s="472" t="s">
        <v>159</v>
      </c>
      <c r="C736" s="472" t="s">
        <v>298</v>
      </c>
      <c r="D736" s="472" t="s">
        <v>304</v>
      </c>
      <c r="E736" s="472" t="s">
        <v>305</v>
      </c>
      <c r="F736" s="472" t="s">
        <v>276</v>
      </c>
      <c r="G736" s="472" t="s">
        <v>356</v>
      </c>
      <c r="H736" s="472"/>
      <c r="I736" s="472" t="s">
        <v>277</v>
      </c>
      <c r="J736" s="472" t="s">
        <v>522</v>
      </c>
      <c r="K736" s="472" t="s">
        <v>301</v>
      </c>
      <c r="L736" s="472" t="s">
        <v>357</v>
      </c>
      <c r="M736" s="472" t="s">
        <v>285</v>
      </c>
      <c r="N736" s="472"/>
      <c r="O736" s="472"/>
      <c r="P736" s="472" t="s">
        <v>522</v>
      </c>
      <c r="Q736" s="472"/>
      <c r="R736" s="473">
        <v>45692</v>
      </c>
      <c r="S736" s="472"/>
      <c r="T736" s="473">
        <v>45688</v>
      </c>
      <c r="U736" s="474">
        <v>0</v>
      </c>
      <c r="V736" s="475">
        <v>2.09</v>
      </c>
      <c r="W736" s="260">
        <v>45658</v>
      </c>
    </row>
    <row r="737" spans="1:23" hidden="1" x14ac:dyDescent="0.35">
      <c r="A737" s="472" t="s">
        <v>526</v>
      </c>
      <c r="B737" s="472" t="s">
        <v>159</v>
      </c>
      <c r="C737" s="472" t="s">
        <v>298</v>
      </c>
      <c r="D737" s="472" t="s">
        <v>306</v>
      </c>
      <c r="E737" s="472" t="s">
        <v>307</v>
      </c>
      <c r="F737" s="472" t="s">
        <v>276</v>
      </c>
      <c r="G737" s="472" t="s">
        <v>356</v>
      </c>
      <c r="H737" s="472"/>
      <c r="I737" s="472" t="s">
        <v>277</v>
      </c>
      <c r="J737" s="472" t="s">
        <v>522</v>
      </c>
      <c r="K737" s="472" t="s">
        <v>301</v>
      </c>
      <c r="L737" s="472" t="s">
        <v>357</v>
      </c>
      <c r="M737" s="472" t="s">
        <v>285</v>
      </c>
      <c r="N737" s="472"/>
      <c r="O737" s="472"/>
      <c r="P737" s="472" t="s">
        <v>522</v>
      </c>
      <c r="Q737" s="472"/>
      <c r="R737" s="473">
        <v>45692</v>
      </c>
      <c r="S737" s="472"/>
      <c r="T737" s="473">
        <v>45688</v>
      </c>
      <c r="U737" s="474">
        <v>0</v>
      </c>
      <c r="V737" s="475">
        <v>0.19</v>
      </c>
      <c r="W737" s="260">
        <v>45658</v>
      </c>
    </row>
    <row r="738" spans="1:23" hidden="1" x14ac:dyDescent="0.35">
      <c r="A738" s="472" t="s">
        <v>526</v>
      </c>
      <c r="B738" s="472" t="s">
        <v>159</v>
      </c>
      <c r="C738" s="472" t="s">
        <v>298</v>
      </c>
      <c r="D738" s="472" t="s">
        <v>306</v>
      </c>
      <c r="E738" s="472" t="s">
        <v>307</v>
      </c>
      <c r="F738" s="472" t="s">
        <v>276</v>
      </c>
      <c r="G738" s="472" t="s">
        <v>356</v>
      </c>
      <c r="H738" s="472"/>
      <c r="I738" s="472" t="s">
        <v>277</v>
      </c>
      <c r="J738" s="472" t="s">
        <v>522</v>
      </c>
      <c r="K738" s="472" t="s">
        <v>301</v>
      </c>
      <c r="L738" s="472" t="s">
        <v>357</v>
      </c>
      <c r="M738" s="472" t="s">
        <v>285</v>
      </c>
      <c r="N738" s="472"/>
      <c r="O738" s="472"/>
      <c r="P738" s="472" t="s">
        <v>522</v>
      </c>
      <c r="Q738" s="472"/>
      <c r="R738" s="473">
        <v>45692</v>
      </c>
      <c r="S738" s="472"/>
      <c r="T738" s="473">
        <v>45688</v>
      </c>
      <c r="U738" s="474">
        <v>0</v>
      </c>
      <c r="V738" s="475">
        <v>2.92</v>
      </c>
      <c r="W738" s="260">
        <v>45658</v>
      </c>
    </row>
    <row r="739" spans="1:23" hidden="1" x14ac:dyDescent="0.35">
      <c r="A739" s="472" t="s">
        <v>526</v>
      </c>
      <c r="B739" s="472" t="s">
        <v>159</v>
      </c>
      <c r="C739" s="472" t="s">
        <v>298</v>
      </c>
      <c r="D739" s="472" t="s">
        <v>308</v>
      </c>
      <c r="E739" s="472" t="s">
        <v>309</v>
      </c>
      <c r="F739" s="472" t="s">
        <v>276</v>
      </c>
      <c r="G739" s="472" t="s">
        <v>356</v>
      </c>
      <c r="H739" s="472"/>
      <c r="I739" s="472" t="s">
        <v>277</v>
      </c>
      <c r="J739" s="472" t="s">
        <v>522</v>
      </c>
      <c r="K739" s="472" t="s">
        <v>301</v>
      </c>
      <c r="L739" s="472" t="s">
        <v>357</v>
      </c>
      <c r="M739" s="472" t="s">
        <v>285</v>
      </c>
      <c r="N739" s="472"/>
      <c r="O739" s="472"/>
      <c r="P739" s="472" t="s">
        <v>522</v>
      </c>
      <c r="Q739" s="472"/>
      <c r="R739" s="473">
        <v>45692</v>
      </c>
      <c r="S739" s="472"/>
      <c r="T739" s="473">
        <v>45688</v>
      </c>
      <c r="U739" s="474">
        <v>0</v>
      </c>
      <c r="V739" s="475">
        <v>338.72</v>
      </c>
      <c r="W739" s="260">
        <v>45658</v>
      </c>
    </row>
    <row r="740" spans="1:23" hidden="1" x14ac:dyDescent="0.35">
      <c r="A740" s="472" t="s">
        <v>526</v>
      </c>
      <c r="B740" s="472" t="s">
        <v>159</v>
      </c>
      <c r="C740" s="472" t="s">
        <v>302</v>
      </c>
      <c r="D740" s="472" t="s">
        <v>308</v>
      </c>
      <c r="E740" s="472" t="s">
        <v>309</v>
      </c>
      <c r="F740" s="472" t="s">
        <v>276</v>
      </c>
      <c r="G740" s="472" t="s">
        <v>356</v>
      </c>
      <c r="H740" s="472"/>
      <c r="I740" s="472" t="s">
        <v>277</v>
      </c>
      <c r="J740" s="472" t="s">
        <v>522</v>
      </c>
      <c r="K740" s="472" t="s">
        <v>303</v>
      </c>
      <c r="L740" s="472" t="s">
        <v>357</v>
      </c>
      <c r="M740" s="472" t="s">
        <v>285</v>
      </c>
      <c r="N740" s="472"/>
      <c r="O740" s="472"/>
      <c r="P740" s="472" t="s">
        <v>522</v>
      </c>
      <c r="Q740" s="472"/>
      <c r="R740" s="473">
        <v>45692</v>
      </c>
      <c r="S740" s="472"/>
      <c r="T740" s="473">
        <v>45688</v>
      </c>
      <c r="U740" s="474">
        <v>0</v>
      </c>
      <c r="V740" s="475">
        <v>3955.96</v>
      </c>
      <c r="W740" s="260">
        <v>45658</v>
      </c>
    </row>
    <row r="741" spans="1:23" hidden="1" x14ac:dyDescent="0.35">
      <c r="A741" s="472" t="s">
        <v>526</v>
      </c>
      <c r="B741" s="472" t="s">
        <v>159</v>
      </c>
      <c r="C741" s="472" t="s">
        <v>302</v>
      </c>
      <c r="D741" s="472" t="s">
        <v>310</v>
      </c>
      <c r="E741" s="472" t="s">
        <v>311</v>
      </c>
      <c r="F741" s="472" t="s">
        <v>276</v>
      </c>
      <c r="G741" s="472" t="s">
        <v>356</v>
      </c>
      <c r="H741" s="472"/>
      <c r="I741" s="472" t="s">
        <v>277</v>
      </c>
      <c r="J741" s="472" t="s">
        <v>522</v>
      </c>
      <c r="K741" s="472" t="s">
        <v>303</v>
      </c>
      <c r="L741" s="472" t="s">
        <v>357</v>
      </c>
      <c r="M741" s="472" t="s">
        <v>285</v>
      </c>
      <c r="N741" s="472"/>
      <c r="O741" s="472"/>
      <c r="P741" s="472" t="s">
        <v>522</v>
      </c>
      <c r="Q741" s="472"/>
      <c r="R741" s="473">
        <v>45692</v>
      </c>
      <c r="S741" s="472"/>
      <c r="T741" s="473">
        <v>45688</v>
      </c>
      <c r="U741" s="474">
        <v>0</v>
      </c>
      <c r="V741" s="475">
        <v>2322.16</v>
      </c>
      <c r="W741" s="260">
        <v>45658</v>
      </c>
    </row>
    <row r="742" spans="1:23" hidden="1" x14ac:dyDescent="0.35">
      <c r="A742" s="472" t="s">
        <v>526</v>
      </c>
      <c r="B742" s="472" t="s">
        <v>159</v>
      </c>
      <c r="C742" s="472" t="s">
        <v>298</v>
      </c>
      <c r="D742" s="472" t="s">
        <v>312</v>
      </c>
      <c r="E742" s="472" t="s">
        <v>313</v>
      </c>
      <c r="F742" s="472" t="s">
        <v>276</v>
      </c>
      <c r="G742" s="472" t="s">
        <v>356</v>
      </c>
      <c r="H742" s="472"/>
      <c r="I742" s="472" t="s">
        <v>277</v>
      </c>
      <c r="J742" s="472" t="s">
        <v>522</v>
      </c>
      <c r="K742" s="472" t="s">
        <v>301</v>
      </c>
      <c r="L742" s="472" t="s">
        <v>357</v>
      </c>
      <c r="M742" s="472" t="s">
        <v>285</v>
      </c>
      <c r="N742" s="472"/>
      <c r="O742" s="472"/>
      <c r="P742" s="472" t="s">
        <v>522</v>
      </c>
      <c r="Q742" s="472"/>
      <c r="R742" s="473">
        <v>45692</v>
      </c>
      <c r="S742" s="472"/>
      <c r="T742" s="473">
        <v>45688</v>
      </c>
      <c r="U742" s="474">
        <v>0</v>
      </c>
      <c r="V742" s="475">
        <v>117.02</v>
      </c>
      <c r="W742" s="260">
        <v>45658</v>
      </c>
    </row>
    <row r="743" spans="1:23" hidden="1" x14ac:dyDescent="0.35">
      <c r="A743" s="472" t="s">
        <v>526</v>
      </c>
      <c r="B743" s="472" t="s">
        <v>159</v>
      </c>
      <c r="C743" s="472" t="s">
        <v>298</v>
      </c>
      <c r="D743" s="472" t="s">
        <v>314</v>
      </c>
      <c r="E743" s="472" t="s">
        <v>315</v>
      </c>
      <c r="F743" s="472" t="s">
        <v>276</v>
      </c>
      <c r="G743" s="472" t="s">
        <v>356</v>
      </c>
      <c r="H743" s="472"/>
      <c r="I743" s="472" t="s">
        <v>277</v>
      </c>
      <c r="J743" s="472" t="s">
        <v>522</v>
      </c>
      <c r="K743" s="472" t="s">
        <v>301</v>
      </c>
      <c r="L743" s="472" t="s">
        <v>357</v>
      </c>
      <c r="M743" s="472" t="s">
        <v>285</v>
      </c>
      <c r="N743" s="472"/>
      <c r="O743" s="472"/>
      <c r="P743" s="472" t="s">
        <v>522</v>
      </c>
      <c r="Q743" s="472"/>
      <c r="R743" s="473">
        <v>45692</v>
      </c>
      <c r="S743" s="472"/>
      <c r="T743" s="473">
        <v>45688</v>
      </c>
      <c r="U743" s="474">
        <v>0</v>
      </c>
      <c r="V743" s="475">
        <v>119.16</v>
      </c>
      <c r="W743" s="260">
        <v>45658</v>
      </c>
    </row>
    <row r="744" spans="1:23" hidden="1" x14ac:dyDescent="0.35">
      <c r="A744" s="472" t="s">
        <v>526</v>
      </c>
      <c r="B744" s="472" t="s">
        <v>159</v>
      </c>
      <c r="C744" s="472" t="s">
        <v>298</v>
      </c>
      <c r="D744" s="472" t="s">
        <v>316</v>
      </c>
      <c r="E744" s="472" t="s">
        <v>317</v>
      </c>
      <c r="F744" s="472" t="s">
        <v>276</v>
      </c>
      <c r="G744" s="472" t="s">
        <v>356</v>
      </c>
      <c r="H744" s="472"/>
      <c r="I744" s="472" t="s">
        <v>277</v>
      </c>
      <c r="J744" s="472" t="s">
        <v>522</v>
      </c>
      <c r="K744" s="472" t="s">
        <v>301</v>
      </c>
      <c r="L744" s="472" t="s">
        <v>357</v>
      </c>
      <c r="M744" s="472" t="s">
        <v>285</v>
      </c>
      <c r="N744" s="472"/>
      <c r="O744" s="472"/>
      <c r="P744" s="472" t="s">
        <v>522</v>
      </c>
      <c r="Q744" s="472"/>
      <c r="R744" s="473">
        <v>45692</v>
      </c>
      <c r="S744" s="472"/>
      <c r="T744" s="473">
        <v>45688</v>
      </c>
      <c r="U744" s="474">
        <v>0</v>
      </c>
      <c r="V744" s="475">
        <v>186.08</v>
      </c>
      <c r="W744" s="260">
        <v>45658</v>
      </c>
    </row>
    <row r="745" spans="1:23" hidden="1" x14ac:dyDescent="0.35">
      <c r="A745" s="472" t="s">
        <v>526</v>
      </c>
      <c r="B745" s="472" t="s">
        <v>159</v>
      </c>
      <c r="C745" s="472" t="s">
        <v>298</v>
      </c>
      <c r="D745" s="472" t="s">
        <v>318</v>
      </c>
      <c r="E745" s="472" t="s">
        <v>319</v>
      </c>
      <c r="F745" s="472" t="s">
        <v>276</v>
      </c>
      <c r="G745" s="472" t="s">
        <v>356</v>
      </c>
      <c r="H745" s="472"/>
      <c r="I745" s="472" t="s">
        <v>277</v>
      </c>
      <c r="J745" s="472" t="s">
        <v>522</v>
      </c>
      <c r="K745" s="472" t="s">
        <v>301</v>
      </c>
      <c r="L745" s="472" t="s">
        <v>357</v>
      </c>
      <c r="M745" s="472" t="s">
        <v>285</v>
      </c>
      <c r="N745" s="472"/>
      <c r="O745" s="472"/>
      <c r="P745" s="472" t="s">
        <v>522</v>
      </c>
      <c r="Q745" s="472"/>
      <c r="R745" s="473">
        <v>45692</v>
      </c>
      <c r="S745" s="472"/>
      <c r="T745" s="473">
        <v>45688</v>
      </c>
      <c r="U745" s="474">
        <v>0</v>
      </c>
      <c r="V745" s="475">
        <v>4.2300000000000004</v>
      </c>
      <c r="W745" s="260">
        <v>45658</v>
      </c>
    </row>
    <row r="746" spans="1:23" hidden="1" x14ac:dyDescent="0.35">
      <c r="A746" s="472" t="s">
        <v>526</v>
      </c>
      <c r="B746" s="472" t="s">
        <v>159</v>
      </c>
      <c r="C746" s="472" t="s">
        <v>298</v>
      </c>
      <c r="D746" s="472" t="s">
        <v>318</v>
      </c>
      <c r="E746" s="472" t="s">
        <v>319</v>
      </c>
      <c r="F746" s="472" t="s">
        <v>276</v>
      </c>
      <c r="G746" s="472" t="s">
        <v>356</v>
      </c>
      <c r="H746" s="472"/>
      <c r="I746" s="472" t="s">
        <v>277</v>
      </c>
      <c r="J746" s="472" t="s">
        <v>522</v>
      </c>
      <c r="K746" s="472" t="s">
        <v>301</v>
      </c>
      <c r="L746" s="472" t="s">
        <v>357</v>
      </c>
      <c r="M746" s="472" t="s">
        <v>285</v>
      </c>
      <c r="N746" s="472"/>
      <c r="O746" s="472"/>
      <c r="P746" s="472" t="s">
        <v>522</v>
      </c>
      <c r="Q746" s="472"/>
      <c r="R746" s="473">
        <v>45692</v>
      </c>
      <c r="S746" s="472"/>
      <c r="T746" s="473">
        <v>45688</v>
      </c>
      <c r="U746" s="474">
        <v>0</v>
      </c>
      <c r="V746" s="475">
        <v>0.7</v>
      </c>
      <c r="W746" s="260">
        <v>45658</v>
      </c>
    </row>
    <row r="747" spans="1:23" hidden="1" x14ac:dyDescent="0.35">
      <c r="A747" s="472" t="s">
        <v>526</v>
      </c>
      <c r="B747" s="472" t="s">
        <v>159</v>
      </c>
      <c r="C747" s="472" t="s">
        <v>298</v>
      </c>
      <c r="D747" s="472" t="s">
        <v>391</v>
      </c>
      <c r="E747" s="472" t="s">
        <v>392</v>
      </c>
      <c r="F747" s="472" t="s">
        <v>276</v>
      </c>
      <c r="G747" s="472" t="s">
        <v>356</v>
      </c>
      <c r="H747" s="472"/>
      <c r="I747" s="472" t="s">
        <v>277</v>
      </c>
      <c r="J747" s="472" t="s">
        <v>522</v>
      </c>
      <c r="K747" s="472" t="s">
        <v>301</v>
      </c>
      <c r="L747" s="472" t="s">
        <v>357</v>
      </c>
      <c r="M747" s="472" t="s">
        <v>285</v>
      </c>
      <c r="N747" s="472"/>
      <c r="O747" s="472"/>
      <c r="P747" s="472" t="s">
        <v>522</v>
      </c>
      <c r="Q747" s="472"/>
      <c r="R747" s="473">
        <v>45692</v>
      </c>
      <c r="S747" s="472"/>
      <c r="T747" s="473">
        <v>45688</v>
      </c>
      <c r="U747" s="474">
        <v>0</v>
      </c>
      <c r="V747" s="475">
        <v>0.05</v>
      </c>
      <c r="W747" s="260">
        <v>45658</v>
      </c>
    </row>
    <row r="748" spans="1:23" hidden="1" x14ac:dyDescent="0.35">
      <c r="A748" s="472" t="s">
        <v>526</v>
      </c>
      <c r="B748" s="472" t="s">
        <v>159</v>
      </c>
      <c r="C748" s="472" t="s">
        <v>298</v>
      </c>
      <c r="D748" s="472" t="s">
        <v>320</v>
      </c>
      <c r="E748" s="472" t="s">
        <v>321</v>
      </c>
      <c r="F748" s="472" t="s">
        <v>276</v>
      </c>
      <c r="G748" s="472" t="s">
        <v>356</v>
      </c>
      <c r="H748" s="472"/>
      <c r="I748" s="472" t="s">
        <v>277</v>
      </c>
      <c r="J748" s="472" t="s">
        <v>522</v>
      </c>
      <c r="K748" s="472" t="s">
        <v>301</v>
      </c>
      <c r="L748" s="472" t="s">
        <v>357</v>
      </c>
      <c r="M748" s="472" t="s">
        <v>285</v>
      </c>
      <c r="N748" s="472"/>
      <c r="O748" s="472"/>
      <c r="P748" s="472" t="s">
        <v>522</v>
      </c>
      <c r="Q748" s="472"/>
      <c r="R748" s="473">
        <v>45692</v>
      </c>
      <c r="S748" s="472"/>
      <c r="T748" s="473">
        <v>45688</v>
      </c>
      <c r="U748" s="474">
        <v>0</v>
      </c>
      <c r="V748" s="475">
        <v>0.2</v>
      </c>
      <c r="W748" s="260">
        <v>45658</v>
      </c>
    </row>
    <row r="749" spans="1:23" hidden="1" x14ac:dyDescent="0.35">
      <c r="A749" s="472" t="s">
        <v>526</v>
      </c>
      <c r="B749" s="472" t="s">
        <v>159</v>
      </c>
      <c r="C749" s="472" t="s">
        <v>298</v>
      </c>
      <c r="D749" s="472" t="s">
        <v>320</v>
      </c>
      <c r="E749" s="472" t="s">
        <v>321</v>
      </c>
      <c r="F749" s="472" t="s">
        <v>276</v>
      </c>
      <c r="G749" s="472" t="s">
        <v>356</v>
      </c>
      <c r="H749" s="472"/>
      <c r="I749" s="472" t="s">
        <v>277</v>
      </c>
      <c r="J749" s="472" t="s">
        <v>522</v>
      </c>
      <c r="K749" s="472" t="s">
        <v>301</v>
      </c>
      <c r="L749" s="472" t="s">
        <v>357</v>
      </c>
      <c r="M749" s="472" t="s">
        <v>285</v>
      </c>
      <c r="N749" s="472"/>
      <c r="O749" s="472"/>
      <c r="P749" s="472" t="s">
        <v>522</v>
      </c>
      <c r="Q749" s="472"/>
      <c r="R749" s="473">
        <v>45692</v>
      </c>
      <c r="S749" s="472"/>
      <c r="T749" s="473">
        <v>45688</v>
      </c>
      <c r="U749" s="474">
        <v>0</v>
      </c>
      <c r="V749" s="475">
        <v>222.23</v>
      </c>
      <c r="W749" s="260">
        <v>45658</v>
      </c>
    </row>
    <row r="750" spans="1:23" hidden="1" x14ac:dyDescent="0.35">
      <c r="A750" s="472" t="s">
        <v>526</v>
      </c>
      <c r="B750" s="472" t="s">
        <v>159</v>
      </c>
      <c r="C750" s="472" t="s">
        <v>298</v>
      </c>
      <c r="D750" s="472" t="s">
        <v>322</v>
      </c>
      <c r="E750" s="472" t="s">
        <v>323</v>
      </c>
      <c r="F750" s="472" t="s">
        <v>276</v>
      </c>
      <c r="G750" s="472" t="s">
        <v>356</v>
      </c>
      <c r="H750" s="472"/>
      <c r="I750" s="472" t="s">
        <v>277</v>
      </c>
      <c r="J750" s="472" t="s">
        <v>522</v>
      </c>
      <c r="K750" s="472" t="s">
        <v>301</v>
      </c>
      <c r="L750" s="472" t="s">
        <v>357</v>
      </c>
      <c r="M750" s="472" t="s">
        <v>285</v>
      </c>
      <c r="N750" s="472"/>
      <c r="O750" s="472"/>
      <c r="P750" s="472" t="s">
        <v>522</v>
      </c>
      <c r="Q750" s="472"/>
      <c r="R750" s="473">
        <v>45692</v>
      </c>
      <c r="S750" s="472"/>
      <c r="T750" s="473">
        <v>45688</v>
      </c>
      <c r="U750" s="474">
        <v>0</v>
      </c>
      <c r="V750" s="475">
        <v>4.1500000000000004</v>
      </c>
      <c r="W750" s="260">
        <v>45658</v>
      </c>
    </row>
    <row r="751" spans="1:23" hidden="1" x14ac:dyDescent="0.35">
      <c r="A751" s="472" t="s">
        <v>526</v>
      </c>
      <c r="B751" s="472" t="s">
        <v>159</v>
      </c>
      <c r="C751" s="472" t="s">
        <v>298</v>
      </c>
      <c r="D751" s="472" t="s">
        <v>322</v>
      </c>
      <c r="E751" s="472" t="s">
        <v>323</v>
      </c>
      <c r="F751" s="472" t="s">
        <v>276</v>
      </c>
      <c r="G751" s="472" t="s">
        <v>356</v>
      </c>
      <c r="H751" s="472"/>
      <c r="I751" s="472" t="s">
        <v>277</v>
      </c>
      <c r="J751" s="472" t="s">
        <v>522</v>
      </c>
      <c r="K751" s="472" t="s">
        <v>301</v>
      </c>
      <c r="L751" s="472" t="s">
        <v>357</v>
      </c>
      <c r="M751" s="472" t="s">
        <v>285</v>
      </c>
      <c r="N751" s="472"/>
      <c r="O751" s="472"/>
      <c r="P751" s="472" t="s">
        <v>522</v>
      </c>
      <c r="Q751" s="472"/>
      <c r="R751" s="473">
        <v>45692</v>
      </c>
      <c r="S751" s="472"/>
      <c r="T751" s="473">
        <v>45688</v>
      </c>
      <c r="U751" s="474">
        <v>0</v>
      </c>
      <c r="V751" s="475">
        <v>1.1000000000000001</v>
      </c>
      <c r="W751" s="260">
        <v>45658</v>
      </c>
    </row>
    <row r="752" spans="1:23" hidden="1" x14ac:dyDescent="0.35">
      <c r="A752" s="472" t="s">
        <v>526</v>
      </c>
      <c r="B752" s="472" t="s">
        <v>159</v>
      </c>
      <c r="C752" s="472" t="s">
        <v>298</v>
      </c>
      <c r="D752" s="472" t="s">
        <v>324</v>
      </c>
      <c r="E752" s="472" t="s">
        <v>325</v>
      </c>
      <c r="F752" s="472" t="s">
        <v>276</v>
      </c>
      <c r="G752" s="472" t="s">
        <v>356</v>
      </c>
      <c r="H752" s="472"/>
      <c r="I752" s="472" t="s">
        <v>277</v>
      </c>
      <c r="J752" s="472" t="s">
        <v>522</v>
      </c>
      <c r="K752" s="472" t="s">
        <v>301</v>
      </c>
      <c r="L752" s="472" t="s">
        <v>357</v>
      </c>
      <c r="M752" s="472" t="s">
        <v>285</v>
      </c>
      <c r="N752" s="472"/>
      <c r="O752" s="472"/>
      <c r="P752" s="472" t="s">
        <v>522</v>
      </c>
      <c r="Q752" s="472"/>
      <c r="R752" s="473">
        <v>45692</v>
      </c>
      <c r="S752" s="472"/>
      <c r="T752" s="473">
        <v>45688</v>
      </c>
      <c r="U752" s="474">
        <v>0</v>
      </c>
      <c r="V752" s="475">
        <v>-637.96</v>
      </c>
      <c r="W752" s="260">
        <v>45658</v>
      </c>
    </row>
    <row r="753" spans="1:23" hidden="1" x14ac:dyDescent="0.35">
      <c r="A753" s="472" t="s">
        <v>526</v>
      </c>
      <c r="B753" s="472" t="s">
        <v>159</v>
      </c>
      <c r="C753" s="472" t="s">
        <v>298</v>
      </c>
      <c r="D753" s="472" t="s">
        <v>324</v>
      </c>
      <c r="E753" s="472" t="s">
        <v>325</v>
      </c>
      <c r="F753" s="472" t="s">
        <v>276</v>
      </c>
      <c r="G753" s="472" t="s">
        <v>356</v>
      </c>
      <c r="H753" s="472"/>
      <c r="I753" s="472" t="s">
        <v>277</v>
      </c>
      <c r="J753" s="472" t="s">
        <v>522</v>
      </c>
      <c r="K753" s="472" t="s">
        <v>301</v>
      </c>
      <c r="L753" s="472" t="s">
        <v>357</v>
      </c>
      <c r="M753" s="472" t="s">
        <v>285</v>
      </c>
      <c r="N753" s="472"/>
      <c r="O753" s="472"/>
      <c r="P753" s="472" t="s">
        <v>522</v>
      </c>
      <c r="Q753" s="472"/>
      <c r="R753" s="473">
        <v>45692</v>
      </c>
      <c r="S753" s="472"/>
      <c r="T753" s="473">
        <v>45688</v>
      </c>
      <c r="U753" s="474">
        <v>0</v>
      </c>
      <c r="V753" s="475">
        <v>637.96</v>
      </c>
      <c r="W753" s="260">
        <v>45658</v>
      </c>
    </row>
    <row r="754" spans="1:23" hidden="1" x14ac:dyDescent="0.35">
      <c r="A754" s="472" t="s">
        <v>526</v>
      </c>
      <c r="B754" s="472" t="s">
        <v>159</v>
      </c>
      <c r="C754" s="472" t="s">
        <v>298</v>
      </c>
      <c r="D754" s="472" t="s">
        <v>324</v>
      </c>
      <c r="E754" s="472" t="s">
        <v>325</v>
      </c>
      <c r="F754" s="472" t="s">
        <v>276</v>
      </c>
      <c r="G754" s="472" t="s">
        <v>356</v>
      </c>
      <c r="H754" s="472"/>
      <c r="I754" s="472" t="s">
        <v>277</v>
      </c>
      <c r="J754" s="472" t="s">
        <v>522</v>
      </c>
      <c r="K754" s="472" t="s">
        <v>301</v>
      </c>
      <c r="L754" s="472" t="s">
        <v>357</v>
      </c>
      <c r="M754" s="472" t="s">
        <v>285</v>
      </c>
      <c r="N754" s="472"/>
      <c r="O754" s="472"/>
      <c r="P754" s="472" t="s">
        <v>522</v>
      </c>
      <c r="Q754" s="472"/>
      <c r="R754" s="473">
        <v>45692</v>
      </c>
      <c r="S754" s="472"/>
      <c r="T754" s="473">
        <v>45688</v>
      </c>
      <c r="U754" s="474">
        <v>0</v>
      </c>
      <c r="V754" s="475">
        <v>637.96</v>
      </c>
      <c r="W754" s="260">
        <v>45658</v>
      </c>
    </row>
    <row r="755" spans="1:23" hidden="1" x14ac:dyDescent="0.35">
      <c r="A755" s="472" t="s">
        <v>526</v>
      </c>
      <c r="B755" s="472" t="s">
        <v>159</v>
      </c>
      <c r="C755" s="472" t="s">
        <v>298</v>
      </c>
      <c r="D755" s="472" t="s">
        <v>326</v>
      </c>
      <c r="E755" s="472" t="s">
        <v>327</v>
      </c>
      <c r="F755" s="472" t="s">
        <v>276</v>
      </c>
      <c r="G755" s="472" t="s">
        <v>356</v>
      </c>
      <c r="H755" s="472"/>
      <c r="I755" s="472" t="s">
        <v>277</v>
      </c>
      <c r="J755" s="472" t="s">
        <v>522</v>
      </c>
      <c r="K755" s="472" t="s">
        <v>301</v>
      </c>
      <c r="L755" s="472" t="s">
        <v>357</v>
      </c>
      <c r="M755" s="472" t="s">
        <v>285</v>
      </c>
      <c r="N755" s="472"/>
      <c r="O755" s="472"/>
      <c r="P755" s="472" t="s">
        <v>522</v>
      </c>
      <c r="Q755" s="472"/>
      <c r="R755" s="473">
        <v>45692</v>
      </c>
      <c r="S755" s="472"/>
      <c r="T755" s="473">
        <v>45688</v>
      </c>
      <c r="U755" s="474">
        <v>0</v>
      </c>
      <c r="V755" s="475">
        <v>2.0099999999999998</v>
      </c>
      <c r="W755" s="260">
        <v>45658</v>
      </c>
    </row>
    <row r="756" spans="1:23" hidden="1" x14ac:dyDescent="0.35">
      <c r="A756" s="472" t="s">
        <v>526</v>
      </c>
      <c r="B756" s="472" t="s">
        <v>159</v>
      </c>
      <c r="C756" s="472" t="s">
        <v>298</v>
      </c>
      <c r="D756" s="472" t="s">
        <v>326</v>
      </c>
      <c r="E756" s="472" t="s">
        <v>327</v>
      </c>
      <c r="F756" s="472" t="s">
        <v>276</v>
      </c>
      <c r="G756" s="472" t="s">
        <v>356</v>
      </c>
      <c r="H756" s="472"/>
      <c r="I756" s="472" t="s">
        <v>277</v>
      </c>
      <c r="J756" s="472" t="s">
        <v>522</v>
      </c>
      <c r="K756" s="472" t="s">
        <v>301</v>
      </c>
      <c r="L756" s="472" t="s">
        <v>357</v>
      </c>
      <c r="M756" s="472" t="s">
        <v>285</v>
      </c>
      <c r="N756" s="472"/>
      <c r="O756" s="472"/>
      <c r="P756" s="472" t="s">
        <v>522</v>
      </c>
      <c r="Q756" s="472"/>
      <c r="R756" s="473">
        <v>45692</v>
      </c>
      <c r="S756" s="472"/>
      <c r="T756" s="473">
        <v>45688</v>
      </c>
      <c r="U756" s="474">
        <v>0</v>
      </c>
      <c r="V756" s="475">
        <v>36.5</v>
      </c>
      <c r="W756" s="260">
        <v>45658</v>
      </c>
    </row>
    <row r="757" spans="1:23" hidden="1" x14ac:dyDescent="0.35">
      <c r="A757" s="472" t="s">
        <v>526</v>
      </c>
      <c r="B757" s="472" t="s">
        <v>159</v>
      </c>
      <c r="C757" s="472" t="s">
        <v>298</v>
      </c>
      <c r="D757" s="472" t="s">
        <v>328</v>
      </c>
      <c r="E757" s="472" t="s">
        <v>329</v>
      </c>
      <c r="F757" s="472" t="s">
        <v>276</v>
      </c>
      <c r="G757" s="472" t="s">
        <v>356</v>
      </c>
      <c r="H757" s="472"/>
      <c r="I757" s="472" t="s">
        <v>277</v>
      </c>
      <c r="J757" s="472" t="s">
        <v>522</v>
      </c>
      <c r="K757" s="472" t="s">
        <v>301</v>
      </c>
      <c r="L757" s="472" t="s">
        <v>357</v>
      </c>
      <c r="M757" s="472" t="s">
        <v>285</v>
      </c>
      <c r="N757" s="472"/>
      <c r="O757" s="472"/>
      <c r="P757" s="472" t="s">
        <v>522</v>
      </c>
      <c r="Q757" s="472"/>
      <c r="R757" s="473">
        <v>45692</v>
      </c>
      <c r="S757" s="472"/>
      <c r="T757" s="473">
        <v>45688</v>
      </c>
      <c r="U757" s="474">
        <v>0</v>
      </c>
      <c r="V757" s="475">
        <v>4500.55</v>
      </c>
      <c r="W757" s="260">
        <v>45658</v>
      </c>
    </row>
    <row r="758" spans="1:23" hidden="1" x14ac:dyDescent="0.35">
      <c r="A758" s="472" t="s">
        <v>526</v>
      </c>
      <c r="B758" s="472" t="s">
        <v>159</v>
      </c>
      <c r="C758" s="472" t="s">
        <v>298</v>
      </c>
      <c r="D758" s="472" t="s">
        <v>330</v>
      </c>
      <c r="E758" s="472" t="s">
        <v>331</v>
      </c>
      <c r="F758" s="472" t="s">
        <v>276</v>
      </c>
      <c r="G758" s="472" t="s">
        <v>356</v>
      </c>
      <c r="H758" s="472"/>
      <c r="I758" s="472" t="s">
        <v>277</v>
      </c>
      <c r="J758" s="472" t="s">
        <v>522</v>
      </c>
      <c r="K758" s="472" t="s">
        <v>301</v>
      </c>
      <c r="L758" s="472" t="s">
        <v>357</v>
      </c>
      <c r="M758" s="472" t="s">
        <v>285</v>
      </c>
      <c r="N758" s="472"/>
      <c r="O758" s="472"/>
      <c r="P758" s="472" t="s">
        <v>522</v>
      </c>
      <c r="Q758" s="472"/>
      <c r="R758" s="473">
        <v>45692</v>
      </c>
      <c r="S758" s="472"/>
      <c r="T758" s="473">
        <v>45688</v>
      </c>
      <c r="U758" s="474">
        <v>0</v>
      </c>
      <c r="V758" s="475">
        <v>-14.9</v>
      </c>
      <c r="W758" s="260">
        <v>45658</v>
      </c>
    </row>
    <row r="759" spans="1:23" hidden="1" x14ac:dyDescent="0.35">
      <c r="A759" s="472" t="s">
        <v>526</v>
      </c>
      <c r="B759" s="472" t="s">
        <v>159</v>
      </c>
      <c r="C759" s="472" t="s">
        <v>298</v>
      </c>
      <c r="D759" s="472" t="s">
        <v>332</v>
      </c>
      <c r="E759" s="472" t="s">
        <v>333</v>
      </c>
      <c r="F759" s="472" t="s">
        <v>276</v>
      </c>
      <c r="G759" s="472" t="s">
        <v>356</v>
      </c>
      <c r="H759" s="472"/>
      <c r="I759" s="472" t="s">
        <v>277</v>
      </c>
      <c r="J759" s="472" t="s">
        <v>522</v>
      </c>
      <c r="K759" s="472" t="s">
        <v>301</v>
      </c>
      <c r="L759" s="472" t="s">
        <v>357</v>
      </c>
      <c r="M759" s="472" t="s">
        <v>285</v>
      </c>
      <c r="N759" s="472"/>
      <c r="O759" s="472"/>
      <c r="P759" s="472" t="s">
        <v>522</v>
      </c>
      <c r="Q759" s="472"/>
      <c r="R759" s="473">
        <v>45692</v>
      </c>
      <c r="S759" s="472"/>
      <c r="T759" s="473">
        <v>45688</v>
      </c>
      <c r="U759" s="474">
        <v>0</v>
      </c>
      <c r="V759" s="475">
        <v>136.07</v>
      </c>
      <c r="W759" s="260">
        <v>45658</v>
      </c>
    </row>
    <row r="760" spans="1:23" hidden="1" x14ac:dyDescent="0.35">
      <c r="A760" s="472" t="s">
        <v>526</v>
      </c>
      <c r="B760" s="472" t="s">
        <v>159</v>
      </c>
      <c r="C760" s="472" t="s">
        <v>298</v>
      </c>
      <c r="D760" s="472" t="s">
        <v>334</v>
      </c>
      <c r="E760" s="472" t="s">
        <v>335</v>
      </c>
      <c r="F760" s="472" t="s">
        <v>276</v>
      </c>
      <c r="G760" s="472" t="s">
        <v>356</v>
      </c>
      <c r="H760" s="472"/>
      <c r="I760" s="472" t="s">
        <v>277</v>
      </c>
      <c r="J760" s="472" t="s">
        <v>522</v>
      </c>
      <c r="K760" s="472" t="s">
        <v>301</v>
      </c>
      <c r="L760" s="472" t="s">
        <v>357</v>
      </c>
      <c r="M760" s="472" t="s">
        <v>285</v>
      </c>
      <c r="N760" s="472"/>
      <c r="O760" s="472"/>
      <c r="P760" s="472" t="s">
        <v>522</v>
      </c>
      <c r="Q760" s="472"/>
      <c r="R760" s="473">
        <v>45692</v>
      </c>
      <c r="S760" s="472"/>
      <c r="T760" s="473">
        <v>45688</v>
      </c>
      <c r="U760" s="474">
        <v>0</v>
      </c>
      <c r="V760" s="475">
        <v>-58.31</v>
      </c>
      <c r="W760" s="260">
        <v>45658</v>
      </c>
    </row>
    <row r="761" spans="1:23" hidden="1" x14ac:dyDescent="0.35">
      <c r="A761" s="472" t="s">
        <v>526</v>
      </c>
      <c r="B761" s="472" t="s">
        <v>159</v>
      </c>
      <c r="C761" s="472" t="s">
        <v>298</v>
      </c>
      <c r="D761" s="472" t="s">
        <v>336</v>
      </c>
      <c r="E761" s="472" t="s">
        <v>337</v>
      </c>
      <c r="F761" s="472" t="s">
        <v>276</v>
      </c>
      <c r="G761" s="472" t="s">
        <v>356</v>
      </c>
      <c r="H761" s="472"/>
      <c r="I761" s="472" t="s">
        <v>277</v>
      </c>
      <c r="J761" s="472" t="s">
        <v>522</v>
      </c>
      <c r="K761" s="472" t="s">
        <v>301</v>
      </c>
      <c r="L761" s="472" t="s">
        <v>357</v>
      </c>
      <c r="M761" s="472" t="s">
        <v>285</v>
      </c>
      <c r="N761" s="472"/>
      <c r="O761" s="472"/>
      <c r="P761" s="472" t="s">
        <v>522</v>
      </c>
      <c r="Q761" s="472"/>
      <c r="R761" s="473">
        <v>45692</v>
      </c>
      <c r="S761" s="472"/>
      <c r="T761" s="473">
        <v>45688</v>
      </c>
      <c r="U761" s="474">
        <v>0</v>
      </c>
      <c r="V761" s="475">
        <v>3.89</v>
      </c>
      <c r="W761" s="260">
        <v>45658</v>
      </c>
    </row>
    <row r="762" spans="1:23" hidden="1" x14ac:dyDescent="0.35">
      <c r="A762" s="472" t="s">
        <v>526</v>
      </c>
      <c r="B762" s="472" t="s">
        <v>159</v>
      </c>
      <c r="C762" s="472" t="s">
        <v>298</v>
      </c>
      <c r="D762" s="472" t="s">
        <v>397</v>
      </c>
      <c r="E762" s="472" t="s">
        <v>398</v>
      </c>
      <c r="F762" s="472" t="s">
        <v>276</v>
      </c>
      <c r="G762" s="472" t="s">
        <v>356</v>
      </c>
      <c r="H762" s="472"/>
      <c r="I762" s="472" t="s">
        <v>277</v>
      </c>
      <c r="J762" s="472" t="s">
        <v>522</v>
      </c>
      <c r="K762" s="472" t="s">
        <v>301</v>
      </c>
      <c r="L762" s="472" t="s">
        <v>357</v>
      </c>
      <c r="M762" s="472" t="s">
        <v>285</v>
      </c>
      <c r="N762" s="472"/>
      <c r="O762" s="472"/>
      <c r="P762" s="472" t="s">
        <v>522</v>
      </c>
      <c r="Q762" s="472"/>
      <c r="R762" s="473">
        <v>45692</v>
      </c>
      <c r="S762" s="472"/>
      <c r="T762" s="473">
        <v>45688</v>
      </c>
      <c r="U762" s="474">
        <v>0</v>
      </c>
      <c r="V762" s="475">
        <v>-7.0000000000000007E-2</v>
      </c>
      <c r="W762" s="260">
        <v>45658</v>
      </c>
    </row>
    <row r="763" spans="1:23" hidden="1" x14ac:dyDescent="0.35">
      <c r="A763" s="472" t="s">
        <v>526</v>
      </c>
      <c r="B763" s="472" t="s">
        <v>159</v>
      </c>
      <c r="C763" s="472" t="s">
        <v>298</v>
      </c>
      <c r="D763" s="472" t="s">
        <v>338</v>
      </c>
      <c r="E763" s="472" t="s">
        <v>339</v>
      </c>
      <c r="F763" s="472" t="s">
        <v>276</v>
      </c>
      <c r="G763" s="472" t="s">
        <v>356</v>
      </c>
      <c r="H763" s="472"/>
      <c r="I763" s="472" t="s">
        <v>277</v>
      </c>
      <c r="J763" s="472" t="s">
        <v>522</v>
      </c>
      <c r="K763" s="472" t="s">
        <v>301</v>
      </c>
      <c r="L763" s="472" t="s">
        <v>357</v>
      </c>
      <c r="M763" s="472" t="s">
        <v>285</v>
      </c>
      <c r="N763" s="472"/>
      <c r="O763" s="472"/>
      <c r="P763" s="472" t="s">
        <v>522</v>
      </c>
      <c r="Q763" s="472"/>
      <c r="R763" s="473">
        <v>45692</v>
      </c>
      <c r="S763" s="472"/>
      <c r="T763" s="473">
        <v>45688</v>
      </c>
      <c r="U763" s="474">
        <v>0</v>
      </c>
      <c r="V763" s="475">
        <v>1.75</v>
      </c>
      <c r="W763" s="260">
        <v>45658</v>
      </c>
    </row>
    <row r="764" spans="1:23" hidden="1" x14ac:dyDescent="0.35">
      <c r="A764" s="472" t="s">
        <v>526</v>
      </c>
      <c r="B764" s="472" t="s">
        <v>159</v>
      </c>
      <c r="C764" s="472" t="s">
        <v>281</v>
      </c>
      <c r="D764" s="472" t="s">
        <v>340</v>
      </c>
      <c r="E764" s="472" t="s">
        <v>283</v>
      </c>
      <c r="F764" s="472" t="s">
        <v>276</v>
      </c>
      <c r="G764" s="472" t="s">
        <v>356</v>
      </c>
      <c r="H764" s="472"/>
      <c r="I764" s="472" t="s">
        <v>277</v>
      </c>
      <c r="J764" s="472" t="s">
        <v>522</v>
      </c>
      <c r="K764" s="472" t="s">
        <v>284</v>
      </c>
      <c r="L764" s="472" t="s">
        <v>357</v>
      </c>
      <c r="M764" s="472" t="s">
        <v>285</v>
      </c>
      <c r="N764" s="472"/>
      <c r="O764" s="472"/>
      <c r="P764" s="472" t="s">
        <v>522</v>
      </c>
      <c r="Q764" s="472"/>
      <c r="R764" s="473">
        <v>45691</v>
      </c>
      <c r="S764" s="472"/>
      <c r="T764" s="473">
        <v>45688</v>
      </c>
      <c r="U764" s="474">
        <v>0</v>
      </c>
      <c r="V764" s="475">
        <v>747.8</v>
      </c>
      <c r="W764" s="260">
        <v>45658</v>
      </c>
    </row>
    <row r="765" spans="1:23" hidden="1" x14ac:dyDescent="0.35">
      <c r="A765" s="472" t="s">
        <v>526</v>
      </c>
      <c r="B765" s="472" t="s">
        <v>159</v>
      </c>
      <c r="C765" s="472" t="s">
        <v>302</v>
      </c>
      <c r="D765" s="472" t="s">
        <v>340</v>
      </c>
      <c r="E765" s="472" t="s">
        <v>283</v>
      </c>
      <c r="F765" s="472" t="s">
        <v>276</v>
      </c>
      <c r="G765" s="472" t="s">
        <v>356</v>
      </c>
      <c r="H765" s="472"/>
      <c r="I765" s="472" t="s">
        <v>277</v>
      </c>
      <c r="J765" s="472" t="s">
        <v>522</v>
      </c>
      <c r="K765" s="472" t="s">
        <v>303</v>
      </c>
      <c r="L765" s="472" t="s">
        <v>357</v>
      </c>
      <c r="M765" s="472" t="s">
        <v>285</v>
      </c>
      <c r="N765" s="472"/>
      <c r="O765" s="472"/>
      <c r="P765" s="472" t="s">
        <v>522</v>
      </c>
      <c r="Q765" s="472"/>
      <c r="R765" s="473">
        <v>45692</v>
      </c>
      <c r="S765" s="472"/>
      <c r="T765" s="473">
        <v>45688</v>
      </c>
      <c r="U765" s="474">
        <v>0</v>
      </c>
      <c r="V765" s="475">
        <v>222.93</v>
      </c>
      <c r="W765" s="260">
        <v>45658</v>
      </c>
    </row>
    <row r="766" spans="1:23" hidden="1" x14ac:dyDescent="0.35">
      <c r="A766" s="472" t="s">
        <v>526</v>
      </c>
      <c r="B766" s="472" t="s">
        <v>159</v>
      </c>
      <c r="C766" s="472" t="s">
        <v>302</v>
      </c>
      <c r="D766" s="472" t="s">
        <v>340</v>
      </c>
      <c r="E766" s="472" t="s">
        <v>283</v>
      </c>
      <c r="F766" s="472" t="s">
        <v>276</v>
      </c>
      <c r="G766" s="472" t="s">
        <v>356</v>
      </c>
      <c r="H766" s="472"/>
      <c r="I766" s="472" t="s">
        <v>277</v>
      </c>
      <c r="J766" s="472" t="s">
        <v>522</v>
      </c>
      <c r="K766" s="472" t="s">
        <v>303</v>
      </c>
      <c r="L766" s="472" t="s">
        <v>357</v>
      </c>
      <c r="M766" s="472" t="s">
        <v>285</v>
      </c>
      <c r="N766" s="472"/>
      <c r="O766" s="472"/>
      <c r="P766" s="472" t="s">
        <v>522</v>
      </c>
      <c r="Q766" s="472"/>
      <c r="R766" s="473">
        <v>45692</v>
      </c>
      <c r="S766" s="472"/>
      <c r="T766" s="473">
        <v>45688</v>
      </c>
      <c r="U766" s="474">
        <v>0</v>
      </c>
      <c r="V766" s="475">
        <v>284.04000000000002</v>
      </c>
      <c r="W766" s="260">
        <v>45658</v>
      </c>
    </row>
    <row r="767" spans="1:23" hidden="1" x14ac:dyDescent="0.35">
      <c r="A767" s="472" t="s">
        <v>526</v>
      </c>
      <c r="B767" s="472" t="s">
        <v>159</v>
      </c>
      <c r="C767" s="472" t="s">
        <v>286</v>
      </c>
      <c r="D767" s="472" t="s">
        <v>341</v>
      </c>
      <c r="E767" s="472" t="s">
        <v>288</v>
      </c>
      <c r="F767" s="472" t="s">
        <v>276</v>
      </c>
      <c r="G767" s="472" t="s">
        <v>356</v>
      </c>
      <c r="H767" s="472"/>
      <c r="I767" s="472" t="s">
        <v>277</v>
      </c>
      <c r="J767" s="472" t="s">
        <v>522</v>
      </c>
      <c r="K767" s="472" t="s">
        <v>289</v>
      </c>
      <c r="L767" s="472" t="s">
        <v>357</v>
      </c>
      <c r="M767" s="472" t="s">
        <v>285</v>
      </c>
      <c r="N767" s="472"/>
      <c r="O767" s="472"/>
      <c r="P767" s="472" t="s">
        <v>522</v>
      </c>
      <c r="Q767" s="472"/>
      <c r="R767" s="473">
        <v>45691</v>
      </c>
      <c r="S767" s="472"/>
      <c r="T767" s="473">
        <v>45688</v>
      </c>
      <c r="U767" s="474">
        <v>0</v>
      </c>
      <c r="V767" s="475">
        <v>1683.87</v>
      </c>
      <c r="W767" s="260">
        <v>45658</v>
      </c>
    </row>
    <row r="768" spans="1:23" hidden="1" x14ac:dyDescent="0.35">
      <c r="A768" s="472" t="s">
        <v>526</v>
      </c>
      <c r="B768" s="472" t="s">
        <v>159</v>
      </c>
      <c r="C768" s="472" t="s">
        <v>302</v>
      </c>
      <c r="D768" s="472" t="s">
        <v>341</v>
      </c>
      <c r="E768" s="472" t="s">
        <v>288</v>
      </c>
      <c r="F768" s="472" t="s">
        <v>276</v>
      </c>
      <c r="G768" s="472" t="s">
        <v>356</v>
      </c>
      <c r="H768" s="472"/>
      <c r="I768" s="472" t="s">
        <v>277</v>
      </c>
      <c r="J768" s="472" t="s">
        <v>522</v>
      </c>
      <c r="K768" s="472" t="s">
        <v>303</v>
      </c>
      <c r="L768" s="472" t="s">
        <v>357</v>
      </c>
      <c r="M768" s="472" t="s">
        <v>285</v>
      </c>
      <c r="N768" s="472"/>
      <c r="O768" s="472"/>
      <c r="P768" s="472" t="s">
        <v>522</v>
      </c>
      <c r="Q768" s="472"/>
      <c r="R768" s="473">
        <v>45692</v>
      </c>
      <c r="S768" s="472"/>
      <c r="T768" s="473">
        <v>45688</v>
      </c>
      <c r="U768" s="474">
        <v>0</v>
      </c>
      <c r="V768" s="475">
        <v>501.99</v>
      </c>
      <c r="W768" s="260">
        <v>45658</v>
      </c>
    </row>
    <row r="769" spans="1:23" hidden="1" x14ac:dyDescent="0.35">
      <c r="A769" s="472" t="s">
        <v>526</v>
      </c>
      <c r="B769" s="472" t="s">
        <v>159</v>
      </c>
      <c r="C769" s="472" t="s">
        <v>302</v>
      </c>
      <c r="D769" s="472" t="s">
        <v>341</v>
      </c>
      <c r="E769" s="472" t="s">
        <v>288</v>
      </c>
      <c r="F769" s="472" t="s">
        <v>276</v>
      </c>
      <c r="G769" s="472" t="s">
        <v>356</v>
      </c>
      <c r="H769" s="472"/>
      <c r="I769" s="472" t="s">
        <v>277</v>
      </c>
      <c r="J769" s="472" t="s">
        <v>522</v>
      </c>
      <c r="K769" s="472" t="s">
        <v>303</v>
      </c>
      <c r="L769" s="472" t="s">
        <v>357</v>
      </c>
      <c r="M769" s="472" t="s">
        <v>285</v>
      </c>
      <c r="N769" s="472"/>
      <c r="O769" s="472"/>
      <c r="P769" s="472" t="s">
        <v>522</v>
      </c>
      <c r="Q769" s="472"/>
      <c r="R769" s="473">
        <v>45692</v>
      </c>
      <c r="S769" s="472"/>
      <c r="T769" s="473">
        <v>45688</v>
      </c>
      <c r="U769" s="474">
        <v>0</v>
      </c>
      <c r="V769" s="475">
        <v>796.73</v>
      </c>
      <c r="W769" s="260">
        <v>45658</v>
      </c>
    </row>
    <row r="770" spans="1:23" hidden="1" x14ac:dyDescent="0.35">
      <c r="A770" s="472" t="s">
        <v>526</v>
      </c>
      <c r="B770" s="472" t="s">
        <v>159</v>
      </c>
      <c r="C770" s="472" t="s">
        <v>281</v>
      </c>
      <c r="D770" s="472" t="s">
        <v>342</v>
      </c>
      <c r="E770" s="472" t="s">
        <v>291</v>
      </c>
      <c r="F770" s="472" t="s">
        <v>276</v>
      </c>
      <c r="G770" s="472" t="s">
        <v>356</v>
      </c>
      <c r="H770" s="472"/>
      <c r="I770" s="472" t="s">
        <v>277</v>
      </c>
      <c r="J770" s="472" t="s">
        <v>522</v>
      </c>
      <c r="K770" s="472" t="s">
        <v>284</v>
      </c>
      <c r="L770" s="472" t="s">
        <v>357</v>
      </c>
      <c r="M770" s="472" t="s">
        <v>285</v>
      </c>
      <c r="N770" s="472"/>
      <c r="O770" s="472"/>
      <c r="P770" s="472" t="s">
        <v>522</v>
      </c>
      <c r="Q770" s="472"/>
      <c r="R770" s="473">
        <v>45691</v>
      </c>
      <c r="S770" s="472"/>
      <c r="T770" s="473">
        <v>45688</v>
      </c>
      <c r="U770" s="474">
        <v>0</v>
      </c>
      <c r="V770" s="475">
        <v>41.15</v>
      </c>
      <c r="W770" s="260">
        <v>45658</v>
      </c>
    </row>
    <row r="771" spans="1:23" hidden="1" x14ac:dyDescent="0.35">
      <c r="A771" s="472" t="s">
        <v>526</v>
      </c>
      <c r="B771" s="472" t="s">
        <v>159</v>
      </c>
      <c r="C771" s="472" t="s">
        <v>302</v>
      </c>
      <c r="D771" s="472" t="s">
        <v>342</v>
      </c>
      <c r="E771" s="472" t="s">
        <v>291</v>
      </c>
      <c r="F771" s="472" t="s">
        <v>276</v>
      </c>
      <c r="G771" s="472" t="s">
        <v>356</v>
      </c>
      <c r="H771" s="472"/>
      <c r="I771" s="472" t="s">
        <v>277</v>
      </c>
      <c r="J771" s="472" t="s">
        <v>522</v>
      </c>
      <c r="K771" s="472" t="s">
        <v>303</v>
      </c>
      <c r="L771" s="472" t="s">
        <v>357</v>
      </c>
      <c r="M771" s="472" t="s">
        <v>285</v>
      </c>
      <c r="N771" s="472"/>
      <c r="O771" s="472"/>
      <c r="P771" s="472" t="s">
        <v>522</v>
      </c>
      <c r="Q771" s="472"/>
      <c r="R771" s="473">
        <v>45692</v>
      </c>
      <c r="S771" s="472"/>
      <c r="T771" s="473">
        <v>45688</v>
      </c>
      <c r="U771" s="474">
        <v>0</v>
      </c>
      <c r="V771" s="475">
        <v>12.27</v>
      </c>
      <c r="W771" s="260">
        <v>45658</v>
      </c>
    </row>
    <row r="772" spans="1:23" hidden="1" x14ac:dyDescent="0.35">
      <c r="A772" s="472" t="s">
        <v>526</v>
      </c>
      <c r="B772" s="472" t="s">
        <v>159</v>
      </c>
      <c r="C772" s="472" t="s">
        <v>302</v>
      </c>
      <c r="D772" s="472" t="s">
        <v>342</v>
      </c>
      <c r="E772" s="472" t="s">
        <v>291</v>
      </c>
      <c r="F772" s="472" t="s">
        <v>276</v>
      </c>
      <c r="G772" s="472" t="s">
        <v>356</v>
      </c>
      <c r="H772" s="472"/>
      <c r="I772" s="472" t="s">
        <v>277</v>
      </c>
      <c r="J772" s="472" t="s">
        <v>522</v>
      </c>
      <c r="K772" s="472" t="s">
        <v>303</v>
      </c>
      <c r="L772" s="472" t="s">
        <v>357</v>
      </c>
      <c r="M772" s="472" t="s">
        <v>285</v>
      </c>
      <c r="N772" s="472"/>
      <c r="O772" s="472"/>
      <c r="P772" s="472" t="s">
        <v>522</v>
      </c>
      <c r="Q772" s="472"/>
      <c r="R772" s="473">
        <v>45692</v>
      </c>
      <c r="S772" s="472"/>
      <c r="T772" s="473">
        <v>45688</v>
      </c>
      <c r="U772" s="474">
        <v>0</v>
      </c>
      <c r="V772" s="475">
        <v>183.56</v>
      </c>
      <c r="W772" s="260">
        <v>45658</v>
      </c>
    </row>
    <row r="773" spans="1:23" hidden="1" x14ac:dyDescent="0.35">
      <c r="A773" s="472" t="s">
        <v>526</v>
      </c>
      <c r="B773" s="472" t="s">
        <v>159</v>
      </c>
      <c r="C773" s="472" t="s">
        <v>281</v>
      </c>
      <c r="D773" s="472" t="s">
        <v>343</v>
      </c>
      <c r="E773" s="472" t="s">
        <v>293</v>
      </c>
      <c r="F773" s="472" t="s">
        <v>276</v>
      </c>
      <c r="G773" s="472" t="s">
        <v>356</v>
      </c>
      <c r="H773" s="472"/>
      <c r="I773" s="472" t="s">
        <v>277</v>
      </c>
      <c r="J773" s="472" t="s">
        <v>522</v>
      </c>
      <c r="K773" s="472" t="s">
        <v>294</v>
      </c>
      <c r="L773" s="472" t="s">
        <v>357</v>
      </c>
      <c r="M773" s="472" t="s">
        <v>285</v>
      </c>
      <c r="N773" s="472"/>
      <c r="O773" s="472"/>
      <c r="P773" s="472" t="s">
        <v>522</v>
      </c>
      <c r="Q773" s="472"/>
      <c r="R773" s="473">
        <v>45691</v>
      </c>
      <c r="S773" s="472"/>
      <c r="T773" s="473">
        <v>45688</v>
      </c>
      <c r="U773" s="474">
        <v>0</v>
      </c>
      <c r="V773" s="475">
        <v>134.11000000000001</v>
      </c>
      <c r="W773" s="260">
        <v>45658</v>
      </c>
    </row>
    <row r="774" spans="1:23" hidden="1" x14ac:dyDescent="0.35">
      <c r="A774" s="472" t="s">
        <v>526</v>
      </c>
      <c r="B774" s="472" t="s">
        <v>159</v>
      </c>
      <c r="C774" s="472" t="s">
        <v>302</v>
      </c>
      <c r="D774" s="472" t="s">
        <v>343</v>
      </c>
      <c r="E774" s="472" t="s">
        <v>293</v>
      </c>
      <c r="F774" s="472" t="s">
        <v>276</v>
      </c>
      <c r="G774" s="472" t="s">
        <v>356</v>
      </c>
      <c r="H774" s="472"/>
      <c r="I774" s="472" t="s">
        <v>277</v>
      </c>
      <c r="J774" s="472" t="s">
        <v>522</v>
      </c>
      <c r="K774" s="472" t="s">
        <v>303</v>
      </c>
      <c r="L774" s="472" t="s">
        <v>357</v>
      </c>
      <c r="M774" s="472" t="s">
        <v>285</v>
      </c>
      <c r="N774" s="472"/>
      <c r="O774" s="472"/>
      <c r="P774" s="472" t="s">
        <v>522</v>
      </c>
      <c r="Q774" s="472"/>
      <c r="R774" s="473">
        <v>45692</v>
      </c>
      <c r="S774" s="472"/>
      <c r="T774" s="473">
        <v>45688</v>
      </c>
      <c r="U774" s="474">
        <v>0</v>
      </c>
      <c r="V774" s="475">
        <v>39.979999999999997</v>
      </c>
      <c r="W774" s="260">
        <v>45658</v>
      </c>
    </row>
    <row r="775" spans="1:23" hidden="1" x14ac:dyDescent="0.35">
      <c r="A775" s="472" t="s">
        <v>526</v>
      </c>
      <c r="B775" s="472" t="s">
        <v>159</v>
      </c>
      <c r="C775" s="472" t="s">
        <v>302</v>
      </c>
      <c r="D775" s="472" t="s">
        <v>343</v>
      </c>
      <c r="E775" s="472" t="s">
        <v>293</v>
      </c>
      <c r="F775" s="472" t="s">
        <v>276</v>
      </c>
      <c r="G775" s="472" t="s">
        <v>356</v>
      </c>
      <c r="H775" s="472"/>
      <c r="I775" s="472" t="s">
        <v>277</v>
      </c>
      <c r="J775" s="472" t="s">
        <v>522</v>
      </c>
      <c r="K775" s="472" t="s">
        <v>303</v>
      </c>
      <c r="L775" s="472" t="s">
        <v>357</v>
      </c>
      <c r="M775" s="472" t="s">
        <v>285</v>
      </c>
      <c r="N775" s="472"/>
      <c r="O775" s="472"/>
      <c r="P775" s="472" t="s">
        <v>522</v>
      </c>
      <c r="Q775" s="472"/>
      <c r="R775" s="473">
        <v>45692</v>
      </c>
      <c r="S775" s="472"/>
      <c r="T775" s="473">
        <v>45688</v>
      </c>
      <c r="U775" s="474">
        <v>0</v>
      </c>
      <c r="V775" s="475">
        <v>202.94</v>
      </c>
      <c r="W775" s="260">
        <v>45658</v>
      </c>
    </row>
    <row r="776" spans="1:23" hidden="1" x14ac:dyDescent="0.35">
      <c r="A776" s="472" t="s">
        <v>526</v>
      </c>
      <c r="B776" s="472" t="s">
        <v>159</v>
      </c>
      <c r="C776" s="472" t="s">
        <v>286</v>
      </c>
      <c r="D776" s="472" t="s">
        <v>344</v>
      </c>
      <c r="E776" s="472" t="s">
        <v>296</v>
      </c>
      <c r="F776" s="472" t="s">
        <v>276</v>
      </c>
      <c r="G776" s="472" t="s">
        <v>356</v>
      </c>
      <c r="H776" s="472"/>
      <c r="I776" s="472" t="s">
        <v>277</v>
      </c>
      <c r="J776" s="472" t="s">
        <v>522</v>
      </c>
      <c r="K776" s="472" t="s">
        <v>297</v>
      </c>
      <c r="L776" s="472" t="s">
        <v>357</v>
      </c>
      <c r="M776" s="472" t="s">
        <v>285</v>
      </c>
      <c r="N776" s="472"/>
      <c r="O776" s="472"/>
      <c r="P776" s="472" t="s">
        <v>522</v>
      </c>
      <c r="Q776" s="472"/>
      <c r="R776" s="473">
        <v>45691</v>
      </c>
      <c r="S776" s="472"/>
      <c r="T776" s="473">
        <v>45688</v>
      </c>
      <c r="U776" s="474">
        <v>0</v>
      </c>
      <c r="V776" s="475">
        <v>424.92</v>
      </c>
      <c r="W776" s="260">
        <v>45658</v>
      </c>
    </row>
    <row r="777" spans="1:23" hidden="1" x14ac:dyDescent="0.35">
      <c r="A777" s="472" t="s">
        <v>526</v>
      </c>
      <c r="B777" s="472" t="s">
        <v>159</v>
      </c>
      <c r="C777" s="472" t="s">
        <v>302</v>
      </c>
      <c r="D777" s="472" t="s">
        <v>344</v>
      </c>
      <c r="E777" s="472" t="s">
        <v>296</v>
      </c>
      <c r="F777" s="472" t="s">
        <v>276</v>
      </c>
      <c r="G777" s="472" t="s">
        <v>356</v>
      </c>
      <c r="H777" s="472"/>
      <c r="I777" s="472" t="s">
        <v>277</v>
      </c>
      <c r="J777" s="472" t="s">
        <v>522</v>
      </c>
      <c r="K777" s="472" t="s">
        <v>303</v>
      </c>
      <c r="L777" s="472" t="s">
        <v>357</v>
      </c>
      <c r="M777" s="472" t="s">
        <v>285</v>
      </c>
      <c r="N777" s="472"/>
      <c r="O777" s="472"/>
      <c r="P777" s="472" t="s">
        <v>522</v>
      </c>
      <c r="Q777" s="472"/>
      <c r="R777" s="473">
        <v>45692</v>
      </c>
      <c r="S777" s="472"/>
      <c r="T777" s="473">
        <v>45688</v>
      </c>
      <c r="U777" s="474">
        <v>0</v>
      </c>
      <c r="V777" s="475">
        <v>126.68</v>
      </c>
      <c r="W777" s="260">
        <v>45658</v>
      </c>
    </row>
    <row r="778" spans="1:23" hidden="1" x14ac:dyDescent="0.35">
      <c r="A778" s="472" t="s">
        <v>526</v>
      </c>
      <c r="B778" s="472" t="s">
        <v>159</v>
      </c>
      <c r="C778" s="472" t="s">
        <v>302</v>
      </c>
      <c r="D778" s="472" t="s">
        <v>344</v>
      </c>
      <c r="E778" s="472" t="s">
        <v>296</v>
      </c>
      <c r="F778" s="472" t="s">
        <v>276</v>
      </c>
      <c r="G778" s="472" t="s">
        <v>356</v>
      </c>
      <c r="H778" s="472"/>
      <c r="I778" s="472" t="s">
        <v>277</v>
      </c>
      <c r="J778" s="472" t="s">
        <v>522</v>
      </c>
      <c r="K778" s="472" t="s">
        <v>303</v>
      </c>
      <c r="L778" s="472" t="s">
        <v>357</v>
      </c>
      <c r="M778" s="472" t="s">
        <v>285</v>
      </c>
      <c r="N778" s="472"/>
      <c r="O778" s="472"/>
      <c r="P778" s="472" t="s">
        <v>522</v>
      </c>
      <c r="Q778" s="472"/>
      <c r="R778" s="473">
        <v>45692</v>
      </c>
      <c r="S778" s="472"/>
      <c r="T778" s="473">
        <v>45688</v>
      </c>
      <c r="U778" s="474">
        <v>0</v>
      </c>
      <c r="V778" s="475">
        <v>434.36</v>
      </c>
      <c r="W778" s="260">
        <v>45658</v>
      </c>
    </row>
    <row r="779" spans="1:23" hidden="1" x14ac:dyDescent="0.35">
      <c r="A779" s="472" t="s">
        <v>526</v>
      </c>
      <c r="B779" s="472" t="s">
        <v>159</v>
      </c>
      <c r="C779" s="472" t="s">
        <v>298</v>
      </c>
      <c r="D779" s="472" t="s">
        <v>345</v>
      </c>
      <c r="E779" s="472" t="s">
        <v>346</v>
      </c>
      <c r="F779" s="472" t="s">
        <v>276</v>
      </c>
      <c r="G779" s="472" t="s">
        <v>356</v>
      </c>
      <c r="H779" s="472"/>
      <c r="I779" s="472" t="s">
        <v>277</v>
      </c>
      <c r="J779" s="472" t="s">
        <v>522</v>
      </c>
      <c r="K779" s="472" t="s">
        <v>301</v>
      </c>
      <c r="L779" s="472" t="s">
        <v>357</v>
      </c>
      <c r="M779" s="472" t="s">
        <v>285</v>
      </c>
      <c r="N779" s="472"/>
      <c r="O779" s="472"/>
      <c r="P779" s="472" t="s">
        <v>522</v>
      </c>
      <c r="Q779" s="472"/>
      <c r="R779" s="473">
        <v>45692</v>
      </c>
      <c r="S779" s="472"/>
      <c r="T779" s="473">
        <v>45688</v>
      </c>
      <c r="U779" s="474">
        <v>0</v>
      </c>
      <c r="V779" s="475">
        <v>-0.17</v>
      </c>
      <c r="W779" s="260">
        <v>45658</v>
      </c>
    </row>
    <row r="780" spans="1:23" hidden="1" x14ac:dyDescent="0.35">
      <c r="A780" s="472" t="s">
        <v>526</v>
      </c>
      <c r="B780" s="472" t="s">
        <v>159</v>
      </c>
      <c r="C780" s="472" t="s">
        <v>298</v>
      </c>
      <c r="D780" s="472" t="s">
        <v>347</v>
      </c>
      <c r="E780" s="472" t="s">
        <v>348</v>
      </c>
      <c r="F780" s="472" t="s">
        <v>276</v>
      </c>
      <c r="G780" s="472" t="s">
        <v>356</v>
      </c>
      <c r="H780" s="472"/>
      <c r="I780" s="472" t="s">
        <v>277</v>
      </c>
      <c r="J780" s="472" t="s">
        <v>522</v>
      </c>
      <c r="K780" s="472" t="s">
        <v>301</v>
      </c>
      <c r="L780" s="472" t="s">
        <v>357</v>
      </c>
      <c r="M780" s="472" t="s">
        <v>285</v>
      </c>
      <c r="N780" s="472"/>
      <c r="O780" s="472"/>
      <c r="P780" s="472" t="s">
        <v>522</v>
      </c>
      <c r="Q780" s="472"/>
      <c r="R780" s="473">
        <v>45692</v>
      </c>
      <c r="S780" s="472"/>
      <c r="T780" s="473">
        <v>45688</v>
      </c>
      <c r="U780" s="474">
        <v>0</v>
      </c>
      <c r="V780" s="475">
        <v>8.1999999999999993</v>
      </c>
      <c r="W780" s="260">
        <v>45658</v>
      </c>
    </row>
    <row r="781" spans="1:23" hidden="1" x14ac:dyDescent="0.35">
      <c r="A781" s="472" t="s">
        <v>526</v>
      </c>
      <c r="B781" s="472" t="s">
        <v>159</v>
      </c>
      <c r="C781" s="472" t="s">
        <v>298</v>
      </c>
      <c r="D781" s="472" t="s">
        <v>347</v>
      </c>
      <c r="E781" s="472" t="s">
        <v>348</v>
      </c>
      <c r="F781" s="472" t="s">
        <v>276</v>
      </c>
      <c r="G781" s="472" t="s">
        <v>356</v>
      </c>
      <c r="H781" s="472"/>
      <c r="I781" s="472" t="s">
        <v>277</v>
      </c>
      <c r="J781" s="472" t="s">
        <v>522</v>
      </c>
      <c r="K781" s="472" t="s">
        <v>301</v>
      </c>
      <c r="L781" s="472" t="s">
        <v>357</v>
      </c>
      <c r="M781" s="472" t="s">
        <v>285</v>
      </c>
      <c r="N781" s="472"/>
      <c r="O781" s="472"/>
      <c r="P781" s="472" t="s">
        <v>522</v>
      </c>
      <c r="Q781" s="472"/>
      <c r="R781" s="473">
        <v>45692</v>
      </c>
      <c r="S781" s="472"/>
      <c r="T781" s="473">
        <v>45688</v>
      </c>
      <c r="U781" s="474">
        <v>0</v>
      </c>
      <c r="V781" s="475">
        <v>3.21</v>
      </c>
      <c r="W781" s="260">
        <v>45658</v>
      </c>
    </row>
    <row r="782" spans="1:23" hidden="1" x14ac:dyDescent="0.35">
      <c r="A782" s="472" t="s">
        <v>526</v>
      </c>
      <c r="B782" s="472" t="s">
        <v>159</v>
      </c>
      <c r="C782" s="472" t="s">
        <v>298</v>
      </c>
      <c r="D782" s="472" t="s">
        <v>349</v>
      </c>
      <c r="E782" s="472" t="s">
        <v>350</v>
      </c>
      <c r="F782" s="472" t="s">
        <v>276</v>
      </c>
      <c r="G782" s="472" t="s">
        <v>356</v>
      </c>
      <c r="H782" s="472"/>
      <c r="I782" s="472" t="s">
        <v>277</v>
      </c>
      <c r="J782" s="472" t="s">
        <v>522</v>
      </c>
      <c r="K782" s="472" t="s">
        <v>301</v>
      </c>
      <c r="L782" s="472" t="s">
        <v>357</v>
      </c>
      <c r="M782" s="472" t="s">
        <v>285</v>
      </c>
      <c r="N782" s="472"/>
      <c r="O782" s="472"/>
      <c r="P782" s="472" t="s">
        <v>522</v>
      </c>
      <c r="Q782" s="472"/>
      <c r="R782" s="473">
        <v>45692</v>
      </c>
      <c r="S782" s="472"/>
      <c r="T782" s="473">
        <v>45688</v>
      </c>
      <c r="U782" s="474">
        <v>0</v>
      </c>
      <c r="V782" s="475">
        <v>0.15</v>
      </c>
      <c r="W782" s="260">
        <v>45658</v>
      </c>
    </row>
    <row r="783" spans="1:23" hidden="1" x14ac:dyDescent="0.35">
      <c r="A783" s="472" t="s">
        <v>526</v>
      </c>
      <c r="B783" s="472" t="s">
        <v>159</v>
      </c>
      <c r="C783" s="472" t="s">
        <v>298</v>
      </c>
      <c r="D783" s="472" t="s">
        <v>351</v>
      </c>
      <c r="E783" s="472" t="s">
        <v>352</v>
      </c>
      <c r="F783" s="472" t="s">
        <v>276</v>
      </c>
      <c r="G783" s="472" t="s">
        <v>356</v>
      </c>
      <c r="H783" s="472"/>
      <c r="I783" s="472" t="s">
        <v>277</v>
      </c>
      <c r="J783" s="472" t="s">
        <v>522</v>
      </c>
      <c r="K783" s="472" t="s">
        <v>301</v>
      </c>
      <c r="L783" s="472" t="s">
        <v>357</v>
      </c>
      <c r="M783" s="472" t="s">
        <v>285</v>
      </c>
      <c r="N783" s="472"/>
      <c r="O783" s="472"/>
      <c r="P783" s="472" t="s">
        <v>522</v>
      </c>
      <c r="Q783" s="472"/>
      <c r="R783" s="473">
        <v>45692</v>
      </c>
      <c r="S783" s="472"/>
      <c r="T783" s="473">
        <v>45688</v>
      </c>
      <c r="U783" s="474">
        <v>0</v>
      </c>
      <c r="V783" s="475">
        <v>0.46</v>
      </c>
      <c r="W783" s="260">
        <v>45658</v>
      </c>
    </row>
    <row r="784" spans="1:23" hidden="1" x14ac:dyDescent="0.35">
      <c r="A784" s="472" t="s">
        <v>526</v>
      </c>
      <c r="B784" s="472" t="s">
        <v>159</v>
      </c>
      <c r="C784" s="472" t="s">
        <v>298</v>
      </c>
      <c r="D784" s="472" t="s">
        <v>351</v>
      </c>
      <c r="E784" s="472" t="s">
        <v>352</v>
      </c>
      <c r="F784" s="472" t="s">
        <v>276</v>
      </c>
      <c r="G784" s="472" t="s">
        <v>356</v>
      </c>
      <c r="H784" s="472"/>
      <c r="I784" s="472" t="s">
        <v>277</v>
      </c>
      <c r="J784" s="472" t="s">
        <v>522</v>
      </c>
      <c r="K784" s="472" t="s">
        <v>301</v>
      </c>
      <c r="L784" s="472" t="s">
        <v>357</v>
      </c>
      <c r="M784" s="472" t="s">
        <v>285</v>
      </c>
      <c r="N784" s="472"/>
      <c r="O784" s="472"/>
      <c r="P784" s="472" t="s">
        <v>522</v>
      </c>
      <c r="Q784" s="472"/>
      <c r="R784" s="473">
        <v>45692</v>
      </c>
      <c r="S784" s="472"/>
      <c r="T784" s="473">
        <v>45688</v>
      </c>
      <c r="U784" s="474">
        <v>0</v>
      </c>
      <c r="V784" s="475">
        <v>4.47</v>
      </c>
      <c r="W784" s="260">
        <v>45658</v>
      </c>
    </row>
    <row r="785" spans="1:24" hidden="1" x14ac:dyDescent="0.35">
      <c r="A785" s="472" t="s">
        <v>526</v>
      </c>
      <c r="B785" s="472" t="s">
        <v>159</v>
      </c>
      <c r="C785" s="472" t="s">
        <v>298</v>
      </c>
      <c r="D785" s="472" t="s">
        <v>354</v>
      </c>
      <c r="E785" s="472" t="s">
        <v>355</v>
      </c>
      <c r="F785" s="472" t="s">
        <v>276</v>
      </c>
      <c r="G785" s="472" t="s">
        <v>356</v>
      </c>
      <c r="H785" s="472"/>
      <c r="I785" s="472" t="s">
        <v>277</v>
      </c>
      <c r="J785" s="472" t="s">
        <v>522</v>
      </c>
      <c r="K785" s="472" t="s">
        <v>301</v>
      </c>
      <c r="L785" s="472" t="s">
        <v>357</v>
      </c>
      <c r="M785" s="472" t="s">
        <v>285</v>
      </c>
      <c r="N785" s="472"/>
      <c r="O785" s="472"/>
      <c r="P785" s="472" t="s">
        <v>522</v>
      </c>
      <c r="Q785" s="472"/>
      <c r="R785" s="473">
        <v>45692</v>
      </c>
      <c r="S785" s="472"/>
      <c r="T785" s="473">
        <v>45688</v>
      </c>
      <c r="U785" s="474">
        <v>0</v>
      </c>
      <c r="V785" s="475">
        <v>1.54</v>
      </c>
      <c r="W785" s="260">
        <v>45658</v>
      </c>
    </row>
    <row r="786" spans="1:24" hidden="1" x14ac:dyDescent="0.35">
      <c r="A786" s="472" t="s">
        <v>526</v>
      </c>
      <c r="B786" s="472" t="s">
        <v>159</v>
      </c>
      <c r="C786" s="472" t="s">
        <v>584</v>
      </c>
      <c r="D786" s="472" t="s">
        <v>585</v>
      </c>
      <c r="E786" s="472" t="s">
        <v>586</v>
      </c>
      <c r="F786" s="472" t="s">
        <v>276</v>
      </c>
      <c r="G786" s="472" t="s">
        <v>356</v>
      </c>
      <c r="H786" s="578" t="s">
        <v>533</v>
      </c>
      <c r="I786" s="472" t="s">
        <v>277</v>
      </c>
      <c r="J786" s="472" t="s">
        <v>522</v>
      </c>
      <c r="K786" s="472" t="s">
        <v>587</v>
      </c>
      <c r="L786" s="472" t="s">
        <v>357</v>
      </c>
      <c r="M786" s="472" t="s">
        <v>535</v>
      </c>
      <c r="N786" s="472"/>
      <c r="O786" s="472"/>
      <c r="P786" s="472" t="s">
        <v>522</v>
      </c>
      <c r="Q786" s="472"/>
      <c r="R786" s="473">
        <v>45667</v>
      </c>
      <c r="S786" s="472" t="s">
        <v>278</v>
      </c>
      <c r="T786" s="473">
        <v>45670</v>
      </c>
      <c r="U786" s="474">
        <v>4</v>
      </c>
      <c r="V786" s="475">
        <v>467.36</v>
      </c>
      <c r="W786" s="260">
        <v>45658</v>
      </c>
    </row>
    <row r="787" spans="1:24" hidden="1" x14ac:dyDescent="0.35">
      <c r="A787" s="472" t="s">
        <v>526</v>
      </c>
      <c r="B787" s="472" t="s">
        <v>159</v>
      </c>
      <c r="C787" s="472" t="s">
        <v>584</v>
      </c>
      <c r="D787" s="472" t="s">
        <v>585</v>
      </c>
      <c r="E787" s="472" t="s">
        <v>586</v>
      </c>
      <c r="F787" s="472" t="s">
        <v>276</v>
      </c>
      <c r="G787" s="472" t="s">
        <v>356</v>
      </c>
      <c r="H787" s="472" t="s">
        <v>533</v>
      </c>
      <c r="I787" s="472" t="s">
        <v>277</v>
      </c>
      <c r="J787" s="472" t="s">
        <v>522</v>
      </c>
      <c r="K787" s="472" t="s">
        <v>587</v>
      </c>
      <c r="L787" s="472" t="s">
        <v>357</v>
      </c>
      <c r="M787" s="472" t="s">
        <v>535</v>
      </c>
      <c r="N787" s="472"/>
      <c r="O787" s="472"/>
      <c r="P787" s="472" t="s">
        <v>522</v>
      </c>
      <c r="Q787" s="472"/>
      <c r="R787" s="473">
        <v>45666</v>
      </c>
      <c r="S787" s="472" t="s">
        <v>278</v>
      </c>
      <c r="T787" s="473">
        <v>45670</v>
      </c>
      <c r="U787" s="474">
        <v>8</v>
      </c>
      <c r="V787" s="475">
        <v>934.72</v>
      </c>
      <c r="W787" s="260">
        <v>45658</v>
      </c>
      <c r="X787" s="845"/>
    </row>
    <row r="788" spans="1:24" hidden="1" x14ac:dyDescent="0.35">
      <c r="A788" s="472" t="s">
        <v>526</v>
      </c>
      <c r="B788" s="472" t="s">
        <v>159</v>
      </c>
      <c r="C788" s="472" t="s">
        <v>584</v>
      </c>
      <c r="D788" s="472" t="s">
        <v>585</v>
      </c>
      <c r="E788" s="472" t="s">
        <v>586</v>
      </c>
      <c r="F788" s="472" t="s">
        <v>276</v>
      </c>
      <c r="G788" s="472" t="s">
        <v>356</v>
      </c>
      <c r="H788" s="472" t="s">
        <v>533</v>
      </c>
      <c r="I788" s="472" t="s">
        <v>277</v>
      </c>
      <c r="J788" s="472" t="s">
        <v>522</v>
      </c>
      <c r="K788" s="472" t="s">
        <v>587</v>
      </c>
      <c r="L788" s="472" t="s">
        <v>357</v>
      </c>
      <c r="M788" s="472" t="s">
        <v>535</v>
      </c>
      <c r="N788" s="472"/>
      <c r="O788" s="472"/>
      <c r="P788" s="472" t="s">
        <v>522</v>
      </c>
      <c r="Q788" s="472"/>
      <c r="R788" s="473">
        <v>45665</v>
      </c>
      <c r="S788" s="472" t="s">
        <v>278</v>
      </c>
      <c r="T788" s="473">
        <v>45670</v>
      </c>
      <c r="U788" s="474">
        <v>5</v>
      </c>
      <c r="V788" s="475">
        <v>584.20000000000005</v>
      </c>
      <c r="W788" s="260">
        <v>45658</v>
      </c>
      <c r="X788" s="845"/>
    </row>
    <row r="789" spans="1:24" hidden="1" x14ac:dyDescent="0.35">
      <c r="A789" s="472" t="s">
        <v>526</v>
      </c>
      <c r="B789" s="472" t="s">
        <v>159</v>
      </c>
      <c r="C789" s="472" t="s">
        <v>584</v>
      </c>
      <c r="D789" s="472" t="s">
        <v>585</v>
      </c>
      <c r="E789" s="472" t="s">
        <v>586</v>
      </c>
      <c r="F789" s="472" t="s">
        <v>276</v>
      </c>
      <c r="G789" s="472" t="s">
        <v>356</v>
      </c>
      <c r="H789" s="472" t="s">
        <v>533</v>
      </c>
      <c r="I789" s="472" t="s">
        <v>277</v>
      </c>
      <c r="J789" s="472" t="s">
        <v>522</v>
      </c>
      <c r="K789" s="472" t="s">
        <v>587</v>
      </c>
      <c r="L789" s="472" t="s">
        <v>357</v>
      </c>
      <c r="M789" s="472" t="s">
        <v>535</v>
      </c>
      <c r="N789" s="472"/>
      <c r="O789" s="472"/>
      <c r="P789" s="472" t="s">
        <v>522</v>
      </c>
      <c r="Q789" s="472"/>
      <c r="R789" s="473">
        <v>45664</v>
      </c>
      <c r="S789" s="472" t="s">
        <v>278</v>
      </c>
      <c r="T789" s="473">
        <v>45670</v>
      </c>
      <c r="U789" s="474">
        <v>5</v>
      </c>
      <c r="V789" s="475">
        <v>584.20000000000005</v>
      </c>
      <c r="W789" s="260">
        <v>45658</v>
      </c>
      <c r="X789" s="845"/>
    </row>
    <row r="790" spans="1:24" hidden="1" x14ac:dyDescent="0.35">
      <c r="A790" s="472" t="s">
        <v>526</v>
      </c>
      <c r="B790" s="472" t="s">
        <v>159</v>
      </c>
      <c r="C790" s="472" t="s">
        <v>584</v>
      </c>
      <c r="D790" s="472" t="s">
        <v>585</v>
      </c>
      <c r="E790" s="472" t="s">
        <v>586</v>
      </c>
      <c r="F790" s="472" t="s">
        <v>276</v>
      </c>
      <c r="G790" s="472" t="s">
        <v>356</v>
      </c>
      <c r="H790" s="472" t="s">
        <v>533</v>
      </c>
      <c r="I790" s="472" t="s">
        <v>277</v>
      </c>
      <c r="J790" s="472" t="s">
        <v>522</v>
      </c>
      <c r="K790" s="472" t="s">
        <v>587</v>
      </c>
      <c r="L790" s="472" t="s">
        <v>357</v>
      </c>
      <c r="M790" s="472" t="s">
        <v>535</v>
      </c>
      <c r="N790" s="472"/>
      <c r="O790" s="472"/>
      <c r="P790" s="472" t="s">
        <v>522</v>
      </c>
      <c r="Q790" s="472"/>
      <c r="R790" s="473">
        <v>45659</v>
      </c>
      <c r="S790" s="472" t="s">
        <v>278</v>
      </c>
      <c r="T790" s="473">
        <v>45661</v>
      </c>
      <c r="U790" s="474">
        <v>8</v>
      </c>
      <c r="V790" s="475">
        <v>934.72</v>
      </c>
      <c r="W790" s="260">
        <v>45658</v>
      </c>
      <c r="X790" s="845"/>
    </row>
    <row r="791" spans="1:24" hidden="1" x14ac:dyDescent="0.35">
      <c r="A791" s="472" t="s">
        <v>526</v>
      </c>
      <c r="B791" s="472" t="s">
        <v>159</v>
      </c>
      <c r="C791" s="472" t="s">
        <v>584</v>
      </c>
      <c r="D791" s="472" t="s">
        <v>585</v>
      </c>
      <c r="E791" s="472" t="s">
        <v>586</v>
      </c>
      <c r="F791" s="472" t="s">
        <v>276</v>
      </c>
      <c r="G791" s="472" t="s">
        <v>356</v>
      </c>
      <c r="H791" s="472" t="s">
        <v>533</v>
      </c>
      <c r="I791" s="472" t="s">
        <v>277</v>
      </c>
      <c r="J791" s="472" t="s">
        <v>522</v>
      </c>
      <c r="K791" s="472" t="s">
        <v>587</v>
      </c>
      <c r="L791" s="472" t="s">
        <v>357</v>
      </c>
      <c r="M791" s="472" t="s">
        <v>535</v>
      </c>
      <c r="N791" s="472"/>
      <c r="O791" s="472"/>
      <c r="P791" s="472" t="s">
        <v>522</v>
      </c>
      <c r="Q791" s="472"/>
      <c r="R791" s="473">
        <v>45660</v>
      </c>
      <c r="S791" s="472" t="s">
        <v>278</v>
      </c>
      <c r="T791" s="473">
        <v>45661</v>
      </c>
      <c r="U791" s="474">
        <v>8</v>
      </c>
      <c r="V791" s="475">
        <v>934.72</v>
      </c>
      <c r="W791" s="260">
        <v>45658</v>
      </c>
      <c r="X791" s="845"/>
    </row>
    <row r="792" spans="1:24" hidden="1" x14ac:dyDescent="0.35">
      <c r="A792" s="472" t="s">
        <v>526</v>
      </c>
      <c r="B792" s="472" t="s">
        <v>159</v>
      </c>
      <c r="C792" s="472" t="s">
        <v>584</v>
      </c>
      <c r="D792" s="472" t="s">
        <v>585</v>
      </c>
      <c r="E792" s="472" t="s">
        <v>586</v>
      </c>
      <c r="F792" s="472" t="s">
        <v>276</v>
      </c>
      <c r="G792" s="472" t="s">
        <v>356</v>
      </c>
      <c r="H792" s="472" t="s">
        <v>533</v>
      </c>
      <c r="I792" s="472" t="s">
        <v>277</v>
      </c>
      <c r="J792" s="472" t="s">
        <v>522</v>
      </c>
      <c r="K792" s="472" t="s">
        <v>587</v>
      </c>
      <c r="L792" s="472" t="s">
        <v>357</v>
      </c>
      <c r="M792" s="472" t="s">
        <v>535</v>
      </c>
      <c r="N792" s="472"/>
      <c r="O792" s="472"/>
      <c r="P792" s="472" t="s">
        <v>522</v>
      </c>
      <c r="Q792" s="472"/>
      <c r="R792" s="473">
        <v>45663</v>
      </c>
      <c r="S792" s="472" t="s">
        <v>278</v>
      </c>
      <c r="T792" s="473">
        <v>45670</v>
      </c>
      <c r="U792" s="474">
        <v>5</v>
      </c>
      <c r="V792" s="475">
        <v>584.20000000000005</v>
      </c>
      <c r="W792" s="260">
        <v>45658</v>
      </c>
      <c r="X792" s="845"/>
    </row>
    <row r="793" spans="1:24" hidden="1" x14ac:dyDescent="0.35">
      <c r="A793" s="472" t="s">
        <v>526</v>
      </c>
      <c r="B793" s="472" t="s">
        <v>159</v>
      </c>
      <c r="C793" s="472" t="s">
        <v>584</v>
      </c>
      <c r="D793" s="472" t="s">
        <v>585</v>
      </c>
      <c r="E793" s="472" t="s">
        <v>586</v>
      </c>
      <c r="F793" s="472" t="s">
        <v>276</v>
      </c>
      <c r="G793" s="472" t="s">
        <v>356</v>
      </c>
      <c r="H793" s="472" t="s">
        <v>533</v>
      </c>
      <c r="I793" s="472" t="s">
        <v>277</v>
      </c>
      <c r="J793" s="472" t="s">
        <v>522</v>
      </c>
      <c r="K793" s="472" t="s">
        <v>587</v>
      </c>
      <c r="L793" s="472" t="s">
        <v>357</v>
      </c>
      <c r="M793" s="472" t="s">
        <v>535</v>
      </c>
      <c r="N793" s="472"/>
      <c r="O793" s="472"/>
      <c r="P793" s="472" t="s">
        <v>522</v>
      </c>
      <c r="Q793" s="472"/>
      <c r="R793" s="473">
        <v>45672</v>
      </c>
      <c r="S793" s="472" t="s">
        <v>278</v>
      </c>
      <c r="T793" s="473">
        <v>45679</v>
      </c>
      <c r="U793" s="474">
        <v>6</v>
      </c>
      <c r="V793" s="475">
        <v>701.04</v>
      </c>
      <c r="W793" s="260">
        <v>45658</v>
      </c>
      <c r="X793" s="845"/>
    </row>
    <row r="794" spans="1:24" hidden="1" x14ac:dyDescent="0.35">
      <c r="A794" s="472" t="s">
        <v>526</v>
      </c>
      <c r="B794" s="472" t="s">
        <v>159</v>
      </c>
      <c r="C794" s="472" t="s">
        <v>584</v>
      </c>
      <c r="D794" s="472" t="s">
        <v>585</v>
      </c>
      <c r="E794" s="472" t="s">
        <v>586</v>
      </c>
      <c r="F794" s="472" t="s">
        <v>276</v>
      </c>
      <c r="G794" s="472" t="s">
        <v>356</v>
      </c>
      <c r="H794" s="472" t="s">
        <v>533</v>
      </c>
      <c r="I794" s="472" t="s">
        <v>277</v>
      </c>
      <c r="J794" s="472" t="s">
        <v>522</v>
      </c>
      <c r="K794" s="472" t="s">
        <v>587</v>
      </c>
      <c r="L794" s="472" t="s">
        <v>357</v>
      </c>
      <c r="M794" s="472" t="s">
        <v>535</v>
      </c>
      <c r="N794" s="472"/>
      <c r="O794" s="472"/>
      <c r="P794" s="472" t="s">
        <v>522</v>
      </c>
      <c r="Q794" s="472"/>
      <c r="R794" s="473">
        <v>45674</v>
      </c>
      <c r="S794" s="472" t="s">
        <v>278</v>
      </c>
      <c r="T794" s="473">
        <v>45679</v>
      </c>
      <c r="U794" s="474">
        <v>4</v>
      </c>
      <c r="V794" s="475">
        <v>467.36</v>
      </c>
      <c r="W794" s="260">
        <v>45658</v>
      </c>
      <c r="X794" s="845"/>
    </row>
    <row r="795" spans="1:24" hidden="1" x14ac:dyDescent="0.35">
      <c r="A795" s="472" t="s">
        <v>526</v>
      </c>
      <c r="B795" s="472" t="s">
        <v>159</v>
      </c>
      <c r="C795" s="472" t="s">
        <v>584</v>
      </c>
      <c r="D795" s="472" t="s">
        <v>585</v>
      </c>
      <c r="E795" s="472" t="s">
        <v>586</v>
      </c>
      <c r="F795" s="472" t="s">
        <v>276</v>
      </c>
      <c r="G795" s="472" t="s">
        <v>356</v>
      </c>
      <c r="H795" s="472" t="s">
        <v>533</v>
      </c>
      <c r="I795" s="472" t="s">
        <v>277</v>
      </c>
      <c r="J795" s="472" t="s">
        <v>522</v>
      </c>
      <c r="K795" s="472" t="s">
        <v>587</v>
      </c>
      <c r="L795" s="472" t="s">
        <v>357</v>
      </c>
      <c r="M795" s="472" t="s">
        <v>535</v>
      </c>
      <c r="N795" s="472"/>
      <c r="O795" s="472"/>
      <c r="P795" s="472" t="s">
        <v>522</v>
      </c>
      <c r="Q795" s="472"/>
      <c r="R795" s="473">
        <v>45673</v>
      </c>
      <c r="S795" s="472" t="s">
        <v>278</v>
      </c>
      <c r="T795" s="473">
        <v>45679</v>
      </c>
      <c r="U795" s="474">
        <v>8</v>
      </c>
      <c r="V795" s="475">
        <v>934.72</v>
      </c>
      <c r="W795" s="260">
        <v>45658</v>
      </c>
      <c r="X795" s="845"/>
    </row>
    <row r="796" spans="1:24" hidden="1" x14ac:dyDescent="0.35">
      <c r="A796" s="472" t="s">
        <v>526</v>
      </c>
      <c r="B796" s="472" t="s">
        <v>159</v>
      </c>
      <c r="C796" s="472" t="s">
        <v>584</v>
      </c>
      <c r="D796" s="472" t="s">
        <v>585</v>
      </c>
      <c r="E796" s="472" t="s">
        <v>586</v>
      </c>
      <c r="F796" s="472" t="s">
        <v>276</v>
      </c>
      <c r="G796" s="472" t="s">
        <v>356</v>
      </c>
      <c r="H796" s="472" t="s">
        <v>533</v>
      </c>
      <c r="I796" s="472" t="s">
        <v>277</v>
      </c>
      <c r="J796" s="472" t="s">
        <v>522</v>
      </c>
      <c r="K796" s="472" t="s">
        <v>587</v>
      </c>
      <c r="L796" s="472" t="s">
        <v>357</v>
      </c>
      <c r="M796" s="472" t="s">
        <v>535</v>
      </c>
      <c r="N796" s="472"/>
      <c r="O796" s="472"/>
      <c r="P796" s="472" t="s">
        <v>522</v>
      </c>
      <c r="Q796" s="472"/>
      <c r="R796" s="473">
        <v>45670</v>
      </c>
      <c r="S796" s="472" t="s">
        <v>278</v>
      </c>
      <c r="T796" s="473">
        <v>45679</v>
      </c>
      <c r="U796" s="474">
        <v>5</v>
      </c>
      <c r="V796" s="475">
        <v>584.20000000000005</v>
      </c>
      <c r="W796" s="260">
        <v>45658</v>
      </c>
      <c r="X796" s="845"/>
    </row>
    <row r="797" spans="1:24" hidden="1" x14ac:dyDescent="0.35">
      <c r="A797" s="472" t="s">
        <v>526</v>
      </c>
      <c r="B797" s="472" t="s">
        <v>159</v>
      </c>
      <c r="C797" s="472" t="s">
        <v>584</v>
      </c>
      <c r="D797" s="472" t="s">
        <v>585</v>
      </c>
      <c r="E797" s="472" t="s">
        <v>586</v>
      </c>
      <c r="F797" s="472" t="s">
        <v>276</v>
      </c>
      <c r="G797" s="472" t="s">
        <v>356</v>
      </c>
      <c r="H797" s="472" t="s">
        <v>533</v>
      </c>
      <c r="I797" s="472" t="s">
        <v>277</v>
      </c>
      <c r="J797" s="472" t="s">
        <v>522</v>
      </c>
      <c r="K797" s="472" t="s">
        <v>587</v>
      </c>
      <c r="L797" s="472" t="s">
        <v>357</v>
      </c>
      <c r="M797" s="472" t="s">
        <v>535</v>
      </c>
      <c r="N797" s="472"/>
      <c r="O797" s="472"/>
      <c r="P797" s="472" t="s">
        <v>522</v>
      </c>
      <c r="Q797" s="472"/>
      <c r="R797" s="473">
        <v>45679</v>
      </c>
      <c r="S797" s="472" t="s">
        <v>278</v>
      </c>
      <c r="T797" s="473">
        <v>45684</v>
      </c>
      <c r="U797" s="474">
        <v>6</v>
      </c>
      <c r="V797" s="475">
        <v>701.04</v>
      </c>
      <c r="W797" s="260">
        <v>45658</v>
      </c>
      <c r="X797" s="845"/>
    </row>
    <row r="798" spans="1:24" hidden="1" x14ac:dyDescent="0.35">
      <c r="A798" s="472" t="s">
        <v>526</v>
      </c>
      <c r="B798" s="472" t="s">
        <v>159</v>
      </c>
      <c r="C798" s="472" t="s">
        <v>584</v>
      </c>
      <c r="D798" s="472" t="s">
        <v>585</v>
      </c>
      <c r="E798" s="472" t="s">
        <v>586</v>
      </c>
      <c r="F798" s="472" t="s">
        <v>276</v>
      </c>
      <c r="G798" s="472" t="s">
        <v>356</v>
      </c>
      <c r="H798" s="472" t="s">
        <v>533</v>
      </c>
      <c r="I798" s="472" t="s">
        <v>277</v>
      </c>
      <c r="J798" s="472" t="s">
        <v>522</v>
      </c>
      <c r="K798" s="472" t="s">
        <v>587</v>
      </c>
      <c r="L798" s="472" t="s">
        <v>357</v>
      </c>
      <c r="M798" s="472" t="s">
        <v>535</v>
      </c>
      <c r="N798" s="472"/>
      <c r="O798" s="472"/>
      <c r="P798" s="472" t="s">
        <v>522</v>
      </c>
      <c r="Q798" s="472"/>
      <c r="R798" s="473">
        <v>45680</v>
      </c>
      <c r="S798" s="472" t="s">
        <v>278</v>
      </c>
      <c r="T798" s="473">
        <v>45684</v>
      </c>
      <c r="U798" s="474">
        <v>6</v>
      </c>
      <c r="V798" s="475">
        <v>701.04</v>
      </c>
      <c r="W798" s="260">
        <v>45658</v>
      </c>
      <c r="X798" s="845"/>
    </row>
    <row r="799" spans="1:24" hidden="1" x14ac:dyDescent="0.35">
      <c r="A799" s="472" t="s">
        <v>526</v>
      </c>
      <c r="B799" s="472" t="s">
        <v>159</v>
      </c>
      <c r="C799" s="472" t="s">
        <v>584</v>
      </c>
      <c r="D799" s="472" t="s">
        <v>585</v>
      </c>
      <c r="E799" s="472" t="s">
        <v>586</v>
      </c>
      <c r="F799" s="472" t="s">
        <v>276</v>
      </c>
      <c r="G799" s="472" t="s">
        <v>356</v>
      </c>
      <c r="H799" s="472" t="s">
        <v>533</v>
      </c>
      <c r="I799" s="472" t="s">
        <v>277</v>
      </c>
      <c r="J799" s="472" t="s">
        <v>522</v>
      </c>
      <c r="K799" s="472" t="s">
        <v>587</v>
      </c>
      <c r="L799" s="472" t="s">
        <v>357</v>
      </c>
      <c r="M799" s="472" t="s">
        <v>535</v>
      </c>
      <c r="N799" s="472"/>
      <c r="O799" s="472"/>
      <c r="P799" s="472" t="s">
        <v>522</v>
      </c>
      <c r="Q799" s="472"/>
      <c r="R799" s="473">
        <v>45681</v>
      </c>
      <c r="S799" s="472" t="s">
        <v>278</v>
      </c>
      <c r="T799" s="473">
        <v>45684</v>
      </c>
      <c r="U799" s="474">
        <v>5</v>
      </c>
      <c r="V799" s="475">
        <v>584.20000000000005</v>
      </c>
      <c r="W799" s="260">
        <v>45658</v>
      </c>
      <c r="X799" s="845"/>
    </row>
    <row r="800" spans="1:24" hidden="1" x14ac:dyDescent="0.35">
      <c r="A800" s="472" t="s">
        <v>526</v>
      </c>
      <c r="B800" s="472" t="s">
        <v>159</v>
      </c>
      <c r="C800" s="472" t="s">
        <v>584</v>
      </c>
      <c r="D800" s="472" t="s">
        <v>585</v>
      </c>
      <c r="E800" s="472" t="s">
        <v>586</v>
      </c>
      <c r="F800" s="472" t="s">
        <v>276</v>
      </c>
      <c r="G800" s="472" t="s">
        <v>356</v>
      </c>
      <c r="H800" s="472" t="s">
        <v>533</v>
      </c>
      <c r="I800" s="472" t="s">
        <v>277</v>
      </c>
      <c r="J800" s="472" t="s">
        <v>522</v>
      </c>
      <c r="K800" s="472" t="s">
        <v>587</v>
      </c>
      <c r="L800" s="472" t="s">
        <v>357</v>
      </c>
      <c r="M800" s="472" t="s">
        <v>535</v>
      </c>
      <c r="N800" s="472"/>
      <c r="O800" s="472"/>
      <c r="P800" s="472" t="s">
        <v>522</v>
      </c>
      <c r="Q800" s="472"/>
      <c r="R800" s="473">
        <v>45678</v>
      </c>
      <c r="S800" s="472" t="s">
        <v>278</v>
      </c>
      <c r="T800" s="473">
        <v>45684</v>
      </c>
      <c r="U800" s="474">
        <v>1</v>
      </c>
      <c r="V800" s="475">
        <v>116.84</v>
      </c>
      <c r="W800" s="260">
        <v>45658</v>
      </c>
      <c r="X800" s="845"/>
    </row>
    <row r="801" spans="1:24" hidden="1" x14ac:dyDescent="0.35">
      <c r="A801" s="472" t="s">
        <v>526</v>
      </c>
      <c r="B801" s="472" t="s">
        <v>159</v>
      </c>
      <c r="C801" s="472" t="s">
        <v>584</v>
      </c>
      <c r="D801" s="472" t="s">
        <v>585</v>
      </c>
      <c r="E801" s="472" t="s">
        <v>586</v>
      </c>
      <c r="F801" s="472" t="s">
        <v>276</v>
      </c>
      <c r="G801" s="472" t="s">
        <v>356</v>
      </c>
      <c r="H801" s="472" t="s">
        <v>533</v>
      </c>
      <c r="I801" s="472" t="s">
        <v>277</v>
      </c>
      <c r="J801" s="472" t="s">
        <v>522</v>
      </c>
      <c r="K801" s="472" t="s">
        <v>587</v>
      </c>
      <c r="L801" s="472" t="s">
        <v>357</v>
      </c>
      <c r="M801" s="472" t="s">
        <v>535</v>
      </c>
      <c r="N801" s="472"/>
      <c r="O801" s="472"/>
      <c r="P801" s="472" t="s">
        <v>522</v>
      </c>
      <c r="Q801" s="472"/>
      <c r="R801" s="473">
        <v>45686</v>
      </c>
      <c r="S801" s="472" t="s">
        <v>278</v>
      </c>
      <c r="T801" s="473">
        <v>45688</v>
      </c>
      <c r="U801" s="474">
        <v>8</v>
      </c>
      <c r="V801" s="475">
        <v>987.2</v>
      </c>
      <c r="W801" s="260">
        <v>45658</v>
      </c>
      <c r="X801" s="845"/>
    </row>
    <row r="802" spans="1:24" hidden="1" x14ac:dyDescent="0.35">
      <c r="A802" s="472" t="s">
        <v>526</v>
      </c>
      <c r="B802" s="472" t="s">
        <v>159</v>
      </c>
      <c r="C802" s="472" t="s">
        <v>584</v>
      </c>
      <c r="D802" s="472" t="s">
        <v>585</v>
      </c>
      <c r="E802" s="472" t="s">
        <v>586</v>
      </c>
      <c r="F802" s="472" t="s">
        <v>276</v>
      </c>
      <c r="G802" s="472" t="s">
        <v>356</v>
      </c>
      <c r="H802" s="472" t="s">
        <v>533</v>
      </c>
      <c r="I802" s="472" t="s">
        <v>277</v>
      </c>
      <c r="J802" s="472" t="s">
        <v>522</v>
      </c>
      <c r="K802" s="472" t="s">
        <v>587</v>
      </c>
      <c r="L802" s="472" t="s">
        <v>357</v>
      </c>
      <c r="M802" s="472" t="s">
        <v>535</v>
      </c>
      <c r="N802" s="472"/>
      <c r="O802" s="472"/>
      <c r="P802" s="472" t="s">
        <v>522</v>
      </c>
      <c r="Q802" s="472"/>
      <c r="R802" s="473">
        <v>45684</v>
      </c>
      <c r="S802" s="472" t="s">
        <v>278</v>
      </c>
      <c r="T802" s="473">
        <v>45688</v>
      </c>
      <c r="U802" s="474">
        <v>6</v>
      </c>
      <c r="V802" s="475">
        <v>740.4</v>
      </c>
      <c r="W802" s="260">
        <v>45658</v>
      </c>
      <c r="X802" s="845"/>
    </row>
    <row r="803" spans="1:24" hidden="1" x14ac:dyDescent="0.35">
      <c r="A803" s="472" t="s">
        <v>526</v>
      </c>
      <c r="B803" s="472" t="s">
        <v>159</v>
      </c>
      <c r="C803" s="472" t="s">
        <v>584</v>
      </c>
      <c r="D803" s="472" t="s">
        <v>585</v>
      </c>
      <c r="E803" s="472" t="s">
        <v>586</v>
      </c>
      <c r="F803" s="472" t="s">
        <v>276</v>
      </c>
      <c r="G803" s="472" t="s">
        <v>356</v>
      </c>
      <c r="H803" s="472" t="s">
        <v>533</v>
      </c>
      <c r="I803" s="472" t="s">
        <v>277</v>
      </c>
      <c r="J803" s="472" t="s">
        <v>522</v>
      </c>
      <c r="K803" s="472" t="s">
        <v>587</v>
      </c>
      <c r="L803" s="472" t="s">
        <v>357</v>
      </c>
      <c r="M803" s="472" t="s">
        <v>535</v>
      </c>
      <c r="N803" s="472"/>
      <c r="O803" s="472"/>
      <c r="P803" s="472" t="s">
        <v>522</v>
      </c>
      <c r="Q803" s="472"/>
      <c r="R803" s="473">
        <v>45685</v>
      </c>
      <c r="S803" s="472" t="s">
        <v>278</v>
      </c>
      <c r="T803" s="473">
        <v>45688</v>
      </c>
      <c r="U803" s="474">
        <v>4</v>
      </c>
      <c r="V803" s="475">
        <v>493.6</v>
      </c>
      <c r="W803" s="260">
        <v>45658</v>
      </c>
      <c r="X803" s="845"/>
    </row>
    <row r="804" spans="1:24" hidden="1" x14ac:dyDescent="0.35">
      <c r="A804" s="472" t="s">
        <v>526</v>
      </c>
      <c r="B804" s="472" t="s">
        <v>159</v>
      </c>
      <c r="C804" s="472" t="s">
        <v>584</v>
      </c>
      <c r="D804" s="472" t="s">
        <v>585</v>
      </c>
      <c r="E804" s="472" t="s">
        <v>586</v>
      </c>
      <c r="F804" s="472" t="s">
        <v>276</v>
      </c>
      <c r="G804" s="472" t="s">
        <v>356</v>
      </c>
      <c r="H804" s="472" t="s">
        <v>533</v>
      </c>
      <c r="I804" s="472" t="s">
        <v>277</v>
      </c>
      <c r="J804" s="472" t="s">
        <v>522</v>
      </c>
      <c r="K804" s="472" t="s">
        <v>587</v>
      </c>
      <c r="L804" s="472" t="s">
        <v>357</v>
      </c>
      <c r="M804" s="472" t="s">
        <v>535</v>
      </c>
      <c r="N804" s="472"/>
      <c r="O804" s="472"/>
      <c r="P804" s="472" t="s">
        <v>522</v>
      </c>
      <c r="Q804" s="472"/>
      <c r="R804" s="473">
        <v>45687</v>
      </c>
      <c r="S804" s="472" t="s">
        <v>278</v>
      </c>
      <c r="T804" s="473">
        <v>45688</v>
      </c>
      <c r="U804" s="474">
        <v>4</v>
      </c>
      <c r="V804" s="475">
        <v>493.6</v>
      </c>
      <c r="W804" s="260">
        <v>45658</v>
      </c>
      <c r="X804" s="845"/>
    </row>
    <row r="805" spans="1:24" hidden="1" x14ac:dyDescent="0.35">
      <c r="A805" s="472" t="s">
        <v>526</v>
      </c>
      <c r="B805" s="472" t="s">
        <v>159</v>
      </c>
      <c r="C805" s="472" t="s">
        <v>584</v>
      </c>
      <c r="D805" s="472" t="s">
        <v>585</v>
      </c>
      <c r="E805" s="472" t="s">
        <v>586</v>
      </c>
      <c r="F805" s="472" t="s">
        <v>276</v>
      </c>
      <c r="G805" s="472" t="s">
        <v>356</v>
      </c>
      <c r="H805" s="472" t="s">
        <v>533</v>
      </c>
      <c r="I805" s="472" t="s">
        <v>277</v>
      </c>
      <c r="J805" s="472" t="s">
        <v>522</v>
      </c>
      <c r="K805" s="472" t="s">
        <v>587</v>
      </c>
      <c r="L805" s="472" t="s">
        <v>357</v>
      </c>
      <c r="M805" s="472" t="s">
        <v>535</v>
      </c>
      <c r="N805" s="472"/>
      <c r="O805" s="472"/>
      <c r="P805" s="472" t="s">
        <v>522</v>
      </c>
      <c r="Q805" s="472"/>
      <c r="R805" s="473">
        <v>45688</v>
      </c>
      <c r="S805" s="472" t="s">
        <v>278</v>
      </c>
      <c r="T805" s="473">
        <v>45688</v>
      </c>
      <c r="U805" s="474">
        <v>6</v>
      </c>
      <c r="V805" s="475">
        <v>740.4</v>
      </c>
      <c r="W805" s="260">
        <v>45658</v>
      </c>
      <c r="X805" s="845"/>
    </row>
    <row r="806" spans="1:24" hidden="1" x14ac:dyDescent="0.35">
      <c r="A806" s="472" t="s">
        <v>526</v>
      </c>
      <c r="B806" s="472" t="s">
        <v>53</v>
      </c>
      <c r="C806" s="472"/>
      <c r="D806" s="472" t="s">
        <v>385</v>
      </c>
      <c r="E806" s="472" t="s">
        <v>386</v>
      </c>
      <c r="F806" s="472" t="s">
        <v>276</v>
      </c>
      <c r="G806" s="472" t="s">
        <v>356</v>
      </c>
      <c r="H806" s="472"/>
      <c r="I806" s="472" t="s">
        <v>277</v>
      </c>
      <c r="J806" s="472" t="s">
        <v>524</v>
      </c>
      <c r="K806" s="472"/>
      <c r="L806" s="472" t="s">
        <v>357</v>
      </c>
      <c r="M806" s="472" t="s">
        <v>285</v>
      </c>
      <c r="N806" s="472" t="s">
        <v>609</v>
      </c>
      <c r="O806" s="472" t="s">
        <v>606</v>
      </c>
      <c r="P806" s="472" t="s">
        <v>524</v>
      </c>
      <c r="Q806" s="472" t="s">
        <v>387</v>
      </c>
      <c r="R806" s="473">
        <v>45641</v>
      </c>
      <c r="S806" s="472" t="s">
        <v>388</v>
      </c>
      <c r="T806" s="473">
        <v>45684</v>
      </c>
      <c r="U806" s="476">
        <v>1</v>
      </c>
      <c r="V806" s="475">
        <v>2950.3</v>
      </c>
      <c r="W806" s="260">
        <v>45658</v>
      </c>
    </row>
    <row r="807" spans="1:24" hidden="1" x14ac:dyDescent="0.35">
      <c r="A807" s="472" t="s">
        <v>526</v>
      </c>
      <c r="B807" s="472" t="s">
        <v>53</v>
      </c>
      <c r="C807" s="472"/>
      <c r="D807" s="472" t="s">
        <v>385</v>
      </c>
      <c r="E807" s="472" t="s">
        <v>386</v>
      </c>
      <c r="F807" s="472" t="s">
        <v>276</v>
      </c>
      <c r="G807" s="472" t="s">
        <v>356</v>
      </c>
      <c r="H807" s="472"/>
      <c r="I807" s="472" t="s">
        <v>277</v>
      </c>
      <c r="J807" s="472" t="s">
        <v>524</v>
      </c>
      <c r="K807" s="472"/>
      <c r="L807" s="472" t="s">
        <v>357</v>
      </c>
      <c r="M807" s="472" t="s">
        <v>285</v>
      </c>
      <c r="N807" s="578" t="s">
        <v>610</v>
      </c>
      <c r="O807" s="472">
        <v>5000055093</v>
      </c>
      <c r="P807" s="578" t="s">
        <v>524</v>
      </c>
      <c r="Q807" s="472" t="s">
        <v>387</v>
      </c>
      <c r="R807" s="473">
        <v>45674</v>
      </c>
      <c r="S807" s="472" t="s">
        <v>388</v>
      </c>
      <c r="T807" s="473">
        <v>45684</v>
      </c>
      <c r="U807" s="476">
        <v>1</v>
      </c>
      <c r="V807" s="475">
        <v>320</v>
      </c>
      <c r="W807" s="260">
        <v>45658</v>
      </c>
    </row>
    <row r="808" spans="1:24" hidden="1" x14ac:dyDescent="0.35">
      <c r="A808" s="472" t="s">
        <v>526</v>
      </c>
      <c r="B808" s="472" t="s">
        <v>53</v>
      </c>
      <c r="C808" s="472"/>
      <c r="D808" s="472" t="s">
        <v>385</v>
      </c>
      <c r="E808" s="472" t="s">
        <v>386</v>
      </c>
      <c r="F808" s="472" t="s">
        <v>276</v>
      </c>
      <c r="G808" s="472" t="s">
        <v>356</v>
      </c>
      <c r="H808" s="472"/>
      <c r="I808" s="472" t="s">
        <v>277</v>
      </c>
      <c r="J808" s="472" t="s">
        <v>524</v>
      </c>
      <c r="K808" s="472"/>
      <c r="L808" s="472" t="s">
        <v>357</v>
      </c>
      <c r="M808" s="472" t="s">
        <v>285</v>
      </c>
      <c r="N808" s="472" t="s">
        <v>609</v>
      </c>
      <c r="O808" s="472" t="s">
        <v>606</v>
      </c>
      <c r="P808" s="472" t="s">
        <v>524</v>
      </c>
      <c r="Q808" s="472" t="s">
        <v>387</v>
      </c>
      <c r="R808" s="473">
        <v>45641</v>
      </c>
      <c r="S808" s="472" t="s">
        <v>388</v>
      </c>
      <c r="T808" s="473">
        <v>45684</v>
      </c>
      <c r="U808" s="476">
        <v>1</v>
      </c>
      <c r="V808" s="475">
        <v>2950.3</v>
      </c>
      <c r="W808" s="260">
        <v>45658</v>
      </c>
    </row>
    <row r="809" spans="1:24" hidden="1" x14ac:dyDescent="0.35">
      <c r="A809" s="472" t="s">
        <v>526</v>
      </c>
      <c r="B809" s="472" t="s">
        <v>53</v>
      </c>
      <c r="C809" s="472"/>
      <c r="D809" s="472" t="s">
        <v>385</v>
      </c>
      <c r="E809" s="472" t="s">
        <v>386</v>
      </c>
      <c r="F809" s="472" t="s">
        <v>276</v>
      </c>
      <c r="G809" s="472" t="s">
        <v>356</v>
      </c>
      <c r="H809" s="472"/>
      <c r="I809" s="472" t="s">
        <v>277</v>
      </c>
      <c r="J809" s="472" t="s">
        <v>524</v>
      </c>
      <c r="K809" s="472"/>
      <c r="L809" s="472" t="s">
        <v>357</v>
      </c>
      <c r="M809" s="472" t="s">
        <v>285</v>
      </c>
      <c r="N809" s="472" t="s">
        <v>611</v>
      </c>
      <c r="O809" s="472" t="s">
        <v>606</v>
      </c>
      <c r="P809" s="472" t="s">
        <v>524</v>
      </c>
      <c r="Q809" s="472" t="s">
        <v>387</v>
      </c>
      <c r="R809" s="473">
        <v>45657</v>
      </c>
      <c r="S809" s="472" t="s">
        <v>388</v>
      </c>
      <c r="T809" s="473">
        <v>45684</v>
      </c>
      <c r="U809" s="476">
        <v>1</v>
      </c>
      <c r="V809" s="475">
        <v>2950.3</v>
      </c>
      <c r="W809" s="260">
        <v>45658</v>
      </c>
    </row>
    <row r="810" spans="1:24" hidden="1" x14ac:dyDescent="0.35">
      <c r="A810" s="472" t="s">
        <v>526</v>
      </c>
      <c r="B810" s="472" t="s">
        <v>53</v>
      </c>
      <c r="C810" s="472"/>
      <c r="D810" s="472" t="s">
        <v>385</v>
      </c>
      <c r="E810" s="472" t="s">
        <v>386</v>
      </c>
      <c r="F810" s="472" t="s">
        <v>588</v>
      </c>
      <c r="G810" s="472" t="s">
        <v>356</v>
      </c>
      <c r="H810" s="472"/>
      <c r="I810" s="472" t="s">
        <v>277</v>
      </c>
      <c r="J810" s="472" t="s">
        <v>524</v>
      </c>
      <c r="K810" s="472"/>
      <c r="L810" s="472" t="s">
        <v>357</v>
      </c>
      <c r="M810" s="472" t="s">
        <v>285</v>
      </c>
      <c r="N810" s="472" t="s">
        <v>609</v>
      </c>
      <c r="O810" s="472">
        <v>5000057290</v>
      </c>
      <c r="P810" s="578" t="s">
        <v>524</v>
      </c>
      <c r="Q810" s="472" t="s">
        <v>387</v>
      </c>
      <c r="R810" s="473">
        <v>45641</v>
      </c>
      <c r="S810" s="472" t="s">
        <v>388</v>
      </c>
      <c r="T810" s="473">
        <v>45684</v>
      </c>
      <c r="U810" s="476">
        <v>-1</v>
      </c>
      <c r="V810" s="475">
        <v>-2950.3</v>
      </c>
      <c r="W810" s="260">
        <v>45658</v>
      </c>
    </row>
    <row r="811" spans="1:24" hidden="1" x14ac:dyDescent="0.35">
      <c r="A811" s="472" t="s">
        <v>526</v>
      </c>
      <c r="B811" s="472" t="s">
        <v>53</v>
      </c>
      <c r="C811" s="472"/>
      <c r="D811" s="472" t="s">
        <v>575</v>
      </c>
      <c r="E811" s="472" t="s">
        <v>576</v>
      </c>
      <c r="F811" s="472" t="s">
        <v>588</v>
      </c>
      <c r="G811" s="472" t="s">
        <v>356</v>
      </c>
      <c r="H811" s="472"/>
      <c r="I811" s="472" t="s">
        <v>277</v>
      </c>
      <c r="J811" s="472" t="s">
        <v>524</v>
      </c>
      <c r="K811" s="472"/>
      <c r="L811" s="472" t="s">
        <v>357</v>
      </c>
      <c r="M811" s="472" t="s">
        <v>285</v>
      </c>
      <c r="N811" s="472"/>
      <c r="O811" s="472" t="s">
        <v>601</v>
      </c>
      <c r="P811" s="472" t="s">
        <v>524</v>
      </c>
      <c r="Q811" s="472" t="s">
        <v>589</v>
      </c>
      <c r="R811" s="473">
        <v>45650</v>
      </c>
      <c r="S811" s="472"/>
      <c r="T811" s="473">
        <v>45658</v>
      </c>
      <c r="U811" s="474">
        <v>0</v>
      </c>
      <c r="V811" s="475">
        <v>-31070</v>
      </c>
      <c r="W811" s="260">
        <v>45658</v>
      </c>
    </row>
    <row r="812" spans="1:24" hidden="1" x14ac:dyDescent="0.35">
      <c r="A812" s="472" t="s">
        <v>526</v>
      </c>
      <c r="B812" s="472" t="s">
        <v>53</v>
      </c>
      <c r="C812" s="472"/>
      <c r="D812" s="472" t="s">
        <v>575</v>
      </c>
      <c r="E812" s="472" t="s">
        <v>576</v>
      </c>
      <c r="F812" s="472" t="s">
        <v>588</v>
      </c>
      <c r="G812" s="472" t="s">
        <v>356</v>
      </c>
      <c r="H812" s="472"/>
      <c r="I812" s="472" t="s">
        <v>277</v>
      </c>
      <c r="J812" s="472" t="s">
        <v>524</v>
      </c>
      <c r="K812" s="472"/>
      <c r="L812" s="472" t="s">
        <v>357</v>
      </c>
      <c r="M812" s="472" t="s">
        <v>285</v>
      </c>
      <c r="N812" s="472"/>
      <c r="O812" s="472" t="s">
        <v>601</v>
      </c>
      <c r="P812" s="472" t="s">
        <v>524</v>
      </c>
      <c r="Q812" s="472" t="s">
        <v>589</v>
      </c>
      <c r="R812" s="473">
        <v>45650</v>
      </c>
      <c r="S812" s="472"/>
      <c r="T812" s="473">
        <v>45658</v>
      </c>
      <c r="U812" s="474">
        <v>0</v>
      </c>
      <c r="V812" s="475">
        <v>-51250</v>
      </c>
      <c r="W812" s="260">
        <v>45658</v>
      </c>
    </row>
    <row r="813" spans="1:24" hidden="1" x14ac:dyDescent="0.35">
      <c r="A813" s="472" t="s">
        <v>526</v>
      </c>
      <c r="B813" s="472" t="s">
        <v>53</v>
      </c>
      <c r="C813" s="472"/>
      <c r="D813" s="472" t="s">
        <v>575</v>
      </c>
      <c r="E813" s="472" t="s">
        <v>576</v>
      </c>
      <c r="F813" s="472" t="s">
        <v>588</v>
      </c>
      <c r="G813" s="472" t="s">
        <v>356</v>
      </c>
      <c r="H813" s="472"/>
      <c r="I813" s="472" t="s">
        <v>277</v>
      </c>
      <c r="J813" s="472" t="s">
        <v>524</v>
      </c>
      <c r="K813" s="472"/>
      <c r="L813" s="472" t="s">
        <v>357</v>
      </c>
      <c r="M813" s="472" t="s">
        <v>285</v>
      </c>
      <c r="N813" s="472"/>
      <c r="O813" s="472" t="s">
        <v>601</v>
      </c>
      <c r="P813" s="472" t="s">
        <v>524</v>
      </c>
      <c r="Q813" s="472" t="s">
        <v>589</v>
      </c>
      <c r="R813" s="473">
        <v>45650</v>
      </c>
      <c r="S813" s="472"/>
      <c r="T813" s="473">
        <v>45658</v>
      </c>
      <c r="U813" s="474">
        <v>0</v>
      </c>
      <c r="V813" s="475">
        <v>-18950</v>
      </c>
      <c r="W813" s="260">
        <v>45658</v>
      </c>
    </row>
    <row r="814" spans="1:24" hidden="1" x14ac:dyDescent="0.35">
      <c r="A814" s="472" t="s">
        <v>526</v>
      </c>
      <c r="B814" s="472" t="s">
        <v>53</v>
      </c>
      <c r="C814" s="472"/>
      <c r="D814" s="472" t="s">
        <v>575</v>
      </c>
      <c r="E814" s="472" t="s">
        <v>576</v>
      </c>
      <c r="F814" s="472" t="s">
        <v>588</v>
      </c>
      <c r="G814" s="472" t="s">
        <v>356</v>
      </c>
      <c r="H814" s="472"/>
      <c r="I814" s="472" t="s">
        <v>277</v>
      </c>
      <c r="J814" s="472" t="s">
        <v>524</v>
      </c>
      <c r="K814" s="472"/>
      <c r="L814" s="472" t="s">
        <v>357</v>
      </c>
      <c r="M814" s="472" t="s">
        <v>285</v>
      </c>
      <c r="N814" s="472"/>
      <c r="O814" s="472" t="s">
        <v>608</v>
      </c>
      <c r="P814" s="472" t="s">
        <v>524</v>
      </c>
      <c r="Q814" s="472" t="s">
        <v>589</v>
      </c>
      <c r="R814" s="473">
        <v>45650</v>
      </c>
      <c r="S814" s="472"/>
      <c r="T814" s="473">
        <v>45658</v>
      </c>
      <c r="U814" s="474">
        <v>0</v>
      </c>
      <c r="V814" s="475">
        <v>-320</v>
      </c>
      <c r="W814" s="260">
        <v>45658</v>
      </c>
    </row>
    <row r="815" spans="1:24" hidden="1" x14ac:dyDescent="0.35">
      <c r="A815" s="472" t="s">
        <v>526</v>
      </c>
      <c r="B815" s="472" t="s">
        <v>53</v>
      </c>
      <c r="C815" s="472"/>
      <c r="D815" s="472" t="s">
        <v>575</v>
      </c>
      <c r="E815" s="472" t="s">
        <v>576</v>
      </c>
      <c r="F815" s="472" t="s">
        <v>276</v>
      </c>
      <c r="G815" s="472" t="s">
        <v>356</v>
      </c>
      <c r="H815" s="472"/>
      <c r="I815" s="472" t="s">
        <v>277</v>
      </c>
      <c r="J815" s="472" t="s">
        <v>524</v>
      </c>
      <c r="K815" s="472"/>
      <c r="L815" s="472" t="s">
        <v>357</v>
      </c>
      <c r="M815" s="472" t="s">
        <v>285</v>
      </c>
      <c r="N815" s="472"/>
      <c r="O815" s="472" t="s">
        <v>601</v>
      </c>
      <c r="P815" s="472" t="s">
        <v>524</v>
      </c>
      <c r="Q815" s="472" t="s">
        <v>400</v>
      </c>
      <c r="R815" s="473">
        <v>45685</v>
      </c>
      <c r="S815" s="472"/>
      <c r="T815" s="473">
        <v>45688</v>
      </c>
      <c r="U815" s="474">
        <v>0</v>
      </c>
      <c r="V815" s="475">
        <v>47800</v>
      </c>
      <c r="W815" s="260">
        <v>45658</v>
      </c>
    </row>
    <row r="816" spans="1:24" hidden="1" x14ac:dyDescent="0.35">
      <c r="A816" s="472" t="s">
        <v>526</v>
      </c>
      <c r="B816" s="472" t="s">
        <v>53</v>
      </c>
      <c r="C816" s="472"/>
      <c r="D816" s="472" t="s">
        <v>575</v>
      </c>
      <c r="E816" s="472" t="s">
        <v>576</v>
      </c>
      <c r="F816" s="472" t="s">
        <v>276</v>
      </c>
      <c r="G816" s="472" t="s">
        <v>356</v>
      </c>
      <c r="H816" s="472"/>
      <c r="I816" s="472" t="s">
        <v>277</v>
      </c>
      <c r="J816" s="472" t="s">
        <v>524</v>
      </c>
      <c r="K816" s="472"/>
      <c r="L816" s="472" t="s">
        <v>357</v>
      </c>
      <c r="M816" s="472" t="s">
        <v>285</v>
      </c>
      <c r="N816" s="472"/>
      <c r="O816" s="472" t="s">
        <v>601</v>
      </c>
      <c r="P816" s="472" t="s">
        <v>524</v>
      </c>
      <c r="Q816" s="472" t="s">
        <v>400</v>
      </c>
      <c r="R816" s="473">
        <v>45685</v>
      </c>
      <c r="S816" s="472"/>
      <c r="T816" s="473">
        <v>45688</v>
      </c>
      <c r="U816" s="474">
        <v>0</v>
      </c>
      <c r="V816" s="475">
        <v>51250</v>
      </c>
      <c r="W816" s="260">
        <v>45658</v>
      </c>
    </row>
    <row r="817" spans="1:23" hidden="1" x14ac:dyDescent="0.35">
      <c r="A817" s="472" t="s">
        <v>526</v>
      </c>
      <c r="B817" s="472" t="s">
        <v>53</v>
      </c>
      <c r="C817" s="472"/>
      <c r="D817" s="472" t="s">
        <v>575</v>
      </c>
      <c r="E817" s="472" t="s">
        <v>576</v>
      </c>
      <c r="F817" s="472" t="s">
        <v>276</v>
      </c>
      <c r="G817" s="472" t="s">
        <v>356</v>
      </c>
      <c r="H817" s="472"/>
      <c r="I817" s="472" t="s">
        <v>277</v>
      </c>
      <c r="J817" s="472" t="s">
        <v>524</v>
      </c>
      <c r="K817" s="472"/>
      <c r="L817" s="472" t="s">
        <v>357</v>
      </c>
      <c r="M817" s="472" t="s">
        <v>285</v>
      </c>
      <c r="N817" s="472"/>
      <c r="O817" s="472">
        <v>5000058992</v>
      </c>
      <c r="P817" s="472" t="s">
        <v>524</v>
      </c>
      <c r="Q817" s="472" t="s">
        <v>400</v>
      </c>
      <c r="R817" s="473">
        <v>45685</v>
      </c>
      <c r="S817" s="472"/>
      <c r="T817" s="473">
        <v>45688</v>
      </c>
      <c r="U817" s="474">
        <v>0</v>
      </c>
      <c r="V817" s="475">
        <v>18950</v>
      </c>
      <c r="W817" s="260">
        <v>45658</v>
      </c>
    </row>
    <row r="818" spans="1:23" hidden="1" x14ac:dyDescent="0.35">
      <c r="A818" s="472" t="s">
        <v>526</v>
      </c>
      <c r="B818" s="472" t="s">
        <v>53</v>
      </c>
      <c r="C818" s="472"/>
      <c r="D818" s="472" t="s">
        <v>575</v>
      </c>
      <c r="E818" s="472" t="s">
        <v>576</v>
      </c>
      <c r="F818" s="472" t="s">
        <v>276</v>
      </c>
      <c r="G818" s="472" t="s">
        <v>356</v>
      </c>
      <c r="H818" s="472"/>
      <c r="I818" s="472" t="s">
        <v>277</v>
      </c>
      <c r="J818" s="472" t="s">
        <v>524</v>
      </c>
      <c r="K818" s="472"/>
      <c r="L818" s="472" t="s">
        <v>357</v>
      </c>
      <c r="M818" s="472" t="s">
        <v>285</v>
      </c>
      <c r="N818" s="472"/>
      <c r="O818" s="472" t="s">
        <v>608</v>
      </c>
      <c r="P818" s="472" t="s">
        <v>524</v>
      </c>
      <c r="Q818" s="472" t="s">
        <v>400</v>
      </c>
      <c r="R818" s="473">
        <v>45685</v>
      </c>
      <c r="S818" s="472"/>
      <c r="T818" s="473">
        <v>45688</v>
      </c>
      <c r="U818" s="474">
        <v>0</v>
      </c>
      <c r="V818" s="475">
        <v>824</v>
      </c>
      <c r="W818" s="260">
        <v>45658</v>
      </c>
    </row>
    <row r="819" spans="1:23" hidden="1" x14ac:dyDescent="0.35">
      <c r="A819" s="472" t="s">
        <v>526</v>
      </c>
      <c r="B819" s="472" t="s">
        <v>53</v>
      </c>
      <c r="C819" s="472"/>
      <c r="D819" s="472" t="s">
        <v>575</v>
      </c>
      <c r="E819" s="472" t="s">
        <v>576</v>
      </c>
      <c r="F819" s="472" t="s">
        <v>276</v>
      </c>
      <c r="G819" s="472" t="s">
        <v>356</v>
      </c>
      <c r="H819" s="472"/>
      <c r="I819" s="472" t="s">
        <v>277</v>
      </c>
      <c r="J819" s="472" t="s">
        <v>577</v>
      </c>
      <c r="K819" s="472"/>
      <c r="L819" s="472" t="s">
        <v>384</v>
      </c>
      <c r="M819" s="472" t="s">
        <v>285</v>
      </c>
      <c r="N819" s="472" t="s">
        <v>612</v>
      </c>
      <c r="O819" s="472">
        <v>5000055979</v>
      </c>
      <c r="P819" s="472" t="s">
        <v>577</v>
      </c>
      <c r="Q819" s="472" t="s">
        <v>387</v>
      </c>
      <c r="R819" s="473">
        <v>45691</v>
      </c>
      <c r="S819" s="472" t="s">
        <v>388</v>
      </c>
      <c r="T819" s="473">
        <v>45700</v>
      </c>
      <c r="U819" s="476">
        <v>1</v>
      </c>
      <c r="V819" s="475">
        <v>109700</v>
      </c>
      <c r="W819" s="260">
        <v>45689</v>
      </c>
    </row>
    <row r="820" spans="1:23" hidden="1" x14ac:dyDescent="0.35">
      <c r="A820" s="472" t="s">
        <v>526</v>
      </c>
      <c r="B820" s="472" t="s">
        <v>53</v>
      </c>
      <c r="C820" s="472"/>
      <c r="D820" s="472" t="s">
        <v>575</v>
      </c>
      <c r="E820" s="472" t="s">
        <v>576</v>
      </c>
      <c r="F820" s="472" t="s">
        <v>276</v>
      </c>
      <c r="G820" s="472" t="s">
        <v>356</v>
      </c>
      <c r="H820" s="472"/>
      <c r="I820" s="472" t="s">
        <v>277</v>
      </c>
      <c r="J820" s="472" t="s">
        <v>577</v>
      </c>
      <c r="K820" s="472"/>
      <c r="L820" s="472" t="s">
        <v>384</v>
      </c>
      <c r="M820" s="472" t="s">
        <v>285</v>
      </c>
      <c r="N820" s="578" t="s">
        <v>613</v>
      </c>
      <c r="O820" s="472">
        <v>5000055979</v>
      </c>
      <c r="P820" s="472" t="s">
        <v>577</v>
      </c>
      <c r="Q820" s="472" t="s">
        <v>387</v>
      </c>
      <c r="R820" s="473">
        <v>45691</v>
      </c>
      <c r="S820" s="472" t="s">
        <v>388</v>
      </c>
      <c r="T820" s="473">
        <v>45700</v>
      </c>
      <c r="U820" s="476">
        <v>1</v>
      </c>
      <c r="V820" s="475">
        <v>16500</v>
      </c>
      <c r="W820" s="260">
        <v>45689</v>
      </c>
    </row>
    <row r="821" spans="1:23" hidden="1" x14ac:dyDescent="0.35">
      <c r="A821" s="472" t="s">
        <v>526</v>
      </c>
      <c r="B821" s="472" t="s">
        <v>53</v>
      </c>
      <c r="C821" s="472"/>
      <c r="D821" s="472" t="s">
        <v>575</v>
      </c>
      <c r="E821" s="472" t="s">
        <v>576</v>
      </c>
      <c r="F821" s="472" t="s">
        <v>588</v>
      </c>
      <c r="G821" s="472" t="s">
        <v>356</v>
      </c>
      <c r="H821" s="472"/>
      <c r="I821" s="472" t="s">
        <v>277</v>
      </c>
      <c r="J821" s="472" t="s">
        <v>577</v>
      </c>
      <c r="K821" s="472"/>
      <c r="L821" s="472" t="s">
        <v>384</v>
      </c>
      <c r="M821" s="472" t="s">
        <v>285</v>
      </c>
      <c r="N821" s="472"/>
      <c r="O821" s="472">
        <v>5000055979</v>
      </c>
      <c r="P821" s="472" t="s">
        <v>577</v>
      </c>
      <c r="Q821" s="472" t="s">
        <v>589</v>
      </c>
      <c r="R821" s="473">
        <v>45685</v>
      </c>
      <c r="S821" s="472"/>
      <c r="T821" s="473">
        <v>45689</v>
      </c>
      <c r="U821" s="474">
        <v>0</v>
      </c>
      <c r="V821" s="475">
        <v>-16250</v>
      </c>
      <c r="W821" s="260">
        <v>45689</v>
      </c>
    </row>
    <row r="822" spans="1:23" hidden="1" x14ac:dyDescent="0.35">
      <c r="A822" s="472" t="s">
        <v>526</v>
      </c>
      <c r="B822" s="472" t="s">
        <v>53</v>
      </c>
      <c r="C822" s="472"/>
      <c r="D822" s="472" t="s">
        <v>575</v>
      </c>
      <c r="E822" s="472" t="s">
        <v>576</v>
      </c>
      <c r="F822" s="472" t="s">
        <v>588</v>
      </c>
      <c r="G822" s="472" t="s">
        <v>356</v>
      </c>
      <c r="H822" s="472"/>
      <c r="I822" s="472" t="s">
        <v>277</v>
      </c>
      <c r="J822" s="472" t="s">
        <v>577</v>
      </c>
      <c r="K822" s="472"/>
      <c r="L822" s="472" t="s">
        <v>384</v>
      </c>
      <c r="M822" s="472" t="s">
        <v>285</v>
      </c>
      <c r="N822" s="472"/>
      <c r="O822" s="472" t="s">
        <v>591</v>
      </c>
      <c r="P822" s="472" t="s">
        <v>577</v>
      </c>
      <c r="Q822" s="472" t="s">
        <v>589</v>
      </c>
      <c r="R822" s="473">
        <v>45685</v>
      </c>
      <c r="S822" s="472"/>
      <c r="T822" s="473">
        <v>45689</v>
      </c>
      <c r="U822" s="474">
        <v>0</v>
      </c>
      <c r="V822" s="475">
        <v>-109700</v>
      </c>
      <c r="W822" s="260">
        <v>45689</v>
      </c>
    </row>
    <row r="823" spans="1:23" hidden="1" x14ac:dyDescent="0.35">
      <c r="A823" s="472" t="s">
        <v>526</v>
      </c>
      <c r="B823" s="472" t="s">
        <v>53</v>
      </c>
      <c r="C823" s="472"/>
      <c r="D823" s="472">
        <v>5150610</v>
      </c>
      <c r="E823" s="472" t="s">
        <v>576</v>
      </c>
      <c r="F823" s="472" t="s">
        <v>276</v>
      </c>
      <c r="G823" s="472" t="s">
        <v>356</v>
      </c>
      <c r="H823" s="472"/>
      <c r="I823" s="472" t="s">
        <v>277</v>
      </c>
      <c r="J823" s="472" t="s">
        <v>577</v>
      </c>
      <c r="K823" s="472"/>
      <c r="L823" s="472" t="s">
        <v>384</v>
      </c>
      <c r="M823" s="472" t="s">
        <v>285</v>
      </c>
      <c r="N823" s="472" t="s">
        <v>614</v>
      </c>
      <c r="O823" s="472">
        <v>5000055979</v>
      </c>
      <c r="P823" s="472" t="s">
        <v>577</v>
      </c>
      <c r="Q823" s="472" t="s">
        <v>387</v>
      </c>
      <c r="R823" s="473">
        <v>45691</v>
      </c>
      <c r="S823" s="472" t="s">
        <v>388</v>
      </c>
      <c r="T823" s="473">
        <v>45700</v>
      </c>
      <c r="U823" s="476">
        <v>1</v>
      </c>
      <c r="V823" s="475">
        <v>16250</v>
      </c>
      <c r="W823" s="260">
        <v>45689</v>
      </c>
    </row>
    <row r="824" spans="1:23" hidden="1" x14ac:dyDescent="0.35">
      <c r="A824" s="472" t="s">
        <v>526</v>
      </c>
      <c r="B824" s="472" t="s">
        <v>159</v>
      </c>
      <c r="C824" s="472" t="s">
        <v>281</v>
      </c>
      <c r="D824" s="472" t="s">
        <v>282</v>
      </c>
      <c r="E824" s="472" t="s">
        <v>283</v>
      </c>
      <c r="F824" s="472" t="s">
        <v>276</v>
      </c>
      <c r="G824" s="472" t="s">
        <v>356</v>
      </c>
      <c r="H824" s="472"/>
      <c r="I824" s="472" t="s">
        <v>277</v>
      </c>
      <c r="J824" s="472" t="s">
        <v>522</v>
      </c>
      <c r="K824" s="472" t="s">
        <v>284</v>
      </c>
      <c r="L824" s="472" t="s">
        <v>384</v>
      </c>
      <c r="M824" s="472" t="s">
        <v>285</v>
      </c>
      <c r="N824" s="472"/>
      <c r="O824" s="472"/>
      <c r="P824" s="472" t="s">
        <v>522</v>
      </c>
      <c r="Q824" s="472"/>
      <c r="R824" s="473">
        <v>45719</v>
      </c>
      <c r="S824" s="472"/>
      <c r="T824" s="473">
        <v>45716</v>
      </c>
      <c r="U824" s="474">
        <v>0</v>
      </c>
      <c r="V824" s="475">
        <v>666.35</v>
      </c>
      <c r="W824" s="260">
        <v>45689</v>
      </c>
    </row>
    <row r="825" spans="1:23" hidden="1" x14ac:dyDescent="0.35">
      <c r="A825" s="472" t="s">
        <v>526</v>
      </c>
      <c r="B825" s="472" t="s">
        <v>159</v>
      </c>
      <c r="C825" s="472" t="s">
        <v>286</v>
      </c>
      <c r="D825" s="472" t="s">
        <v>287</v>
      </c>
      <c r="E825" s="472" t="s">
        <v>288</v>
      </c>
      <c r="F825" s="472" t="s">
        <v>276</v>
      </c>
      <c r="G825" s="472" t="s">
        <v>356</v>
      </c>
      <c r="H825" s="472"/>
      <c r="I825" s="472" t="s">
        <v>277</v>
      </c>
      <c r="J825" s="472" t="s">
        <v>522</v>
      </c>
      <c r="K825" s="472" t="s">
        <v>289</v>
      </c>
      <c r="L825" s="472" t="s">
        <v>384</v>
      </c>
      <c r="M825" s="472" t="s">
        <v>285</v>
      </c>
      <c r="N825" s="472"/>
      <c r="O825" s="472"/>
      <c r="P825" s="472" t="s">
        <v>522</v>
      </c>
      <c r="Q825" s="472"/>
      <c r="R825" s="473">
        <v>45719</v>
      </c>
      <c r="S825" s="472"/>
      <c r="T825" s="473">
        <v>45716</v>
      </c>
      <c r="U825" s="474">
        <v>0</v>
      </c>
      <c r="V825" s="475">
        <v>1869.12</v>
      </c>
      <c r="W825" s="260">
        <v>45689</v>
      </c>
    </row>
    <row r="826" spans="1:23" hidden="1" x14ac:dyDescent="0.35">
      <c r="A826" s="472" t="s">
        <v>526</v>
      </c>
      <c r="B826" s="472" t="s">
        <v>159</v>
      </c>
      <c r="C826" s="472" t="s">
        <v>281</v>
      </c>
      <c r="D826" s="472" t="s">
        <v>290</v>
      </c>
      <c r="E826" s="472" t="s">
        <v>291</v>
      </c>
      <c r="F826" s="472" t="s">
        <v>276</v>
      </c>
      <c r="G826" s="472" t="s">
        <v>356</v>
      </c>
      <c r="H826" s="472"/>
      <c r="I826" s="472" t="s">
        <v>277</v>
      </c>
      <c r="J826" s="472" t="s">
        <v>522</v>
      </c>
      <c r="K826" s="472" t="s">
        <v>284</v>
      </c>
      <c r="L826" s="472" t="s">
        <v>384</v>
      </c>
      <c r="M826" s="472" t="s">
        <v>285</v>
      </c>
      <c r="N826" s="472"/>
      <c r="O826" s="472"/>
      <c r="P826" s="472" t="s">
        <v>522</v>
      </c>
      <c r="Q826" s="472"/>
      <c r="R826" s="473">
        <v>45719</v>
      </c>
      <c r="S826" s="472"/>
      <c r="T826" s="473">
        <v>45716</v>
      </c>
      <c r="U826" s="474">
        <v>0</v>
      </c>
      <c r="V826" s="475">
        <v>430.62</v>
      </c>
      <c r="W826" s="260">
        <v>45689</v>
      </c>
    </row>
    <row r="827" spans="1:23" hidden="1" x14ac:dyDescent="0.35">
      <c r="A827" s="472" t="s">
        <v>526</v>
      </c>
      <c r="B827" s="472" t="s">
        <v>159</v>
      </c>
      <c r="C827" s="472" t="s">
        <v>281</v>
      </c>
      <c r="D827" s="472" t="s">
        <v>292</v>
      </c>
      <c r="E827" s="472" t="s">
        <v>293</v>
      </c>
      <c r="F827" s="472" t="s">
        <v>276</v>
      </c>
      <c r="G827" s="472" t="s">
        <v>356</v>
      </c>
      <c r="H827" s="472"/>
      <c r="I827" s="472" t="s">
        <v>277</v>
      </c>
      <c r="J827" s="472" t="s">
        <v>522</v>
      </c>
      <c r="K827" s="472" t="s">
        <v>294</v>
      </c>
      <c r="L827" s="472" t="s">
        <v>384</v>
      </c>
      <c r="M827" s="472" t="s">
        <v>285</v>
      </c>
      <c r="N827" s="472"/>
      <c r="O827" s="472"/>
      <c r="P827" s="472" t="s">
        <v>522</v>
      </c>
      <c r="Q827" s="472"/>
      <c r="R827" s="473">
        <v>45719</v>
      </c>
      <c r="S827" s="472"/>
      <c r="T827" s="473">
        <v>45716</v>
      </c>
      <c r="U827" s="474">
        <v>0</v>
      </c>
      <c r="V827" s="475">
        <v>476.1</v>
      </c>
      <c r="W827" s="260">
        <v>45689</v>
      </c>
    </row>
    <row r="828" spans="1:23" hidden="1" x14ac:dyDescent="0.35">
      <c r="A828" s="472" t="s">
        <v>526</v>
      </c>
      <c r="B828" s="472" t="s">
        <v>159</v>
      </c>
      <c r="C828" s="472" t="s">
        <v>286</v>
      </c>
      <c r="D828" s="472" t="s">
        <v>295</v>
      </c>
      <c r="E828" s="472" t="s">
        <v>296</v>
      </c>
      <c r="F828" s="472" t="s">
        <v>276</v>
      </c>
      <c r="G828" s="472" t="s">
        <v>356</v>
      </c>
      <c r="H828" s="472"/>
      <c r="I828" s="472" t="s">
        <v>277</v>
      </c>
      <c r="J828" s="472" t="s">
        <v>522</v>
      </c>
      <c r="K828" s="472" t="s">
        <v>297</v>
      </c>
      <c r="L828" s="472" t="s">
        <v>384</v>
      </c>
      <c r="M828" s="472" t="s">
        <v>285</v>
      </c>
      <c r="N828" s="472"/>
      <c r="O828" s="472"/>
      <c r="P828" s="472" t="s">
        <v>522</v>
      </c>
      <c r="Q828" s="472"/>
      <c r="R828" s="473">
        <v>45719</v>
      </c>
      <c r="S828" s="472"/>
      <c r="T828" s="473">
        <v>45716</v>
      </c>
      <c r="U828" s="474">
        <v>0</v>
      </c>
      <c r="V828" s="475">
        <v>1019.01</v>
      </c>
      <c r="W828" s="260">
        <v>45689</v>
      </c>
    </row>
    <row r="829" spans="1:23" hidden="1" x14ac:dyDescent="0.35">
      <c r="A829" s="472" t="s">
        <v>526</v>
      </c>
      <c r="B829" s="472" t="s">
        <v>159</v>
      </c>
      <c r="C829" s="472" t="s">
        <v>542</v>
      </c>
      <c r="D829" s="472" t="s">
        <v>543</v>
      </c>
      <c r="E829" s="472" t="s">
        <v>544</v>
      </c>
      <c r="F829" s="472" t="s">
        <v>276</v>
      </c>
      <c r="G829" s="472" t="s">
        <v>356</v>
      </c>
      <c r="H829" s="472"/>
      <c r="I829" s="472" t="s">
        <v>277</v>
      </c>
      <c r="J829" s="472" t="s">
        <v>522</v>
      </c>
      <c r="K829" s="472" t="s">
        <v>545</v>
      </c>
      <c r="L829" s="472" t="s">
        <v>384</v>
      </c>
      <c r="M829" s="472" t="s">
        <v>285</v>
      </c>
      <c r="N829" s="472"/>
      <c r="O829" s="472"/>
      <c r="P829" s="472" t="s">
        <v>522</v>
      </c>
      <c r="Q829" s="472"/>
      <c r="R829" s="473">
        <v>45719</v>
      </c>
      <c r="S829" s="472"/>
      <c r="T829" s="473">
        <v>45716</v>
      </c>
      <c r="U829" s="474">
        <v>0</v>
      </c>
      <c r="V829" s="475">
        <v>44.84</v>
      </c>
      <c r="W829" s="260">
        <v>45689</v>
      </c>
    </row>
    <row r="830" spans="1:23" hidden="1" x14ac:dyDescent="0.35">
      <c r="A830" s="472" t="s">
        <v>526</v>
      </c>
      <c r="B830" s="472" t="s">
        <v>159</v>
      </c>
      <c r="C830" s="472" t="s">
        <v>546</v>
      </c>
      <c r="D830" s="472" t="s">
        <v>547</v>
      </c>
      <c r="E830" s="472" t="s">
        <v>548</v>
      </c>
      <c r="F830" s="472" t="s">
        <v>276</v>
      </c>
      <c r="G830" s="472" t="s">
        <v>356</v>
      </c>
      <c r="H830" s="472"/>
      <c r="I830" s="472" t="s">
        <v>277</v>
      </c>
      <c r="J830" s="472" t="s">
        <v>522</v>
      </c>
      <c r="K830" s="472" t="s">
        <v>549</v>
      </c>
      <c r="L830" s="472" t="s">
        <v>384</v>
      </c>
      <c r="M830" s="472" t="s">
        <v>285</v>
      </c>
      <c r="N830" s="472"/>
      <c r="O830" s="472"/>
      <c r="P830" s="472" t="s">
        <v>522</v>
      </c>
      <c r="Q830" s="472"/>
      <c r="R830" s="473">
        <v>45719</v>
      </c>
      <c r="S830" s="472"/>
      <c r="T830" s="473">
        <v>45716</v>
      </c>
      <c r="U830" s="474">
        <v>0</v>
      </c>
      <c r="V830" s="475">
        <v>125.76</v>
      </c>
      <c r="W830" s="260">
        <v>45689</v>
      </c>
    </row>
    <row r="831" spans="1:23" hidden="1" x14ac:dyDescent="0.35">
      <c r="A831" s="472" t="s">
        <v>526</v>
      </c>
      <c r="B831" s="472" t="s">
        <v>159</v>
      </c>
      <c r="C831" s="472" t="s">
        <v>542</v>
      </c>
      <c r="D831" s="472" t="s">
        <v>550</v>
      </c>
      <c r="E831" s="472" t="s">
        <v>551</v>
      </c>
      <c r="F831" s="472" t="s">
        <v>276</v>
      </c>
      <c r="G831" s="472" t="s">
        <v>356</v>
      </c>
      <c r="H831" s="472"/>
      <c r="I831" s="472" t="s">
        <v>277</v>
      </c>
      <c r="J831" s="472" t="s">
        <v>522</v>
      </c>
      <c r="K831" s="472" t="s">
        <v>545</v>
      </c>
      <c r="L831" s="472" t="s">
        <v>384</v>
      </c>
      <c r="M831" s="472" t="s">
        <v>285</v>
      </c>
      <c r="N831" s="472"/>
      <c r="O831" s="472"/>
      <c r="P831" s="472" t="s">
        <v>522</v>
      </c>
      <c r="Q831" s="472"/>
      <c r="R831" s="473">
        <v>45719</v>
      </c>
      <c r="S831" s="472"/>
      <c r="T831" s="473">
        <v>45716</v>
      </c>
      <c r="U831" s="474">
        <v>0</v>
      </c>
      <c r="V831" s="475">
        <v>28.97</v>
      </c>
      <c r="W831" s="260">
        <v>45689</v>
      </c>
    </row>
    <row r="832" spans="1:23" hidden="1" x14ac:dyDescent="0.35">
      <c r="A832" s="472" t="s">
        <v>526</v>
      </c>
      <c r="B832" s="472" t="s">
        <v>159</v>
      </c>
      <c r="C832" s="472" t="s">
        <v>542</v>
      </c>
      <c r="D832" s="472" t="s">
        <v>552</v>
      </c>
      <c r="E832" s="472" t="s">
        <v>553</v>
      </c>
      <c r="F832" s="472" t="s">
        <v>276</v>
      </c>
      <c r="G832" s="472" t="s">
        <v>356</v>
      </c>
      <c r="H832" s="472"/>
      <c r="I832" s="472" t="s">
        <v>277</v>
      </c>
      <c r="J832" s="472" t="s">
        <v>522</v>
      </c>
      <c r="K832" s="472" t="s">
        <v>554</v>
      </c>
      <c r="L832" s="472" t="s">
        <v>384</v>
      </c>
      <c r="M832" s="472" t="s">
        <v>285</v>
      </c>
      <c r="N832" s="472"/>
      <c r="O832" s="472"/>
      <c r="P832" s="472" t="s">
        <v>522</v>
      </c>
      <c r="Q832" s="472"/>
      <c r="R832" s="473">
        <v>45719</v>
      </c>
      <c r="S832" s="472"/>
      <c r="T832" s="473">
        <v>45716</v>
      </c>
      <c r="U832" s="474">
        <v>0</v>
      </c>
      <c r="V832" s="475">
        <v>32.03</v>
      </c>
      <c r="W832" s="260">
        <v>45689</v>
      </c>
    </row>
    <row r="833" spans="1:23" hidden="1" x14ac:dyDescent="0.35">
      <c r="A833" s="472" t="s">
        <v>526</v>
      </c>
      <c r="B833" s="472" t="s">
        <v>159</v>
      </c>
      <c r="C833" s="472" t="s">
        <v>546</v>
      </c>
      <c r="D833" s="472" t="s">
        <v>555</v>
      </c>
      <c r="E833" s="472" t="s">
        <v>556</v>
      </c>
      <c r="F833" s="472" t="s">
        <v>276</v>
      </c>
      <c r="G833" s="472" t="s">
        <v>356</v>
      </c>
      <c r="H833" s="472"/>
      <c r="I833" s="472" t="s">
        <v>277</v>
      </c>
      <c r="J833" s="472" t="s">
        <v>522</v>
      </c>
      <c r="K833" s="472" t="s">
        <v>557</v>
      </c>
      <c r="L833" s="472" t="s">
        <v>384</v>
      </c>
      <c r="M833" s="472" t="s">
        <v>285</v>
      </c>
      <c r="N833" s="472"/>
      <c r="O833" s="472"/>
      <c r="P833" s="472" t="s">
        <v>522</v>
      </c>
      <c r="Q833" s="472"/>
      <c r="R833" s="473">
        <v>45719</v>
      </c>
      <c r="S833" s="472"/>
      <c r="T833" s="473">
        <v>45716</v>
      </c>
      <c r="U833" s="474">
        <v>0</v>
      </c>
      <c r="V833" s="475">
        <v>68.56</v>
      </c>
      <c r="W833" s="260">
        <v>45689</v>
      </c>
    </row>
    <row r="834" spans="1:23" hidden="1" x14ac:dyDescent="0.35">
      <c r="A834" s="472" t="s">
        <v>526</v>
      </c>
      <c r="B834" s="472" t="s">
        <v>159</v>
      </c>
      <c r="C834" s="472" t="s">
        <v>298</v>
      </c>
      <c r="D834" s="472" t="s">
        <v>299</v>
      </c>
      <c r="E834" s="472" t="s">
        <v>300</v>
      </c>
      <c r="F834" s="472" t="s">
        <v>276</v>
      </c>
      <c r="G834" s="472" t="s">
        <v>356</v>
      </c>
      <c r="H834" s="472"/>
      <c r="I834" s="472" t="s">
        <v>277</v>
      </c>
      <c r="J834" s="472" t="s">
        <v>522</v>
      </c>
      <c r="K834" s="472" t="s">
        <v>301</v>
      </c>
      <c r="L834" s="472" t="s">
        <v>384</v>
      </c>
      <c r="M834" s="472" t="s">
        <v>285</v>
      </c>
      <c r="N834" s="472"/>
      <c r="O834" s="472"/>
      <c r="P834" s="472" t="s">
        <v>522</v>
      </c>
      <c r="Q834" s="472"/>
      <c r="R834" s="473">
        <v>45719</v>
      </c>
      <c r="S834" s="472"/>
      <c r="T834" s="473">
        <v>45716</v>
      </c>
      <c r="U834" s="474">
        <v>0</v>
      </c>
      <c r="V834" s="475">
        <v>7.0000000000000007E-2</v>
      </c>
      <c r="W834" s="260">
        <v>45689</v>
      </c>
    </row>
    <row r="835" spans="1:23" hidden="1" x14ac:dyDescent="0.35">
      <c r="A835" s="472" t="s">
        <v>526</v>
      </c>
      <c r="B835" s="472" t="s">
        <v>159</v>
      </c>
      <c r="C835" s="472" t="s">
        <v>298</v>
      </c>
      <c r="D835" s="472" t="s">
        <v>299</v>
      </c>
      <c r="E835" s="472" t="s">
        <v>300</v>
      </c>
      <c r="F835" s="472" t="s">
        <v>276</v>
      </c>
      <c r="G835" s="472" t="s">
        <v>356</v>
      </c>
      <c r="H835" s="472"/>
      <c r="I835" s="472" t="s">
        <v>277</v>
      </c>
      <c r="J835" s="472" t="s">
        <v>522</v>
      </c>
      <c r="K835" s="472" t="s">
        <v>301</v>
      </c>
      <c r="L835" s="472" t="s">
        <v>384</v>
      </c>
      <c r="M835" s="472" t="s">
        <v>285</v>
      </c>
      <c r="N835" s="472"/>
      <c r="O835" s="472"/>
      <c r="P835" s="472" t="s">
        <v>522</v>
      </c>
      <c r="Q835" s="472"/>
      <c r="R835" s="473">
        <v>45719</v>
      </c>
      <c r="S835" s="472"/>
      <c r="T835" s="473">
        <v>45716</v>
      </c>
      <c r="U835" s="474">
        <v>0</v>
      </c>
      <c r="V835" s="475">
        <v>0.74</v>
      </c>
      <c r="W835" s="260">
        <v>45689</v>
      </c>
    </row>
    <row r="836" spans="1:23" hidden="1" x14ac:dyDescent="0.35">
      <c r="A836" s="472" t="s">
        <v>526</v>
      </c>
      <c r="B836" s="472" t="s">
        <v>159</v>
      </c>
      <c r="C836" s="472" t="s">
        <v>298</v>
      </c>
      <c r="D836" s="472" t="s">
        <v>304</v>
      </c>
      <c r="E836" s="472" t="s">
        <v>305</v>
      </c>
      <c r="F836" s="472" t="s">
        <v>276</v>
      </c>
      <c r="G836" s="472" t="s">
        <v>356</v>
      </c>
      <c r="H836" s="472"/>
      <c r="I836" s="472" t="s">
        <v>277</v>
      </c>
      <c r="J836" s="472" t="s">
        <v>522</v>
      </c>
      <c r="K836" s="472" t="s">
        <v>301</v>
      </c>
      <c r="L836" s="472" t="s">
        <v>384</v>
      </c>
      <c r="M836" s="472" t="s">
        <v>285</v>
      </c>
      <c r="N836" s="472"/>
      <c r="O836" s="472"/>
      <c r="P836" s="472" t="s">
        <v>522</v>
      </c>
      <c r="Q836" s="472"/>
      <c r="R836" s="473">
        <v>45719</v>
      </c>
      <c r="S836" s="472"/>
      <c r="T836" s="473">
        <v>45716</v>
      </c>
      <c r="U836" s="474">
        <v>0</v>
      </c>
      <c r="V836" s="475">
        <v>0.82</v>
      </c>
      <c r="W836" s="260">
        <v>45689</v>
      </c>
    </row>
    <row r="837" spans="1:23" hidden="1" x14ac:dyDescent="0.35">
      <c r="A837" s="472" t="s">
        <v>526</v>
      </c>
      <c r="B837" s="472" t="s">
        <v>159</v>
      </c>
      <c r="C837" s="472" t="s">
        <v>298</v>
      </c>
      <c r="D837" s="472" t="s">
        <v>306</v>
      </c>
      <c r="E837" s="472" t="s">
        <v>307</v>
      </c>
      <c r="F837" s="472" t="s">
        <v>276</v>
      </c>
      <c r="G837" s="472" t="s">
        <v>356</v>
      </c>
      <c r="H837" s="472"/>
      <c r="I837" s="472" t="s">
        <v>277</v>
      </c>
      <c r="J837" s="472" t="s">
        <v>522</v>
      </c>
      <c r="K837" s="472" t="s">
        <v>301</v>
      </c>
      <c r="L837" s="472" t="s">
        <v>384</v>
      </c>
      <c r="M837" s="472" t="s">
        <v>285</v>
      </c>
      <c r="N837" s="472"/>
      <c r="O837" s="472"/>
      <c r="P837" s="472" t="s">
        <v>522</v>
      </c>
      <c r="Q837" s="472"/>
      <c r="R837" s="473">
        <v>45719</v>
      </c>
      <c r="S837" s="472"/>
      <c r="T837" s="473">
        <v>45716</v>
      </c>
      <c r="U837" s="474">
        <v>0</v>
      </c>
      <c r="V837" s="475">
        <v>1.1499999999999999</v>
      </c>
      <c r="W837" s="260">
        <v>45689</v>
      </c>
    </row>
    <row r="838" spans="1:23" hidden="1" x14ac:dyDescent="0.35">
      <c r="A838" s="472" t="s">
        <v>526</v>
      </c>
      <c r="B838" s="472" t="s">
        <v>159</v>
      </c>
      <c r="C838" s="472" t="s">
        <v>298</v>
      </c>
      <c r="D838" s="472" t="s">
        <v>306</v>
      </c>
      <c r="E838" s="472" t="s">
        <v>307</v>
      </c>
      <c r="F838" s="472" t="s">
        <v>276</v>
      </c>
      <c r="G838" s="472" t="s">
        <v>356</v>
      </c>
      <c r="H838" s="472"/>
      <c r="I838" s="472" t="s">
        <v>277</v>
      </c>
      <c r="J838" s="472" t="s">
        <v>522</v>
      </c>
      <c r="K838" s="472" t="s">
        <v>301</v>
      </c>
      <c r="L838" s="472" t="s">
        <v>384</v>
      </c>
      <c r="M838" s="472" t="s">
        <v>285</v>
      </c>
      <c r="N838" s="472"/>
      <c r="O838" s="472"/>
      <c r="P838" s="472" t="s">
        <v>522</v>
      </c>
      <c r="Q838" s="472"/>
      <c r="R838" s="473">
        <v>45719</v>
      </c>
      <c r="S838" s="472"/>
      <c r="T838" s="473">
        <v>45716</v>
      </c>
      <c r="U838" s="474">
        <v>0</v>
      </c>
      <c r="V838" s="475">
        <v>0.1</v>
      </c>
      <c r="W838" s="260">
        <v>45689</v>
      </c>
    </row>
    <row r="839" spans="1:23" hidden="1" x14ac:dyDescent="0.35">
      <c r="A839" s="472" t="s">
        <v>526</v>
      </c>
      <c r="B839" s="472" t="s">
        <v>159</v>
      </c>
      <c r="C839" s="472" t="s">
        <v>298</v>
      </c>
      <c r="D839" s="472" t="s">
        <v>389</v>
      </c>
      <c r="E839" s="472" t="s">
        <v>390</v>
      </c>
      <c r="F839" s="472" t="s">
        <v>276</v>
      </c>
      <c r="G839" s="472" t="s">
        <v>356</v>
      </c>
      <c r="H839" s="472"/>
      <c r="I839" s="472" t="s">
        <v>277</v>
      </c>
      <c r="J839" s="472" t="s">
        <v>522</v>
      </c>
      <c r="K839" s="472" t="s">
        <v>301</v>
      </c>
      <c r="L839" s="472" t="s">
        <v>384</v>
      </c>
      <c r="M839" s="472" t="s">
        <v>285</v>
      </c>
      <c r="N839" s="472"/>
      <c r="O839" s="472"/>
      <c r="P839" s="472" t="s">
        <v>522</v>
      </c>
      <c r="Q839" s="472"/>
      <c r="R839" s="473">
        <v>45719</v>
      </c>
      <c r="S839" s="472"/>
      <c r="T839" s="473">
        <v>45716</v>
      </c>
      <c r="U839" s="474">
        <v>0</v>
      </c>
      <c r="V839" s="475">
        <v>1.1000000000000001</v>
      </c>
      <c r="W839" s="260">
        <v>45689</v>
      </c>
    </row>
    <row r="840" spans="1:23" hidden="1" x14ac:dyDescent="0.35">
      <c r="A840" s="472" t="s">
        <v>526</v>
      </c>
      <c r="B840" s="472" t="s">
        <v>159</v>
      </c>
      <c r="C840" s="472" t="s">
        <v>302</v>
      </c>
      <c r="D840" s="472" t="s">
        <v>308</v>
      </c>
      <c r="E840" s="472" t="s">
        <v>309</v>
      </c>
      <c r="F840" s="472" t="s">
        <v>276</v>
      </c>
      <c r="G840" s="472" t="s">
        <v>356</v>
      </c>
      <c r="H840" s="472"/>
      <c r="I840" s="472" t="s">
        <v>277</v>
      </c>
      <c r="J840" s="472" t="s">
        <v>522</v>
      </c>
      <c r="K840" s="472" t="s">
        <v>303</v>
      </c>
      <c r="L840" s="472" t="s">
        <v>384</v>
      </c>
      <c r="M840" s="472" t="s">
        <v>285</v>
      </c>
      <c r="N840" s="472"/>
      <c r="O840" s="472"/>
      <c r="P840" s="472" t="s">
        <v>522</v>
      </c>
      <c r="Q840" s="472"/>
      <c r="R840" s="473">
        <v>45720</v>
      </c>
      <c r="S840" s="472"/>
      <c r="T840" s="473">
        <v>45716</v>
      </c>
      <c r="U840" s="474">
        <v>0</v>
      </c>
      <c r="V840" s="475">
        <v>514.5</v>
      </c>
      <c r="W840" s="260">
        <v>45689</v>
      </c>
    </row>
    <row r="841" spans="1:23" hidden="1" x14ac:dyDescent="0.35">
      <c r="A841" s="472" t="s">
        <v>526</v>
      </c>
      <c r="B841" s="472" t="s">
        <v>159</v>
      </c>
      <c r="C841" s="472" t="s">
        <v>302</v>
      </c>
      <c r="D841" s="472" t="s">
        <v>310</v>
      </c>
      <c r="E841" s="472" t="s">
        <v>311</v>
      </c>
      <c r="F841" s="472" t="s">
        <v>276</v>
      </c>
      <c r="G841" s="472" t="s">
        <v>356</v>
      </c>
      <c r="H841" s="472"/>
      <c r="I841" s="472" t="s">
        <v>277</v>
      </c>
      <c r="J841" s="472" t="s">
        <v>522</v>
      </c>
      <c r="K841" s="472" t="s">
        <v>303</v>
      </c>
      <c r="L841" s="472" t="s">
        <v>384</v>
      </c>
      <c r="M841" s="472" t="s">
        <v>285</v>
      </c>
      <c r="N841" s="472"/>
      <c r="O841" s="472"/>
      <c r="P841" s="472" t="s">
        <v>522</v>
      </c>
      <c r="Q841" s="472"/>
      <c r="R841" s="473">
        <v>45720</v>
      </c>
      <c r="S841" s="472"/>
      <c r="T841" s="473">
        <v>45716</v>
      </c>
      <c r="U841" s="474">
        <v>0</v>
      </c>
      <c r="V841" s="475">
        <v>516.58000000000004</v>
      </c>
      <c r="W841" s="260">
        <v>45689</v>
      </c>
    </row>
    <row r="842" spans="1:23" hidden="1" x14ac:dyDescent="0.35">
      <c r="A842" s="472" t="s">
        <v>526</v>
      </c>
      <c r="B842" s="472" t="s">
        <v>159</v>
      </c>
      <c r="C842" s="472" t="s">
        <v>298</v>
      </c>
      <c r="D842" s="472" t="s">
        <v>312</v>
      </c>
      <c r="E842" s="472" t="s">
        <v>313</v>
      </c>
      <c r="F842" s="472" t="s">
        <v>276</v>
      </c>
      <c r="G842" s="472" t="s">
        <v>356</v>
      </c>
      <c r="H842" s="472"/>
      <c r="I842" s="472" t="s">
        <v>277</v>
      </c>
      <c r="J842" s="472" t="s">
        <v>522</v>
      </c>
      <c r="K842" s="472" t="s">
        <v>301</v>
      </c>
      <c r="L842" s="472" t="s">
        <v>384</v>
      </c>
      <c r="M842" s="472" t="s">
        <v>285</v>
      </c>
      <c r="N842" s="472"/>
      <c r="O842" s="472"/>
      <c r="P842" s="472" t="s">
        <v>522</v>
      </c>
      <c r="Q842" s="472"/>
      <c r="R842" s="473">
        <v>45719</v>
      </c>
      <c r="S842" s="472"/>
      <c r="T842" s="473">
        <v>45716</v>
      </c>
      <c r="U842" s="474">
        <v>0</v>
      </c>
      <c r="V842" s="475">
        <v>9.48</v>
      </c>
      <c r="W842" s="260">
        <v>45689</v>
      </c>
    </row>
    <row r="843" spans="1:23" hidden="1" x14ac:dyDescent="0.35">
      <c r="A843" s="472" t="s">
        <v>526</v>
      </c>
      <c r="B843" s="472" t="s">
        <v>159</v>
      </c>
      <c r="C843" s="472" t="s">
        <v>298</v>
      </c>
      <c r="D843" s="472" t="s">
        <v>312</v>
      </c>
      <c r="E843" s="472" t="s">
        <v>313</v>
      </c>
      <c r="F843" s="472" t="s">
        <v>276</v>
      </c>
      <c r="G843" s="472" t="s">
        <v>356</v>
      </c>
      <c r="H843" s="472"/>
      <c r="I843" s="472" t="s">
        <v>277</v>
      </c>
      <c r="J843" s="472" t="s">
        <v>522</v>
      </c>
      <c r="K843" s="472" t="s">
        <v>301</v>
      </c>
      <c r="L843" s="472" t="s">
        <v>384</v>
      </c>
      <c r="M843" s="472" t="s">
        <v>285</v>
      </c>
      <c r="N843" s="472"/>
      <c r="O843" s="472"/>
      <c r="P843" s="472" t="s">
        <v>522</v>
      </c>
      <c r="Q843" s="472"/>
      <c r="R843" s="473">
        <v>45719</v>
      </c>
      <c r="S843" s="472"/>
      <c r="T843" s="473">
        <v>45716</v>
      </c>
      <c r="U843" s="474">
        <v>0</v>
      </c>
      <c r="V843" s="475">
        <v>310.83999999999997</v>
      </c>
      <c r="W843" s="260">
        <v>45689</v>
      </c>
    </row>
    <row r="844" spans="1:23" hidden="1" x14ac:dyDescent="0.35">
      <c r="A844" s="472" t="s">
        <v>526</v>
      </c>
      <c r="B844" s="472" t="s">
        <v>159</v>
      </c>
      <c r="C844" s="472" t="s">
        <v>298</v>
      </c>
      <c r="D844" s="472" t="s">
        <v>318</v>
      </c>
      <c r="E844" s="472" t="s">
        <v>319</v>
      </c>
      <c r="F844" s="472" t="s">
        <v>276</v>
      </c>
      <c r="G844" s="472" t="s">
        <v>356</v>
      </c>
      <c r="H844" s="472"/>
      <c r="I844" s="472" t="s">
        <v>277</v>
      </c>
      <c r="J844" s="472" t="s">
        <v>522</v>
      </c>
      <c r="K844" s="472" t="s">
        <v>301</v>
      </c>
      <c r="L844" s="472" t="s">
        <v>384</v>
      </c>
      <c r="M844" s="472" t="s">
        <v>285</v>
      </c>
      <c r="N844" s="472"/>
      <c r="O844" s="472"/>
      <c r="P844" s="472" t="s">
        <v>522</v>
      </c>
      <c r="Q844" s="472"/>
      <c r="R844" s="473">
        <v>45719</v>
      </c>
      <c r="S844" s="472"/>
      <c r="T844" s="473">
        <v>45716</v>
      </c>
      <c r="U844" s="474">
        <v>0</v>
      </c>
      <c r="V844" s="475">
        <v>6.76</v>
      </c>
      <c r="W844" s="260">
        <v>45689</v>
      </c>
    </row>
    <row r="845" spans="1:23" hidden="1" x14ac:dyDescent="0.35">
      <c r="A845" s="472" t="s">
        <v>526</v>
      </c>
      <c r="B845" s="472" t="s">
        <v>159</v>
      </c>
      <c r="C845" s="472" t="s">
        <v>298</v>
      </c>
      <c r="D845" s="472" t="s">
        <v>318</v>
      </c>
      <c r="E845" s="472" t="s">
        <v>319</v>
      </c>
      <c r="F845" s="472" t="s">
        <v>276</v>
      </c>
      <c r="G845" s="472" t="s">
        <v>356</v>
      </c>
      <c r="H845" s="472"/>
      <c r="I845" s="472" t="s">
        <v>277</v>
      </c>
      <c r="J845" s="472" t="s">
        <v>522</v>
      </c>
      <c r="K845" s="472" t="s">
        <v>301</v>
      </c>
      <c r="L845" s="472" t="s">
        <v>384</v>
      </c>
      <c r="M845" s="472" t="s">
        <v>285</v>
      </c>
      <c r="N845" s="472"/>
      <c r="O845" s="472"/>
      <c r="P845" s="472" t="s">
        <v>522</v>
      </c>
      <c r="Q845" s="472"/>
      <c r="R845" s="473">
        <v>45719</v>
      </c>
      <c r="S845" s="472"/>
      <c r="T845" s="473">
        <v>45716</v>
      </c>
      <c r="U845" s="474">
        <v>0</v>
      </c>
      <c r="V845" s="475">
        <v>0.45</v>
      </c>
      <c r="W845" s="260">
        <v>45689</v>
      </c>
    </row>
    <row r="846" spans="1:23" hidden="1" x14ac:dyDescent="0.35">
      <c r="A846" s="472" t="s">
        <v>526</v>
      </c>
      <c r="B846" s="472" t="s">
        <v>159</v>
      </c>
      <c r="C846" s="472" t="s">
        <v>298</v>
      </c>
      <c r="D846" s="472" t="s">
        <v>391</v>
      </c>
      <c r="E846" s="472" t="s">
        <v>392</v>
      </c>
      <c r="F846" s="472" t="s">
        <v>276</v>
      </c>
      <c r="G846" s="472" t="s">
        <v>356</v>
      </c>
      <c r="H846" s="472"/>
      <c r="I846" s="472" t="s">
        <v>277</v>
      </c>
      <c r="J846" s="472" t="s">
        <v>522</v>
      </c>
      <c r="K846" s="472" t="s">
        <v>301</v>
      </c>
      <c r="L846" s="472" t="s">
        <v>384</v>
      </c>
      <c r="M846" s="472" t="s">
        <v>285</v>
      </c>
      <c r="N846" s="472"/>
      <c r="O846" s="472"/>
      <c r="P846" s="472" t="s">
        <v>522</v>
      </c>
      <c r="Q846" s="472"/>
      <c r="R846" s="473">
        <v>45719</v>
      </c>
      <c r="S846" s="472"/>
      <c r="T846" s="473">
        <v>45716</v>
      </c>
      <c r="U846" s="474">
        <v>0</v>
      </c>
      <c r="V846" s="475">
        <v>0.14000000000000001</v>
      </c>
      <c r="W846" s="260">
        <v>45689</v>
      </c>
    </row>
    <row r="847" spans="1:23" hidden="1" x14ac:dyDescent="0.35">
      <c r="A847" s="472" t="s">
        <v>526</v>
      </c>
      <c r="B847" s="472" t="s">
        <v>159</v>
      </c>
      <c r="C847" s="472" t="s">
        <v>298</v>
      </c>
      <c r="D847" s="472" t="s">
        <v>320</v>
      </c>
      <c r="E847" s="472" t="s">
        <v>321</v>
      </c>
      <c r="F847" s="472" t="s">
        <v>276</v>
      </c>
      <c r="G847" s="472" t="s">
        <v>356</v>
      </c>
      <c r="H847" s="472"/>
      <c r="I847" s="472" t="s">
        <v>277</v>
      </c>
      <c r="J847" s="472" t="s">
        <v>522</v>
      </c>
      <c r="K847" s="472" t="s">
        <v>301</v>
      </c>
      <c r="L847" s="472" t="s">
        <v>384</v>
      </c>
      <c r="M847" s="472" t="s">
        <v>285</v>
      </c>
      <c r="N847" s="472"/>
      <c r="O847" s="472"/>
      <c r="P847" s="472" t="s">
        <v>522</v>
      </c>
      <c r="Q847" s="472"/>
      <c r="R847" s="473">
        <v>45719</v>
      </c>
      <c r="S847" s="472"/>
      <c r="T847" s="473">
        <v>45716</v>
      </c>
      <c r="U847" s="474">
        <v>0</v>
      </c>
      <c r="V847" s="475">
        <v>140.49</v>
      </c>
      <c r="W847" s="260">
        <v>45689</v>
      </c>
    </row>
    <row r="848" spans="1:23" hidden="1" x14ac:dyDescent="0.35">
      <c r="A848" s="472" t="s">
        <v>526</v>
      </c>
      <c r="B848" s="472" t="s">
        <v>159</v>
      </c>
      <c r="C848" s="472" t="s">
        <v>298</v>
      </c>
      <c r="D848" s="472" t="s">
        <v>322</v>
      </c>
      <c r="E848" s="472" t="s">
        <v>323</v>
      </c>
      <c r="F848" s="472" t="s">
        <v>276</v>
      </c>
      <c r="G848" s="472" t="s">
        <v>356</v>
      </c>
      <c r="H848" s="472"/>
      <c r="I848" s="472" t="s">
        <v>277</v>
      </c>
      <c r="J848" s="472" t="s">
        <v>522</v>
      </c>
      <c r="K848" s="472" t="s">
        <v>301</v>
      </c>
      <c r="L848" s="472" t="s">
        <v>384</v>
      </c>
      <c r="M848" s="472" t="s">
        <v>285</v>
      </c>
      <c r="N848" s="472"/>
      <c r="O848" s="472"/>
      <c r="P848" s="472" t="s">
        <v>522</v>
      </c>
      <c r="Q848" s="472"/>
      <c r="R848" s="473">
        <v>45719</v>
      </c>
      <c r="S848" s="472"/>
      <c r="T848" s="473">
        <v>45716</v>
      </c>
      <c r="U848" s="474">
        <v>0</v>
      </c>
      <c r="V848" s="475">
        <v>1.35</v>
      </c>
      <c r="W848" s="260">
        <v>45689</v>
      </c>
    </row>
    <row r="849" spans="1:23" hidden="1" x14ac:dyDescent="0.35">
      <c r="A849" s="472" t="s">
        <v>526</v>
      </c>
      <c r="B849" s="472" t="s">
        <v>159</v>
      </c>
      <c r="C849" s="472" t="s">
        <v>298</v>
      </c>
      <c r="D849" s="472" t="s">
        <v>322</v>
      </c>
      <c r="E849" s="472" t="s">
        <v>323</v>
      </c>
      <c r="F849" s="472" t="s">
        <v>276</v>
      </c>
      <c r="G849" s="472" t="s">
        <v>356</v>
      </c>
      <c r="H849" s="472"/>
      <c r="I849" s="472" t="s">
        <v>277</v>
      </c>
      <c r="J849" s="472" t="s">
        <v>522</v>
      </c>
      <c r="K849" s="472" t="s">
        <v>301</v>
      </c>
      <c r="L849" s="472" t="s">
        <v>384</v>
      </c>
      <c r="M849" s="472" t="s">
        <v>285</v>
      </c>
      <c r="N849" s="472"/>
      <c r="O849" s="472"/>
      <c r="P849" s="472" t="s">
        <v>522</v>
      </c>
      <c r="Q849" s="472"/>
      <c r="R849" s="473">
        <v>45719</v>
      </c>
      <c r="S849" s="472"/>
      <c r="T849" s="473">
        <v>45716</v>
      </c>
      <c r="U849" s="474">
        <v>0</v>
      </c>
      <c r="V849" s="475">
        <v>-0.4</v>
      </c>
      <c r="W849" s="260">
        <v>45689</v>
      </c>
    </row>
    <row r="850" spans="1:23" hidden="1" x14ac:dyDescent="0.35">
      <c r="A850" s="472" t="s">
        <v>526</v>
      </c>
      <c r="B850" s="472" t="s">
        <v>159</v>
      </c>
      <c r="C850" s="472" t="s">
        <v>298</v>
      </c>
      <c r="D850" s="472" t="s">
        <v>324</v>
      </c>
      <c r="E850" s="472" t="s">
        <v>325</v>
      </c>
      <c r="F850" s="472" t="s">
        <v>276</v>
      </c>
      <c r="G850" s="472" t="s">
        <v>356</v>
      </c>
      <c r="H850" s="472"/>
      <c r="I850" s="472" t="s">
        <v>277</v>
      </c>
      <c r="J850" s="472" t="s">
        <v>522</v>
      </c>
      <c r="K850" s="472" t="s">
        <v>301</v>
      </c>
      <c r="L850" s="472" t="s">
        <v>384</v>
      </c>
      <c r="M850" s="472" t="s">
        <v>285</v>
      </c>
      <c r="N850" s="472"/>
      <c r="O850" s="472"/>
      <c r="P850" s="472" t="s">
        <v>522</v>
      </c>
      <c r="Q850" s="472"/>
      <c r="R850" s="473">
        <v>45719</v>
      </c>
      <c r="S850" s="472"/>
      <c r="T850" s="473">
        <v>45716</v>
      </c>
      <c r="U850" s="474">
        <v>0</v>
      </c>
      <c r="V850" s="475">
        <v>307.94</v>
      </c>
      <c r="W850" s="260">
        <v>45689</v>
      </c>
    </row>
    <row r="851" spans="1:23" hidden="1" x14ac:dyDescent="0.35">
      <c r="A851" s="472" t="s">
        <v>526</v>
      </c>
      <c r="B851" s="472" t="s">
        <v>159</v>
      </c>
      <c r="C851" s="472" t="s">
        <v>298</v>
      </c>
      <c r="D851" s="472" t="s">
        <v>326</v>
      </c>
      <c r="E851" s="472" t="s">
        <v>327</v>
      </c>
      <c r="F851" s="472" t="s">
        <v>276</v>
      </c>
      <c r="G851" s="472" t="s">
        <v>356</v>
      </c>
      <c r="H851" s="472"/>
      <c r="I851" s="472" t="s">
        <v>277</v>
      </c>
      <c r="J851" s="472" t="s">
        <v>522</v>
      </c>
      <c r="K851" s="472" t="s">
        <v>301</v>
      </c>
      <c r="L851" s="472" t="s">
        <v>384</v>
      </c>
      <c r="M851" s="472" t="s">
        <v>285</v>
      </c>
      <c r="N851" s="472"/>
      <c r="O851" s="472"/>
      <c r="P851" s="472" t="s">
        <v>522</v>
      </c>
      <c r="Q851" s="472"/>
      <c r="R851" s="473">
        <v>45719</v>
      </c>
      <c r="S851" s="472"/>
      <c r="T851" s="473">
        <v>45716</v>
      </c>
      <c r="U851" s="474">
        <v>0</v>
      </c>
      <c r="V851" s="475">
        <v>0.9</v>
      </c>
      <c r="W851" s="260">
        <v>45689</v>
      </c>
    </row>
    <row r="852" spans="1:23" hidden="1" x14ac:dyDescent="0.35">
      <c r="A852" s="472" t="s">
        <v>526</v>
      </c>
      <c r="B852" s="472" t="s">
        <v>159</v>
      </c>
      <c r="C852" s="472" t="s">
        <v>298</v>
      </c>
      <c r="D852" s="472" t="s">
        <v>326</v>
      </c>
      <c r="E852" s="472" t="s">
        <v>327</v>
      </c>
      <c r="F852" s="472" t="s">
        <v>276</v>
      </c>
      <c r="G852" s="472" t="s">
        <v>356</v>
      </c>
      <c r="H852" s="472"/>
      <c r="I852" s="472" t="s">
        <v>277</v>
      </c>
      <c r="J852" s="472" t="s">
        <v>522</v>
      </c>
      <c r="K852" s="472" t="s">
        <v>301</v>
      </c>
      <c r="L852" s="472" t="s">
        <v>384</v>
      </c>
      <c r="M852" s="472" t="s">
        <v>285</v>
      </c>
      <c r="N852" s="472"/>
      <c r="O852" s="472"/>
      <c r="P852" s="472" t="s">
        <v>522</v>
      </c>
      <c r="Q852" s="472"/>
      <c r="R852" s="473">
        <v>45719</v>
      </c>
      <c r="S852" s="472"/>
      <c r="T852" s="473">
        <v>45716</v>
      </c>
      <c r="U852" s="474">
        <v>0</v>
      </c>
      <c r="V852" s="475">
        <v>9.2100000000000009</v>
      </c>
      <c r="W852" s="260">
        <v>45689</v>
      </c>
    </row>
    <row r="853" spans="1:23" hidden="1" x14ac:dyDescent="0.35">
      <c r="A853" s="472" t="s">
        <v>526</v>
      </c>
      <c r="B853" s="472" t="s">
        <v>159</v>
      </c>
      <c r="C853" s="472" t="s">
        <v>298</v>
      </c>
      <c r="D853" s="472" t="s">
        <v>393</v>
      </c>
      <c r="E853" s="472" t="s">
        <v>394</v>
      </c>
      <c r="F853" s="472" t="s">
        <v>276</v>
      </c>
      <c r="G853" s="472" t="s">
        <v>356</v>
      </c>
      <c r="H853" s="472"/>
      <c r="I853" s="472" t="s">
        <v>277</v>
      </c>
      <c r="J853" s="472" t="s">
        <v>522</v>
      </c>
      <c r="K853" s="472" t="s">
        <v>301</v>
      </c>
      <c r="L853" s="472" t="s">
        <v>384</v>
      </c>
      <c r="M853" s="472" t="s">
        <v>285</v>
      </c>
      <c r="N853" s="472"/>
      <c r="O853" s="472"/>
      <c r="P853" s="472" t="s">
        <v>522</v>
      </c>
      <c r="Q853" s="472"/>
      <c r="R853" s="473">
        <v>45719</v>
      </c>
      <c r="S853" s="472"/>
      <c r="T853" s="473">
        <v>45716</v>
      </c>
      <c r="U853" s="474">
        <v>0</v>
      </c>
      <c r="V853" s="475">
        <v>0.06</v>
      </c>
      <c r="W853" s="260">
        <v>45689</v>
      </c>
    </row>
    <row r="854" spans="1:23" hidden="1" x14ac:dyDescent="0.35">
      <c r="A854" s="472" t="s">
        <v>526</v>
      </c>
      <c r="B854" s="472" t="s">
        <v>159</v>
      </c>
      <c r="C854" s="472" t="s">
        <v>298</v>
      </c>
      <c r="D854" s="472" t="s">
        <v>395</v>
      </c>
      <c r="E854" s="472" t="s">
        <v>396</v>
      </c>
      <c r="F854" s="472" t="s">
        <v>276</v>
      </c>
      <c r="G854" s="472" t="s">
        <v>356</v>
      </c>
      <c r="H854" s="472"/>
      <c r="I854" s="472" t="s">
        <v>277</v>
      </c>
      <c r="J854" s="472" t="s">
        <v>522</v>
      </c>
      <c r="K854" s="472" t="s">
        <v>301</v>
      </c>
      <c r="L854" s="472" t="s">
        <v>384</v>
      </c>
      <c r="M854" s="472" t="s">
        <v>285</v>
      </c>
      <c r="N854" s="472"/>
      <c r="O854" s="472"/>
      <c r="P854" s="472" t="s">
        <v>522</v>
      </c>
      <c r="Q854" s="472"/>
      <c r="R854" s="473">
        <v>45719</v>
      </c>
      <c r="S854" s="472"/>
      <c r="T854" s="473">
        <v>45716</v>
      </c>
      <c r="U854" s="474">
        <v>0</v>
      </c>
      <c r="V854" s="475">
        <v>0.08</v>
      </c>
      <c r="W854" s="260">
        <v>45689</v>
      </c>
    </row>
    <row r="855" spans="1:23" hidden="1" x14ac:dyDescent="0.35">
      <c r="A855" s="472" t="s">
        <v>526</v>
      </c>
      <c r="B855" s="472" t="s">
        <v>159</v>
      </c>
      <c r="C855" s="472" t="s">
        <v>298</v>
      </c>
      <c r="D855" s="472" t="s">
        <v>328</v>
      </c>
      <c r="E855" s="472" t="s">
        <v>329</v>
      </c>
      <c r="F855" s="472" t="s">
        <v>276</v>
      </c>
      <c r="G855" s="472" t="s">
        <v>356</v>
      </c>
      <c r="H855" s="472"/>
      <c r="I855" s="472" t="s">
        <v>277</v>
      </c>
      <c r="J855" s="472" t="s">
        <v>522</v>
      </c>
      <c r="K855" s="472" t="s">
        <v>301</v>
      </c>
      <c r="L855" s="472" t="s">
        <v>384</v>
      </c>
      <c r="M855" s="472" t="s">
        <v>285</v>
      </c>
      <c r="N855" s="472"/>
      <c r="O855" s="472"/>
      <c r="P855" s="472" t="s">
        <v>522</v>
      </c>
      <c r="Q855" s="472"/>
      <c r="R855" s="473">
        <v>45719</v>
      </c>
      <c r="S855" s="472"/>
      <c r="T855" s="473">
        <v>45716</v>
      </c>
      <c r="U855" s="474">
        <v>0</v>
      </c>
      <c r="V855" s="475">
        <v>-1144.82</v>
      </c>
      <c r="W855" s="260">
        <v>45689</v>
      </c>
    </row>
    <row r="856" spans="1:23" hidden="1" x14ac:dyDescent="0.35">
      <c r="A856" s="472" t="s">
        <v>526</v>
      </c>
      <c r="B856" s="472" t="s">
        <v>159</v>
      </c>
      <c r="C856" s="472" t="s">
        <v>298</v>
      </c>
      <c r="D856" s="472" t="s">
        <v>330</v>
      </c>
      <c r="E856" s="472" t="s">
        <v>331</v>
      </c>
      <c r="F856" s="472" t="s">
        <v>276</v>
      </c>
      <c r="G856" s="472" t="s">
        <v>356</v>
      </c>
      <c r="H856" s="472"/>
      <c r="I856" s="472" t="s">
        <v>277</v>
      </c>
      <c r="J856" s="472" t="s">
        <v>522</v>
      </c>
      <c r="K856" s="472" t="s">
        <v>301</v>
      </c>
      <c r="L856" s="472" t="s">
        <v>384</v>
      </c>
      <c r="M856" s="472" t="s">
        <v>285</v>
      </c>
      <c r="N856" s="472"/>
      <c r="O856" s="472"/>
      <c r="P856" s="472" t="s">
        <v>522</v>
      </c>
      <c r="Q856" s="472"/>
      <c r="R856" s="473">
        <v>45719</v>
      </c>
      <c r="S856" s="472"/>
      <c r="T856" s="473">
        <v>45716</v>
      </c>
      <c r="U856" s="474">
        <v>0</v>
      </c>
      <c r="V856" s="475">
        <v>-6.03</v>
      </c>
      <c r="W856" s="260">
        <v>45689</v>
      </c>
    </row>
    <row r="857" spans="1:23" hidden="1" x14ac:dyDescent="0.35">
      <c r="A857" s="472" t="s">
        <v>526</v>
      </c>
      <c r="B857" s="472" t="s">
        <v>159</v>
      </c>
      <c r="C857" s="472" t="s">
        <v>298</v>
      </c>
      <c r="D857" s="472" t="s">
        <v>332</v>
      </c>
      <c r="E857" s="472" t="s">
        <v>333</v>
      </c>
      <c r="F857" s="472" t="s">
        <v>276</v>
      </c>
      <c r="G857" s="472" t="s">
        <v>356</v>
      </c>
      <c r="H857" s="472"/>
      <c r="I857" s="472" t="s">
        <v>277</v>
      </c>
      <c r="J857" s="472" t="s">
        <v>522</v>
      </c>
      <c r="K857" s="472" t="s">
        <v>301</v>
      </c>
      <c r="L857" s="472" t="s">
        <v>384</v>
      </c>
      <c r="M857" s="472" t="s">
        <v>285</v>
      </c>
      <c r="N857" s="472"/>
      <c r="O857" s="472"/>
      <c r="P857" s="472" t="s">
        <v>522</v>
      </c>
      <c r="Q857" s="472"/>
      <c r="R857" s="473">
        <v>45719</v>
      </c>
      <c r="S857" s="472"/>
      <c r="T857" s="473">
        <v>45716</v>
      </c>
      <c r="U857" s="474">
        <v>0</v>
      </c>
      <c r="V857" s="475">
        <v>-48.71</v>
      </c>
      <c r="W857" s="260">
        <v>45689</v>
      </c>
    </row>
    <row r="858" spans="1:23" hidden="1" x14ac:dyDescent="0.35">
      <c r="A858" s="472" t="s">
        <v>526</v>
      </c>
      <c r="B858" s="472" t="s">
        <v>159</v>
      </c>
      <c r="C858" s="472" t="s">
        <v>298</v>
      </c>
      <c r="D858" s="472" t="s">
        <v>334</v>
      </c>
      <c r="E858" s="472" t="s">
        <v>335</v>
      </c>
      <c r="F858" s="472" t="s">
        <v>276</v>
      </c>
      <c r="G858" s="472" t="s">
        <v>356</v>
      </c>
      <c r="H858" s="472"/>
      <c r="I858" s="472" t="s">
        <v>277</v>
      </c>
      <c r="J858" s="472" t="s">
        <v>522</v>
      </c>
      <c r="K858" s="472" t="s">
        <v>301</v>
      </c>
      <c r="L858" s="472" t="s">
        <v>384</v>
      </c>
      <c r="M858" s="472" t="s">
        <v>285</v>
      </c>
      <c r="N858" s="472"/>
      <c r="O858" s="472"/>
      <c r="P858" s="472" t="s">
        <v>522</v>
      </c>
      <c r="Q858" s="472"/>
      <c r="R858" s="473">
        <v>45719</v>
      </c>
      <c r="S858" s="472"/>
      <c r="T858" s="473">
        <v>45716</v>
      </c>
      <c r="U858" s="474">
        <v>0</v>
      </c>
      <c r="V858" s="475">
        <v>-17.59</v>
      </c>
      <c r="W858" s="260">
        <v>45689</v>
      </c>
    </row>
    <row r="859" spans="1:23" hidden="1" x14ac:dyDescent="0.35">
      <c r="A859" s="472" t="s">
        <v>526</v>
      </c>
      <c r="B859" s="472" t="s">
        <v>159</v>
      </c>
      <c r="C859" s="472" t="s">
        <v>298</v>
      </c>
      <c r="D859" s="472" t="s">
        <v>336</v>
      </c>
      <c r="E859" s="472" t="s">
        <v>337</v>
      </c>
      <c r="F859" s="472" t="s">
        <v>276</v>
      </c>
      <c r="G859" s="472" t="s">
        <v>356</v>
      </c>
      <c r="H859" s="472"/>
      <c r="I859" s="472" t="s">
        <v>277</v>
      </c>
      <c r="J859" s="472" t="s">
        <v>522</v>
      </c>
      <c r="K859" s="472" t="s">
        <v>301</v>
      </c>
      <c r="L859" s="472" t="s">
        <v>384</v>
      </c>
      <c r="M859" s="472" t="s">
        <v>285</v>
      </c>
      <c r="N859" s="472"/>
      <c r="O859" s="472"/>
      <c r="P859" s="472" t="s">
        <v>522</v>
      </c>
      <c r="Q859" s="472"/>
      <c r="R859" s="473">
        <v>45719</v>
      </c>
      <c r="S859" s="472"/>
      <c r="T859" s="473">
        <v>45716</v>
      </c>
      <c r="U859" s="474">
        <v>0</v>
      </c>
      <c r="V859" s="475">
        <v>-1.35</v>
      </c>
      <c r="W859" s="260">
        <v>45689</v>
      </c>
    </row>
    <row r="860" spans="1:23" hidden="1" x14ac:dyDescent="0.35">
      <c r="A860" s="472" t="s">
        <v>526</v>
      </c>
      <c r="B860" s="472" t="s">
        <v>159</v>
      </c>
      <c r="C860" s="472" t="s">
        <v>298</v>
      </c>
      <c r="D860" s="472" t="s">
        <v>397</v>
      </c>
      <c r="E860" s="472" t="s">
        <v>398</v>
      </c>
      <c r="F860" s="472" t="s">
        <v>276</v>
      </c>
      <c r="G860" s="472" t="s">
        <v>356</v>
      </c>
      <c r="H860" s="472"/>
      <c r="I860" s="472" t="s">
        <v>277</v>
      </c>
      <c r="J860" s="472" t="s">
        <v>522</v>
      </c>
      <c r="K860" s="472" t="s">
        <v>301</v>
      </c>
      <c r="L860" s="472" t="s">
        <v>384</v>
      </c>
      <c r="M860" s="472" t="s">
        <v>285</v>
      </c>
      <c r="N860" s="472"/>
      <c r="O860" s="472"/>
      <c r="P860" s="472" t="s">
        <v>522</v>
      </c>
      <c r="Q860" s="472"/>
      <c r="R860" s="473">
        <v>45719</v>
      </c>
      <c r="S860" s="472"/>
      <c r="T860" s="473">
        <v>45716</v>
      </c>
      <c r="U860" s="474">
        <v>0</v>
      </c>
      <c r="V860" s="475">
        <v>-1.44</v>
      </c>
      <c r="W860" s="260">
        <v>45689</v>
      </c>
    </row>
    <row r="861" spans="1:23" hidden="1" x14ac:dyDescent="0.35">
      <c r="A861" s="472" t="s">
        <v>526</v>
      </c>
      <c r="B861" s="472" t="s">
        <v>159</v>
      </c>
      <c r="C861" s="472" t="s">
        <v>298</v>
      </c>
      <c r="D861" s="472" t="s">
        <v>338</v>
      </c>
      <c r="E861" s="472" t="s">
        <v>339</v>
      </c>
      <c r="F861" s="472" t="s">
        <v>276</v>
      </c>
      <c r="G861" s="472" t="s">
        <v>356</v>
      </c>
      <c r="H861" s="472"/>
      <c r="I861" s="472" t="s">
        <v>277</v>
      </c>
      <c r="J861" s="472" t="s">
        <v>522</v>
      </c>
      <c r="K861" s="472" t="s">
        <v>301</v>
      </c>
      <c r="L861" s="472" t="s">
        <v>384</v>
      </c>
      <c r="M861" s="472" t="s">
        <v>285</v>
      </c>
      <c r="N861" s="472"/>
      <c r="O861" s="472"/>
      <c r="P861" s="472" t="s">
        <v>522</v>
      </c>
      <c r="Q861" s="472"/>
      <c r="R861" s="473">
        <v>45719</v>
      </c>
      <c r="S861" s="472"/>
      <c r="T861" s="473">
        <v>45716</v>
      </c>
      <c r="U861" s="474">
        <v>0</v>
      </c>
      <c r="V861" s="475">
        <v>-0.99</v>
      </c>
      <c r="W861" s="260">
        <v>45689</v>
      </c>
    </row>
    <row r="862" spans="1:23" hidden="1" x14ac:dyDescent="0.35">
      <c r="A862" s="472" t="s">
        <v>526</v>
      </c>
      <c r="B862" s="472" t="s">
        <v>159</v>
      </c>
      <c r="C862" s="472" t="s">
        <v>281</v>
      </c>
      <c r="D862" s="472" t="s">
        <v>340</v>
      </c>
      <c r="E862" s="472" t="s">
        <v>283</v>
      </c>
      <c r="F862" s="472" t="s">
        <v>276</v>
      </c>
      <c r="G862" s="472" t="s">
        <v>356</v>
      </c>
      <c r="H862" s="472"/>
      <c r="I862" s="472" t="s">
        <v>277</v>
      </c>
      <c r="J862" s="472" t="s">
        <v>522</v>
      </c>
      <c r="K862" s="472" t="s">
        <v>284</v>
      </c>
      <c r="L862" s="472" t="s">
        <v>384</v>
      </c>
      <c r="M862" s="472" t="s">
        <v>285</v>
      </c>
      <c r="N862" s="472"/>
      <c r="O862" s="472"/>
      <c r="P862" s="472" t="s">
        <v>522</v>
      </c>
      <c r="Q862" s="472"/>
      <c r="R862" s="473">
        <v>45719</v>
      </c>
      <c r="S862" s="472"/>
      <c r="T862" s="473">
        <v>45716</v>
      </c>
      <c r="U862" s="474">
        <v>0</v>
      </c>
      <c r="V862" s="475">
        <v>55.25</v>
      </c>
      <c r="W862" s="260">
        <v>45689</v>
      </c>
    </row>
    <row r="863" spans="1:23" hidden="1" x14ac:dyDescent="0.35">
      <c r="A863" s="472" t="s">
        <v>526</v>
      </c>
      <c r="B863" s="472" t="s">
        <v>159</v>
      </c>
      <c r="C863" s="472" t="s">
        <v>302</v>
      </c>
      <c r="D863" s="472" t="s">
        <v>340</v>
      </c>
      <c r="E863" s="472" t="s">
        <v>283</v>
      </c>
      <c r="F863" s="472" t="s">
        <v>276</v>
      </c>
      <c r="G863" s="472" t="s">
        <v>356</v>
      </c>
      <c r="H863" s="472"/>
      <c r="I863" s="472" t="s">
        <v>277</v>
      </c>
      <c r="J863" s="472" t="s">
        <v>522</v>
      </c>
      <c r="K863" s="472" t="s">
        <v>303</v>
      </c>
      <c r="L863" s="472" t="s">
        <v>384</v>
      </c>
      <c r="M863" s="472" t="s">
        <v>285</v>
      </c>
      <c r="N863" s="472"/>
      <c r="O863" s="472"/>
      <c r="P863" s="472" t="s">
        <v>522</v>
      </c>
      <c r="Q863" s="472"/>
      <c r="R863" s="473">
        <v>45720</v>
      </c>
      <c r="S863" s="472"/>
      <c r="T863" s="473">
        <v>45716</v>
      </c>
      <c r="U863" s="474">
        <v>0</v>
      </c>
      <c r="V863" s="475">
        <v>36.94</v>
      </c>
      <c r="W863" s="260">
        <v>45689</v>
      </c>
    </row>
    <row r="864" spans="1:23" hidden="1" x14ac:dyDescent="0.35">
      <c r="A864" s="472" t="s">
        <v>526</v>
      </c>
      <c r="B864" s="472" t="s">
        <v>159</v>
      </c>
      <c r="C864" s="472" t="s">
        <v>302</v>
      </c>
      <c r="D864" s="472" t="s">
        <v>340</v>
      </c>
      <c r="E864" s="472" t="s">
        <v>283</v>
      </c>
      <c r="F864" s="472" t="s">
        <v>276</v>
      </c>
      <c r="G864" s="472" t="s">
        <v>356</v>
      </c>
      <c r="H864" s="472"/>
      <c r="I864" s="472" t="s">
        <v>277</v>
      </c>
      <c r="J864" s="472" t="s">
        <v>522</v>
      </c>
      <c r="K864" s="472" t="s">
        <v>303</v>
      </c>
      <c r="L864" s="472" t="s">
        <v>384</v>
      </c>
      <c r="M864" s="472" t="s">
        <v>285</v>
      </c>
      <c r="N864" s="472"/>
      <c r="O864" s="472"/>
      <c r="P864" s="472" t="s">
        <v>522</v>
      </c>
      <c r="Q864" s="472"/>
      <c r="R864" s="473">
        <v>45720</v>
      </c>
      <c r="S864" s="472"/>
      <c r="T864" s="473">
        <v>45716</v>
      </c>
      <c r="U864" s="474">
        <v>0</v>
      </c>
      <c r="V864" s="475">
        <v>3.06</v>
      </c>
      <c r="W864" s="260">
        <v>45689</v>
      </c>
    </row>
    <row r="865" spans="1:23" hidden="1" x14ac:dyDescent="0.35">
      <c r="A865" s="472" t="s">
        <v>526</v>
      </c>
      <c r="B865" s="472" t="s">
        <v>159</v>
      </c>
      <c r="C865" s="472" t="s">
        <v>286</v>
      </c>
      <c r="D865" s="472" t="s">
        <v>341</v>
      </c>
      <c r="E865" s="472" t="s">
        <v>288</v>
      </c>
      <c r="F865" s="472" t="s">
        <v>276</v>
      </c>
      <c r="G865" s="472" t="s">
        <v>356</v>
      </c>
      <c r="H865" s="472"/>
      <c r="I865" s="472" t="s">
        <v>277</v>
      </c>
      <c r="J865" s="472" t="s">
        <v>522</v>
      </c>
      <c r="K865" s="472" t="s">
        <v>289</v>
      </c>
      <c r="L865" s="472" t="s">
        <v>384</v>
      </c>
      <c r="M865" s="472" t="s">
        <v>285</v>
      </c>
      <c r="N865" s="472"/>
      <c r="O865" s="472"/>
      <c r="P865" s="472" t="s">
        <v>522</v>
      </c>
      <c r="Q865" s="472"/>
      <c r="R865" s="473">
        <v>45719</v>
      </c>
      <c r="S865" s="472"/>
      <c r="T865" s="473">
        <v>45716</v>
      </c>
      <c r="U865" s="474">
        <v>0</v>
      </c>
      <c r="V865" s="475">
        <v>539.5</v>
      </c>
      <c r="W865" s="260">
        <v>45689</v>
      </c>
    </row>
    <row r="866" spans="1:23" hidden="1" x14ac:dyDescent="0.35">
      <c r="A866" s="472" t="s">
        <v>526</v>
      </c>
      <c r="B866" s="472" t="s">
        <v>159</v>
      </c>
      <c r="C866" s="472" t="s">
        <v>302</v>
      </c>
      <c r="D866" s="472" t="s">
        <v>341</v>
      </c>
      <c r="E866" s="472" t="s">
        <v>288</v>
      </c>
      <c r="F866" s="472" t="s">
        <v>276</v>
      </c>
      <c r="G866" s="472" t="s">
        <v>356</v>
      </c>
      <c r="H866" s="472"/>
      <c r="I866" s="472" t="s">
        <v>277</v>
      </c>
      <c r="J866" s="472" t="s">
        <v>522</v>
      </c>
      <c r="K866" s="472" t="s">
        <v>303</v>
      </c>
      <c r="L866" s="472" t="s">
        <v>384</v>
      </c>
      <c r="M866" s="472" t="s">
        <v>285</v>
      </c>
      <c r="N866" s="472"/>
      <c r="O866" s="472"/>
      <c r="P866" s="472" t="s">
        <v>522</v>
      </c>
      <c r="Q866" s="472"/>
      <c r="R866" s="473">
        <v>45720</v>
      </c>
      <c r="S866" s="472"/>
      <c r="T866" s="473">
        <v>45716</v>
      </c>
      <c r="U866" s="474">
        <v>0</v>
      </c>
      <c r="V866" s="475">
        <v>29.91</v>
      </c>
      <c r="W866" s="260">
        <v>45689</v>
      </c>
    </row>
    <row r="867" spans="1:23" hidden="1" x14ac:dyDescent="0.35">
      <c r="A867" s="472" t="s">
        <v>526</v>
      </c>
      <c r="B867" s="472" t="s">
        <v>159</v>
      </c>
      <c r="C867" s="472" t="s">
        <v>302</v>
      </c>
      <c r="D867" s="472" t="s">
        <v>341</v>
      </c>
      <c r="E867" s="472" t="s">
        <v>288</v>
      </c>
      <c r="F867" s="472" t="s">
        <v>276</v>
      </c>
      <c r="G867" s="472" t="s">
        <v>356</v>
      </c>
      <c r="H867" s="472"/>
      <c r="I867" s="472" t="s">
        <v>277</v>
      </c>
      <c r="J867" s="472" t="s">
        <v>522</v>
      </c>
      <c r="K867" s="472" t="s">
        <v>303</v>
      </c>
      <c r="L867" s="472" t="s">
        <v>384</v>
      </c>
      <c r="M867" s="472" t="s">
        <v>285</v>
      </c>
      <c r="N867" s="472"/>
      <c r="O867" s="472"/>
      <c r="P867" s="472" t="s">
        <v>522</v>
      </c>
      <c r="Q867" s="472"/>
      <c r="R867" s="473">
        <v>45720</v>
      </c>
      <c r="S867" s="472"/>
      <c r="T867" s="473">
        <v>45716</v>
      </c>
      <c r="U867" s="474">
        <v>0</v>
      </c>
      <c r="V867" s="475">
        <v>103.62</v>
      </c>
      <c r="W867" s="260">
        <v>45689</v>
      </c>
    </row>
    <row r="868" spans="1:23" hidden="1" x14ac:dyDescent="0.35">
      <c r="A868" s="472" t="s">
        <v>526</v>
      </c>
      <c r="B868" s="472" t="s">
        <v>159</v>
      </c>
      <c r="C868" s="472" t="s">
        <v>281</v>
      </c>
      <c r="D868" s="472" t="s">
        <v>342</v>
      </c>
      <c r="E868" s="472" t="s">
        <v>291</v>
      </c>
      <c r="F868" s="472" t="s">
        <v>276</v>
      </c>
      <c r="G868" s="472" t="s">
        <v>356</v>
      </c>
      <c r="H868" s="472"/>
      <c r="I868" s="472" t="s">
        <v>277</v>
      </c>
      <c r="J868" s="472" t="s">
        <v>522</v>
      </c>
      <c r="K868" s="472" t="s">
        <v>284</v>
      </c>
      <c r="L868" s="472" t="s">
        <v>384</v>
      </c>
      <c r="M868" s="472" t="s">
        <v>285</v>
      </c>
      <c r="N868" s="472"/>
      <c r="O868" s="472"/>
      <c r="P868" s="472" t="s">
        <v>522</v>
      </c>
      <c r="Q868" s="472"/>
      <c r="R868" s="473">
        <v>45719</v>
      </c>
      <c r="S868" s="472"/>
      <c r="T868" s="473">
        <v>45716</v>
      </c>
      <c r="U868" s="474">
        <v>0</v>
      </c>
      <c r="V868" s="475">
        <v>-94.76</v>
      </c>
      <c r="W868" s="260">
        <v>45689</v>
      </c>
    </row>
    <row r="869" spans="1:23" hidden="1" x14ac:dyDescent="0.35">
      <c r="A869" s="472" t="s">
        <v>526</v>
      </c>
      <c r="B869" s="472" t="s">
        <v>159</v>
      </c>
      <c r="C869" s="472" t="s">
        <v>302</v>
      </c>
      <c r="D869" s="472" t="s">
        <v>342</v>
      </c>
      <c r="E869" s="472" t="s">
        <v>291</v>
      </c>
      <c r="F869" s="472" t="s">
        <v>276</v>
      </c>
      <c r="G869" s="472" t="s">
        <v>356</v>
      </c>
      <c r="H869" s="472"/>
      <c r="I869" s="472" t="s">
        <v>277</v>
      </c>
      <c r="J869" s="472" t="s">
        <v>522</v>
      </c>
      <c r="K869" s="472" t="s">
        <v>303</v>
      </c>
      <c r="L869" s="472" t="s">
        <v>384</v>
      </c>
      <c r="M869" s="472" t="s">
        <v>285</v>
      </c>
      <c r="N869" s="472"/>
      <c r="O869" s="472"/>
      <c r="P869" s="472" t="s">
        <v>522</v>
      </c>
      <c r="Q869" s="472"/>
      <c r="R869" s="473">
        <v>45720</v>
      </c>
      <c r="S869" s="472"/>
      <c r="T869" s="473">
        <v>45716</v>
      </c>
      <c r="U869" s="474">
        <v>0</v>
      </c>
      <c r="V869" s="475">
        <v>-5.25</v>
      </c>
      <c r="W869" s="260">
        <v>45689</v>
      </c>
    </row>
    <row r="870" spans="1:23" hidden="1" x14ac:dyDescent="0.35">
      <c r="A870" s="472" t="s">
        <v>526</v>
      </c>
      <c r="B870" s="472" t="s">
        <v>159</v>
      </c>
      <c r="C870" s="472" t="s">
        <v>302</v>
      </c>
      <c r="D870" s="472" t="s">
        <v>342</v>
      </c>
      <c r="E870" s="472" t="s">
        <v>291</v>
      </c>
      <c r="F870" s="472" t="s">
        <v>276</v>
      </c>
      <c r="G870" s="472" t="s">
        <v>356</v>
      </c>
      <c r="H870" s="472"/>
      <c r="I870" s="472" t="s">
        <v>277</v>
      </c>
      <c r="J870" s="472" t="s">
        <v>522</v>
      </c>
      <c r="K870" s="472" t="s">
        <v>303</v>
      </c>
      <c r="L870" s="472" t="s">
        <v>384</v>
      </c>
      <c r="M870" s="472" t="s">
        <v>285</v>
      </c>
      <c r="N870" s="472"/>
      <c r="O870" s="472"/>
      <c r="P870" s="472" t="s">
        <v>522</v>
      </c>
      <c r="Q870" s="472"/>
      <c r="R870" s="473">
        <v>45720</v>
      </c>
      <c r="S870" s="472"/>
      <c r="T870" s="473">
        <v>45716</v>
      </c>
      <c r="U870" s="474">
        <v>0</v>
      </c>
      <c r="V870" s="475">
        <v>23.87</v>
      </c>
      <c r="W870" s="260">
        <v>45689</v>
      </c>
    </row>
    <row r="871" spans="1:23" hidden="1" x14ac:dyDescent="0.35">
      <c r="A871" s="472" t="s">
        <v>526</v>
      </c>
      <c r="B871" s="472" t="s">
        <v>159</v>
      </c>
      <c r="C871" s="472" t="s">
        <v>281</v>
      </c>
      <c r="D871" s="472" t="s">
        <v>343</v>
      </c>
      <c r="E871" s="472" t="s">
        <v>293</v>
      </c>
      <c r="F871" s="472" t="s">
        <v>276</v>
      </c>
      <c r="G871" s="472" t="s">
        <v>356</v>
      </c>
      <c r="H871" s="472"/>
      <c r="I871" s="472" t="s">
        <v>277</v>
      </c>
      <c r="J871" s="472" t="s">
        <v>522</v>
      </c>
      <c r="K871" s="472" t="s">
        <v>294</v>
      </c>
      <c r="L871" s="472" t="s">
        <v>384</v>
      </c>
      <c r="M871" s="472" t="s">
        <v>285</v>
      </c>
      <c r="N871" s="472"/>
      <c r="O871" s="472"/>
      <c r="P871" s="472" t="s">
        <v>522</v>
      </c>
      <c r="Q871" s="472"/>
      <c r="R871" s="473">
        <v>45719</v>
      </c>
      <c r="S871" s="472"/>
      <c r="T871" s="473">
        <v>45716</v>
      </c>
      <c r="U871" s="474">
        <v>0</v>
      </c>
      <c r="V871" s="475">
        <v>-33.450000000000003</v>
      </c>
      <c r="W871" s="260">
        <v>45689</v>
      </c>
    </row>
    <row r="872" spans="1:23" hidden="1" x14ac:dyDescent="0.35">
      <c r="A872" s="472" t="s">
        <v>526</v>
      </c>
      <c r="B872" s="472" t="s">
        <v>159</v>
      </c>
      <c r="C872" s="472" t="s">
        <v>302</v>
      </c>
      <c r="D872" s="472" t="s">
        <v>343</v>
      </c>
      <c r="E872" s="472" t="s">
        <v>293</v>
      </c>
      <c r="F872" s="472" t="s">
        <v>276</v>
      </c>
      <c r="G872" s="472" t="s">
        <v>356</v>
      </c>
      <c r="H872" s="472"/>
      <c r="I872" s="472" t="s">
        <v>277</v>
      </c>
      <c r="J872" s="472" t="s">
        <v>522</v>
      </c>
      <c r="K872" s="472" t="s">
        <v>303</v>
      </c>
      <c r="L872" s="472" t="s">
        <v>384</v>
      </c>
      <c r="M872" s="472" t="s">
        <v>285</v>
      </c>
      <c r="N872" s="472"/>
      <c r="O872" s="472"/>
      <c r="P872" s="472" t="s">
        <v>522</v>
      </c>
      <c r="Q872" s="472"/>
      <c r="R872" s="473">
        <v>45720</v>
      </c>
      <c r="S872" s="472"/>
      <c r="T872" s="473">
        <v>45716</v>
      </c>
      <c r="U872" s="474">
        <v>0</v>
      </c>
      <c r="V872" s="475">
        <v>26.39</v>
      </c>
      <c r="W872" s="260">
        <v>45689</v>
      </c>
    </row>
    <row r="873" spans="1:23" hidden="1" x14ac:dyDescent="0.35">
      <c r="A873" s="472" t="s">
        <v>526</v>
      </c>
      <c r="B873" s="472" t="s">
        <v>159</v>
      </c>
      <c r="C873" s="472" t="s">
        <v>302</v>
      </c>
      <c r="D873" s="472" t="s">
        <v>343</v>
      </c>
      <c r="E873" s="472" t="s">
        <v>293</v>
      </c>
      <c r="F873" s="472" t="s">
        <v>276</v>
      </c>
      <c r="G873" s="472" t="s">
        <v>356</v>
      </c>
      <c r="H873" s="472"/>
      <c r="I873" s="472" t="s">
        <v>277</v>
      </c>
      <c r="J873" s="472" t="s">
        <v>522</v>
      </c>
      <c r="K873" s="472" t="s">
        <v>303</v>
      </c>
      <c r="L873" s="472" t="s">
        <v>384</v>
      </c>
      <c r="M873" s="472" t="s">
        <v>285</v>
      </c>
      <c r="N873" s="472"/>
      <c r="O873" s="472"/>
      <c r="P873" s="472" t="s">
        <v>522</v>
      </c>
      <c r="Q873" s="472"/>
      <c r="R873" s="473">
        <v>45720</v>
      </c>
      <c r="S873" s="472"/>
      <c r="T873" s="473">
        <v>45716</v>
      </c>
      <c r="U873" s="474">
        <v>0</v>
      </c>
      <c r="V873" s="475">
        <v>-1.85</v>
      </c>
      <c r="W873" s="260">
        <v>45689</v>
      </c>
    </row>
    <row r="874" spans="1:23" hidden="1" x14ac:dyDescent="0.35">
      <c r="A874" s="472" t="s">
        <v>526</v>
      </c>
      <c r="B874" s="472" t="s">
        <v>159</v>
      </c>
      <c r="C874" s="472" t="s">
        <v>286</v>
      </c>
      <c r="D874" s="472" t="s">
        <v>344</v>
      </c>
      <c r="E874" s="472" t="s">
        <v>296</v>
      </c>
      <c r="F874" s="472" t="s">
        <v>276</v>
      </c>
      <c r="G874" s="472" t="s">
        <v>356</v>
      </c>
      <c r="H874" s="472"/>
      <c r="I874" s="472" t="s">
        <v>277</v>
      </c>
      <c r="J874" s="472" t="s">
        <v>522</v>
      </c>
      <c r="K874" s="472" t="s">
        <v>297</v>
      </c>
      <c r="L874" s="472" t="s">
        <v>384</v>
      </c>
      <c r="M874" s="472" t="s">
        <v>285</v>
      </c>
      <c r="N874" s="472"/>
      <c r="O874" s="472"/>
      <c r="P874" s="472" t="s">
        <v>522</v>
      </c>
      <c r="Q874" s="472"/>
      <c r="R874" s="473">
        <v>45719</v>
      </c>
      <c r="S874" s="472"/>
      <c r="T874" s="473">
        <v>45716</v>
      </c>
      <c r="U874" s="474">
        <v>0</v>
      </c>
      <c r="V874" s="475">
        <v>-0.61</v>
      </c>
      <c r="W874" s="260">
        <v>45689</v>
      </c>
    </row>
    <row r="875" spans="1:23" hidden="1" x14ac:dyDescent="0.35">
      <c r="A875" s="472" t="s">
        <v>526</v>
      </c>
      <c r="B875" s="472" t="s">
        <v>159</v>
      </c>
      <c r="C875" s="472" t="s">
        <v>302</v>
      </c>
      <c r="D875" s="472" t="s">
        <v>344</v>
      </c>
      <c r="E875" s="472" t="s">
        <v>296</v>
      </c>
      <c r="F875" s="472" t="s">
        <v>276</v>
      </c>
      <c r="G875" s="472" t="s">
        <v>356</v>
      </c>
      <c r="H875" s="472"/>
      <c r="I875" s="472" t="s">
        <v>277</v>
      </c>
      <c r="J875" s="472" t="s">
        <v>522</v>
      </c>
      <c r="K875" s="472" t="s">
        <v>303</v>
      </c>
      <c r="L875" s="472" t="s">
        <v>384</v>
      </c>
      <c r="M875" s="472" t="s">
        <v>285</v>
      </c>
      <c r="N875" s="472"/>
      <c r="O875" s="472"/>
      <c r="P875" s="472" t="s">
        <v>522</v>
      </c>
      <c r="Q875" s="472"/>
      <c r="R875" s="473">
        <v>45720</v>
      </c>
      <c r="S875" s="472"/>
      <c r="T875" s="473">
        <v>45716</v>
      </c>
      <c r="U875" s="474">
        <v>0</v>
      </c>
      <c r="V875" s="475">
        <v>56.49</v>
      </c>
      <c r="W875" s="260">
        <v>45689</v>
      </c>
    </row>
    <row r="876" spans="1:23" hidden="1" x14ac:dyDescent="0.35">
      <c r="A876" s="472" t="s">
        <v>526</v>
      </c>
      <c r="B876" s="472" t="s">
        <v>159</v>
      </c>
      <c r="C876" s="472" t="s">
        <v>302</v>
      </c>
      <c r="D876" s="472" t="s">
        <v>344</v>
      </c>
      <c r="E876" s="472" t="s">
        <v>296</v>
      </c>
      <c r="F876" s="472" t="s">
        <v>276</v>
      </c>
      <c r="G876" s="472" t="s">
        <v>356</v>
      </c>
      <c r="H876" s="472"/>
      <c r="I876" s="472" t="s">
        <v>277</v>
      </c>
      <c r="J876" s="472" t="s">
        <v>522</v>
      </c>
      <c r="K876" s="472" t="s">
        <v>303</v>
      </c>
      <c r="L876" s="472" t="s">
        <v>384</v>
      </c>
      <c r="M876" s="472" t="s">
        <v>285</v>
      </c>
      <c r="N876" s="472"/>
      <c r="O876" s="472"/>
      <c r="P876" s="472" t="s">
        <v>522</v>
      </c>
      <c r="Q876" s="472"/>
      <c r="R876" s="473">
        <v>45720</v>
      </c>
      <c r="S876" s="472"/>
      <c r="T876" s="473">
        <v>45716</v>
      </c>
      <c r="U876" s="474">
        <v>0</v>
      </c>
      <c r="V876" s="475">
        <v>-0.03</v>
      </c>
      <c r="W876" s="260">
        <v>45689</v>
      </c>
    </row>
    <row r="877" spans="1:23" hidden="1" x14ac:dyDescent="0.35">
      <c r="A877" s="472" t="s">
        <v>526</v>
      </c>
      <c r="B877" s="472" t="s">
        <v>159</v>
      </c>
      <c r="C877" s="472" t="s">
        <v>298</v>
      </c>
      <c r="D877" s="472" t="s">
        <v>345</v>
      </c>
      <c r="E877" s="472" t="s">
        <v>346</v>
      </c>
      <c r="F877" s="472" t="s">
        <v>276</v>
      </c>
      <c r="G877" s="472" t="s">
        <v>356</v>
      </c>
      <c r="H877" s="472"/>
      <c r="I877" s="472" t="s">
        <v>277</v>
      </c>
      <c r="J877" s="472" t="s">
        <v>522</v>
      </c>
      <c r="K877" s="472" t="s">
        <v>301</v>
      </c>
      <c r="L877" s="472" t="s">
        <v>384</v>
      </c>
      <c r="M877" s="472" t="s">
        <v>285</v>
      </c>
      <c r="N877" s="472"/>
      <c r="O877" s="472"/>
      <c r="P877" s="472" t="s">
        <v>522</v>
      </c>
      <c r="Q877" s="472"/>
      <c r="R877" s="473">
        <v>45719</v>
      </c>
      <c r="S877" s="472"/>
      <c r="T877" s="473">
        <v>45716</v>
      </c>
      <c r="U877" s="474">
        <v>0</v>
      </c>
      <c r="V877" s="475">
        <v>-0.2</v>
      </c>
      <c r="W877" s="260">
        <v>45689</v>
      </c>
    </row>
    <row r="878" spans="1:23" hidden="1" x14ac:dyDescent="0.35">
      <c r="A878" s="472" t="s">
        <v>526</v>
      </c>
      <c r="B878" s="472" t="s">
        <v>159</v>
      </c>
      <c r="C878" s="472" t="s">
        <v>298</v>
      </c>
      <c r="D878" s="472" t="s">
        <v>347</v>
      </c>
      <c r="E878" s="472" t="s">
        <v>348</v>
      </c>
      <c r="F878" s="472" t="s">
        <v>276</v>
      </c>
      <c r="G878" s="472" t="s">
        <v>356</v>
      </c>
      <c r="H878" s="472"/>
      <c r="I878" s="472" t="s">
        <v>277</v>
      </c>
      <c r="J878" s="472" t="s">
        <v>522</v>
      </c>
      <c r="K878" s="472" t="s">
        <v>301</v>
      </c>
      <c r="L878" s="472" t="s">
        <v>384</v>
      </c>
      <c r="M878" s="472" t="s">
        <v>285</v>
      </c>
      <c r="N878" s="472"/>
      <c r="O878" s="472"/>
      <c r="P878" s="472" t="s">
        <v>522</v>
      </c>
      <c r="Q878" s="472"/>
      <c r="R878" s="473">
        <v>45719</v>
      </c>
      <c r="S878" s="472"/>
      <c r="T878" s="473">
        <v>45716</v>
      </c>
      <c r="U878" s="474">
        <v>0</v>
      </c>
      <c r="V878" s="475">
        <v>3.22</v>
      </c>
      <c r="W878" s="260">
        <v>45689</v>
      </c>
    </row>
    <row r="879" spans="1:23" hidden="1" x14ac:dyDescent="0.35">
      <c r="A879" s="472" t="s">
        <v>526</v>
      </c>
      <c r="B879" s="472" t="s">
        <v>159</v>
      </c>
      <c r="C879" s="472" t="s">
        <v>298</v>
      </c>
      <c r="D879" s="472" t="s">
        <v>347</v>
      </c>
      <c r="E879" s="472" t="s">
        <v>348</v>
      </c>
      <c r="F879" s="472" t="s">
        <v>276</v>
      </c>
      <c r="G879" s="472" t="s">
        <v>356</v>
      </c>
      <c r="H879" s="472"/>
      <c r="I879" s="472" t="s">
        <v>277</v>
      </c>
      <c r="J879" s="472" t="s">
        <v>522</v>
      </c>
      <c r="K879" s="472" t="s">
        <v>301</v>
      </c>
      <c r="L879" s="472" t="s">
        <v>384</v>
      </c>
      <c r="M879" s="472" t="s">
        <v>285</v>
      </c>
      <c r="N879" s="472"/>
      <c r="O879" s="472"/>
      <c r="P879" s="472" t="s">
        <v>522</v>
      </c>
      <c r="Q879" s="472"/>
      <c r="R879" s="473">
        <v>45719</v>
      </c>
      <c r="S879" s="472"/>
      <c r="T879" s="473">
        <v>45716</v>
      </c>
      <c r="U879" s="474">
        <v>0</v>
      </c>
      <c r="V879" s="475">
        <v>1.1000000000000001</v>
      </c>
      <c r="W879" s="260">
        <v>45689</v>
      </c>
    </row>
    <row r="880" spans="1:23" hidden="1" x14ac:dyDescent="0.35">
      <c r="A880" s="472" t="s">
        <v>526</v>
      </c>
      <c r="B880" s="472" t="s">
        <v>159</v>
      </c>
      <c r="C880" s="472" t="s">
        <v>298</v>
      </c>
      <c r="D880" s="472" t="s">
        <v>349</v>
      </c>
      <c r="E880" s="472" t="s">
        <v>350</v>
      </c>
      <c r="F880" s="472" t="s">
        <v>276</v>
      </c>
      <c r="G880" s="472" t="s">
        <v>356</v>
      </c>
      <c r="H880" s="472"/>
      <c r="I880" s="472" t="s">
        <v>277</v>
      </c>
      <c r="J880" s="472" t="s">
        <v>522</v>
      </c>
      <c r="K880" s="472" t="s">
        <v>301</v>
      </c>
      <c r="L880" s="472" t="s">
        <v>384</v>
      </c>
      <c r="M880" s="472" t="s">
        <v>285</v>
      </c>
      <c r="N880" s="472"/>
      <c r="O880" s="472"/>
      <c r="P880" s="472" t="s">
        <v>522</v>
      </c>
      <c r="Q880" s="472"/>
      <c r="R880" s="473">
        <v>45719</v>
      </c>
      <c r="S880" s="472"/>
      <c r="T880" s="473">
        <v>45716</v>
      </c>
      <c r="U880" s="474">
        <v>0</v>
      </c>
      <c r="V880" s="475">
        <v>0.01</v>
      </c>
      <c r="W880" s="260">
        <v>45689</v>
      </c>
    </row>
    <row r="881" spans="1:24" hidden="1" x14ac:dyDescent="0.35">
      <c r="A881" s="472" t="s">
        <v>526</v>
      </c>
      <c r="B881" s="472" t="s">
        <v>159</v>
      </c>
      <c r="C881" s="472" t="s">
        <v>298</v>
      </c>
      <c r="D881" s="472" t="s">
        <v>351</v>
      </c>
      <c r="E881" s="472" t="s">
        <v>352</v>
      </c>
      <c r="F881" s="472" t="s">
        <v>276</v>
      </c>
      <c r="G881" s="472" t="s">
        <v>356</v>
      </c>
      <c r="H881" s="472"/>
      <c r="I881" s="472" t="s">
        <v>277</v>
      </c>
      <c r="J881" s="472" t="s">
        <v>522</v>
      </c>
      <c r="K881" s="472" t="s">
        <v>301</v>
      </c>
      <c r="L881" s="472" t="s">
        <v>384</v>
      </c>
      <c r="M881" s="472" t="s">
        <v>285</v>
      </c>
      <c r="N881" s="472"/>
      <c r="O881" s="472"/>
      <c r="P881" s="472" t="s">
        <v>522</v>
      </c>
      <c r="Q881" s="472"/>
      <c r="R881" s="473">
        <v>45719</v>
      </c>
      <c r="S881" s="472"/>
      <c r="T881" s="473">
        <v>45716</v>
      </c>
      <c r="U881" s="474">
        <v>0</v>
      </c>
      <c r="V881" s="475">
        <v>1.75</v>
      </c>
      <c r="W881" s="260">
        <v>45689</v>
      </c>
    </row>
    <row r="882" spans="1:24" hidden="1" x14ac:dyDescent="0.35">
      <c r="A882" s="472" t="s">
        <v>526</v>
      </c>
      <c r="B882" s="472" t="s">
        <v>159</v>
      </c>
      <c r="C882" s="472" t="s">
        <v>298</v>
      </c>
      <c r="D882" s="472" t="s">
        <v>351</v>
      </c>
      <c r="E882" s="472" t="s">
        <v>352</v>
      </c>
      <c r="F882" s="472" t="s">
        <v>276</v>
      </c>
      <c r="G882" s="472" t="s">
        <v>356</v>
      </c>
      <c r="H882" s="472"/>
      <c r="I882" s="472" t="s">
        <v>277</v>
      </c>
      <c r="J882" s="472" t="s">
        <v>522</v>
      </c>
      <c r="K882" s="472" t="s">
        <v>301</v>
      </c>
      <c r="L882" s="472" t="s">
        <v>384</v>
      </c>
      <c r="M882" s="472" t="s">
        <v>285</v>
      </c>
      <c r="N882" s="472"/>
      <c r="O882" s="472"/>
      <c r="P882" s="472" t="s">
        <v>522</v>
      </c>
      <c r="Q882" s="472"/>
      <c r="R882" s="473">
        <v>45719</v>
      </c>
      <c r="S882" s="472"/>
      <c r="T882" s="473">
        <v>45716</v>
      </c>
      <c r="U882" s="474">
        <v>0</v>
      </c>
      <c r="V882" s="475">
        <v>0.09</v>
      </c>
      <c r="W882" s="260">
        <v>45689</v>
      </c>
    </row>
    <row r="883" spans="1:24" hidden="1" x14ac:dyDescent="0.35">
      <c r="A883" s="472" t="s">
        <v>526</v>
      </c>
      <c r="B883" s="472" t="s">
        <v>159</v>
      </c>
      <c r="C883" s="472" t="s">
        <v>298</v>
      </c>
      <c r="D883" s="472" t="s">
        <v>354</v>
      </c>
      <c r="E883" s="472" t="s">
        <v>355</v>
      </c>
      <c r="F883" s="472" t="s">
        <v>276</v>
      </c>
      <c r="G883" s="472" t="s">
        <v>356</v>
      </c>
      <c r="H883" s="472"/>
      <c r="I883" s="472" t="s">
        <v>277</v>
      </c>
      <c r="J883" s="472" t="s">
        <v>522</v>
      </c>
      <c r="K883" s="472" t="s">
        <v>301</v>
      </c>
      <c r="L883" s="472" t="s">
        <v>384</v>
      </c>
      <c r="M883" s="472" t="s">
        <v>285</v>
      </c>
      <c r="N883" s="472"/>
      <c r="O883" s="472"/>
      <c r="P883" s="472" t="s">
        <v>522</v>
      </c>
      <c r="Q883" s="472"/>
      <c r="R883" s="473">
        <v>45719</v>
      </c>
      <c r="S883" s="472"/>
      <c r="T883" s="473">
        <v>45716</v>
      </c>
      <c r="U883" s="474">
        <v>0</v>
      </c>
      <c r="V883" s="475">
        <v>0.06</v>
      </c>
      <c r="W883" s="260">
        <v>45689</v>
      </c>
    </row>
    <row r="884" spans="1:24" hidden="1" x14ac:dyDescent="0.35">
      <c r="A884" s="472" t="s">
        <v>526</v>
      </c>
      <c r="B884" s="472" t="s">
        <v>159</v>
      </c>
      <c r="C884" s="472" t="s">
        <v>542</v>
      </c>
      <c r="D884" s="472" t="s">
        <v>560</v>
      </c>
      <c r="E884" s="472" t="s">
        <v>544</v>
      </c>
      <c r="F884" s="472" t="s">
        <v>276</v>
      </c>
      <c r="G884" s="472" t="s">
        <v>356</v>
      </c>
      <c r="H884" s="472"/>
      <c r="I884" s="472" t="s">
        <v>277</v>
      </c>
      <c r="J884" s="472" t="s">
        <v>522</v>
      </c>
      <c r="K884" s="472" t="s">
        <v>545</v>
      </c>
      <c r="L884" s="472" t="s">
        <v>384</v>
      </c>
      <c r="M884" s="472" t="s">
        <v>285</v>
      </c>
      <c r="N884" s="472"/>
      <c r="O884" s="472"/>
      <c r="P884" s="472" t="s">
        <v>522</v>
      </c>
      <c r="Q884" s="472"/>
      <c r="R884" s="473">
        <v>45719</v>
      </c>
      <c r="S884" s="472"/>
      <c r="T884" s="473">
        <v>45716</v>
      </c>
      <c r="U884" s="474">
        <v>0</v>
      </c>
      <c r="V884" s="475">
        <v>5.65</v>
      </c>
      <c r="W884" s="260">
        <v>45689</v>
      </c>
    </row>
    <row r="885" spans="1:24" hidden="1" x14ac:dyDescent="0.35">
      <c r="A885" s="472" t="s">
        <v>526</v>
      </c>
      <c r="B885" s="472" t="s">
        <v>159</v>
      </c>
      <c r="C885" s="472" t="s">
        <v>546</v>
      </c>
      <c r="D885" s="472" t="s">
        <v>561</v>
      </c>
      <c r="E885" s="472" t="s">
        <v>548</v>
      </c>
      <c r="F885" s="472" t="s">
        <v>276</v>
      </c>
      <c r="G885" s="472" t="s">
        <v>356</v>
      </c>
      <c r="H885" s="472"/>
      <c r="I885" s="472" t="s">
        <v>277</v>
      </c>
      <c r="J885" s="472" t="s">
        <v>522</v>
      </c>
      <c r="K885" s="472" t="s">
        <v>549</v>
      </c>
      <c r="L885" s="472" t="s">
        <v>384</v>
      </c>
      <c r="M885" s="472" t="s">
        <v>285</v>
      </c>
      <c r="N885" s="472"/>
      <c r="O885" s="472"/>
      <c r="P885" s="472" t="s">
        <v>522</v>
      </c>
      <c r="Q885" s="472"/>
      <c r="R885" s="473">
        <v>45719</v>
      </c>
      <c r="S885" s="472"/>
      <c r="T885" s="473">
        <v>45716</v>
      </c>
      <c r="U885" s="474">
        <v>0</v>
      </c>
      <c r="V885" s="475">
        <v>40.06</v>
      </c>
      <c r="W885" s="260">
        <v>45689</v>
      </c>
    </row>
    <row r="886" spans="1:24" hidden="1" x14ac:dyDescent="0.35">
      <c r="A886" s="472" t="s">
        <v>526</v>
      </c>
      <c r="B886" s="472" t="s">
        <v>159</v>
      </c>
      <c r="C886" s="472" t="s">
        <v>542</v>
      </c>
      <c r="D886" s="472" t="s">
        <v>562</v>
      </c>
      <c r="E886" s="472" t="s">
        <v>551</v>
      </c>
      <c r="F886" s="472" t="s">
        <v>276</v>
      </c>
      <c r="G886" s="472" t="s">
        <v>356</v>
      </c>
      <c r="H886" s="472"/>
      <c r="I886" s="472" t="s">
        <v>277</v>
      </c>
      <c r="J886" s="472" t="s">
        <v>522</v>
      </c>
      <c r="K886" s="472" t="s">
        <v>545</v>
      </c>
      <c r="L886" s="472" t="s">
        <v>384</v>
      </c>
      <c r="M886" s="472" t="s">
        <v>285</v>
      </c>
      <c r="N886" s="472"/>
      <c r="O886" s="472"/>
      <c r="P886" s="472" t="s">
        <v>522</v>
      </c>
      <c r="Q886" s="472"/>
      <c r="R886" s="473">
        <v>45719</v>
      </c>
      <c r="S886" s="472"/>
      <c r="T886" s="473">
        <v>45716</v>
      </c>
      <c r="U886" s="474">
        <v>0</v>
      </c>
      <c r="V886" s="475">
        <v>-7.26</v>
      </c>
      <c r="W886" s="260">
        <v>45689</v>
      </c>
    </row>
    <row r="887" spans="1:24" hidden="1" x14ac:dyDescent="0.35">
      <c r="A887" s="472" t="s">
        <v>526</v>
      </c>
      <c r="B887" s="472" t="s">
        <v>159</v>
      </c>
      <c r="C887" s="472" t="s">
        <v>542</v>
      </c>
      <c r="D887" s="472" t="s">
        <v>563</v>
      </c>
      <c r="E887" s="472" t="s">
        <v>553</v>
      </c>
      <c r="F887" s="472" t="s">
        <v>276</v>
      </c>
      <c r="G887" s="472" t="s">
        <v>356</v>
      </c>
      <c r="H887" s="472"/>
      <c r="I887" s="472" t="s">
        <v>277</v>
      </c>
      <c r="J887" s="472" t="s">
        <v>522</v>
      </c>
      <c r="K887" s="472" t="s">
        <v>554</v>
      </c>
      <c r="L887" s="472" t="s">
        <v>384</v>
      </c>
      <c r="M887" s="472" t="s">
        <v>285</v>
      </c>
      <c r="N887" s="472"/>
      <c r="O887" s="472"/>
      <c r="P887" s="472" t="s">
        <v>522</v>
      </c>
      <c r="Q887" s="472"/>
      <c r="R887" s="473">
        <v>45719</v>
      </c>
      <c r="S887" s="472"/>
      <c r="T887" s="473">
        <v>45716</v>
      </c>
      <c r="U887" s="474">
        <v>0</v>
      </c>
      <c r="V887" s="475">
        <v>-3.24</v>
      </c>
      <c r="W887" s="260">
        <v>45689</v>
      </c>
    </row>
    <row r="888" spans="1:24" hidden="1" x14ac:dyDescent="0.35">
      <c r="A888" s="472" t="s">
        <v>526</v>
      </c>
      <c r="B888" s="472" t="s">
        <v>159</v>
      </c>
      <c r="C888" s="472" t="s">
        <v>546</v>
      </c>
      <c r="D888" s="472" t="s">
        <v>564</v>
      </c>
      <c r="E888" s="472" t="s">
        <v>556</v>
      </c>
      <c r="F888" s="472" t="s">
        <v>276</v>
      </c>
      <c r="G888" s="472" t="s">
        <v>356</v>
      </c>
      <c r="H888" s="472"/>
      <c r="I888" s="472" t="s">
        <v>277</v>
      </c>
      <c r="J888" s="472" t="s">
        <v>522</v>
      </c>
      <c r="K888" s="472" t="s">
        <v>557</v>
      </c>
      <c r="L888" s="472" t="s">
        <v>384</v>
      </c>
      <c r="M888" s="472" t="s">
        <v>285</v>
      </c>
      <c r="N888" s="472"/>
      <c r="O888" s="472"/>
      <c r="P888" s="472" t="s">
        <v>522</v>
      </c>
      <c r="Q888" s="472"/>
      <c r="R888" s="473">
        <v>45719</v>
      </c>
      <c r="S888" s="472"/>
      <c r="T888" s="473">
        <v>45716</v>
      </c>
      <c r="U888" s="474">
        <v>0</v>
      </c>
      <c r="V888" s="475">
        <v>0.74</v>
      </c>
      <c r="W888" s="260">
        <v>45689</v>
      </c>
    </row>
    <row r="889" spans="1:24" hidden="1" x14ac:dyDescent="0.35">
      <c r="A889" s="472" t="s">
        <v>526</v>
      </c>
      <c r="B889" s="472" t="s">
        <v>159</v>
      </c>
      <c r="C889" s="472" t="s">
        <v>615</v>
      </c>
      <c r="D889" s="472" t="s">
        <v>616</v>
      </c>
      <c r="E889" s="472" t="s">
        <v>617</v>
      </c>
      <c r="F889" s="472" t="s">
        <v>276</v>
      </c>
      <c r="G889" s="472" t="s">
        <v>356</v>
      </c>
      <c r="H889" s="578" t="s">
        <v>618</v>
      </c>
      <c r="I889" s="472" t="s">
        <v>277</v>
      </c>
      <c r="J889" s="472" t="s">
        <v>522</v>
      </c>
      <c r="K889" s="472" t="s">
        <v>619</v>
      </c>
      <c r="L889" s="472" t="s">
        <v>384</v>
      </c>
      <c r="M889" s="472" t="s">
        <v>620</v>
      </c>
      <c r="N889" s="472"/>
      <c r="O889" s="472"/>
      <c r="P889" s="472" t="s">
        <v>522</v>
      </c>
      <c r="Q889" s="472"/>
      <c r="R889" s="473">
        <v>45684</v>
      </c>
      <c r="S889" s="472" t="s">
        <v>278</v>
      </c>
      <c r="T889" s="473">
        <v>45689</v>
      </c>
      <c r="U889" s="474">
        <v>8</v>
      </c>
      <c r="V889" s="475">
        <v>520.64</v>
      </c>
      <c r="W889" s="260">
        <v>45689</v>
      </c>
      <c r="X889" s="845"/>
    </row>
    <row r="890" spans="1:24" hidden="1" x14ac:dyDescent="0.35">
      <c r="A890" s="472" t="s">
        <v>526</v>
      </c>
      <c r="B890" s="472" t="s">
        <v>159</v>
      </c>
      <c r="C890" s="472" t="s">
        <v>621</v>
      </c>
      <c r="D890" s="472" t="s">
        <v>622</v>
      </c>
      <c r="E890" s="472" t="s">
        <v>623</v>
      </c>
      <c r="F890" s="472" t="s">
        <v>276</v>
      </c>
      <c r="G890" s="472" t="s">
        <v>356</v>
      </c>
      <c r="H890" s="472" t="s">
        <v>624</v>
      </c>
      <c r="I890" s="472" t="s">
        <v>277</v>
      </c>
      <c r="J890" s="472" t="s">
        <v>522</v>
      </c>
      <c r="K890" s="472" t="s">
        <v>625</v>
      </c>
      <c r="L890" s="472" t="s">
        <v>384</v>
      </c>
      <c r="M890" s="472" t="s">
        <v>626</v>
      </c>
      <c r="N890" s="472"/>
      <c r="O890" s="472"/>
      <c r="P890" s="472" t="s">
        <v>522</v>
      </c>
      <c r="Q890" s="472"/>
      <c r="R890" s="473">
        <v>45685</v>
      </c>
      <c r="S890" s="472" t="s">
        <v>278</v>
      </c>
      <c r="T890" s="473">
        <v>45689</v>
      </c>
      <c r="U890" s="474">
        <v>4</v>
      </c>
      <c r="V890" s="475">
        <v>203</v>
      </c>
      <c r="W890" s="260">
        <v>45689</v>
      </c>
      <c r="X890" s="845"/>
    </row>
    <row r="891" spans="1:24" hidden="1" x14ac:dyDescent="0.35">
      <c r="A891" s="472" t="s">
        <v>526</v>
      </c>
      <c r="B891" s="472" t="s">
        <v>159</v>
      </c>
      <c r="C891" s="472" t="s">
        <v>621</v>
      </c>
      <c r="D891" s="472" t="s">
        <v>622</v>
      </c>
      <c r="E891" s="472" t="s">
        <v>623</v>
      </c>
      <c r="F891" s="472" t="s">
        <v>276</v>
      </c>
      <c r="G891" s="472" t="s">
        <v>356</v>
      </c>
      <c r="H891" s="578" t="s">
        <v>624</v>
      </c>
      <c r="I891" s="472" t="s">
        <v>277</v>
      </c>
      <c r="J891" s="472" t="s">
        <v>522</v>
      </c>
      <c r="K891" s="472" t="s">
        <v>625</v>
      </c>
      <c r="L891" s="472" t="s">
        <v>384</v>
      </c>
      <c r="M891" s="472" t="s">
        <v>626</v>
      </c>
      <c r="N891" s="472"/>
      <c r="O891" s="472"/>
      <c r="P891" s="472" t="s">
        <v>522</v>
      </c>
      <c r="Q891" s="472"/>
      <c r="R891" s="473">
        <v>45686</v>
      </c>
      <c r="S891" s="472" t="s">
        <v>278</v>
      </c>
      <c r="T891" s="473">
        <v>45689</v>
      </c>
      <c r="U891" s="474">
        <v>4</v>
      </c>
      <c r="V891" s="475">
        <v>203</v>
      </c>
      <c r="W891" s="260">
        <v>45689</v>
      </c>
      <c r="X891" s="845"/>
    </row>
    <row r="892" spans="1:24" hidden="1" x14ac:dyDescent="0.35">
      <c r="A892" s="472" t="s">
        <v>526</v>
      </c>
      <c r="B892" s="472" t="s">
        <v>159</v>
      </c>
      <c r="C892" s="472" t="s">
        <v>627</v>
      </c>
      <c r="D892" s="472" t="s">
        <v>628</v>
      </c>
      <c r="E892" s="472" t="s">
        <v>629</v>
      </c>
      <c r="F892" s="472" t="s">
        <v>276</v>
      </c>
      <c r="G892" s="472" t="s">
        <v>356</v>
      </c>
      <c r="H892" s="578" t="s">
        <v>630</v>
      </c>
      <c r="I892" s="472" t="s">
        <v>277</v>
      </c>
      <c r="J892" s="472" t="s">
        <v>522</v>
      </c>
      <c r="K892" s="472" t="s">
        <v>631</v>
      </c>
      <c r="L892" s="472" t="s">
        <v>384</v>
      </c>
      <c r="M892" s="472" t="s">
        <v>632</v>
      </c>
      <c r="N892" s="472"/>
      <c r="O892" s="472"/>
      <c r="P892" s="472" t="s">
        <v>522</v>
      </c>
      <c r="Q892" s="472"/>
      <c r="R892" s="473">
        <v>45684</v>
      </c>
      <c r="S892" s="472" t="s">
        <v>278</v>
      </c>
      <c r="T892" s="473">
        <v>45689</v>
      </c>
      <c r="U892" s="474">
        <v>2.5</v>
      </c>
      <c r="V892" s="475">
        <v>209.58</v>
      </c>
      <c r="W892" s="260">
        <v>45689</v>
      </c>
      <c r="X892" s="845"/>
    </row>
    <row r="893" spans="1:24" hidden="1" x14ac:dyDescent="0.35">
      <c r="A893" s="472" t="s">
        <v>526</v>
      </c>
      <c r="B893" s="472" t="s">
        <v>159</v>
      </c>
      <c r="C893" s="472" t="s">
        <v>569</v>
      </c>
      <c r="D893" s="472" t="s">
        <v>570</v>
      </c>
      <c r="E893" s="472" t="s">
        <v>571</v>
      </c>
      <c r="F893" s="472" t="s">
        <v>276</v>
      </c>
      <c r="G893" s="472" t="s">
        <v>356</v>
      </c>
      <c r="H893" s="472" t="s">
        <v>582</v>
      </c>
      <c r="I893" s="472" t="s">
        <v>277</v>
      </c>
      <c r="J893" s="472" t="s">
        <v>522</v>
      </c>
      <c r="K893" s="472" t="s">
        <v>573</v>
      </c>
      <c r="L893" s="472" t="s">
        <v>384</v>
      </c>
      <c r="M893" s="472" t="s">
        <v>583</v>
      </c>
      <c r="N893" s="472"/>
      <c r="O893" s="472"/>
      <c r="P893" s="472" t="s">
        <v>522</v>
      </c>
      <c r="Q893" s="472"/>
      <c r="R893" s="473">
        <v>45702</v>
      </c>
      <c r="S893" s="472" t="s">
        <v>278</v>
      </c>
      <c r="T893" s="473">
        <v>45706</v>
      </c>
      <c r="U893" s="474">
        <v>1</v>
      </c>
      <c r="V893" s="475">
        <v>83.26</v>
      </c>
      <c r="W893" s="260">
        <v>45689</v>
      </c>
      <c r="X893" s="845"/>
    </row>
    <row r="894" spans="1:24" hidden="1" x14ac:dyDescent="0.35">
      <c r="A894" s="472" t="s">
        <v>526</v>
      </c>
      <c r="B894" s="472" t="s">
        <v>159</v>
      </c>
      <c r="C894" s="472" t="s">
        <v>569</v>
      </c>
      <c r="D894" s="472" t="s">
        <v>570</v>
      </c>
      <c r="E894" s="472" t="s">
        <v>571</v>
      </c>
      <c r="F894" s="472" t="s">
        <v>276</v>
      </c>
      <c r="G894" s="472" t="s">
        <v>356</v>
      </c>
      <c r="H894" s="472" t="s">
        <v>582</v>
      </c>
      <c r="I894" s="472" t="s">
        <v>277</v>
      </c>
      <c r="J894" s="472" t="s">
        <v>522</v>
      </c>
      <c r="K894" s="472" t="s">
        <v>573</v>
      </c>
      <c r="L894" s="472" t="s">
        <v>384</v>
      </c>
      <c r="M894" s="472" t="s">
        <v>583</v>
      </c>
      <c r="N894" s="472"/>
      <c r="O894" s="472"/>
      <c r="P894" s="472" t="s">
        <v>522</v>
      </c>
      <c r="Q894" s="472"/>
      <c r="R894" s="473">
        <v>45698</v>
      </c>
      <c r="S894" s="472" t="s">
        <v>278</v>
      </c>
      <c r="T894" s="473">
        <v>45706</v>
      </c>
      <c r="U894" s="474">
        <v>2</v>
      </c>
      <c r="V894" s="475">
        <v>166.52</v>
      </c>
      <c r="W894" s="260">
        <v>45689</v>
      </c>
      <c r="X894" s="845"/>
    </row>
    <row r="895" spans="1:24" hidden="1" x14ac:dyDescent="0.35">
      <c r="A895" s="472" t="s">
        <v>526</v>
      </c>
      <c r="B895" s="472" t="s">
        <v>159</v>
      </c>
      <c r="C895" s="472" t="s">
        <v>569</v>
      </c>
      <c r="D895" s="472" t="s">
        <v>570</v>
      </c>
      <c r="E895" s="472" t="s">
        <v>571</v>
      </c>
      <c r="F895" s="472" t="s">
        <v>276</v>
      </c>
      <c r="G895" s="472" t="s">
        <v>356</v>
      </c>
      <c r="H895" s="472" t="s">
        <v>582</v>
      </c>
      <c r="I895" s="472" t="s">
        <v>277</v>
      </c>
      <c r="J895" s="472" t="s">
        <v>522</v>
      </c>
      <c r="K895" s="472" t="s">
        <v>573</v>
      </c>
      <c r="L895" s="472" t="s">
        <v>384</v>
      </c>
      <c r="M895" s="472" t="s">
        <v>583</v>
      </c>
      <c r="N895" s="472"/>
      <c r="O895" s="472"/>
      <c r="P895" s="472" t="s">
        <v>522</v>
      </c>
      <c r="Q895" s="472"/>
      <c r="R895" s="473">
        <v>45709</v>
      </c>
      <c r="S895" s="472" t="s">
        <v>278</v>
      </c>
      <c r="T895" s="473">
        <v>45709</v>
      </c>
      <c r="U895" s="474">
        <v>1</v>
      </c>
      <c r="V895" s="475">
        <v>83.26</v>
      </c>
      <c r="W895" s="260">
        <v>45689</v>
      </c>
      <c r="X895" s="845"/>
    </row>
    <row r="896" spans="1:24" hidden="1" x14ac:dyDescent="0.35">
      <c r="A896" s="472" t="s">
        <v>526</v>
      </c>
      <c r="B896" s="472" t="s">
        <v>159</v>
      </c>
      <c r="C896" s="472" t="s">
        <v>569</v>
      </c>
      <c r="D896" s="472" t="s">
        <v>570</v>
      </c>
      <c r="E896" s="472" t="s">
        <v>571</v>
      </c>
      <c r="F896" s="472" t="s">
        <v>276</v>
      </c>
      <c r="G896" s="472" t="s">
        <v>356</v>
      </c>
      <c r="H896" s="472" t="s">
        <v>582</v>
      </c>
      <c r="I896" s="472" t="s">
        <v>277</v>
      </c>
      <c r="J896" s="472" t="s">
        <v>522</v>
      </c>
      <c r="K896" s="472" t="s">
        <v>573</v>
      </c>
      <c r="L896" s="472" t="s">
        <v>384</v>
      </c>
      <c r="M896" s="472" t="s">
        <v>583</v>
      </c>
      <c r="N896" s="472"/>
      <c r="O896" s="472"/>
      <c r="P896" s="472" t="s">
        <v>522</v>
      </c>
      <c r="Q896" s="472"/>
      <c r="R896" s="473">
        <v>45708</v>
      </c>
      <c r="S896" s="472" t="s">
        <v>278</v>
      </c>
      <c r="T896" s="473">
        <v>45709</v>
      </c>
      <c r="U896" s="474">
        <v>1.5</v>
      </c>
      <c r="V896" s="475">
        <v>124.89</v>
      </c>
      <c r="W896" s="260">
        <v>45689</v>
      </c>
      <c r="X896" s="845"/>
    </row>
    <row r="897" spans="1:24" hidden="1" x14ac:dyDescent="0.35">
      <c r="A897" s="472" t="s">
        <v>526</v>
      </c>
      <c r="B897" s="472" t="s">
        <v>159</v>
      </c>
      <c r="C897" s="472" t="s">
        <v>569</v>
      </c>
      <c r="D897" s="472" t="s">
        <v>570</v>
      </c>
      <c r="E897" s="472" t="s">
        <v>571</v>
      </c>
      <c r="F897" s="472" t="s">
        <v>276</v>
      </c>
      <c r="G897" s="472" t="s">
        <v>356</v>
      </c>
      <c r="H897" s="578" t="s">
        <v>582</v>
      </c>
      <c r="I897" s="472" t="s">
        <v>277</v>
      </c>
      <c r="J897" s="472" t="s">
        <v>522</v>
      </c>
      <c r="K897" s="472" t="s">
        <v>573</v>
      </c>
      <c r="L897" s="472" t="s">
        <v>384</v>
      </c>
      <c r="M897" s="472" t="s">
        <v>583</v>
      </c>
      <c r="N897" s="472"/>
      <c r="O897" s="472"/>
      <c r="P897" s="472" t="s">
        <v>522</v>
      </c>
      <c r="Q897" s="472"/>
      <c r="R897" s="473">
        <v>45713</v>
      </c>
      <c r="S897" s="472" t="s">
        <v>278</v>
      </c>
      <c r="T897" s="473">
        <v>45716</v>
      </c>
      <c r="U897" s="474">
        <v>2</v>
      </c>
      <c r="V897" s="475">
        <v>166.52</v>
      </c>
      <c r="W897" s="260">
        <v>45689</v>
      </c>
      <c r="X897" s="845"/>
    </row>
    <row r="898" spans="1:24" hidden="1" x14ac:dyDescent="0.35">
      <c r="A898" s="472" t="s">
        <v>526</v>
      </c>
      <c r="B898" s="472" t="s">
        <v>159</v>
      </c>
      <c r="C898" s="472" t="s">
        <v>584</v>
      </c>
      <c r="D898" s="472" t="s">
        <v>585</v>
      </c>
      <c r="E898" s="472" t="s">
        <v>586</v>
      </c>
      <c r="F898" s="472" t="s">
        <v>276</v>
      </c>
      <c r="G898" s="472" t="s">
        <v>356</v>
      </c>
      <c r="H898" s="472" t="s">
        <v>533</v>
      </c>
      <c r="I898" s="472" t="s">
        <v>277</v>
      </c>
      <c r="J898" s="472" t="s">
        <v>522</v>
      </c>
      <c r="K898" s="472" t="s">
        <v>587</v>
      </c>
      <c r="L898" s="472" t="s">
        <v>384</v>
      </c>
      <c r="M898" s="472" t="s">
        <v>535</v>
      </c>
      <c r="N898" s="472"/>
      <c r="O898" s="472"/>
      <c r="P898" s="472" t="s">
        <v>522</v>
      </c>
      <c r="Q898" s="472"/>
      <c r="R898" s="473">
        <v>45693</v>
      </c>
      <c r="S898" s="472" t="s">
        <v>278</v>
      </c>
      <c r="T898" s="473">
        <v>45698</v>
      </c>
      <c r="U898" s="474">
        <v>7</v>
      </c>
      <c r="V898" s="475">
        <v>863.8</v>
      </c>
      <c r="W898" s="260">
        <v>45689</v>
      </c>
      <c r="X898" s="845"/>
    </row>
    <row r="899" spans="1:24" hidden="1" x14ac:dyDescent="0.35">
      <c r="A899" s="472" t="s">
        <v>526</v>
      </c>
      <c r="B899" s="472" t="s">
        <v>159</v>
      </c>
      <c r="C899" s="472" t="s">
        <v>584</v>
      </c>
      <c r="D899" s="472" t="s">
        <v>585</v>
      </c>
      <c r="E899" s="472" t="s">
        <v>586</v>
      </c>
      <c r="F899" s="472" t="s">
        <v>276</v>
      </c>
      <c r="G899" s="472" t="s">
        <v>356</v>
      </c>
      <c r="H899" s="472" t="s">
        <v>533</v>
      </c>
      <c r="I899" s="472" t="s">
        <v>277</v>
      </c>
      <c r="J899" s="472" t="s">
        <v>522</v>
      </c>
      <c r="K899" s="472" t="s">
        <v>587</v>
      </c>
      <c r="L899" s="472" t="s">
        <v>384</v>
      </c>
      <c r="M899" s="472" t="s">
        <v>535</v>
      </c>
      <c r="N899" s="472"/>
      <c r="O899" s="472"/>
      <c r="P899" s="472" t="s">
        <v>522</v>
      </c>
      <c r="Q899" s="472"/>
      <c r="R899" s="473">
        <v>45695</v>
      </c>
      <c r="S899" s="472" t="s">
        <v>278</v>
      </c>
      <c r="T899" s="473">
        <v>45698</v>
      </c>
      <c r="U899" s="474">
        <v>7</v>
      </c>
      <c r="V899" s="475">
        <v>863.8</v>
      </c>
      <c r="W899" s="260">
        <v>45689</v>
      </c>
      <c r="X899" s="845"/>
    </row>
    <row r="900" spans="1:24" hidden="1" x14ac:dyDescent="0.35">
      <c r="A900" s="472" t="s">
        <v>526</v>
      </c>
      <c r="B900" s="472" t="s">
        <v>159</v>
      </c>
      <c r="C900" s="472" t="s">
        <v>584</v>
      </c>
      <c r="D900" s="472" t="s">
        <v>585</v>
      </c>
      <c r="E900" s="472" t="s">
        <v>586</v>
      </c>
      <c r="F900" s="472" t="s">
        <v>276</v>
      </c>
      <c r="G900" s="472" t="s">
        <v>356</v>
      </c>
      <c r="H900" s="472" t="s">
        <v>533</v>
      </c>
      <c r="I900" s="472" t="s">
        <v>277</v>
      </c>
      <c r="J900" s="472" t="s">
        <v>522</v>
      </c>
      <c r="K900" s="472" t="s">
        <v>587</v>
      </c>
      <c r="L900" s="472" t="s">
        <v>384</v>
      </c>
      <c r="M900" s="472" t="s">
        <v>535</v>
      </c>
      <c r="N900" s="472"/>
      <c r="O900" s="472"/>
      <c r="P900" s="472" t="s">
        <v>522</v>
      </c>
      <c r="Q900" s="472"/>
      <c r="R900" s="473">
        <v>45694</v>
      </c>
      <c r="S900" s="472" t="s">
        <v>278</v>
      </c>
      <c r="T900" s="473">
        <v>45698</v>
      </c>
      <c r="U900" s="474">
        <v>3</v>
      </c>
      <c r="V900" s="475">
        <v>370.2</v>
      </c>
      <c r="W900" s="260">
        <v>45689</v>
      </c>
      <c r="X900" s="845"/>
    </row>
    <row r="901" spans="1:24" hidden="1" x14ac:dyDescent="0.35">
      <c r="A901" s="472" t="s">
        <v>526</v>
      </c>
      <c r="B901" s="472" t="s">
        <v>159</v>
      </c>
      <c r="C901" s="472" t="s">
        <v>584</v>
      </c>
      <c r="D901" s="472" t="s">
        <v>585</v>
      </c>
      <c r="E901" s="472" t="s">
        <v>586</v>
      </c>
      <c r="F901" s="472" t="s">
        <v>276</v>
      </c>
      <c r="G901" s="472" t="s">
        <v>356</v>
      </c>
      <c r="H901" s="472" t="s">
        <v>533</v>
      </c>
      <c r="I901" s="472" t="s">
        <v>277</v>
      </c>
      <c r="J901" s="472" t="s">
        <v>522</v>
      </c>
      <c r="K901" s="472" t="s">
        <v>587</v>
      </c>
      <c r="L901" s="472" t="s">
        <v>384</v>
      </c>
      <c r="M901" s="472" t="s">
        <v>535</v>
      </c>
      <c r="N901" s="472"/>
      <c r="O901" s="472"/>
      <c r="P901" s="472" t="s">
        <v>522</v>
      </c>
      <c r="Q901" s="472"/>
      <c r="R901" s="473">
        <v>45692</v>
      </c>
      <c r="S901" s="472" t="s">
        <v>278</v>
      </c>
      <c r="T901" s="473">
        <v>45698</v>
      </c>
      <c r="U901" s="474">
        <v>7</v>
      </c>
      <c r="V901" s="475">
        <v>863.8</v>
      </c>
      <c r="W901" s="260">
        <v>45689</v>
      </c>
      <c r="X901" s="845"/>
    </row>
    <row r="902" spans="1:24" hidden="1" x14ac:dyDescent="0.35">
      <c r="A902" s="472" t="s">
        <v>526</v>
      </c>
      <c r="B902" s="472" t="s">
        <v>159</v>
      </c>
      <c r="C902" s="472" t="s">
        <v>584</v>
      </c>
      <c r="D902" s="472" t="s">
        <v>585</v>
      </c>
      <c r="E902" s="472" t="s">
        <v>586</v>
      </c>
      <c r="F902" s="472" t="s">
        <v>276</v>
      </c>
      <c r="G902" s="472" t="s">
        <v>356</v>
      </c>
      <c r="H902" s="472" t="s">
        <v>533</v>
      </c>
      <c r="I902" s="472" t="s">
        <v>277</v>
      </c>
      <c r="J902" s="472" t="s">
        <v>522</v>
      </c>
      <c r="K902" s="472" t="s">
        <v>587</v>
      </c>
      <c r="L902" s="472" t="s">
        <v>384</v>
      </c>
      <c r="M902" s="472" t="s">
        <v>535</v>
      </c>
      <c r="N902" s="472"/>
      <c r="O902" s="472"/>
      <c r="P902" s="472" t="s">
        <v>522</v>
      </c>
      <c r="Q902" s="472"/>
      <c r="R902" s="473">
        <v>45691</v>
      </c>
      <c r="S902" s="472" t="s">
        <v>278</v>
      </c>
      <c r="T902" s="473">
        <v>45698</v>
      </c>
      <c r="U902" s="474">
        <v>5</v>
      </c>
      <c r="V902" s="475">
        <v>617</v>
      </c>
      <c r="W902" s="260">
        <v>45689</v>
      </c>
      <c r="X902" s="845"/>
    </row>
    <row r="903" spans="1:24" hidden="1" x14ac:dyDescent="0.35">
      <c r="A903" s="472" t="s">
        <v>526</v>
      </c>
      <c r="B903" s="472" t="s">
        <v>159</v>
      </c>
      <c r="C903" s="472" t="s">
        <v>584</v>
      </c>
      <c r="D903" s="472" t="s">
        <v>585</v>
      </c>
      <c r="E903" s="472" t="s">
        <v>586</v>
      </c>
      <c r="F903" s="472" t="s">
        <v>276</v>
      </c>
      <c r="G903" s="472" t="s">
        <v>356</v>
      </c>
      <c r="H903" s="472" t="s">
        <v>533</v>
      </c>
      <c r="I903" s="472" t="s">
        <v>277</v>
      </c>
      <c r="J903" s="472" t="s">
        <v>522</v>
      </c>
      <c r="K903" s="472" t="s">
        <v>587</v>
      </c>
      <c r="L903" s="472" t="s">
        <v>384</v>
      </c>
      <c r="M903" s="472" t="s">
        <v>535</v>
      </c>
      <c r="N903" s="472"/>
      <c r="O903" s="472"/>
      <c r="P903" s="472" t="s">
        <v>522</v>
      </c>
      <c r="Q903" s="472"/>
      <c r="R903" s="473">
        <v>45700</v>
      </c>
      <c r="S903" s="472" t="s">
        <v>278</v>
      </c>
      <c r="T903" s="473">
        <v>45705</v>
      </c>
      <c r="U903" s="474">
        <v>7</v>
      </c>
      <c r="V903" s="475">
        <v>863.8</v>
      </c>
      <c r="W903" s="260">
        <v>45689</v>
      </c>
      <c r="X903" s="845"/>
    </row>
    <row r="904" spans="1:24" hidden="1" x14ac:dyDescent="0.35">
      <c r="A904" s="472" t="s">
        <v>526</v>
      </c>
      <c r="B904" s="472" t="s">
        <v>159</v>
      </c>
      <c r="C904" s="472" t="s">
        <v>584</v>
      </c>
      <c r="D904" s="472" t="s">
        <v>585</v>
      </c>
      <c r="E904" s="472" t="s">
        <v>586</v>
      </c>
      <c r="F904" s="472" t="s">
        <v>276</v>
      </c>
      <c r="G904" s="472" t="s">
        <v>356</v>
      </c>
      <c r="H904" s="472" t="s">
        <v>533</v>
      </c>
      <c r="I904" s="472" t="s">
        <v>277</v>
      </c>
      <c r="J904" s="472" t="s">
        <v>522</v>
      </c>
      <c r="K904" s="472" t="s">
        <v>587</v>
      </c>
      <c r="L904" s="472" t="s">
        <v>384</v>
      </c>
      <c r="M904" s="472" t="s">
        <v>535</v>
      </c>
      <c r="N904" s="472"/>
      <c r="O904" s="472"/>
      <c r="P904" s="472" t="s">
        <v>522</v>
      </c>
      <c r="Q904" s="472"/>
      <c r="R904" s="473">
        <v>45699</v>
      </c>
      <c r="S904" s="472" t="s">
        <v>278</v>
      </c>
      <c r="T904" s="473">
        <v>45705</v>
      </c>
      <c r="U904" s="474">
        <v>2</v>
      </c>
      <c r="V904" s="475">
        <v>246.8</v>
      </c>
      <c r="W904" s="260">
        <v>45689</v>
      </c>
      <c r="X904" s="845"/>
    </row>
    <row r="905" spans="1:24" hidden="1" x14ac:dyDescent="0.35">
      <c r="A905" s="472" t="s">
        <v>526</v>
      </c>
      <c r="B905" s="472" t="s">
        <v>159</v>
      </c>
      <c r="C905" s="472" t="s">
        <v>584</v>
      </c>
      <c r="D905" s="472" t="s">
        <v>585</v>
      </c>
      <c r="E905" s="472" t="s">
        <v>586</v>
      </c>
      <c r="F905" s="472" t="s">
        <v>276</v>
      </c>
      <c r="G905" s="472" t="s">
        <v>356</v>
      </c>
      <c r="H905" s="472" t="s">
        <v>533</v>
      </c>
      <c r="I905" s="472" t="s">
        <v>277</v>
      </c>
      <c r="J905" s="472" t="s">
        <v>522</v>
      </c>
      <c r="K905" s="472" t="s">
        <v>587</v>
      </c>
      <c r="L905" s="472" t="s">
        <v>384</v>
      </c>
      <c r="M905" s="472" t="s">
        <v>535</v>
      </c>
      <c r="N905" s="472"/>
      <c r="O905" s="472"/>
      <c r="P905" s="472" t="s">
        <v>522</v>
      </c>
      <c r="Q905" s="472"/>
      <c r="R905" s="473">
        <v>45701</v>
      </c>
      <c r="S905" s="472" t="s">
        <v>278</v>
      </c>
      <c r="T905" s="473">
        <v>45705</v>
      </c>
      <c r="U905" s="474">
        <v>4</v>
      </c>
      <c r="V905" s="475">
        <v>493.6</v>
      </c>
      <c r="W905" s="260">
        <v>45689</v>
      </c>
      <c r="X905" s="845"/>
    </row>
    <row r="906" spans="1:24" hidden="1" x14ac:dyDescent="0.35">
      <c r="A906" s="472" t="s">
        <v>526</v>
      </c>
      <c r="B906" s="472" t="s">
        <v>159</v>
      </c>
      <c r="C906" s="472" t="s">
        <v>584</v>
      </c>
      <c r="D906" s="472" t="s">
        <v>585</v>
      </c>
      <c r="E906" s="472" t="s">
        <v>586</v>
      </c>
      <c r="F906" s="472" t="s">
        <v>276</v>
      </c>
      <c r="G906" s="472" t="s">
        <v>356</v>
      </c>
      <c r="H906" s="472" t="s">
        <v>533</v>
      </c>
      <c r="I906" s="472" t="s">
        <v>277</v>
      </c>
      <c r="J906" s="472" t="s">
        <v>522</v>
      </c>
      <c r="K906" s="472" t="s">
        <v>587</v>
      </c>
      <c r="L906" s="472" t="s">
        <v>384</v>
      </c>
      <c r="M906" s="472" t="s">
        <v>535</v>
      </c>
      <c r="N906" s="472"/>
      <c r="O906" s="472"/>
      <c r="P906" s="472" t="s">
        <v>522</v>
      </c>
      <c r="Q906" s="472"/>
      <c r="R906" s="473">
        <v>45702</v>
      </c>
      <c r="S906" s="472" t="s">
        <v>278</v>
      </c>
      <c r="T906" s="473">
        <v>45705</v>
      </c>
      <c r="U906" s="474">
        <v>5</v>
      </c>
      <c r="V906" s="475">
        <v>617</v>
      </c>
      <c r="W906" s="260">
        <v>45689</v>
      </c>
      <c r="X906" s="845"/>
    </row>
    <row r="907" spans="1:24" hidden="1" x14ac:dyDescent="0.35">
      <c r="A907" s="472" t="s">
        <v>526</v>
      </c>
      <c r="B907" s="472" t="s">
        <v>159</v>
      </c>
      <c r="C907" s="472" t="s">
        <v>584</v>
      </c>
      <c r="D907" s="472" t="s">
        <v>585</v>
      </c>
      <c r="E907" s="472" t="s">
        <v>586</v>
      </c>
      <c r="F907" s="472" t="s">
        <v>276</v>
      </c>
      <c r="G907" s="472" t="s">
        <v>356</v>
      </c>
      <c r="H907" s="472" t="s">
        <v>533</v>
      </c>
      <c r="I907" s="472" t="s">
        <v>277</v>
      </c>
      <c r="J907" s="472" t="s">
        <v>522</v>
      </c>
      <c r="K907" s="472" t="s">
        <v>587</v>
      </c>
      <c r="L907" s="472" t="s">
        <v>384</v>
      </c>
      <c r="M907" s="472" t="s">
        <v>535</v>
      </c>
      <c r="N907" s="472"/>
      <c r="O907" s="472"/>
      <c r="P907" s="472" t="s">
        <v>522</v>
      </c>
      <c r="Q907" s="472"/>
      <c r="R907" s="473">
        <v>45698</v>
      </c>
      <c r="S907" s="472" t="s">
        <v>278</v>
      </c>
      <c r="T907" s="473">
        <v>45705</v>
      </c>
      <c r="U907" s="474">
        <v>4</v>
      </c>
      <c r="V907" s="475">
        <v>493.6</v>
      </c>
      <c r="W907" s="260">
        <v>45689</v>
      </c>
      <c r="X907" s="845"/>
    </row>
    <row r="908" spans="1:24" hidden="1" x14ac:dyDescent="0.35">
      <c r="A908" s="472" t="s">
        <v>526</v>
      </c>
      <c r="B908" s="472" t="s">
        <v>159</v>
      </c>
      <c r="C908" s="472" t="s">
        <v>584</v>
      </c>
      <c r="D908" s="472" t="s">
        <v>585</v>
      </c>
      <c r="E908" s="472" t="s">
        <v>586</v>
      </c>
      <c r="F908" s="472" t="s">
        <v>276</v>
      </c>
      <c r="G908" s="472" t="s">
        <v>356</v>
      </c>
      <c r="H908" s="472" t="s">
        <v>533</v>
      </c>
      <c r="I908" s="472" t="s">
        <v>277</v>
      </c>
      <c r="J908" s="472" t="s">
        <v>522</v>
      </c>
      <c r="K908" s="472" t="s">
        <v>587</v>
      </c>
      <c r="L908" s="472" t="s">
        <v>384</v>
      </c>
      <c r="M908" s="472" t="s">
        <v>535</v>
      </c>
      <c r="N908" s="472"/>
      <c r="O908" s="472"/>
      <c r="P908" s="472" t="s">
        <v>522</v>
      </c>
      <c r="Q908" s="472"/>
      <c r="R908" s="473">
        <v>45707</v>
      </c>
      <c r="S908" s="472" t="s">
        <v>278</v>
      </c>
      <c r="T908" s="473">
        <v>45711</v>
      </c>
      <c r="U908" s="474">
        <v>6</v>
      </c>
      <c r="V908" s="475">
        <v>740.4</v>
      </c>
      <c r="W908" s="260">
        <v>45689</v>
      </c>
      <c r="X908" s="845"/>
    </row>
    <row r="909" spans="1:24" hidden="1" x14ac:dyDescent="0.35">
      <c r="A909" s="472" t="s">
        <v>526</v>
      </c>
      <c r="B909" s="472" t="s">
        <v>159</v>
      </c>
      <c r="C909" s="472" t="s">
        <v>584</v>
      </c>
      <c r="D909" s="472" t="s">
        <v>585</v>
      </c>
      <c r="E909" s="472" t="s">
        <v>586</v>
      </c>
      <c r="F909" s="472" t="s">
        <v>276</v>
      </c>
      <c r="G909" s="472" t="s">
        <v>356</v>
      </c>
      <c r="H909" s="472" t="s">
        <v>533</v>
      </c>
      <c r="I909" s="472" t="s">
        <v>277</v>
      </c>
      <c r="J909" s="472" t="s">
        <v>522</v>
      </c>
      <c r="K909" s="472" t="s">
        <v>587</v>
      </c>
      <c r="L909" s="472" t="s">
        <v>384</v>
      </c>
      <c r="M909" s="472" t="s">
        <v>535</v>
      </c>
      <c r="N909" s="472"/>
      <c r="O909" s="472"/>
      <c r="P909" s="472" t="s">
        <v>522</v>
      </c>
      <c r="Q909" s="472"/>
      <c r="R909" s="473">
        <v>45709</v>
      </c>
      <c r="S909" s="472" t="s">
        <v>278</v>
      </c>
      <c r="T909" s="473">
        <v>45711</v>
      </c>
      <c r="U909" s="474">
        <v>4</v>
      </c>
      <c r="V909" s="475">
        <v>493.6</v>
      </c>
      <c r="W909" s="260">
        <v>45689</v>
      </c>
      <c r="X909" s="845"/>
    </row>
    <row r="910" spans="1:24" hidden="1" x14ac:dyDescent="0.35">
      <c r="A910" s="472" t="s">
        <v>526</v>
      </c>
      <c r="B910" s="472" t="s">
        <v>159</v>
      </c>
      <c r="C910" s="472" t="s">
        <v>584</v>
      </c>
      <c r="D910" s="472" t="s">
        <v>585</v>
      </c>
      <c r="E910" s="472" t="s">
        <v>586</v>
      </c>
      <c r="F910" s="472" t="s">
        <v>276</v>
      </c>
      <c r="G910" s="472" t="s">
        <v>356</v>
      </c>
      <c r="H910" s="472" t="s">
        <v>533</v>
      </c>
      <c r="I910" s="472" t="s">
        <v>277</v>
      </c>
      <c r="J910" s="472" t="s">
        <v>522</v>
      </c>
      <c r="K910" s="472" t="s">
        <v>587</v>
      </c>
      <c r="L910" s="472" t="s">
        <v>384</v>
      </c>
      <c r="M910" s="472" t="s">
        <v>535</v>
      </c>
      <c r="N910" s="472"/>
      <c r="O910" s="472"/>
      <c r="P910" s="472" t="s">
        <v>522</v>
      </c>
      <c r="Q910" s="472"/>
      <c r="R910" s="473">
        <v>45708</v>
      </c>
      <c r="S910" s="472" t="s">
        <v>278</v>
      </c>
      <c r="T910" s="473">
        <v>45711</v>
      </c>
      <c r="U910" s="474">
        <v>5</v>
      </c>
      <c r="V910" s="475">
        <v>617</v>
      </c>
      <c r="W910" s="260">
        <v>45689</v>
      </c>
      <c r="X910" s="845"/>
    </row>
    <row r="911" spans="1:24" hidden="1" x14ac:dyDescent="0.35">
      <c r="A911" s="472" t="s">
        <v>526</v>
      </c>
      <c r="B911" s="472" t="s">
        <v>160</v>
      </c>
      <c r="C911" s="472"/>
      <c r="D911" s="472" t="s">
        <v>633</v>
      </c>
      <c r="E911" s="472" t="s">
        <v>634</v>
      </c>
      <c r="F911" s="472" t="s">
        <v>276</v>
      </c>
      <c r="G911" s="472" t="s">
        <v>356</v>
      </c>
      <c r="H911" s="472"/>
      <c r="I911" s="472" t="s">
        <v>277</v>
      </c>
      <c r="J911" s="472" t="s">
        <v>523</v>
      </c>
      <c r="K911" s="472"/>
      <c r="L911" s="472" t="s">
        <v>384</v>
      </c>
      <c r="M911" s="472" t="s">
        <v>285</v>
      </c>
      <c r="N911" s="578" t="s">
        <v>635</v>
      </c>
      <c r="O911" s="472" t="s">
        <v>636</v>
      </c>
      <c r="P911" s="472" t="s">
        <v>523</v>
      </c>
      <c r="Q911" s="472" t="s">
        <v>387</v>
      </c>
      <c r="R911" s="473">
        <v>45662</v>
      </c>
      <c r="S911" s="472" t="s">
        <v>388</v>
      </c>
      <c r="T911" s="473">
        <v>45700</v>
      </c>
      <c r="U911" s="476">
        <v>1</v>
      </c>
      <c r="V911" s="475">
        <v>548459.80000000005</v>
      </c>
      <c r="W911" s="260">
        <v>45689</v>
      </c>
    </row>
    <row r="912" spans="1:24" hidden="1" x14ac:dyDescent="0.35">
      <c r="A912" s="472" t="s">
        <v>526</v>
      </c>
      <c r="B912" s="472" t="s">
        <v>53</v>
      </c>
      <c r="C912" s="472"/>
      <c r="D912" s="472" t="s">
        <v>385</v>
      </c>
      <c r="E912" s="472" t="s">
        <v>386</v>
      </c>
      <c r="F912" s="472" t="s">
        <v>276</v>
      </c>
      <c r="G912" s="472" t="s">
        <v>356</v>
      </c>
      <c r="H912" s="472"/>
      <c r="I912" s="472" t="s">
        <v>277</v>
      </c>
      <c r="J912" s="472" t="s">
        <v>524</v>
      </c>
      <c r="K912" s="472"/>
      <c r="L912" s="472" t="s">
        <v>384</v>
      </c>
      <c r="M912" s="472" t="s">
        <v>285</v>
      </c>
      <c r="N912" s="472"/>
      <c r="O912" s="472" t="s">
        <v>591</v>
      </c>
      <c r="P912" s="472" t="s">
        <v>524</v>
      </c>
      <c r="Q912" s="472" t="s">
        <v>400</v>
      </c>
      <c r="R912" s="473">
        <v>45684</v>
      </c>
      <c r="S912" s="472"/>
      <c r="T912" s="473">
        <v>45716</v>
      </c>
      <c r="U912" s="474">
        <v>0</v>
      </c>
      <c r="V912" s="475">
        <v>11000</v>
      </c>
      <c r="W912" s="260">
        <v>45689</v>
      </c>
    </row>
    <row r="913" spans="1:23" hidden="1" x14ac:dyDescent="0.35">
      <c r="A913" s="472" t="s">
        <v>526</v>
      </c>
      <c r="B913" s="472" t="s">
        <v>53</v>
      </c>
      <c r="C913" s="472"/>
      <c r="D913" s="472" t="s">
        <v>385</v>
      </c>
      <c r="E913" s="472" t="s">
        <v>386</v>
      </c>
      <c r="F913" s="472" t="s">
        <v>276</v>
      </c>
      <c r="G913" s="472" t="s">
        <v>356</v>
      </c>
      <c r="H913" s="472"/>
      <c r="I913" s="472" t="s">
        <v>277</v>
      </c>
      <c r="J913" s="472" t="s">
        <v>524</v>
      </c>
      <c r="K913" s="472"/>
      <c r="L913" s="472" t="s">
        <v>384</v>
      </c>
      <c r="M913" s="472" t="s">
        <v>285</v>
      </c>
      <c r="N913" s="472" t="s">
        <v>637</v>
      </c>
      <c r="O913" s="472">
        <v>5000060399</v>
      </c>
      <c r="P913" s="472" t="s">
        <v>524</v>
      </c>
      <c r="Q913" s="472" t="s">
        <v>387</v>
      </c>
      <c r="R913" s="473">
        <v>45698</v>
      </c>
      <c r="S913" s="472" t="s">
        <v>388</v>
      </c>
      <c r="T913" s="473">
        <v>45700</v>
      </c>
      <c r="U913" s="476">
        <v>1</v>
      </c>
      <c r="V913" s="475">
        <v>164.8</v>
      </c>
      <c r="W913" s="260">
        <v>45689</v>
      </c>
    </row>
    <row r="914" spans="1:23" hidden="1" x14ac:dyDescent="0.35">
      <c r="A914" s="472" t="s">
        <v>526</v>
      </c>
      <c r="B914" s="472" t="s">
        <v>53</v>
      </c>
      <c r="C914" s="472"/>
      <c r="D914" s="472" t="s">
        <v>575</v>
      </c>
      <c r="E914" s="472" t="s">
        <v>576</v>
      </c>
      <c r="F914" s="472" t="s">
        <v>588</v>
      </c>
      <c r="G914" s="472" t="s">
        <v>356</v>
      </c>
      <c r="H914" s="472"/>
      <c r="I914" s="472" t="s">
        <v>277</v>
      </c>
      <c r="J914" s="472" t="s">
        <v>524</v>
      </c>
      <c r="K914" s="472"/>
      <c r="L914" s="472" t="s">
        <v>384</v>
      </c>
      <c r="M914" s="472" t="s">
        <v>285</v>
      </c>
      <c r="N914" s="472"/>
      <c r="O914" s="472" t="s">
        <v>601</v>
      </c>
      <c r="P914" s="472" t="s">
        <v>524</v>
      </c>
      <c r="Q914" s="472" t="s">
        <v>589</v>
      </c>
      <c r="R914" s="473">
        <v>45685</v>
      </c>
      <c r="S914" s="472"/>
      <c r="T914" s="473">
        <v>45689</v>
      </c>
      <c r="U914" s="474">
        <v>0</v>
      </c>
      <c r="V914" s="475">
        <v>-47800</v>
      </c>
      <c r="W914" s="260">
        <v>45689</v>
      </c>
    </row>
    <row r="915" spans="1:23" hidden="1" x14ac:dyDescent="0.35">
      <c r="A915" s="472" t="s">
        <v>526</v>
      </c>
      <c r="B915" s="472" t="s">
        <v>53</v>
      </c>
      <c r="C915" s="472"/>
      <c r="D915" s="472" t="s">
        <v>575</v>
      </c>
      <c r="E915" s="472" t="s">
        <v>576</v>
      </c>
      <c r="F915" s="472" t="s">
        <v>588</v>
      </c>
      <c r="G915" s="472" t="s">
        <v>356</v>
      </c>
      <c r="H915" s="472"/>
      <c r="I915" s="472" t="s">
        <v>277</v>
      </c>
      <c r="J915" s="472" t="s">
        <v>524</v>
      </c>
      <c r="K915" s="472"/>
      <c r="L915" s="472" t="s">
        <v>384</v>
      </c>
      <c r="M915" s="472" t="s">
        <v>285</v>
      </c>
      <c r="N915" s="472"/>
      <c r="O915" s="472" t="s">
        <v>601</v>
      </c>
      <c r="P915" s="472" t="s">
        <v>524</v>
      </c>
      <c r="Q915" s="472" t="s">
        <v>589</v>
      </c>
      <c r="R915" s="473">
        <v>45685</v>
      </c>
      <c r="S915" s="472"/>
      <c r="T915" s="473">
        <v>45689</v>
      </c>
      <c r="U915" s="474">
        <v>0</v>
      </c>
      <c r="V915" s="475">
        <v>-51250</v>
      </c>
      <c r="W915" s="260">
        <v>45689</v>
      </c>
    </row>
    <row r="916" spans="1:23" hidden="1" x14ac:dyDescent="0.35">
      <c r="A916" s="472" t="s">
        <v>526</v>
      </c>
      <c r="B916" s="472" t="s">
        <v>53</v>
      </c>
      <c r="C916" s="472"/>
      <c r="D916" s="472" t="s">
        <v>575</v>
      </c>
      <c r="E916" s="472" t="s">
        <v>576</v>
      </c>
      <c r="F916" s="472" t="s">
        <v>588</v>
      </c>
      <c r="G916" s="472" t="s">
        <v>356</v>
      </c>
      <c r="H916" s="472"/>
      <c r="I916" s="472" t="s">
        <v>277</v>
      </c>
      <c r="J916" s="472" t="s">
        <v>524</v>
      </c>
      <c r="K916" s="472"/>
      <c r="L916" s="472" t="s">
        <v>384</v>
      </c>
      <c r="M916" s="472" t="s">
        <v>285</v>
      </c>
      <c r="N916" s="472"/>
      <c r="O916" s="472" t="s">
        <v>601</v>
      </c>
      <c r="P916" s="472" t="s">
        <v>524</v>
      </c>
      <c r="Q916" s="472" t="s">
        <v>589</v>
      </c>
      <c r="R916" s="473">
        <v>45685</v>
      </c>
      <c r="S916" s="472"/>
      <c r="T916" s="473">
        <v>45689</v>
      </c>
      <c r="U916" s="474">
        <v>0</v>
      </c>
      <c r="V916" s="475">
        <v>-18950</v>
      </c>
      <c r="W916" s="260">
        <v>45689</v>
      </c>
    </row>
    <row r="917" spans="1:23" hidden="1" x14ac:dyDescent="0.35">
      <c r="A917" s="472" t="s">
        <v>526</v>
      </c>
      <c r="B917" s="472" t="s">
        <v>53</v>
      </c>
      <c r="C917" s="472"/>
      <c r="D917" s="472" t="s">
        <v>575</v>
      </c>
      <c r="E917" s="472" t="s">
        <v>576</v>
      </c>
      <c r="F917" s="472" t="s">
        <v>588</v>
      </c>
      <c r="G917" s="472" t="s">
        <v>356</v>
      </c>
      <c r="H917" s="472"/>
      <c r="I917" s="472" t="s">
        <v>277</v>
      </c>
      <c r="J917" s="472" t="s">
        <v>524</v>
      </c>
      <c r="K917" s="472"/>
      <c r="L917" s="472" t="s">
        <v>384</v>
      </c>
      <c r="M917" s="472" t="s">
        <v>285</v>
      </c>
      <c r="N917" s="472"/>
      <c r="O917" s="472" t="s">
        <v>608</v>
      </c>
      <c r="P917" s="472" t="s">
        <v>524</v>
      </c>
      <c r="Q917" s="472" t="s">
        <v>589</v>
      </c>
      <c r="R917" s="473">
        <v>45685</v>
      </c>
      <c r="S917" s="472"/>
      <c r="T917" s="473">
        <v>45689</v>
      </c>
      <c r="U917" s="474">
        <v>0</v>
      </c>
      <c r="V917" s="475">
        <v>-824</v>
      </c>
      <c r="W917" s="260">
        <v>45689</v>
      </c>
    </row>
    <row r="918" spans="1:23" hidden="1" x14ac:dyDescent="0.35">
      <c r="A918" s="472" t="s">
        <v>526</v>
      </c>
      <c r="B918" s="472" t="s">
        <v>53</v>
      </c>
      <c r="C918" s="472"/>
      <c r="D918" s="472" t="s">
        <v>575</v>
      </c>
      <c r="E918" s="472" t="s">
        <v>576</v>
      </c>
      <c r="F918" s="472" t="s">
        <v>276</v>
      </c>
      <c r="G918" s="472" t="s">
        <v>356</v>
      </c>
      <c r="H918" s="472"/>
      <c r="I918" s="472" t="s">
        <v>277</v>
      </c>
      <c r="J918" s="472" t="s">
        <v>524</v>
      </c>
      <c r="K918" s="472"/>
      <c r="L918" s="472" t="s">
        <v>384</v>
      </c>
      <c r="M918" s="472" t="s">
        <v>285</v>
      </c>
      <c r="N918" s="472"/>
      <c r="O918" s="472" t="s">
        <v>601</v>
      </c>
      <c r="P918" s="472" t="s">
        <v>524</v>
      </c>
      <c r="Q918" s="472" t="s">
        <v>400</v>
      </c>
      <c r="R918" s="473">
        <v>45684</v>
      </c>
      <c r="S918" s="472"/>
      <c r="T918" s="473">
        <v>45716</v>
      </c>
      <c r="U918" s="474">
        <v>0</v>
      </c>
      <c r="V918" s="475">
        <v>29875</v>
      </c>
      <c r="W918" s="260">
        <v>45689</v>
      </c>
    </row>
    <row r="919" spans="1:23" hidden="1" x14ac:dyDescent="0.35">
      <c r="A919" s="472" t="s">
        <v>526</v>
      </c>
      <c r="B919" s="472" t="s">
        <v>53</v>
      </c>
      <c r="C919" s="472"/>
      <c r="D919" s="472" t="s">
        <v>575</v>
      </c>
      <c r="E919" s="472" t="s">
        <v>576</v>
      </c>
      <c r="F919" s="472" t="s">
        <v>276</v>
      </c>
      <c r="G919" s="472" t="s">
        <v>356</v>
      </c>
      <c r="H919" s="472"/>
      <c r="I919" s="472" t="s">
        <v>277</v>
      </c>
      <c r="J919" s="472" t="s">
        <v>524</v>
      </c>
      <c r="K919" s="472"/>
      <c r="L919" s="472" t="s">
        <v>384</v>
      </c>
      <c r="M919" s="472" t="s">
        <v>285</v>
      </c>
      <c r="N919" s="472"/>
      <c r="O919" s="472" t="s">
        <v>601</v>
      </c>
      <c r="P919" s="472" t="s">
        <v>524</v>
      </c>
      <c r="Q919" s="472" t="s">
        <v>400</v>
      </c>
      <c r="R919" s="473">
        <v>45684</v>
      </c>
      <c r="S919" s="472"/>
      <c r="T919" s="473">
        <v>45716</v>
      </c>
      <c r="U919" s="474">
        <v>0</v>
      </c>
      <c r="V919" s="475">
        <v>50850</v>
      </c>
      <c r="W919" s="260">
        <v>45689</v>
      </c>
    </row>
    <row r="920" spans="1:23" hidden="1" x14ac:dyDescent="0.35">
      <c r="A920" s="472" t="s">
        <v>526</v>
      </c>
      <c r="B920" s="472" t="s">
        <v>53</v>
      </c>
      <c r="C920" s="472"/>
      <c r="D920" s="472" t="s">
        <v>575</v>
      </c>
      <c r="E920" s="472" t="s">
        <v>576</v>
      </c>
      <c r="F920" s="472" t="s">
        <v>276</v>
      </c>
      <c r="G920" s="472" t="s">
        <v>356</v>
      </c>
      <c r="H920" s="472"/>
      <c r="I920" s="472" t="s">
        <v>277</v>
      </c>
      <c r="J920" s="472" t="s">
        <v>524</v>
      </c>
      <c r="K920" s="472"/>
      <c r="L920" s="472" t="s">
        <v>384</v>
      </c>
      <c r="M920" s="472" t="s">
        <v>285</v>
      </c>
      <c r="N920" s="472"/>
      <c r="O920" s="472" t="s">
        <v>399</v>
      </c>
      <c r="P920" s="472" t="s">
        <v>524</v>
      </c>
      <c r="Q920" s="472" t="s">
        <v>400</v>
      </c>
      <c r="R920" s="473">
        <v>45684</v>
      </c>
      <c r="S920" s="472"/>
      <c r="T920" s="473">
        <v>45716</v>
      </c>
      <c r="U920" s="474">
        <v>0</v>
      </c>
      <c r="V920" s="475">
        <v>1500</v>
      </c>
      <c r="W920" s="260">
        <v>45689</v>
      </c>
    </row>
    <row r="921" spans="1:23" hidden="1" x14ac:dyDescent="0.35">
      <c r="A921" s="472" t="s">
        <v>526</v>
      </c>
      <c r="B921" s="472" t="s">
        <v>53</v>
      </c>
      <c r="C921" s="472"/>
      <c r="D921" s="472" t="s">
        <v>575</v>
      </c>
      <c r="E921" s="472" t="s">
        <v>576</v>
      </c>
      <c r="F921" s="472" t="s">
        <v>276</v>
      </c>
      <c r="G921" s="472" t="s">
        <v>356</v>
      </c>
      <c r="H921" s="472"/>
      <c r="I921" s="472" t="s">
        <v>277</v>
      </c>
      <c r="J921" s="472" t="s">
        <v>524</v>
      </c>
      <c r="K921" s="472"/>
      <c r="L921" s="472" t="s">
        <v>384</v>
      </c>
      <c r="M921" s="472" t="s">
        <v>285</v>
      </c>
      <c r="N921" s="472"/>
      <c r="O921" s="472" t="s">
        <v>399</v>
      </c>
      <c r="P921" s="472" t="s">
        <v>524</v>
      </c>
      <c r="Q921" s="472" t="s">
        <v>400</v>
      </c>
      <c r="R921" s="473">
        <v>45684</v>
      </c>
      <c r="S921" s="472"/>
      <c r="T921" s="473">
        <v>45716</v>
      </c>
      <c r="U921" s="474">
        <v>0</v>
      </c>
      <c r="V921" s="475">
        <v>1500</v>
      </c>
      <c r="W921" s="260">
        <v>45689</v>
      </c>
    </row>
    <row r="922" spans="1:23" hidden="1" x14ac:dyDescent="0.35">
      <c r="A922" s="472" t="s">
        <v>526</v>
      </c>
      <c r="B922" s="472" t="s">
        <v>53</v>
      </c>
      <c r="C922" s="472"/>
      <c r="D922" s="472" t="s">
        <v>575</v>
      </c>
      <c r="E922" s="472" t="s">
        <v>576</v>
      </c>
      <c r="F922" s="472" t="s">
        <v>276</v>
      </c>
      <c r="G922" s="472" t="s">
        <v>356</v>
      </c>
      <c r="H922" s="472"/>
      <c r="I922" s="472" t="s">
        <v>277</v>
      </c>
      <c r="J922" s="472" t="s">
        <v>524</v>
      </c>
      <c r="K922" s="472"/>
      <c r="L922" s="472" t="s">
        <v>384</v>
      </c>
      <c r="M922" s="472" t="s">
        <v>285</v>
      </c>
      <c r="N922" s="472" t="s">
        <v>638</v>
      </c>
      <c r="O922" s="472" t="s">
        <v>601</v>
      </c>
      <c r="P922" s="472" t="s">
        <v>524</v>
      </c>
      <c r="Q922" s="472" t="s">
        <v>387</v>
      </c>
      <c r="R922" s="473">
        <v>45691</v>
      </c>
      <c r="S922" s="472" t="s">
        <v>388</v>
      </c>
      <c r="T922" s="473">
        <v>45700</v>
      </c>
      <c r="U922" s="476">
        <v>1</v>
      </c>
      <c r="V922" s="475">
        <v>29875</v>
      </c>
      <c r="W922" s="260">
        <v>45689</v>
      </c>
    </row>
    <row r="923" spans="1:23" hidden="1" x14ac:dyDescent="0.35">
      <c r="A923" s="472" t="s">
        <v>526</v>
      </c>
      <c r="B923" s="472" t="s">
        <v>53</v>
      </c>
      <c r="C923" s="472"/>
      <c r="D923" s="472" t="s">
        <v>575</v>
      </c>
      <c r="E923" s="472" t="s">
        <v>576</v>
      </c>
      <c r="F923" s="472" t="s">
        <v>276</v>
      </c>
      <c r="G923" s="472" t="s">
        <v>356</v>
      </c>
      <c r="H923" s="472"/>
      <c r="I923" s="472" t="s">
        <v>277</v>
      </c>
      <c r="J923" s="472" t="s">
        <v>524</v>
      </c>
      <c r="K923" s="472"/>
      <c r="L923" s="472" t="s">
        <v>384</v>
      </c>
      <c r="M923" s="472" t="s">
        <v>285</v>
      </c>
      <c r="N923" s="472" t="s">
        <v>639</v>
      </c>
      <c r="O923" s="472" t="s">
        <v>601</v>
      </c>
      <c r="P923" s="472" t="s">
        <v>524</v>
      </c>
      <c r="Q923" s="472" t="s">
        <v>387</v>
      </c>
      <c r="R923" s="473">
        <v>45691</v>
      </c>
      <c r="S923" s="472" t="s">
        <v>388</v>
      </c>
      <c r="T923" s="473">
        <v>45700</v>
      </c>
      <c r="U923" s="476">
        <v>1</v>
      </c>
      <c r="V923" s="475">
        <v>18950</v>
      </c>
      <c r="W923" s="260">
        <v>45689</v>
      </c>
    </row>
    <row r="924" spans="1:23" hidden="1" x14ac:dyDescent="0.35">
      <c r="A924" s="580" t="s">
        <v>526</v>
      </c>
      <c r="B924" s="580" t="s">
        <v>159</v>
      </c>
      <c r="C924" s="580" t="s">
        <v>281</v>
      </c>
      <c r="D924" s="580" t="s">
        <v>282</v>
      </c>
      <c r="E924" s="580" t="s">
        <v>283</v>
      </c>
      <c r="F924" s="580" t="s">
        <v>276</v>
      </c>
      <c r="G924" s="580" t="s">
        <v>356</v>
      </c>
      <c r="H924" s="580"/>
      <c r="I924" s="580" t="s">
        <v>277</v>
      </c>
      <c r="J924" s="580" t="s">
        <v>522</v>
      </c>
      <c r="K924" s="580" t="s">
        <v>284</v>
      </c>
      <c r="L924" s="580" t="s">
        <v>529</v>
      </c>
      <c r="M924" s="580" t="s">
        <v>285</v>
      </c>
      <c r="N924" s="580"/>
      <c r="O924" s="580"/>
      <c r="P924" s="580" t="s">
        <v>522</v>
      </c>
      <c r="Q924" s="580"/>
      <c r="R924" s="581">
        <v>45748</v>
      </c>
      <c r="S924" s="580"/>
      <c r="T924" s="581">
        <v>45747</v>
      </c>
      <c r="U924" s="582">
        <v>0</v>
      </c>
      <c r="V924" s="583">
        <v>1047.44</v>
      </c>
      <c r="W924" s="260">
        <v>45717</v>
      </c>
    </row>
    <row r="925" spans="1:23" hidden="1" x14ac:dyDescent="0.35">
      <c r="A925" s="580" t="s">
        <v>526</v>
      </c>
      <c r="B925" s="580" t="s">
        <v>159</v>
      </c>
      <c r="C925" s="580" t="s">
        <v>286</v>
      </c>
      <c r="D925" s="580" t="s">
        <v>287</v>
      </c>
      <c r="E925" s="580" t="s">
        <v>288</v>
      </c>
      <c r="F925" s="580" t="s">
        <v>276</v>
      </c>
      <c r="G925" s="580" t="s">
        <v>356</v>
      </c>
      <c r="H925" s="580"/>
      <c r="I925" s="580" t="s">
        <v>277</v>
      </c>
      <c r="J925" s="580" t="s">
        <v>522</v>
      </c>
      <c r="K925" s="580" t="s">
        <v>289</v>
      </c>
      <c r="L925" s="580" t="s">
        <v>529</v>
      </c>
      <c r="M925" s="580" t="s">
        <v>285</v>
      </c>
      <c r="N925" s="580"/>
      <c r="O925" s="580"/>
      <c r="P925" s="580" t="s">
        <v>522</v>
      </c>
      <c r="Q925" s="580"/>
      <c r="R925" s="581">
        <v>45748</v>
      </c>
      <c r="S925" s="580"/>
      <c r="T925" s="581">
        <v>45747</v>
      </c>
      <c r="U925" s="582">
        <v>0</v>
      </c>
      <c r="V925" s="583">
        <v>2938.08</v>
      </c>
      <c r="W925" s="260">
        <v>45717</v>
      </c>
    </row>
    <row r="926" spans="1:23" hidden="1" x14ac:dyDescent="0.35">
      <c r="A926" s="580" t="s">
        <v>526</v>
      </c>
      <c r="B926" s="580" t="s">
        <v>159</v>
      </c>
      <c r="C926" s="580" t="s">
        <v>281</v>
      </c>
      <c r="D926" s="580" t="s">
        <v>290</v>
      </c>
      <c r="E926" s="580" t="s">
        <v>291</v>
      </c>
      <c r="F926" s="580" t="s">
        <v>276</v>
      </c>
      <c r="G926" s="580" t="s">
        <v>356</v>
      </c>
      <c r="H926" s="580"/>
      <c r="I926" s="580" t="s">
        <v>277</v>
      </c>
      <c r="J926" s="580" t="s">
        <v>522</v>
      </c>
      <c r="K926" s="580" t="s">
        <v>284</v>
      </c>
      <c r="L926" s="580" t="s">
        <v>529</v>
      </c>
      <c r="M926" s="580" t="s">
        <v>285</v>
      </c>
      <c r="N926" s="580"/>
      <c r="O926" s="580"/>
      <c r="P926" s="580" t="s">
        <v>522</v>
      </c>
      <c r="Q926" s="580"/>
      <c r="R926" s="581">
        <v>45748</v>
      </c>
      <c r="S926" s="580"/>
      <c r="T926" s="581">
        <v>45747</v>
      </c>
      <c r="U926" s="582">
        <v>0</v>
      </c>
      <c r="V926" s="583">
        <v>676.9</v>
      </c>
      <c r="W926" s="260">
        <v>45717</v>
      </c>
    </row>
    <row r="927" spans="1:23" hidden="1" x14ac:dyDescent="0.35">
      <c r="A927" s="580" t="s">
        <v>526</v>
      </c>
      <c r="B927" s="580" t="s">
        <v>159</v>
      </c>
      <c r="C927" s="580" t="s">
        <v>281</v>
      </c>
      <c r="D927" s="580" t="s">
        <v>292</v>
      </c>
      <c r="E927" s="580" t="s">
        <v>293</v>
      </c>
      <c r="F927" s="580" t="s">
        <v>276</v>
      </c>
      <c r="G927" s="580" t="s">
        <v>356</v>
      </c>
      <c r="H927" s="580"/>
      <c r="I927" s="580" t="s">
        <v>277</v>
      </c>
      <c r="J927" s="580" t="s">
        <v>522</v>
      </c>
      <c r="K927" s="580" t="s">
        <v>294</v>
      </c>
      <c r="L927" s="580" t="s">
        <v>529</v>
      </c>
      <c r="M927" s="580" t="s">
        <v>285</v>
      </c>
      <c r="N927" s="580"/>
      <c r="O927" s="580"/>
      <c r="P927" s="580" t="s">
        <v>522</v>
      </c>
      <c r="Q927" s="580"/>
      <c r="R927" s="581">
        <v>45748</v>
      </c>
      <c r="S927" s="580"/>
      <c r="T927" s="581">
        <v>45747</v>
      </c>
      <c r="U927" s="582">
        <v>0</v>
      </c>
      <c r="V927" s="583">
        <v>748.38</v>
      </c>
      <c r="W927" s="260">
        <v>45717</v>
      </c>
    </row>
    <row r="928" spans="1:23" hidden="1" x14ac:dyDescent="0.35">
      <c r="A928" s="580" t="s">
        <v>526</v>
      </c>
      <c r="B928" s="580" t="s">
        <v>159</v>
      </c>
      <c r="C928" s="580" t="s">
        <v>286</v>
      </c>
      <c r="D928" s="580" t="s">
        <v>295</v>
      </c>
      <c r="E928" s="580" t="s">
        <v>296</v>
      </c>
      <c r="F928" s="580" t="s">
        <v>276</v>
      </c>
      <c r="G928" s="580" t="s">
        <v>356</v>
      </c>
      <c r="H928" s="580"/>
      <c r="I928" s="580" t="s">
        <v>277</v>
      </c>
      <c r="J928" s="580" t="s">
        <v>522</v>
      </c>
      <c r="K928" s="580" t="s">
        <v>297</v>
      </c>
      <c r="L928" s="580" t="s">
        <v>529</v>
      </c>
      <c r="M928" s="580" t="s">
        <v>285</v>
      </c>
      <c r="N928" s="580"/>
      <c r="O928" s="580"/>
      <c r="P928" s="580" t="s">
        <v>522</v>
      </c>
      <c r="Q928" s="580"/>
      <c r="R928" s="581">
        <v>45748</v>
      </c>
      <c r="S928" s="580"/>
      <c r="T928" s="581">
        <v>45747</v>
      </c>
      <c r="U928" s="582">
        <v>0</v>
      </c>
      <c r="V928" s="583">
        <v>1601.79</v>
      </c>
      <c r="W928" s="260">
        <v>45717</v>
      </c>
    </row>
    <row r="929" spans="1:24" hidden="1" x14ac:dyDescent="0.35">
      <c r="A929" s="580" t="s">
        <v>526</v>
      </c>
      <c r="B929" s="580" t="s">
        <v>159</v>
      </c>
      <c r="C929" s="580" t="s">
        <v>542</v>
      </c>
      <c r="D929" s="580" t="s">
        <v>543</v>
      </c>
      <c r="E929" s="580" t="s">
        <v>544</v>
      </c>
      <c r="F929" s="580" t="s">
        <v>276</v>
      </c>
      <c r="G929" s="580" t="s">
        <v>356</v>
      </c>
      <c r="H929" s="580"/>
      <c r="I929" s="580" t="s">
        <v>277</v>
      </c>
      <c r="J929" s="580" t="s">
        <v>522</v>
      </c>
      <c r="K929" s="580" t="s">
        <v>545</v>
      </c>
      <c r="L929" s="580" t="s">
        <v>529</v>
      </c>
      <c r="M929" s="580" t="s">
        <v>285</v>
      </c>
      <c r="N929" s="580"/>
      <c r="O929" s="580"/>
      <c r="P929" s="580" t="s">
        <v>522</v>
      </c>
      <c r="Q929" s="580"/>
      <c r="R929" s="581">
        <v>45748</v>
      </c>
      <c r="S929" s="580"/>
      <c r="T929" s="581">
        <v>45747</v>
      </c>
      <c r="U929" s="582">
        <v>0</v>
      </c>
      <c r="V929" s="583">
        <v>11.96</v>
      </c>
      <c r="W929" s="260">
        <v>45717</v>
      </c>
    </row>
    <row r="930" spans="1:24" hidden="1" x14ac:dyDescent="0.35">
      <c r="A930" s="580" t="s">
        <v>526</v>
      </c>
      <c r="B930" s="580" t="s">
        <v>159</v>
      </c>
      <c r="C930" s="580" t="s">
        <v>546</v>
      </c>
      <c r="D930" s="580" t="s">
        <v>547</v>
      </c>
      <c r="E930" s="580" t="s">
        <v>548</v>
      </c>
      <c r="F930" s="580" t="s">
        <v>276</v>
      </c>
      <c r="G930" s="580" t="s">
        <v>356</v>
      </c>
      <c r="H930" s="580"/>
      <c r="I930" s="580" t="s">
        <v>277</v>
      </c>
      <c r="J930" s="580" t="s">
        <v>522</v>
      </c>
      <c r="K930" s="580" t="s">
        <v>549</v>
      </c>
      <c r="L930" s="580" t="s">
        <v>529</v>
      </c>
      <c r="M930" s="580" t="s">
        <v>285</v>
      </c>
      <c r="N930" s="580"/>
      <c r="O930" s="580"/>
      <c r="P930" s="580" t="s">
        <v>522</v>
      </c>
      <c r="Q930" s="580"/>
      <c r="R930" s="581">
        <v>45748</v>
      </c>
      <c r="S930" s="580"/>
      <c r="T930" s="581">
        <v>45747</v>
      </c>
      <c r="U930" s="582">
        <v>0</v>
      </c>
      <c r="V930" s="583">
        <v>33.54</v>
      </c>
      <c r="W930" s="260">
        <v>45717</v>
      </c>
    </row>
    <row r="931" spans="1:24" hidden="1" x14ac:dyDescent="0.35">
      <c r="A931" s="580" t="s">
        <v>526</v>
      </c>
      <c r="B931" s="580" t="s">
        <v>159</v>
      </c>
      <c r="C931" s="580" t="s">
        <v>542</v>
      </c>
      <c r="D931" s="580" t="s">
        <v>550</v>
      </c>
      <c r="E931" s="580" t="s">
        <v>551</v>
      </c>
      <c r="F931" s="580" t="s">
        <v>276</v>
      </c>
      <c r="G931" s="580" t="s">
        <v>356</v>
      </c>
      <c r="H931" s="580"/>
      <c r="I931" s="580" t="s">
        <v>277</v>
      </c>
      <c r="J931" s="580" t="s">
        <v>522</v>
      </c>
      <c r="K931" s="580" t="s">
        <v>545</v>
      </c>
      <c r="L931" s="580" t="s">
        <v>529</v>
      </c>
      <c r="M931" s="580" t="s">
        <v>285</v>
      </c>
      <c r="N931" s="580"/>
      <c r="O931" s="580"/>
      <c r="P931" s="580" t="s">
        <v>522</v>
      </c>
      <c r="Q931" s="580"/>
      <c r="R931" s="581">
        <v>45748</v>
      </c>
      <c r="S931" s="580"/>
      <c r="T931" s="581">
        <v>45747</v>
      </c>
      <c r="U931" s="582">
        <v>0</v>
      </c>
      <c r="V931" s="583">
        <v>7.73</v>
      </c>
      <c r="W931" s="260">
        <v>45717</v>
      </c>
    </row>
    <row r="932" spans="1:24" hidden="1" x14ac:dyDescent="0.35">
      <c r="A932" s="580" t="s">
        <v>526</v>
      </c>
      <c r="B932" s="580" t="s">
        <v>159</v>
      </c>
      <c r="C932" s="580" t="s">
        <v>542</v>
      </c>
      <c r="D932" s="580" t="s">
        <v>552</v>
      </c>
      <c r="E932" s="580" t="s">
        <v>553</v>
      </c>
      <c r="F932" s="580" t="s">
        <v>276</v>
      </c>
      <c r="G932" s="580" t="s">
        <v>356</v>
      </c>
      <c r="H932" s="580"/>
      <c r="I932" s="580" t="s">
        <v>277</v>
      </c>
      <c r="J932" s="580" t="s">
        <v>522</v>
      </c>
      <c r="K932" s="580" t="s">
        <v>554</v>
      </c>
      <c r="L932" s="580" t="s">
        <v>529</v>
      </c>
      <c r="M932" s="580" t="s">
        <v>285</v>
      </c>
      <c r="N932" s="580"/>
      <c r="O932" s="580"/>
      <c r="P932" s="580" t="s">
        <v>522</v>
      </c>
      <c r="Q932" s="580"/>
      <c r="R932" s="581">
        <v>45748</v>
      </c>
      <c r="S932" s="580"/>
      <c r="T932" s="581">
        <v>45747</v>
      </c>
      <c r="U932" s="582">
        <v>0</v>
      </c>
      <c r="V932" s="583">
        <v>8.5399999999999991</v>
      </c>
      <c r="W932" s="260">
        <v>45717</v>
      </c>
    </row>
    <row r="933" spans="1:24" hidden="1" x14ac:dyDescent="0.35">
      <c r="A933" s="580" t="s">
        <v>526</v>
      </c>
      <c r="B933" s="580" t="s">
        <v>159</v>
      </c>
      <c r="C933" s="580" t="s">
        <v>546</v>
      </c>
      <c r="D933" s="580" t="s">
        <v>555</v>
      </c>
      <c r="E933" s="580" t="s">
        <v>556</v>
      </c>
      <c r="F933" s="580" t="s">
        <v>276</v>
      </c>
      <c r="G933" s="580" t="s">
        <v>356</v>
      </c>
      <c r="H933" s="580"/>
      <c r="I933" s="580" t="s">
        <v>277</v>
      </c>
      <c r="J933" s="580" t="s">
        <v>522</v>
      </c>
      <c r="K933" s="580" t="s">
        <v>557</v>
      </c>
      <c r="L933" s="580" t="s">
        <v>529</v>
      </c>
      <c r="M933" s="580" t="s">
        <v>285</v>
      </c>
      <c r="N933" s="580"/>
      <c r="O933" s="580"/>
      <c r="P933" s="580" t="s">
        <v>522</v>
      </c>
      <c r="Q933" s="580"/>
      <c r="R933" s="581">
        <v>45748</v>
      </c>
      <c r="S933" s="580"/>
      <c r="T933" s="581">
        <v>45747</v>
      </c>
      <c r="U933" s="582">
        <v>0</v>
      </c>
      <c r="V933" s="583">
        <v>18.28</v>
      </c>
      <c r="W933" s="260">
        <v>45717</v>
      </c>
    </row>
    <row r="934" spans="1:24" hidden="1" x14ac:dyDescent="0.35">
      <c r="A934" s="580" t="s">
        <v>526</v>
      </c>
      <c r="B934" s="580" t="s">
        <v>159</v>
      </c>
      <c r="C934" s="580" t="s">
        <v>281</v>
      </c>
      <c r="D934" s="580" t="s">
        <v>340</v>
      </c>
      <c r="E934" s="580" t="s">
        <v>283</v>
      </c>
      <c r="F934" s="580" t="s">
        <v>276</v>
      </c>
      <c r="G934" s="580" t="s">
        <v>356</v>
      </c>
      <c r="H934" s="580"/>
      <c r="I934" s="580" t="s">
        <v>277</v>
      </c>
      <c r="J934" s="580" t="s">
        <v>522</v>
      </c>
      <c r="K934" s="580" t="s">
        <v>284</v>
      </c>
      <c r="L934" s="580" t="s">
        <v>529</v>
      </c>
      <c r="M934" s="580" t="s">
        <v>285</v>
      </c>
      <c r="N934" s="580"/>
      <c r="O934" s="580"/>
      <c r="P934" s="580" t="s">
        <v>522</v>
      </c>
      <c r="Q934" s="580"/>
      <c r="R934" s="581">
        <v>45748</v>
      </c>
      <c r="S934" s="580"/>
      <c r="T934" s="581">
        <v>45747</v>
      </c>
      <c r="U934" s="582">
        <v>0</v>
      </c>
      <c r="V934" s="583">
        <v>26.4</v>
      </c>
      <c r="W934" s="260">
        <v>45717</v>
      </c>
    </row>
    <row r="935" spans="1:24" hidden="1" x14ac:dyDescent="0.35">
      <c r="A935" s="580" t="s">
        <v>526</v>
      </c>
      <c r="B935" s="580" t="s">
        <v>159</v>
      </c>
      <c r="C935" s="580" t="s">
        <v>286</v>
      </c>
      <c r="D935" s="580" t="s">
        <v>341</v>
      </c>
      <c r="E935" s="580" t="s">
        <v>288</v>
      </c>
      <c r="F935" s="580" t="s">
        <v>276</v>
      </c>
      <c r="G935" s="580" t="s">
        <v>356</v>
      </c>
      <c r="H935" s="580"/>
      <c r="I935" s="580" t="s">
        <v>277</v>
      </c>
      <c r="J935" s="580" t="s">
        <v>522</v>
      </c>
      <c r="K935" s="580" t="s">
        <v>289</v>
      </c>
      <c r="L935" s="580" t="s">
        <v>529</v>
      </c>
      <c r="M935" s="580" t="s">
        <v>285</v>
      </c>
      <c r="N935" s="580"/>
      <c r="O935" s="580"/>
      <c r="P935" s="580" t="s">
        <v>522</v>
      </c>
      <c r="Q935" s="580"/>
      <c r="R935" s="581">
        <v>45748</v>
      </c>
      <c r="S935" s="580"/>
      <c r="T935" s="581">
        <v>45747</v>
      </c>
      <c r="U935" s="582">
        <v>0</v>
      </c>
      <c r="V935" s="583">
        <v>-481.71</v>
      </c>
      <c r="W935" s="260">
        <v>45717</v>
      </c>
    </row>
    <row r="936" spans="1:24" hidden="1" x14ac:dyDescent="0.35">
      <c r="A936" s="580" t="s">
        <v>526</v>
      </c>
      <c r="B936" s="580" t="s">
        <v>159</v>
      </c>
      <c r="C936" s="580" t="s">
        <v>281</v>
      </c>
      <c r="D936" s="580" t="s">
        <v>342</v>
      </c>
      <c r="E936" s="580" t="s">
        <v>291</v>
      </c>
      <c r="F936" s="580" t="s">
        <v>276</v>
      </c>
      <c r="G936" s="580" t="s">
        <v>356</v>
      </c>
      <c r="H936" s="580"/>
      <c r="I936" s="580" t="s">
        <v>277</v>
      </c>
      <c r="J936" s="580" t="s">
        <v>522</v>
      </c>
      <c r="K936" s="580" t="s">
        <v>284</v>
      </c>
      <c r="L936" s="580" t="s">
        <v>529</v>
      </c>
      <c r="M936" s="580" t="s">
        <v>285</v>
      </c>
      <c r="N936" s="580"/>
      <c r="O936" s="580"/>
      <c r="P936" s="580" t="s">
        <v>522</v>
      </c>
      <c r="Q936" s="580"/>
      <c r="R936" s="581">
        <v>45748</v>
      </c>
      <c r="S936" s="580"/>
      <c r="T936" s="581">
        <v>45747</v>
      </c>
      <c r="U936" s="582">
        <v>0</v>
      </c>
      <c r="V936" s="583">
        <v>684.94</v>
      </c>
      <c r="W936" s="260">
        <v>45717</v>
      </c>
    </row>
    <row r="937" spans="1:24" hidden="1" x14ac:dyDescent="0.35">
      <c r="A937" s="580" t="s">
        <v>526</v>
      </c>
      <c r="B937" s="580" t="s">
        <v>159</v>
      </c>
      <c r="C937" s="580" t="s">
        <v>281</v>
      </c>
      <c r="D937" s="580" t="s">
        <v>343</v>
      </c>
      <c r="E937" s="580" t="s">
        <v>293</v>
      </c>
      <c r="F937" s="580" t="s">
        <v>276</v>
      </c>
      <c r="G937" s="580" t="s">
        <v>356</v>
      </c>
      <c r="H937" s="580"/>
      <c r="I937" s="580" t="s">
        <v>277</v>
      </c>
      <c r="J937" s="580" t="s">
        <v>522</v>
      </c>
      <c r="K937" s="580" t="s">
        <v>294</v>
      </c>
      <c r="L937" s="580" t="s">
        <v>529</v>
      </c>
      <c r="M937" s="580" t="s">
        <v>285</v>
      </c>
      <c r="N937" s="580"/>
      <c r="O937" s="580"/>
      <c r="P937" s="580" t="s">
        <v>522</v>
      </c>
      <c r="Q937" s="580"/>
      <c r="R937" s="581">
        <v>45748</v>
      </c>
      <c r="S937" s="580"/>
      <c r="T937" s="581">
        <v>45747</v>
      </c>
      <c r="U937" s="582">
        <v>0</v>
      </c>
      <c r="V937" s="583">
        <v>-139.72999999999999</v>
      </c>
      <c r="W937" s="260">
        <v>45717</v>
      </c>
    </row>
    <row r="938" spans="1:24" hidden="1" x14ac:dyDescent="0.35">
      <c r="A938" s="580" t="s">
        <v>526</v>
      </c>
      <c r="B938" s="580" t="s">
        <v>159</v>
      </c>
      <c r="C938" s="580" t="s">
        <v>286</v>
      </c>
      <c r="D938" s="580" t="s">
        <v>344</v>
      </c>
      <c r="E938" s="580" t="s">
        <v>296</v>
      </c>
      <c r="F938" s="580" t="s">
        <v>276</v>
      </c>
      <c r="G938" s="580" t="s">
        <v>356</v>
      </c>
      <c r="H938" s="580"/>
      <c r="I938" s="580" t="s">
        <v>277</v>
      </c>
      <c r="J938" s="580" t="s">
        <v>522</v>
      </c>
      <c r="K938" s="580" t="s">
        <v>297</v>
      </c>
      <c r="L938" s="580" t="s">
        <v>529</v>
      </c>
      <c r="M938" s="580" t="s">
        <v>285</v>
      </c>
      <c r="N938" s="580"/>
      <c r="O938" s="580"/>
      <c r="P938" s="580" t="s">
        <v>522</v>
      </c>
      <c r="Q938" s="580"/>
      <c r="R938" s="581">
        <v>45748</v>
      </c>
      <c r="S938" s="580"/>
      <c r="T938" s="581">
        <v>45747</v>
      </c>
      <c r="U938" s="582">
        <v>0</v>
      </c>
      <c r="V938" s="583">
        <v>-206.81</v>
      </c>
      <c r="W938" s="260">
        <v>45717</v>
      </c>
    </row>
    <row r="939" spans="1:24" hidden="1" x14ac:dyDescent="0.35">
      <c r="A939" s="580" t="s">
        <v>526</v>
      </c>
      <c r="B939" s="580" t="s">
        <v>159</v>
      </c>
      <c r="C939" s="580" t="s">
        <v>542</v>
      </c>
      <c r="D939" s="580" t="s">
        <v>560</v>
      </c>
      <c r="E939" s="580" t="s">
        <v>544</v>
      </c>
      <c r="F939" s="580" t="s">
        <v>276</v>
      </c>
      <c r="G939" s="580" t="s">
        <v>356</v>
      </c>
      <c r="H939" s="580"/>
      <c r="I939" s="580" t="s">
        <v>277</v>
      </c>
      <c r="J939" s="580" t="s">
        <v>522</v>
      </c>
      <c r="K939" s="580" t="s">
        <v>545</v>
      </c>
      <c r="L939" s="580" t="s">
        <v>529</v>
      </c>
      <c r="M939" s="580" t="s">
        <v>285</v>
      </c>
      <c r="N939" s="580"/>
      <c r="O939" s="580"/>
      <c r="P939" s="580" t="s">
        <v>522</v>
      </c>
      <c r="Q939" s="580"/>
      <c r="R939" s="581">
        <v>45748</v>
      </c>
      <c r="S939" s="580"/>
      <c r="T939" s="581">
        <v>45747</v>
      </c>
      <c r="U939" s="582">
        <v>0</v>
      </c>
      <c r="V939" s="583">
        <v>-1.69</v>
      </c>
      <c r="W939" s="260">
        <v>45717</v>
      </c>
    </row>
    <row r="940" spans="1:24" hidden="1" x14ac:dyDescent="0.35">
      <c r="A940" s="580" t="s">
        <v>526</v>
      </c>
      <c r="B940" s="580" t="s">
        <v>159</v>
      </c>
      <c r="C940" s="580" t="s">
        <v>546</v>
      </c>
      <c r="D940" s="580" t="s">
        <v>561</v>
      </c>
      <c r="E940" s="580" t="s">
        <v>548</v>
      </c>
      <c r="F940" s="580" t="s">
        <v>276</v>
      </c>
      <c r="G940" s="580" t="s">
        <v>356</v>
      </c>
      <c r="H940" s="580"/>
      <c r="I940" s="580" t="s">
        <v>277</v>
      </c>
      <c r="J940" s="580" t="s">
        <v>522</v>
      </c>
      <c r="K940" s="580" t="s">
        <v>549</v>
      </c>
      <c r="L940" s="580" t="s">
        <v>529</v>
      </c>
      <c r="M940" s="580" t="s">
        <v>285</v>
      </c>
      <c r="N940" s="580"/>
      <c r="O940" s="580"/>
      <c r="P940" s="580" t="s">
        <v>522</v>
      </c>
      <c r="Q940" s="580"/>
      <c r="R940" s="581">
        <v>45748</v>
      </c>
      <c r="S940" s="580"/>
      <c r="T940" s="581">
        <v>45747</v>
      </c>
      <c r="U940" s="582">
        <v>0</v>
      </c>
      <c r="V940" s="583">
        <v>-8.52</v>
      </c>
      <c r="W940" s="260">
        <v>45717</v>
      </c>
    </row>
    <row r="941" spans="1:24" hidden="1" x14ac:dyDescent="0.35">
      <c r="A941" s="580" t="s">
        <v>526</v>
      </c>
      <c r="B941" s="580" t="s">
        <v>159</v>
      </c>
      <c r="C941" s="580" t="s">
        <v>542</v>
      </c>
      <c r="D941" s="580" t="s">
        <v>562</v>
      </c>
      <c r="E941" s="580" t="s">
        <v>551</v>
      </c>
      <c r="F941" s="580" t="s">
        <v>276</v>
      </c>
      <c r="G941" s="580" t="s">
        <v>356</v>
      </c>
      <c r="H941" s="580"/>
      <c r="I941" s="580" t="s">
        <v>277</v>
      </c>
      <c r="J941" s="580" t="s">
        <v>522</v>
      </c>
      <c r="K941" s="580" t="s">
        <v>545</v>
      </c>
      <c r="L941" s="580" t="s">
        <v>529</v>
      </c>
      <c r="M941" s="580" t="s">
        <v>285</v>
      </c>
      <c r="N941" s="580"/>
      <c r="O941" s="580"/>
      <c r="P941" s="580" t="s">
        <v>522</v>
      </c>
      <c r="Q941" s="580"/>
      <c r="R941" s="581">
        <v>45748</v>
      </c>
      <c r="S941" s="580"/>
      <c r="T941" s="581">
        <v>45747</v>
      </c>
      <c r="U941" s="582">
        <v>0</v>
      </c>
      <c r="V941" s="583">
        <v>6.01</v>
      </c>
      <c r="W941" s="260">
        <v>45717</v>
      </c>
    </row>
    <row r="942" spans="1:24" hidden="1" x14ac:dyDescent="0.35">
      <c r="A942" s="580" t="s">
        <v>526</v>
      </c>
      <c r="B942" s="580" t="s">
        <v>159</v>
      </c>
      <c r="C942" s="580" t="s">
        <v>542</v>
      </c>
      <c r="D942" s="580" t="s">
        <v>563</v>
      </c>
      <c r="E942" s="580" t="s">
        <v>553</v>
      </c>
      <c r="F942" s="580" t="s">
        <v>276</v>
      </c>
      <c r="G942" s="580" t="s">
        <v>356</v>
      </c>
      <c r="H942" s="580"/>
      <c r="I942" s="580" t="s">
        <v>277</v>
      </c>
      <c r="J942" s="580" t="s">
        <v>522</v>
      </c>
      <c r="K942" s="580" t="s">
        <v>554</v>
      </c>
      <c r="L942" s="580" t="s">
        <v>529</v>
      </c>
      <c r="M942" s="580" t="s">
        <v>285</v>
      </c>
      <c r="N942" s="580"/>
      <c r="O942" s="580"/>
      <c r="P942" s="580" t="s">
        <v>522</v>
      </c>
      <c r="Q942" s="580"/>
      <c r="R942" s="581">
        <v>45748</v>
      </c>
      <c r="S942" s="580"/>
      <c r="T942" s="581">
        <v>45747</v>
      </c>
      <c r="U942" s="582">
        <v>0</v>
      </c>
      <c r="V942" s="583">
        <v>-2.7</v>
      </c>
      <c r="W942" s="260">
        <v>45717</v>
      </c>
    </row>
    <row r="943" spans="1:24" hidden="1" x14ac:dyDescent="0.35">
      <c r="A943" s="580" t="s">
        <v>526</v>
      </c>
      <c r="B943" s="580" t="s">
        <v>159</v>
      </c>
      <c r="C943" s="580" t="s">
        <v>546</v>
      </c>
      <c r="D943" s="580" t="s">
        <v>564</v>
      </c>
      <c r="E943" s="580" t="s">
        <v>556</v>
      </c>
      <c r="F943" s="580" t="s">
        <v>276</v>
      </c>
      <c r="G943" s="580" t="s">
        <v>356</v>
      </c>
      <c r="H943" s="580"/>
      <c r="I943" s="580" t="s">
        <v>277</v>
      </c>
      <c r="J943" s="580" t="s">
        <v>522</v>
      </c>
      <c r="K943" s="580" t="s">
        <v>557</v>
      </c>
      <c r="L943" s="580" t="s">
        <v>529</v>
      </c>
      <c r="M943" s="580" t="s">
        <v>285</v>
      </c>
      <c r="N943" s="580"/>
      <c r="O943" s="580"/>
      <c r="P943" s="580" t="s">
        <v>522</v>
      </c>
      <c r="Q943" s="580"/>
      <c r="R943" s="581">
        <v>45748</v>
      </c>
      <c r="S943" s="580"/>
      <c r="T943" s="581">
        <v>45747</v>
      </c>
      <c r="U943" s="582">
        <v>0</v>
      </c>
      <c r="V943" s="583">
        <v>-4.49</v>
      </c>
      <c r="W943" s="260">
        <v>45717</v>
      </c>
    </row>
    <row r="944" spans="1:24" hidden="1" x14ac:dyDescent="0.35">
      <c r="A944" s="580" t="s">
        <v>526</v>
      </c>
      <c r="B944" s="580" t="s">
        <v>159</v>
      </c>
      <c r="C944" s="580" t="s">
        <v>655</v>
      </c>
      <c r="D944" s="580" t="s">
        <v>656</v>
      </c>
      <c r="E944" s="580" t="s">
        <v>657</v>
      </c>
      <c r="F944" s="580" t="s">
        <v>276</v>
      </c>
      <c r="G944" s="580" t="s">
        <v>356</v>
      </c>
      <c r="H944" s="580" t="s">
        <v>567</v>
      </c>
      <c r="I944" s="580" t="s">
        <v>277</v>
      </c>
      <c r="J944" s="580" t="s">
        <v>522</v>
      </c>
      <c r="K944" s="580" t="s">
        <v>658</v>
      </c>
      <c r="L944" s="580" t="s">
        <v>529</v>
      </c>
      <c r="M944" s="580" t="s">
        <v>568</v>
      </c>
      <c r="N944" s="580"/>
      <c r="O944" s="580"/>
      <c r="P944" s="580" t="s">
        <v>522</v>
      </c>
      <c r="Q944" s="580"/>
      <c r="R944" s="581">
        <v>45736</v>
      </c>
      <c r="S944" s="580" t="s">
        <v>278</v>
      </c>
      <c r="T944" s="581">
        <v>45740</v>
      </c>
      <c r="U944" s="582">
        <v>1</v>
      </c>
      <c r="V944" s="583">
        <v>74.38</v>
      </c>
      <c r="W944" s="260">
        <v>45717</v>
      </c>
      <c r="X944" s="845"/>
    </row>
    <row r="945" spans="1:24" hidden="1" x14ac:dyDescent="0.35">
      <c r="A945" s="580" t="s">
        <v>526</v>
      </c>
      <c r="B945" s="580" t="s">
        <v>159</v>
      </c>
      <c r="C945" s="580" t="s">
        <v>655</v>
      </c>
      <c r="D945" s="580" t="s">
        <v>656</v>
      </c>
      <c r="E945" s="580" t="s">
        <v>657</v>
      </c>
      <c r="F945" s="580" t="s">
        <v>276</v>
      </c>
      <c r="G945" s="580" t="s">
        <v>356</v>
      </c>
      <c r="H945" s="580" t="s">
        <v>567</v>
      </c>
      <c r="I945" s="580" t="s">
        <v>277</v>
      </c>
      <c r="J945" s="580" t="s">
        <v>522</v>
      </c>
      <c r="K945" s="580" t="s">
        <v>658</v>
      </c>
      <c r="L945" s="580" t="s">
        <v>529</v>
      </c>
      <c r="M945" s="580" t="s">
        <v>568</v>
      </c>
      <c r="N945" s="580"/>
      <c r="O945" s="580"/>
      <c r="P945" s="580" t="s">
        <v>522</v>
      </c>
      <c r="Q945" s="580"/>
      <c r="R945" s="581">
        <v>45737</v>
      </c>
      <c r="S945" s="580" t="s">
        <v>278</v>
      </c>
      <c r="T945" s="581">
        <v>45740</v>
      </c>
      <c r="U945" s="582">
        <v>1</v>
      </c>
      <c r="V945" s="583">
        <v>74.38</v>
      </c>
      <c r="W945" s="260">
        <v>45717</v>
      </c>
      <c r="X945" s="845"/>
    </row>
    <row r="946" spans="1:24" hidden="1" x14ac:dyDescent="0.35">
      <c r="A946" s="580" t="s">
        <v>526</v>
      </c>
      <c r="B946" s="580" t="s">
        <v>159</v>
      </c>
      <c r="C946" s="580" t="s">
        <v>655</v>
      </c>
      <c r="D946" s="580" t="s">
        <v>656</v>
      </c>
      <c r="E946" s="580" t="s">
        <v>657</v>
      </c>
      <c r="F946" s="580" t="s">
        <v>276</v>
      </c>
      <c r="G946" s="580" t="s">
        <v>356</v>
      </c>
      <c r="H946" s="580" t="s">
        <v>565</v>
      </c>
      <c r="I946" s="580" t="s">
        <v>277</v>
      </c>
      <c r="J946" s="580" t="s">
        <v>522</v>
      </c>
      <c r="K946" s="580" t="s">
        <v>658</v>
      </c>
      <c r="L946" s="580" t="s">
        <v>529</v>
      </c>
      <c r="M946" s="580" t="s">
        <v>566</v>
      </c>
      <c r="N946" s="580"/>
      <c r="O946" s="580"/>
      <c r="P946" s="580" t="s">
        <v>522</v>
      </c>
      <c r="Q946" s="580"/>
      <c r="R946" s="581">
        <v>45736</v>
      </c>
      <c r="S946" s="580" t="s">
        <v>278</v>
      </c>
      <c r="T946" s="581">
        <v>45740</v>
      </c>
      <c r="U946" s="582">
        <v>2</v>
      </c>
      <c r="V946" s="583">
        <v>148.76</v>
      </c>
      <c r="W946" s="260">
        <v>45717</v>
      </c>
      <c r="X946" s="845"/>
    </row>
    <row r="947" spans="1:24" hidden="1" x14ac:dyDescent="0.35">
      <c r="A947" s="580" t="s">
        <v>526</v>
      </c>
      <c r="B947" s="580" t="s">
        <v>159</v>
      </c>
      <c r="C947" s="580" t="s">
        <v>655</v>
      </c>
      <c r="D947" s="580" t="s">
        <v>656</v>
      </c>
      <c r="E947" s="580" t="s">
        <v>657</v>
      </c>
      <c r="F947" s="580" t="s">
        <v>276</v>
      </c>
      <c r="G947" s="580" t="s">
        <v>356</v>
      </c>
      <c r="H947" s="580" t="s">
        <v>565</v>
      </c>
      <c r="I947" s="580" t="s">
        <v>277</v>
      </c>
      <c r="J947" s="580" t="s">
        <v>522</v>
      </c>
      <c r="K947" s="580" t="s">
        <v>658</v>
      </c>
      <c r="L947" s="580" t="s">
        <v>529</v>
      </c>
      <c r="M947" s="580" t="s">
        <v>566</v>
      </c>
      <c r="N947" s="580"/>
      <c r="O947" s="580"/>
      <c r="P947" s="580" t="s">
        <v>522</v>
      </c>
      <c r="Q947" s="580"/>
      <c r="R947" s="581">
        <v>45737</v>
      </c>
      <c r="S947" s="580" t="s">
        <v>278</v>
      </c>
      <c r="T947" s="581">
        <v>45740</v>
      </c>
      <c r="U947" s="582">
        <v>1</v>
      </c>
      <c r="V947" s="583">
        <v>74.38</v>
      </c>
      <c r="W947" s="260">
        <v>45717</v>
      </c>
      <c r="X947" s="845"/>
    </row>
    <row r="948" spans="1:24" hidden="1" x14ac:dyDescent="0.35">
      <c r="A948" s="580" t="s">
        <v>526</v>
      </c>
      <c r="B948" s="580" t="s">
        <v>159</v>
      </c>
      <c r="C948" s="580" t="s">
        <v>655</v>
      </c>
      <c r="D948" s="580" t="s">
        <v>656</v>
      </c>
      <c r="E948" s="580" t="s">
        <v>657</v>
      </c>
      <c r="F948" s="580" t="s">
        <v>276</v>
      </c>
      <c r="G948" s="580" t="s">
        <v>356</v>
      </c>
      <c r="H948" s="580" t="s">
        <v>567</v>
      </c>
      <c r="I948" s="580" t="s">
        <v>277</v>
      </c>
      <c r="J948" s="580" t="s">
        <v>522</v>
      </c>
      <c r="K948" s="580" t="s">
        <v>658</v>
      </c>
      <c r="L948" s="580" t="s">
        <v>529</v>
      </c>
      <c r="M948" s="580" t="s">
        <v>568</v>
      </c>
      <c r="N948" s="580"/>
      <c r="O948" s="580"/>
      <c r="P948" s="580" t="s">
        <v>522</v>
      </c>
      <c r="Q948" s="580"/>
      <c r="R948" s="581">
        <v>45741</v>
      </c>
      <c r="S948" s="580" t="s">
        <v>278</v>
      </c>
      <c r="T948" s="581">
        <v>45744</v>
      </c>
      <c r="U948" s="582">
        <v>1</v>
      </c>
      <c r="V948" s="583">
        <v>74.38</v>
      </c>
      <c r="W948" s="260">
        <v>45717</v>
      </c>
      <c r="X948" s="845"/>
    </row>
    <row r="949" spans="1:24" hidden="1" x14ac:dyDescent="0.35">
      <c r="A949" s="580" t="s">
        <v>526</v>
      </c>
      <c r="B949" s="580" t="s">
        <v>159</v>
      </c>
      <c r="C949" s="580" t="s">
        <v>655</v>
      </c>
      <c r="D949" s="580" t="s">
        <v>656</v>
      </c>
      <c r="E949" s="580" t="s">
        <v>657</v>
      </c>
      <c r="F949" s="580" t="s">
        <v>276</v>
      </c>
      <c r="G949" s="580" t="s">
        <v>356</v>
      </c>
      <c r="H949" s="580" t="s">
        <v>565</v>
      </c>
      <c r="I949" s="580" t="s">
        <v>277</v>
      </c>
      <c r="J949" s="580" t="s">
        <v>522</v>
      </c>
      <c r="K949" s="580" t="s">
        <v>658</v>
      </c>
      <c r="L949" s="580" t="s">
        <v>529</v>
      </c>
      <c r="M949" s="580" t="s">
        <v>566</v>
      </c>
      <c r="N949" s="580"/>
      <c r="O949" s="580"/>
      <c r="P949" s="580" t="s">
        <v>522</v>
      </c>
      <c r="Q949" s="580"/>
      <c r="R949" s="581">
        <v>45741</v>
      </c>
      <c r="S949" s="580" t="s">
        <v>278</v>
      </c>
      <c r="T949" s="581">
        <v>45744</v>
      </c>
      <c r="U949" s="582">
        <v>1</v>
      </c>
      <c r="V949" s="583">
        <v>74.38</v>
      </c>
      <c r="W949" s="260">
        <v>45717</v>
      </c>
      <c r="X949" s="845"/>
    </row>
    <row r="950" spans="1:24" hidden="1" x14ac:dyDescent="0.35">
      <c r="A950" s="580" t="s">
        <v>526</v>
      </c>
      <c r="B950" s="580" t="s">
        <v>159</v>
      </c>
      <c r="C950" s="580" t="s">
        <v>569</v>
      </c>
      <c r="D950" s="580" t="s">
        <v>570</v>
      </c>
      <c r="E950" s="580" t="s">
        <v>571</v>
      </c>
      <c r="F950" s="580" t="s">
        <v>276</v>
      </c>
      <c r="G950" s="580" t="s">
        <v>356</v>
      </c>
      <c r="H950" s="580" t="s">
        <v>582</v>
      </c>
      <c r="I950" s="580" t="s">
        <v>277</v>
      </c>
      <c r="J950" s="580" t="s">
        <v>522</v>
      </c>
      <c r="K950" s="580" t="s">
        <v>573</v>
      </c>
      <c r="L950" s="580" t="s">
        <v>529</v>
      </c>
      <c r="M950" s="580" t="s">
        <v>583</v>
      </c>
      <c r="N950" s="580"/>
      <c r="O950" s="580"/>
      <c r="P950" s="580" t="s">
        <v>522</v>
      </c>
      <c r="Q950" s="580"/>
      <c r="R950" s="581">
        <v>45734</v>
      </c>
      <c r="S950" s="580" t="s">
        <v>278</v>
      </c>
      <c r="T950" s="581">
        <v>45737</v>
      </c>
      <c r="U950" s="582">
        <v>2</v>
      </c>
      <c r="V950" s="583">
        <v>166.52</v>
      </c>
      <c r="W950" s="260">
        <v>45717</v>
      </c>
      <c r="X950" s="845"/>
    </row>
    <row r="951" spans="1:24" hidden="1" x14ac:dyDescent="0.35">
      <c r="A951" s="580" t="s">
        <v>526</v>
      </c>
      <c r="B951" s="580" t="s">
        <v>159</v>
      </c>
      <c r="C951" s="580" t="s">
        <v>584</v>
      </c>
      <c r="D951" s="580" t="s">
        <v>585</v>
      </c>
      <c r="E951" s="580" t="s">
        <v>586</v>
      </c>
      <c r="F951" s="580" t="s">
        <v>276</v>
      </c>
      <c r="G951" s="580" t="s">
        <v>356</v>
      </c>
      <c r="H951" s="580" t="s">
        <v>533</v>
      </c>
      <c r="I951" s="580" t="s">
        <v>277</v>
      </c>
      <c r="J951" s="580" t="s">
        <v>522</v>
      </c>
      <c r="K951" s="580" t="s">
        <v>587</v>
      </c>
      <c r="L951" s="580" t="s">
        <v>529</v>
      </c>
      <c r="M951" s="580" t="s">
        <v>535</v>
      </c>
      <c r="N951" s="580"/>
      <c r="O951" s="580"/>
      <c r="P951" s="580" t="s">
        <v>522</v>
      </c>
      <c r="Q951" s="580"/>
      <c r="R951" s="581">
        <v>45714</v>
      </c>
      <c r="S951" s="580" t="s">
        <v>278</v>
      </c>
      <c r="T951" s="581">
        <v>45721</v>
      </c>
      <c r="U951" s="582">
        <v>4</v>
      </c>
      <c r="V951" s="583">
        <v>493.6</v>
      </c>
      <c r="W951" s="260">
        <v>45717</v>
      </c>
      <c r="X951" s="845"/>
    </row>
    <row r="952" spans="1:24" hidden="1" x14ac:dyDescent="0.35">
      <c r="A952" s="580" t="s">
        <v>526</v>
      </c>
      <c r="B952" s="580" t="s">
        <v>159</v>
      </c>
      <c r="C952" s="580" t="s">
        <v>584</v>
      </c>
      <c r="D952" s="580" t="s">
        <v>585</v>
      </c>
      <c r="E952" s="580" t="s">
        <v>586</v>
      </c>
      <c r="F952" s="580" t="s">
        <v>276</v>
      </c>
      <c r="G952" s="580" t="s">
        <v>356</v>
      </c>
      <c r="H952" s="580" t="s">
        <v>533</v>
      </c>
      <c r="I952" s="580" t="s">
        <v>277</v>
      </c>
      <c r="J952" s="580" t="s">
        <v>522</v>
      </c>
      <c r="K952" s="580" t="s">
        <v>587</v>
      </c>
      <c r="L952" s="580" t="s">
        <v>529</v>
      </c>
      <c r="M952" s="580" t="s">
        <v>535</v>
      </c>
      <c r="N952" s="580"/>
      <c r="O952" s="580"/>
      <c r="P952" s="580" t="s">
        <v>522</v>
      </c>
      <c r="Q952" s="580"/>
      <c r="R952" s="581">
        <v>45713</v>
      </c>
      <c r="S952" s="580" t="s">
        <v>278</v>
      </c>
      <c r="T952" s="581">
        <v>45721</v>
      </c>
      <c r="U952" s="582">
        <v>6</v>
      </c>
      <c r="V952" s="583">
        <v>740.4</v>
      </c>
      <c r="W952" s="260">
        <v>45717</v>
      </c>
      <c r="X952" s="845"/>
    </row>
    <row r="953" spans="1:24" hidden="1" x14ac:dyDescent="0.35">
      <c r="A953" s="580" t="s">
        <v>526</v>
      </c>
      <c r="B953" s="580" t="s">
        <v>159</v>
      </c>
      <c r="C953" s="580" t="s">
        <v>584</v>
      </c>
      <c r="D953" s="580" t="s">
        <v>585</v>
      </c>
      <c r="E953" s="580" t="s">
        <v>586</v>
      </c>
      <c r="F953" s="580" t="s">
        <v>276</v>
      </c>
      <c r="G953" s="580" t="s">
        <v>356</v>
      </c>
      <c r="H953" s="580" t="s">
        <v>533</v>
      </c>
      <c r="I953" s="580" t="s">
        <v>277</v>
      </c>
      <c r="J953" s="580" t="s">
        <v>522</v>
      </c>
      <c r="K953" s="580" t="s">
        <v>587</v>
      </c>
      <c r="L953" s="580" t="s">
        <v>529</v>
      </c>
      <c r="M953" s="580" t="s">
        <v>535</v>
      </c>
      <c r="N953" s="580"/>
      <c r="O953" s="580"/>
      <c r="P953" s="580" t="s">
        <v>522</v>
      </c>
      <c r="Q953" s="580"/>
      <c r="R953" s="581">
        <v>45712</v>
      </c>
      <c r="S953" s="580" t="s">
        <v>278</v>
      </c>
      <c r="T953" s="581">
        <v>45721</v>
      </c>
      <c r="U953" s="582">
        <v>7</v>
      </c>
      <c r="V953" s="583">
        <v>863.8</v>
      </c>
      <c r="W953" s="260">
        <v>45717</v>
      </c>
      <c r="X953" s="845"/>
    </row>
    <row r="954" spans="1:24" hidden="1" x14ac:dyDescent="0.35">
      <c r="A954" s="580" t="s">
        <v>526</v>
      </c>
      <c r="B954" s="580" t="s">
        <v>159</v>
      </c>
      <c r="C954" s="580" t="s">
        <v>584</v>
      </c>
      <c r="D954" s="580" t="s">
        <v>585</v>
      </c>
      <c r="E954" s="580" t="s">
        <v>586</v>
      </c>
      <c r="F954" s="580" t="s">
        <v>276</v>
      </c>
      <c r="G954" s="580" t="s">
        <v>356</v>
      </c>
      <c r="H954" s="580" t="s">
        <v>533</v>
      </c>
      <c r="I954" s="580" t="s">
        <v>277</v>
      </c>
      <c r="J954" s="580" t="s">
        <v>522</v>
      </c>
      <c r="K954" s="580" t="s">
        <v>587</v>
      </c>
      <c r="L954" s="580" t="s">
        <v>529</v>
      </c>
      <c r="M954" s="580" t="s">
        <v>535</v>
      </c>
      <c r="N954" s="580"/>
      <c r="O954" s="580"/>
      <c r="P954" s="580" t="s">
        <v>522</v>
      </c>
      <c r="Q954" s="580"/>
      <c r="R954" s="581">
        <v>45720</v>
      </c>
      <c r="S954" s="580" t="s">
        <v>278</v>
      </c>
      <c r="T954" s="581">
        <v>45727</v>
      </c>
      <c r="U954" s="582">
        <v>5</v>
      </c>
      <c r="V954" s="583">
        <v>617</v>
      </c>
      <c r="W954" s="260">
        <v>45717</v>
      </c>
      <c r="X954" s="845"/>
    </row>
    <row r="955" spans="1:24" hidden="1" x14ac:dyDescent="0.35">
      <c r="A955" s="580" t="s">
        <v>526</v>
      </c>
      <c r="B955" s="580" t="s">
        <v>159</v>
      </c>
      <c r="C955" s="580" t="s">
        <v>584</v>
      </c>
      <c r="D955" s="580" t="s">
        <v>585</v>
      </c>
      <c r="E955" s="580" t="s">
        <v>586</v>
      </c>
      <c r="F955" s="580" t="s">
        <v>276</v>
      </c>
      <c r="G955" s="580" t="s">
        <v>356</v>
      </c>
      <c r="H955" s="580" t="s">
        <v>533</v>
      </c>
      <c r="I955" s="580" t="s">
        <v>277</v>
      </c>
      <c r="J955" s="580" t="s">
        <v>522</v>
      </c>
      <c r="K955" s="580" t="s">
        <v>587</v>
      </c>
      <c r="L955" s="580" t="s">
        <v>529</v>
      </c>
      <c r="M955" s="580" t="s">
        <v>535</v>
      </c>
      <c r="N955" s="580"/>
      <c r="O955" s="580"/>
      <c r="P955" s="580" t="s">
        <v>522</v>
      </c>
      <c r="Q955" s="580"/>
      <c r="R955" s="581">
        <v>45723</v>
      </c>
      <c r="S955" s="580" t="s">
        <v>278</v>
      </c>
      <c r="T955" s="581">
        <v>45727</v>
      </c>
      <c r="U955" s="582">
        <v>1</v>
      </c>
      <c r="V955" s="583">
        <v>123.4</v>
      </c>
      <c r="W955" s="260">
        <v>45717</v>
      </c>
      <c r="X955" s="845"/>
    </row>
    <row r="956" spans="1:24" hidden="1" x14ac:dyDescent="0.35">
      <c r="A956" s="580" t="s">
        <v>526</v>
      </c>
      <c r="B956" s="580" t="s">
        <v>159</v>
      </c>
      <c r="C956" s="580" t="s">
        <v>584</v>
      </c>
      <c r="D956" s="580" t="s">
        <v>585</v>
      </c>
      <c r="E956" s="580" t="s">
        <v>586</v>
      </c>
      <c r="F956" s="580" t="s">
        <v>276</v>
      </c>
      <c r="G956" s="580" t="s">
        <v>356</v>
      </c>
      <c r="H956" s="580" t="s">
        <v>533</v>
      </c>
      <c r="I956" s="580" t="s">
        <v>277</v>
      </c>
      <c r="J956" s="580" t="s">
        <v>522</v>
      </c>
      <c r="K956" s="580" t="s">
        <v>587</v>
      </c>
      <c r="L956" s="580" t="s">
        <v>529</v>
      </c>
      <c r="M956" s="580" t="s">
        <v>535</v>
      </c>
      <c r="N956" s="580"/>
      <c r="O956" s="580"/>
      <c r="P956" s="580" t="s">
        <v>522</v>
      </c>
      <c r="Q956" s="580"/>
      <c r="R956" s="581">
        <v>45722</v>
      </c>
      <c r="S956" s="580" t="s">
        <v>278</v>
      </c>
      <c r="T956" s="581">
        <v>45727</v>
      </c>
      <c r="U956" s="582">
        <v>5</v>
      </c>
      <c r="V956" s="583">
        <v>617</v>
      </c>
      <c r="W956" s="260">
        <v>45717</v>
      </c>
      <c r="X956" s="845"/>
    </row>
    <row r="957" spans="1:24" hidden="1" x14ac:dyDescent="0.35">
      <c r="A957" s="580" t="s">
        <v>526</v>
      </c>
      <c r="B957" s="580" t="s">
        <v>159</v>
      </c>
      <c r="C957" s="580" t="s">
        <v>584</v>
      </c>
      <c r="D957" s="580" t="s">
        <v>585</v>
      </c>
      <c r="E957" s="580" t="s">
        <v>586</v>
      </c>
      <c r="F957" s="580" t="s">
        <v>276</v>
      </c>
      <c r="G957" s="580" t="s">
        <v>356</v>
      </c>
      <c r="H957" s="580" t="s">
        <v>533</v>
      </c>
      <c r="I957" s="580" t="s">
        <v>277</v>
      </c>
      <c r="J957" s="580" t="s">
        <v>522</v>
      </c>
      <c r="K957" s="580" t="s">
        <v>587</v>
      </c>
      <c r="L957" s="580" t="s">
        <v>529</v>
      </c>
      <c r="M957" s="580" t="s">
        <v>535</v>
      </c>
      <c r="N957" s="580"/>
      <c r="O957" s="580"/>
      <c r="P957" s="580" t="s">
        <v>522</v>
      </c>
      <c r="Q957" s="580"/>
      <c r="R957" s="581">
        <v>45721</v>
      </c>
      <c r="S957" s="580" t="s">
        <v>278</v>
      </c>
      <c r="T957" s="581">
        <v>45727</v>
      </c>
      <c r="U957" s="582">
        <v>4</v>
      </c>
      <c r="V957" s="583">
        <v>493.6</v>
      </c>
      <c r="W957" s="260">
        <v>45717</v>
      </c>
      <c r="X957" s="845"/>
    </row>
    <row r="958" spans="1:24" hidden="1" x14ac:dyDescent="0.35">
      <c r="A958" s="580" t="s">
        <v>526</v>
      </c>
      <c r="B958" s="580" t="s">
        <v>159</v>
      </c>
      <c r="C958" s="580" t="s">
        <v>584</v>
      </c>
      <c r="D958" s="580" t="s">
        <v>585</v>
      </c>
      <c r="E958" s="580" t="s">
        <v>586</v>
      </c>
      <c r="F958" s="580" t="s">
        <v>276</v>
      </c>
      <c r="G958" s="580" t="s">
        <v>356</v>
      </c>
      <c r="H958" s="580" t="s">
        <v>533</v>
      </c>
      <c r="I958" s="580" t="s">
        <v>277</v>
      </c>
      <c r="J958" s="580" t="s">
        <v>522</v>
      </c>
      <c r="K958" s="580" t="s">
        <v>587</v>
      </c>
      <c r="L958" s="580" t="s">
        <v>529</v>
      </c>
      <c r="M958" s="580" t="s">
        <v>535</v>
      </c>
      <c r="N958" s="580"/>
      <c r="O958" s="580"/>
      <c r="P958" s="580" t="s">
        <v>522</v>
      </c>
      <c r="Q958" s="580"/>
      <c r="R958" s="581">
        <v>45716</v>
      </c>
      <c r="S958" s="580" t="s">
        <v>278</v>
      </c>
      <c r="T958" s="581">
        <v>45721</v>
      </c>
      <c r="U958" s="582">
        <v>7</v>
      </c>
      <c r="V958" s="583">
        <v>863.8</v>
      </c>
      <c r="W958" s="260">
        <v>45717</v>
      </c>
      <c r="X958" s="845"/>
    </row>
    <row r="959" spans="1:24" hidden="1" x14ac:dyDescent="0.35">
      <c r="A959" s="580" t="s">
        <v>526</v>
      </c>
      <c r="B959" s="580" t="s">
        <v>159</v>
      </c>
      <c r="C959" s="580" t="s">
        <v>584</v>
      </c>
      <c r="D959" s="580" t="s">
        <v>585</v>
      </c>
      <c r="E959" s="580" t="s">
        <v>586</v>
      </c>
      <c r="F959" s="580" t="s">
        <v>276</v>
      </c>
      <c r="G959" s="580" t="s">
        <v>356</v>
      </c>
      <c r="H959" s="580" t="s">
        <v>533</v>
      </c>
      <c r="I959" s="580" t="s">
        <v>277</v>
      </c>
      <c r="J959" s="580" t="s">
        <v>522</v>
      </c>
      <c r="K959" s="580" t="s">
        <v>587</v>
      </c>
      <c r="L959" s="580" t="s">
        <v>529</v>
      </c>
      <c r="M959" s="580" t="s">
        <v>535</v>
      </c>
      <c r="N959" s="580"/>
      <c r="O959" s="580"/>
      <c r="P959" s="580" t="s">
        <v>522</v>
      </c>
      <c r="Q959" s="580"/>
      <c r="R959" s="581">
        <v>45715</v>
      </c>
      <c r="S959" s="580" t="s">
        <v>278</v>
      </c>
      <c r="T959" s="581">
        <v>45721</v>
      </c>
      <c r="U959" s="582">
        <v>1</v>
      </c>
      <c r="V959" s="583">
        <v>123.4</v>
      </c>
      <c r="W959" s="260">
        <v>45717</v>
      </c>
      <c r="X959" s="845"/>
    </row>
    <row r="960" spans="1:24" hidden="1" x14ac:dyDescent="0.35">
      <c r="A960" s="580" t="s">
        <v>526</v>
      </c>
      <c r="B960" s="580" t="s">
        <v>159</v>
      </c>
      <c r="C960" s="580" t="s">
        <v>584</v>
      </c>
      <c r="D960" s="580" t="s">
        <v>585</v>
      </c>
      <c r="E960" s="580" t="s">
        <v>586</v>
      </c>
      <c r="F960" s="580" t="s">
        <v>276</v>
      </c>
      <c r="G960" s="580" t="s">
        <v>356</v>
      </c>
      <c r="H960" s="580" t="s">
        <v>533</v>
      </c>
      <c r="I960" s="580" t="s">
        <v>277</v>
      </c>
      <c r="J960" s="580" t="s">
        <v>522</v>
      </c>
      <c r="K960" s="580" t="s">
        <v>587</v>
      </c>
      <c r="L960" s="580" t="s">
        <v>529</v>
      </c>
      <c r="M960" s="580" t="s">
        <v>535</v>
      </c>
      <c r="N960" s="580"/>
      <c r="O960" s="580"/>
      <c r="P960" s="580" t="s">
        <v>522</v>
      </c>
      <c r="Q960" s="580"/>
      <c r="R960" s="581">
        <v>45719</v>
      </c>
      <c r="S960" s="580" t="s">
        <v>278</v>
      </c>
      <c r="T960" s="581">
        <v>45727</v>
      </c>
      <c r="U960" s="582">
        <v>6</v>
      </c>
      <c r="V960" s="583">
        <v>740.4</v>
      </c>
      <c r="W960" s="260">
        <v>45717</v>
      </c>
      <c r="X960" s="845"/>
    </row>
    <row r="961" spans="1:24" hidden="1" x14ac:dyDescent="0.35">
      <c r="A961" s="580" t="s">
        <v>526</v>
      </c>
      <c r="B961" s="580" t="s">
        <v>159</v>
      </c>
      <c r="C961" s="580" t="s">
        <v>584</v>
      </c>
      <c r="D961" s="580" t="s">
        <v>585</v>
      </c>
      <c r="E961" s="580" t="s">
        <v>586</v>
      </c>
      <c r="F961" s="580" t="s">
        <v>276</v>
      </c>
      <c r="G961" s="580" t="s">
        <v>356</v>
      </c>
      <c r="H961" s="580" t="s">
        <v>533</v>
      </c>
      <c r="I961" s="580" t="s">
        <v>277</v>
      </c>
      <c r="J961" s="580" t="s">
        <v>522</v>
      </c>
      <c r="K961" s="580" t="s">
        <v>587</v>
      </c>
      <c r="L961" s="580" t="s">
        <v>529</v>
      </c>
      <c r="M961" s="580" t="s">
        <v>535</v>
      </c>
      <c r="N961" s="580"/>
      <c r="O961" s="580"/>
      <c r="P961" s="580" t="s">
        <v>522</v>
      </c>
      <c r="Q961" s="580"/>
      <c r="R961" s="581">
        <v>45737</v>
      </c>
      <c r="S961" s="580" t="s">
        <v>278</v>
      </c>
      <c r="T961" s="581">
        <v>45740</v>
      </c>
      <c r="U961" s="582">
        <v>4</v>
      </c>
      <c r="V961" s="583">
        <v>493.6</v>
      </c>
      <c r="W961" s="260">
        <v>45717</v>
      </c>
      <c r="X961" s="845"/>
    </row>
    <row r="962" spans="1:24" hidden="1" x14ac:dyDescent="0.35">
      <c r="A962" s="580" t="s">
        <v>526</v>
      </c>
      <c r="B962" s="580" t="s">
        <v>159</v>
      </c>
      <c r="C962" s="580" t="s">
        <v>584</v>
      </c>
      <c r="D962" s="580" t="s">
        <v>585</v>
      </c>
      <c r="E962" s="580" t="s">
        <v>586</v>
      </c>
      <c r="F962" s="580" t="s">
        <v>276</v>
      </c>
      <c r="G962" s="580" t="s">
        <v>356</v>
      </c>
      <c r="H962" s="580" t="s">
        <v>533</v>
      </c>
      <c r="I962" s="580" t="s">
        <v>277</v>
      </c>
      <c r="J962" s="580" t="s">
        <v>522</v>
      </c>
      <c r="K962" s="580" t="s">
        <v>587</v>
      </c>
      <c r="L962" s="580" t="s">
        <v>529</v>
      </c>
      <c r="M962" s="580" t="s">
        <v>535</v>
      </c>
      <c r="N962" s="580"/>
      <c r="O962" s="580"/>
      <c r="P962" s="580" t="s">
        <v>522</v>
      </c>
      <c r="Q962" s="580"/>
      <c r="R962" s="581">
        <v>45734</v>
      </c>
      <c r="S962" s="580" t="s">
        <v>278</v>
      </c>
      <c r="T962" s="581">
        <v>45740</v>
      </c>
      <c r="U962" s="582">
        <v>3</v>
      </c>
      <c r="V962" s="583">
        <v>370.2</v>
      </c>
      <c r="W962" s="260">
        <v>45717</v>
      </c>
      <c r="X962" s="845"/>
    </row>
    <row r="963" spans="1:24" hidden="1" x14ac:dyDescent="0.35">
      <c r="A963" s="580" t="s">
        <v>526</v>
      </c>
      <c r="B963" s="580" t="s">
        <v>159</v>
      </c>
      <c r="C963" s="580" t="s">
        <v>584</v>
      </c>
      <c r="D963" s="580" t="s">
        <v>585</v>
      </c>
      <c r="E963" s="580" t="s">
        <v>586</v>
      </c>
      <c r="F963" s="580" t="s">
        <v>276</v>
      </c>
      <c r="G963" s="580" t="s">
        <v>356</v>
      </c>
      <c r="H963" s="580" t="s">
        <v>533</v>
      </c>
      <c r="I963" s="580" t="s">
        <v>277</v>
      </c>
      <c r="J963" s="580" t="s">
        <v>522</v>
      </c>
      <c r="K963" s="580" t="s">
        <v>587</v>
      </c>
      <c r="L963" s="580" t="s">
        <v>529</v>
      </c>
      <c r="M963" s="580" t="s">
        <v>535</v>
      </c>
      <c r="N963" s="580"/>
      <c r="O963" s="580"/>
      <c r="P963" s="580" t="s">
        <v>522</v>
      </c>
      <c r="Q963" s="580"/>
      <c r="R963" s="581">
        <v>45733</v>
      </c>
      <c r="S963" s="580" t="s">
        <v>278</v>
      </c>
      <c r="T963" s="581">
        <v>45740</v>
      </c>
      <c r="U963" s="582">
        <v>3</v>
      </c>
      <c r="V963" s="583">
        <v>370.2</v>
      </c>
      <c r="W963" s="260">
        <v>45717</v>
      </c>
      <c r="X963" s="845"/>
    </row>
    <row r="964" spans="1:24" hidden="1" x14ac:dyDescent="0.35">
      <c r="A964" s="580" t="s">
        <v>526</v>
      </c>
      <c r="B964" s="580" t="s">
        <v>159</v>
      </c>
      <c r="C964" s="580" t="s">
        <v>584</v>
      </c>
      <c r="D964" s="580" t="s">
        <v>585</v>
      </c>
      <c r="E964" s="580" t="s">
        <v>586</v>
      </c>
      <c r="F964" s="580" t="s">
        <v>276</v>
      </c>
      <c r="G964" s="580" t="s">
        <v>356</v>
      </c>
      <c r="H964" s="580" t="s">
        <v>533</v>
      </c>
      <c r="I964" s="580" t="s">
        <v>277</v>
      </c>
      <c r="J964" s="580" t="s">
        <v>522</v>
      </c>
      <c r="K964" s="580" t="s">
        <v>587</v>
      </c>
      <c r="L964" s="580" t="s">
        <v>529</v>
      </c>
      <c r="M964" s="580" t="s">
        <v>535</v>
      </c>
      <c r="N964" s="580"/>
      <c r="O964" s="580"/>
      <c r="P964" s="580" t="s">
        <v>522</v>
      </c>
      <c r="Q964" s="580"/>
      <c r="R964" s="581">
        <v>45735</v>
      </c>
      <c r="S964" s="580" t="s">
        <v>278</v>
      </c>
      <c r="T964" s="581">
        <v>45740</v>
      </c>
      <c r="U964" s="582">
        <v>4</v>
      </c>
      <c r="V964" s="583">
        <v>493.6</v>
      </c>
      <c r="W964" s="260">
        <v>45717</v>
      </c>
      <c r="X964" s="845"/>
    </row>
    <row r="965" spans="1:24" hidden="1" x14ac:dyDescent="0.35">
      <c r="A965" s="580" t="s">
        <v>526</v>
      </c>
      <c r="B965" s="580" t="s">
        <v>159</v>
      </c>
      <c r="C965" s="580" t="s">
        <v>584</v>
      </c>
      <c r="D965" s="580" t="s">
        <v>585</v>
      </c>
      <c r="E965" s="580" t="s">
        <v>586</v>
      </c>
      <c r="F965" s="580" t="s">
        <v>276</v>
      </c>
      <c r="G965" s="580" t="s">
        <v>356</v>
      </c>
      <c r="H965" s="580" t="s">
        <v>533</v>
      </c>
      <c r="I965" s="580" t="s">
        <v>277</v>
      </c>
      <c r="J965" s="580" t="s">
        <v>522</v>
      </c>
      <c r="K965" s="580" t="s">
        <v>587</v>
      </c>
      <c r="L965" s="580" t="s">
        <v>529</v>
      </c>
      <c r="M965" s="580" t="s">
        <v>535</v>
      </c>
      <c r="N965" s="580"/>
      <c r="O965" s="580"/>
      <c r="P965" s="580" t="s">
        <v>522</v>
      </c>
      <c r="Q965" s="580"/>
      <c r="R965" s="581">
        <v>45736</v>
      </c>
      <c r="S965" s="580" t="s">
        <v>278</v>
      </c>
      <c r="T965" s="581">
        <v>45740</v>
      </c>
      <c r="U965" s="582">
        <v>5</v>
      </c>
      <c r="V965" s="583">
        <v>617</v>
      </c>
      <c r="W965" s="260">
        <v>45717</v>
      </c>
      <c r="X965" s="845"/>
    </row>
    <row r="966" spans="1:24" hidden="1" x14ac:dyDescent="0.35">
      <c r="A966" s="580" t="s">
        <v>526</v>
      </c>
      <c r="B966" s="580" t="s">
        <v>159</v>
      </c>
      <c r="C966" s="580" t="s">
        <v>584</v>
      </c>
      <c r="D966" s="580" t="s">
        <v>585</v>
      </c>
      <c r="E966" s="580" t="s">
        <v>586</v>
      </c>
      <c r="F966" s="580" t="s">
        <v>276</v>
      </c>
      <c r="G966" s="580" t="s">
        <v>356</v>
      </c>
      <c r="H966" s="580" t="s">
        <v>533</v>
      </c>
      <c r="I966" s="580" t="s">
        <v>277</v>
      </c>
      <c r="J966" s="580" t="s">
        <v>522</v>
      </c>
      <c r="K966" s="580" t="s">
        <v>587</v>
      </c>
      <c r="L966" s="580" t="s">
        <v>529</v>
      </c>
      <c r="M966" s="580" t="s">
        <v>535</v>
      </c>
      <c r="N966" s="580"/>
      <c r="O966" s="580"/>
      <c r="P966" s="580" t="s">
        <v>522</v>
      </c>
      <c r="Q966" s="580"/>
      <c r="R966" s="581">
        <v>45728</v>
      </c>
      <c r="S966" s="580" t="s">
        <v>278</v>
      </c>
      <c r="T966" s="581">
        <v>45733</v>
      </c>
      <c r="U966" s="582">
        <v>6</v>
      </c>
      <c r="V966" s="583">
        <v>740.4</v>
      </c>
      <c r="W966" s="260">
        <v>45717</v>
      </c>
      <c r="X966" s="845"/>
    </row>
    <row r="967" spans="1:24" hidden="1" x14ac:dyDescent="0.35">
      <c r="A967" s="580" t="s">
        <v>526</v>
      </c>
      <c r="B967" s="580" t="s">
        <v>159</v>
      </c>
      <c r="C967" s="580" t="s">
        <v>584</v>
      </c>
      <c r="D967" s="580" t="s">
        <v>585</v>
      </c>
      <c r="E967" s="580" t="s">
        <v>586</v>
      </c>
      <c r="F967" s="580" t="s">
        <v>276</v>
      </c>
      <c r="G967" s="580" t="s">
        <v>356</v>
      </c>
      <c r="H967" s="580" t="s">
        <v>533</v>
      </c>
      <c r="I967" s="580" t="s">
        <v>277</v>
      </c>
      <c r="J967" s="580" t="s">
        <v>522</v>
      </c>
      <c r="K967" s="580" t="s">
        <v>587</v>
      </c>
      <c r="L967" s="580" t="s">
        <v>529</v>
      </c>
      <c r="M967" s="580" t="s">
        <v>535</v>
      </c>
      <c r="N967" s="580"/>
      <c r="O967" s="580"/>
      <c r="P967" s="580" t="s">
        <v>522</v>
      </c>
      <c r="Q967" s="580"/>
      <c r="R967" s="581">
        <v>45727</v>
      </c>
      <c r="S967" s="580" t="s">
        <v>278</v>
      </c>
      <c r="T967" s="581">
        <v>45733</v>
      </c>
      <c r="U967" s="582">
        <v>6</v>
      </c>
      <c r="V967" s="583">
        <v>740.4</v>
      </c>
      <c r="W967" s="260">
        <v>45717</v>
      </c>
      <c r="X967" s="845"/>
    </row>
    <row r="968" spans="1:24" hidden="1" x14ac:dyDescent="0.35">
      <c r="A968" s="580" t="s">
        <v>526</v>
      </c>
      <c r="B968" s="580" t="s">
        <v>159</v>
      </c>
      <c r="C968" s="580" t="s">
        <v>584</v>
      </c>
      <c r="D968" s="580" t="s">
        <v>585</v>
      </c>
      <c r="E968" s="580" t="s">
        <v>586</v>
      </c>
      <c r="F968" s="580" t="s">
        <v>276</v>
      </c>
      <c r="G968" s="580" t="s">
        <v>356</v>
      </c>
      <c r="H968" s="580" t="s">
        <v>533</v>
      </c>
      <c r="I968" s="580" t="s">
        <v>277</v>
      </c>
      <c r="J968" s="580" t="s">
        <v>522</v>
      </c>
      <c r="K968" s="580" t="s">
        <v>587</v>
      </c>
      <c r="L968" s="580" t="s">
        <v>529</v>
      </c>
      <c r="M968" s="580" t="s">
        <v>535</v>
      </c>
      <c r="N968" s="580"/>
      <c r="O968" s="580"/>
      <c r="P968" s="580" t="s">
        <v>522</v>
      </c>
      <c r="Q968" s="580"/>
      <c r="R968" s="581">
        <v>45743</v>
      </c>
      <c r="S968" s="580" t="s">
        <v>278</v>
      </c>
      <c r="T968" s="581">
        <v>45744</v>
      </c>
      <c r="U968" s="582">
        <v>6</v>
      </c>
      <c r="V968" s="583">
        <v>740.4</v>
      </c>
      <c r="W968" s="260">
        <v>45717</v>
      </c>
      <c r="X968" s="845"/>
    </row>
    <row r="969" spans="1:24" hidden="1" x14ac:dyDescent="0.35">
      <c r="A969" s="580" t="s">
        <v>526</v>
      </c>
      <c r="B969" s="580" t="s">
        <v>159</v>
      </c>
      <c r="C969" s="580" t="s">
        <v>584</v>
      </c>
      <c r="D969" s="580" t="s">
        <v>585</v>
      </c>
      <c r="E969" s="580" t="s">
        <v>586</v>
      </c>
      <c r="F969" s="580" t="s">
        <v>276</v>
      </c>
      <c r="G969" s="580" t="s">
        <v>356</v>
      </c>
      <c r="H969" s="580" t="s">
        <v>533</v>
      </c>
      <c r="I969" s="580" t="s">
        <v>277</v>
      </c>
      <c r="J969" s="580" t="s">
        <v>522</v>
      </c>
      <c r="K969" s="580" t="s">
        <v>587</v>
      </c>
      <c r="L969" s="580" t="s">
        <v>529</v>
      </c>
      <c r="M969" s="580" t="s">
        <v>535</v>
      </c>
      <c r="N969" s="580"/>
      <c r="O969" s="580"/>
      <c r="P969" s="580" t="s">
        <v>522</v>
      </c>
      <c r="Q969" s="580"/>
      <c r="R969" s="581">
        <v>45742</v>
      </c>
      <c r="S969" s="580" t="s">
        <v>278</v>
      </c>
      <c r="T969" s="581">
        <v>45744</v>
      </c>
      <c r="U969" s="582">
        <v>5</v>
      </c>
      <c r="V969" s="583">
        <v>617</v>
      </c>
      <c r="W969" s="260">
        <v>45717</v>
      </c>
      <c r="X969" s="845"/>
    </row>
    <row r="970" spans="1:24" hidden="1" x14ac:dyDescent="0.35">
      <c r="A970" s="580" t="s">
        <v>526</v>
      </c>
      <c r="B970" s="580" t="s">
        <v>159</v>
      </c>
      <c r="C970" s="580" t="s">
        <v>584</v>
      </c>
      <c r="D970" s="580" t="s">
        <v>585</v>
      </c>
      <c r="E970" s="580" t="s">
        <v>586</v>
      </c>
      <c r="F970" s="580" t="s">
        <v>276</v>
      </c>
      <c r="G970" s="580" t="s">
        <v>356</v>
      </c>
      <c r="H970" s="580" t="s">
        <v>533</v>
      </c>
      <c r="I970" s="580" t="s">
        <v>277</v>
      </c>
      <c r="J970" s="580" t="s">
        <v>522</v>
      </c>
      <c r="K970" s="580" t="s">
        <v>587</v>
      </c>
      <c r="L970" s="580" t="s">
        <v>529</v>
      </c>
      <c r="M970" s="580" t="s">
        <v>535</v>
      </c>
      <c r="N970" s="580"/>
      <c r="O970" s="580"/>
      <c r="P970" s="580" t="s">
        <v>522</v>
      </c>
      <c r="Q970" s="580"/>
      <c r="R970" s="581">
        <v>45741</v>
      </c>
      <c r="S970" s="580" t="s">
        <v>278</v>
      </c>
      <c r="T970" s="581">
        <v>45744</v>
      </c>
      <c r="U970" s="582">
        <v>6</v>
      </c>
      <c r="V970" s="583">
        <v>740.4</v>
      </c>
      <c r="W970" s="260">
        <v>45717</v>
      </c>
      <c r="X970" s="845"/>
    </row>
    <row r="971" spans="1:24" hidden="1" x14ac:dyDescent="0.35">
      <c r="A971" s="580" t="s">
        <v>526</v>
      </c>
      <c r="B971" s="580" t="s">
        <v>159</v>
      </c>
      <c r="C971" s="580" t="s">
        <v>584</v>
      </c>
      <c r="D971" s="580" t="s">
        <v>585</v>
      </c>
      <c r="E971" s="580" t="s">
        <v>586</v>
      </c>
      <c r="F971" s="580" t="s">
        <v>276</v>
      </c>
      <c r="G971" s="580" t="s">
        <v>356</v>
      </c>
      <c r="H971" s="580" t="s">
        <v>533</v>
      </c>
      <c r="I971" s="580" t="s">
        <v>277</v>
      </c>
      <c r="J971" s="580" t="s">
        <v>522</v>
      </c>
      <c r="K971" s="580" t="s">
        <v>587</v>
      </c>
      <c r="L971" s="580" t="s">
        <v>529</v>
      </c>
      <c r="M971" s="580" t="s">
        <v>535</v>
      </c>
      <c r="N971" s="580"/>
      <c r="O971" s="580"/>
      <c r="P971" s="580" t="s">
        <v>522</v>
      </c>
      <c r="Q971" s="580"/>
      <c r="R971" s="581">
        <v>45740</v>
      </c>
      <c r="S971" s="580" t="s">
        <v>278</v>
      </c>
      <c r="T971" s="581">
        <v>45744</v>
      </c>
      <c r="U971" s="582">
        <v>7</v>
      </c>
      <c r="V971" s="583">
        <v>863.8</v>
      </c>
      <c r="W971" s="260">
        <v>45717</v>
      </c>
      <c r="X971" s="845"/>
    </row>
    <row r="972" spans="1:24" hidden="1" x14ac:dyDescent="0.35">
      <c r="A972" s="580" t="s">
        <v>526</v>
      </c>
      <c r="B972" s="580" t="s">
        <v>159</v>
      </c>
      <c r="C972" s="580" t="s">
        <v>584</v>
      </c>
      <c r="D972" s="580" t="s">
        <v>585</v>
      </c>
      <c r="E972" s="580" t="s">
        <v>586</v>
      </c>
      <c r="F972" s="580" t="s">
        <v>276</v>
      </c>
      <c r="G972" s="580" t="s">
        <v>356</v>
      </c>
      <c r="H972" s="580" t="s">
        <v>533</v>
      </c>
      <c r="I972" s="580" t="s">
        <v>277</v>
      </c>
      <c r="J972" s="580" t="s">
        <v>522</v>
      </c>
      <c r="K972" s="580" t="s">
        <v>587</v>
      </c>
      <c r="L972" s="580" t="s">
        <v>529</v>
      </c>
      <c r="M972" s="580" t="s">
        <v>535</v>
      </c>
      <c r="N972" s="580"/>
      <c r="O972" s="580"/>
      <c r="P972" s="580" t="s">
        <v>522</v>
      </c>
      <c r="Q972" s="580"/>
      <c r="R972" s="581">
        <v>45744</v>
      </c>
      <c r="S972" s="580" t="s">
        <v>278</v>
      </c>
      <c r="T972" s="581">
        <v>45744</v>
      </c>
      <c r="U972" s="582">
        <v>6</v>
      </c>
      <c r="V972" s="583">
        <v>740.4</v>
      </c>
      <c r="W972" s="260">
        <v>45717</v>
      </c>
      <c r="X972" s="845"/>
    </row>
    <row r="973" spans="1:24" hidden="1" x14ac:dyDescent="0.35">
      <c r="A973" s="580" t="s">
        <v>526</v>
      </c>
      <c r="B973" s="580" t="s">
        <v>159</v>
      </c>
      <c r="C973" s="580" t="s">
        <v>584</v>
      </c>
      <c r="D973" s="580" t="s">
        <v>585</v>
      </c>
      <c r="E973" s="580" t="s">
        <v>586</v>
      </c>
      <c r="F973" s="580" t="s">
        <v>276</v>
      </c>
      <c r="G973" s="580" t="s">
        <v>356</v>
      </c>
      <c r="H973" s="580" t="s">
        <v>533</v>
      </c>
      <c r="I973" s="580" t="s">
        <v>277</v>
      </c>
      <c r="J973" s="580" t="s">
        <v>522</v>
      </c>
      <c r="K973" s="580" t="s">
        <v>587</v>
      </c>
      <c r="L973" s="580" t="s">
        <v>529</v>
      </c>
      <c r="M973" s="580" t="s">
        <v>535</v>
      </c>
      <c r="N973" s="580"/>
      <c r="O973" s="580"/>
      <c r="P973" s="580" t="s">
        <v>522</v>
      </c>
      <c r="Q973" s="580"/>
      <c r="R973" s="581">
        <v>45747</v>
      </c>
      <c r="S973" s="580" t="s">
        <v>278</v>
      </c>
      <c r="T973" s="581">
        <v>45747</v>
      </c>
      <c r="U973" s="582">
        <v>1</v>
      </c>
      <c r="V973" s="583">
        <v>123.4</v>
      </c>
      <c r="W973" s="260">
        <v>45717</v>
      </c>
      <c r="X973" s="845"/>
    </row>
    <row r="974" spans="1:24" hidden="1" x14ac:dyDescent="0.35">
      <c r="A974" s="580" t="s">
        <v>526</v>
      </c>
      <c r="B974" s="580" t="s">
        <v>159</v>
      </c>
      <c r="C974" s="580" t="s">
        <v>584</v>
      </c>
      <c r="D974" s="580" t="s">
        <v>585</v>
      </c>
      <c r="E974" s="580" t="s">
        <v>586</v>
      </c>
      <c r="F974" s="580" t="s">
        <v>276</v>
      </c>
      <c r="G974" s="580" t="s">
        <v>356</v>
      </c>
      <c r="H974" s="580" t="s">
        <v>533</v>
      </c>
      <c r="I974" s="580" t="s">
        <v>277</v>
      </c>
      <c r="J974" s="580" t="s">
        <v>522</v>
      </c>
      <c r="K974" s="580" t="s">
        <v>587</v>
      </c>
      <c r="L974" s="580" t="s">
        <v>529</v>
      </c>
      <c r="M974" s="580" t="s">
        <v>535</v>
      </c>
      <c r="N974" s="580"/>
      <c r="O974" s="580"/>
      <c r="P974" s="580" t="s">
        <v>522</v>
      </c>
      <c r="Q974" s="580"/>
      <c r="R974" s="581">
        <v>45747</v>
      </c>
      <c r="S974" s="580" t="s">
        <v>278</v>
      </c>
      <c r="T974" s="581">
        <v>45747</v>
      </c>
      <c r="U974" s="582">
        <v>6</v>
      </c>
      <c r="V974" s="583">
        <v>740.4</v>
      </c>
      <c r="W974" s="260">
        <v>45717</v>
      </c>
      <c r="X974" s="845"/>
    </row>
    <row r="975" spans="1:24" hidden="1" x14ac:dyDescent="0.35">
      <c r="A975" s="580" t="s">
        <v>526</v>
      </c>
      <c r="B975" s="580" t="s">
        <v>160</v>
      </c>
      <c r="C975" s="580"/>
      <c r="D975" s="580" t="s">
        <v>603</v>
      </c>
      <c r="E975" s="580" t="s">
        <v>604</v>
      </c>
      <c r="F975" s="580" t="s">
        <v>276</v>
      </c>
      <c r="G975" s="580" t="s">
        <v>356</v>
      </c>
      <c r="H975" s="580"/>
      <c r="I975" s="580" t="s">
        <v>277</v>
      </c>
      <c r="J975" s="580" t="s">
        <v>523</v>
      </c>
      <c r="K975" s="580"/>
      <c r="L975" s="580" t="s">
        <v>529</v>
      </c>
      <c r="M975" s="580" t="s">
        <v>285</v>
      </c>
      <c r="N975" s="580"/>
      <c r="O975" s="580">
        <v>5000059268</v>
      </c>
      <c r="P975" s="580" t="s">
        <v>523</v>
      </c>
      <c r="Q975" s="580" t="s">
        <v>400</v>
      </c>
      <c r="R975" s="581">
        <v>45742</v>
      </c>
      <c r="S975" s="580"/>
      <c r="T975" s="581">
        <v>45747</v>
      </c>
      <c r="U975" s="582">
        <v>0</v>
      </c>
      <c r="V975" s="583">
        <v>190575</v>
      </c>
      <c r="W975" s="260">
        <v>45717</v>
      </c>
    </row>
    <row r="976" spans="1:24" hidden="1" x14ac:dyDescent="0.35">
      <c r="A976" s="580" t="s">
        <v>526</v>
      </c>
      <c r="B976" s="580" t="s">
        <v>53</v>
      </c>
      <c r="C976" s="580"/>
      <c r="D976" s="580" t="s">
        <v>385</v>
      </c>
      <c r="E976" s="580" t="s">
        <v>386</v>
      </c>
      <c r="F976" s="580" t="s">
        <v>588</v>
      </c>
      <c r="G976" s="580" t="s">
        <v>356</v>
      </c>
      <c r="H976" s="580"/>
      <c r="I976" s="580" t="s">
        <v>277</v>
      </c>
      <c r="J976" s="580" t="s">
        <v>524</v>
      </c>
      <c r="K976" s="580"/>
      <c r="L976" s="580" t="s">
        <v>529</v>
      </c>
      <c r="M976" s="580" t="s">
        <v>285</v>
      </c>
      <c r="N976" s="580"/>
      <c r="O976" s="580" t="s">
        <v>591</v>
      </c>
      <c r="P976" s="580" t="s">
        <v>524</v>
      </c>
      <c r="Q976" s="580" t="s">
        <v>589</v>
      </c>
      <c r="R976" s="581">
        <v>45684</v>
      </c>
      <c r="S976" s="580"/>
      <c r="T976" s="581">
        <v>45717</v>
      </c>
      <c r="U976" s="582">
        <v>0</v>
      </c>
      <c r="V976" s="583">
        <v>-11000</v>
      </c>
      <c r="W976" s="260">
        <v>45717</v>
      </c>
    </row>
    <row r="977" spans="1:23" hidden="1" x14ac:dyDescent="0.35">
      <c r="A977" s="580" t="s">
        <v>526</v>
      </c>
      <c r="B977" s="580" t="s">
        <v>53</v>
      </c>
      <c r="C977" s="580"/>
      <c r="D977" s="580" t="s">
        <v>385</v>
      </c>
      <c r="E977" s="580" t="s">
        <v>386</v>
      </c>
      <c r="F977" s="580" t="s">
        <v>276</v>
      </c>
      <c r="G977" s="580" t="s">
        <v>356</v>
      </c>
      <c r="H977" s="580"/>
      <c r="I977" s="580" t="s">
        <v>277</v>
      </c>
      <c r="J977" s="580" t="s">
        <v>524</v>
      </c>
      <c r="K977" s="580"/>
      <c r="L977" s="580" t="s">
        <v>529</v>
      </c>
      <c r="M977" s="580" t="s">
        <v>285</v>
      </c>
      <c r="N977" s="580" t="s">
        <v>659</v>
      </c>
      <c r="O977" s="580" t="s">
        <v>660</v>
      </c>
      <c r="P977" s="580" t="s">
        <v>524</v>
      </c>
      <c r="Q977" s="580" t="s">
        <v>387</v>
      </c>
      <c r="R977" s="581">
        <v>45721</v>
      </c>
      <c r="S977" s="580" t="s">
        <v>388</v>
      </c>
      <c r="T977" s="581">
        <v>45737</v>
      </c>
      <c r="U977" s="584">
        <v>1</v>
      </c>
      <c r="V977" s="583">
        <v>510.7</v>
      </c>
      <c r="W977" s="260">
        <v>45717</v>
      </c>
    </row>
    <row r="978" spans="1:23" hidden="1" x14ac:dyDescent="0.35">
      <c r="A978" s="580" t="s">
        <v>526</v>
      </c>
      <c r="B978" s="580" t="s">
        <v>53</v>
      </c>
      <c r="C978" s="580"/>
      <c r="D978" s="580" t="s">
        <v>385</v>
      </c>
      <c r="E978" s="580" t="s">
        <v>386</v>
      </c>
      <c r="F978" s="580" t="s">
        <v>276</v>
      </c>
      <c r="G978" s="580" t="s">
        <v>356</v>
      </c>
      <c r="H978" s="580"/>
      <c r="I978" s="580" t="s">
        <v>277</v>
      </c>
      <c r="J978" s="580" t="s">
        <v>524</v>
      </c>
      <c r="K978" s="580"/>
      <c r="L978" s="580" t="s">
        <v>529</v>
      </c>
      <c r="M978" s="580" t="s">
        <v>285</v>
      </c>
      <c r="N978" s="580" t="s">
        <v>661</v>
      </c>
      <c r="O978" s="580" t="s">
        <v>399</v>
      </c>
      <c r="P978" s="580" t="s">
        <v>524</v>
      </c>
      <c r="Q978" s="580" t="s">
        <v>387</v>
      </c>
      <c r="R978" s="581">
        <v>45702</v>
      </c>
      <c r="S978" s="580" t="s">
        <v>388</v>
      </c>
      <c r="T978" s="581">
        <v>45741</v>
      </c>
      <c r="U978" s="584">
        <v>1</v>
      </c>
      <c r="V978" s="583">
        <v>1319.75</v>
      </c>
      <c r="W978" s="260">
        <v>45717</v>
      </c>
    </row>
    <row r="979" spans="1:23" hidden="1" x14ac:dyDescent="0.35">
      <c r="A979" s="580" t="s">
        <v>526</v>
      </c>
      <c r="B979" s="580" t="s">
        <v>53</v>
      </c>
      <c r="C979" s="580"/>
      <c r="D979" s="580" t="s">
        <v>385</v>
      </c>
      <c r="E979" s="580" t="s">
        <v>386</v>
      </c>
      <c r="F979" s="580" t="s">
        <v>276</v>
      </c>
      <c r="G979" s="580" t="s">
        <v>356</v>
      </c>
      <c r="H979" s="580"/>
      <c r="I979" s="580" t="s">
        <v>277</v>
      </c>
      <c r="J979" s="580" t="s">
        <v>524</v>
      </c>
      <c r="K979" s="580"/>
      <c r="L979" s="580" t="s">
        <v>529</v>
      </c>
      <c r="M979" s="580" t="s">
        <v>285</v>
      </c>
      <c r="N979" s="580" t="s">
        <v>637</v>
      </c>
      <c r="O979" s="580" t="s">
        <v>662</v>
      </c>
      <c r="P979" s="580" t="s">
        <v>524</v>
      </c>
      <c r="Q979" s="580" t="s">
        <v>387</v>
      </c>
      <c r="R979" s="581">
        <v>45735</v>
      </c>
      <c r="S979" s="580" t="s">
        <v>388</v>
      </c>
      <c r="T979" s="581">
        <v>45742</v>
      </c>
      <c r="U979" s="584">
        <v>1</v>
      </c>
      <c r="V979" s="583">
        <v>3131.2</v>
      </c>
      <c r="W979" s="260">
        <v>45717</v>
      </c>
    </row>
    <row r="980" spans="1:23" hidden="1" x14ac:dyDescent="0.35">
      <c r="A980" s="580" t="s">
        <v>526</v>
      </c>
      <c r="B980" s="580" t="s">
        <v>53</v>
      </c>
      <c r="C980" s="580"/>
      <c r="D980" s="580" t="s">
        <v>385</v>
      </c>
      <c r="E980" s="580" t="s">
        <v>386</v>
      </c>
      <c r="F980" s="580" t="s">
        <v>276</v>
      </c>
      <c r="G980" s="580" t="s">
        <v>356</v>
      </c>
      <c r="H980" s="580"/>
      <c r="I980" s="580" t="s">
        <v>277</v>
      </c>
      <c r="J980" s="580" t="s">
        <v>524</v>
      </c>
      <c r="K980" s="580"/>
      <c r="L980" s="580" t="s">
        <v>529</v>
      </c>
      <c r="M980" s="580" t="s">
        <v>285</v>
      </c>
      <c r="N980" s="580" t="s">
        <v>663</v>
      </c>
      <c r="O980" s="580" t="s">
        <v>399</v>
      </c>
      <c r="P980" s="580" t="s">
        <v>524</v>
      </c>
      <c r="Q980" s="580" t="s">
        <v>387</v>
      </c>
      <c r="R980" s="581">
        <v>45667</v>
      </c>
      <c r="S980" s="580" t="s">
        <v>388</v>
      </c>
      <c r="T980" s="581">
        <v>45743</v>
      </c>
      <c r="U980" s="584">
        <v>1</v>
      </c>
      <c r="V980" s="583">
        <v>1319.75</v>
      </c>
      <c r="W980" s="260">
        <v>45717</v>
      </c>
    </row>
    <row r="981" spans="1:23" hidden="1" x14ac:dyDescent="0.35">
      <c r="A981" s="580" t="s">
        <v>526</v>
      </c>
      <c r="B981" s="580" t="s">
        <v>53</v>
      </c>
      <c r="C981" s="580"/>
      <c r="D981" s="580" t="s">
        <v>385</v>
      </c>
      <c r="E981" s="580" t="s">
        <v>386</v>
      </c>
      <c r="F981" s="580" t="s">
        <v>276</v>
      </c>
      <c r="G981" s="580" t="s">
        <v>356</v>
      </c>
      <c r="H981" s="580"/>
      <c r="I981" s="580" t="s">
        <v>277</v>
      </c>
      <c r="J981" s="580" t="s">
        <v>524</v>
      </c>
      <c r="K981" s="580"/>
      <c r="L981" s="580" t="s">
        <v>529</v>
      </c>
      <c r="M981" s="580" t="s">
        <v>285</v>
      </c>
      <c r="N981" s="580" t="s">
        <v>659</v>
      </c>
      <c r="O981" s="580">
        <v>5000060468</v>
      </c>
      <c r="P981" s="580" t="s">
        <v>524</v>
      </c>
      <c r="Q981" s="580" t="s">
        <v>387</v>
      </c>
      <c r="R981" s="581">
        <v>45691</v>
      </c>
      <c r="S981" s="580" t="s">
        <v>388</v>
      </c>
      <c r="T981" s="581">
        <v>45737</v>
      </c>
      <c r="U981" s="584">
        <v>1</v>
      </c>
      <c r="V981" s="583">
        <v>587.30999999999995</v>
      </c>
      <c r="W981" s="260">
        <v>45717</v>
      </c>
    </row>
    <row r="982" spans="1:23" hidden="1" x14ac:dyDescent="0.35">
      <c r="A982" s="580" t="s">
        <v>526</v>
      </c>
      <c r="B982" s="580" t="s">
        <v>53</v>
      </c>
      <c r="C982" s="580"/>
      <c r="D982" s="580" t="s">
        <v>385</v>
      </c>
      <c r="E982" s="580" t="s">
        <v>386</v>
      </c>
      <c r="F982" s="580" t="s">
        <v>276</v>
      </c>
      <c r="G982" s="580" t="s">
        <v>356</v>
      </c>
      <c r="H982" s="580"/>
      <c r="I982" s="580" t="s">
        <v>277</v>
      </c>
      <c r="J982" s="580" t="s">
        <v>524</v>
      </c>
      <c r="K982" s="580"/>
      <c r="L982" s="580" t="s">
        <v>529</v>
      </c>
      <c r="M982" s="580" t="s">
        <v>285</v>
      </c>
      <c r="N982" s="580" t="s">
        <v>664</v>
      </c>
      <c r="O982" s="580" t="s">
        <v>399</v>
      </c>
      <c r="P982" s="580" t="s">
        <v>524</v>
      </c>
      <c r="Q982" s="580" t="s">
        <v>387</v>
      </c>
      <c r="R982" s="581">
        <v>45688</v>
      </c>
      <c r="S982" s="580" t="s">
        <v>388</v>
      </c>
      <c r="T982" s="581">
        <v>45740</v>
      </c>
      <c r="U982" s="584">
        <v>1</v>
      </c>
      <c r="V982" s="583">
        <v>1319.75</v>
      </c>
      <c r="W982" s="260">
        <v>45717</v>
      </c>
    </row>
    <row r="983" spans="1:23" hidden="1" x14ac:dyDescent="0.35">
      <c r="A983" s="580" t="s">
        <v>526</v>
      </c>
      <c r="B983" s="580" t="s">
        <v>53</v>
      </c>
      <c r="C983" s="580"/>
      <c r="D983" s="580" t="s">
        <v>575</v>
      </c>
      <c r="E983" s="580" t="s">
        <v>576</v>
      </c>
      <c r="F983" s="580" t="s">
        <v>588</v>
      </c>
      <c r="G983" s="580" t="s">
        <v>356</v>
      </c>
      <c r="H983" s="580"/>
      <c r="I983" s="580" t="s">
        <v>277</v>
      </c>
      <c r="J983" s="580" t="s">
        <v>524</v>
      </c>
      <c r="K983" s="580"/>
      <c r="L983" s="580" t="s">
        <v>529</v>
      </c>
      <c r="M983" s="580" t="s">
        <v>285</v>
      </c>
      <c r="N983" s="580"/>
      <c r="O983" s="580" t="s">
        <v>601</v>
      </c>
      <c r="P983" s="580" t="s">
        <v>524</v>
      </c>
      <c r="Q983" s="580" t="s">
        <v>589</v>
      </c>
      <c r="R983" s="581">
        <v>45684</v>
      </c>
      <c r="S983" s="580"/>
      <c r="T983" s="581">
        <v>45717</v>
      </c>
      <c r="U983" s="582">
        <v>0</v>
      </c>
      <c r="V983" s="583">
        <v>-29875</v>
      </c>
      <c r="W983" s="260">
        <v>45717</v>
      </c>
    </row>
    <row r="984" spans="1:23" hidden="1" x14ac:dyDescent="0.35">
      <c r="A984" s="580" t="s">
        <v>526</v>
      </c>
      <c r="B984" s="580" t="s">
        <v>53</v>
      </c>
      <c r="C984" s="580"/>
      <c r="D984" s="580" t="s">
        <v>575</v>
      </c>
      <c r="E984" s="580" t="s">
        <v>576</v>
      </c>
      <c r="F984" s="580" t="s">
        <v>588</v>
      </c>
      <c r="G984" s="580" t="s">
        <v>356</v>
      </c>
      <c r="H984" s="580"/>
      <c r="I984" s="580" t="s">
        <v>277</v>
      </c>
      <c r="J984" s="580" t="s">
        <v>524</v>
      </c>
      <c r="K984" s="580"/>
      <c r="L984" s="580" t="s">
        <v>529</v>
      </c>
      <c r="M984" s="580" t="s">
        <v>285</v>
      </c>
      <c r="N984" s="580"/>
      <c r="O984" s="580" t="s">
        <v>601</v>
      </c>
      <c r="P984" s="580" t="s">
        <v>524</v>
      </c>
      <c r="Q984" s="580" t="s">
        <v>589</v>
      </c>
      <c r="R984" s="581">
        <v>45684</v>
      </c>
      <c r="S984" s="580"/>
      <c r="T984" s="581">
        <v>45717</v>
      </c>
      <c r="U984" s="582">
        <v>0</v>
      </c>
      <c r="V984" s="583">
        <v>-50850</v>
      </c>
      <c r="W984" s="260">
        <v>45717</v>
      </c>
    </row>
    <row r="985" spans="1:23" hidden="1" x14ac:dyDescent="0.35">
      <c r="A985" s="580" t="s">
        <v>526</v>
      </c>
      <c r="B985" s="580" t="s">
        <v>53</v>
      </c>
      <c r="C985" s="580"/>
      <c r="D985" s="580" t="s">
        <v>575</v>
      </c>
      <c r="E985" s="580" t="s">
        <v>576</v>
      </c>
      <c r="F985" s="580" t="s">
        <v>588</v>
      </c>
      <c r="G985" s="580" t="s">
        <v>356</v>
      </c>
      <c r="H985" s="580"/>
      <c r="I985" s="580" t="s">
        <v>277</v>
      </c>
      <c r="J985" s="580" t="s">
        <v>524</v>
      </c>
      <c r="K985" s="580"/>
      <c r="L985" s="580" t="s">
        <v>529</v>
      </c>
      <c r="M985" s="580" t="s">
        <v>285</v>
      </c>
      <c r="N985" s="580"/>
      <c r="O985" s="580" t="s">
        <v>399</v>
      </c>
      <c r="P985" s="580" t="s">
        <v>524</v>
      </c>
      <c r="Q985" s="580" t="s">
        <v>589</v>
      </c>
      <c r="R985" s="581">
        <v>45684</v>
      </c>
      <c r="S985" s="580"/>
      <c r="T985" s="581">
        <v>45717</v>
      </c>
      <c r="U985" s="582">
        <v>0</v>
      </c>
      <c r="V985" s="583">
        <v>-1500</v>
      </c>
      <c r="W985" s="260">
        <v>45717</v>
      </c>
    </row>
    <row r="986" spans="1:23" hidden="1" x14ac:dyDescent="0.35">
      <c r="A986" s="580" t="s">
        <v>526</v>
      </c>
      <c r="B986" s="580" t="s">
        <v>53</v>
      </c>
      <c r="C986" s="580"/>
      <c r="D986" s="580" t="s">
        <v>575</v>
      </c>
      <c r="E986" s="580" t="s">
        <v>576</v>
      </c>
      <c r="F986" s="580" t="s">
        <v>588</v>
      </c>
      <c r="G986" s="580" t="s">
        <v>356</v>
      </c>
      <c r="H986" s="580"/>
      <c r="I986" s="580" t="s">
        <v>277</v>
      </c>
      <c r="J986" s="580" t="s">
        <v>524</v>
      </c>
      <c r="K986" s="580"/>
      <c r="L986" s="580" t="s">
        <v>529</v>
      </c>
      <c r="M986" s="580" t="s">
        <v>285</v>
      </c>
      <c r="N986" s="580"/>
      <c r="O986" s="580" t="s">
        <v>399</v>
      </c>
      <c r="P986" s="580" t="s">
        <v>524</v>
      </c>
      <c r="Q986" s="580" t="s">
        <v>589</v>
      </c>
      <c r="R986" s="581">
        <v>45684</v>
      </c>
      <c r="S986" s="580"/>
      <c r="T986" s="581">
        <v>45717</v>
      </c>
      <c r="U986" s="582">
        <v>0</v>
      </c>
      <c r="V986" s="583">
        <v>-1500</v>
      </c>
      <c r="W986" s="260">
        <v>45717</v>
      </c>
    </row>
    <row r="987" spans="1:23" hidden="1" x14ac:dyDescent="0.35">
      <c r="A987" s="580" t="s">
        <v>526</v>
      </c>
      <c r="B987" s="580" t="s">
        <v>53</v>
      </c>
      <c r="C987" s="580"/>
      <c r="D987" s="580" t="s">
        <v>575</v>
      </c>
      <c r="E987" s="580" t="s">
        <v>576</v>
      </c>
      <c r="F987" s="580" t="s">
        <v>276</v>
      </c>
      <c r="G987" s="580" t="s">
        <v>356</v>
      </c>
      <c r="H987" s="580"/>
      <c r="I987" s="580" t="s">
        <v>277</v>
      </c>
      <c r="J987" s="580" t="s">
        <v>524</v>
      </c>
      <c r="K987" s="580"/>
      <c r="L987" s="580" t="s">
        <v>529</v>
      </c>
      <c r="M987" s="580" t="s">
        <v>285</v>
      </c>
      <c r="N987" s="580"/>
      <c r="O987" s="580" t="s">
        <v>601</v>
      </c>
      <c r="P987" s="580" t="s">
        <v>524</v>
      </c>
      <c r="Q987" s="580" t="s">
        <v>400</v>
      </c>
      <c r="R987" s="581">
        <v>45742</v>
      </c>
      <c r="S987" s="580"/>
      <c r="T987" s="581">
        <v>45747</v>
      </c>
      <c r="U987" s="582">
        <v>0</v>
      </c>
      <c r="V987" s="583">
        <v>12750</v>
      </c>
      <c r="W987" s="260">
        <v>45717</v>
      </c>
    </row>
    <row r="988" spans="1:23" hidden="1" x14ac:dyDescent="0.35">
      <c r="A988" s="580" t="s">
        <v>526</v>
      </c>
      <c r="B988" s="580" t="s">
        <v>53</v>
      </c>
      <c r="C988" s="580"/>
      <c r="D988" s="580" t="s">
        <v>575</v>
      </c>
      <c r="E988" s="580" t="s">
        <v>576</v>
      </c>
      <c r="F988" s="580" t="s">
        <v>276</v>
      </c>
      <c r="G988" s="580" t="s">
        <v>356</v>
      </c>
      <c r="H988" s="580"/>
      <c r="I988" s="580" t="s">
        <v>277</v>
      </c>
      <c r="J988" s="580" t="s">
        <v>524</v>
      </c>
      <c r="K988" s="580"/>
      <c r="L988" s="580" t="s">
        <v>529</v>
      </c>
      <c r="M988" s="580" t="s">
        <v>285</v>
      </c>
      <c r="N988" s="580"/>
      <c r="O988" s="580" t="s">
        <v>601</v>
      </c>
      <c r="P988" s="580" t="s">
        <v>524</v>
      </c>
      <c r="Q988" s="580" t="s">
        <v>400</v>
      </c>
      <c r="R988" s="581">
        <v>45742</v>
      </c>
      <c r="S988" s="580"/>
      <c r="T988" s="581">
        <v>45747</v>
      </c>
      <c r="U988" s="582">
        <v>0</v>
      </c>
      <c r="V988" s="583">
        <v>155892</v>
      </c>
      <c r="W988" s="260">
        <v>45717</v>
      </c>
    </row>
    <row r="989" spans="1:23" hidden="1" x14ac:dyDescent="0.35">
      <c r="A989" s="580" t="s">
        <v>526</v>
      </c>
      <c r="B989" s="580" t="s">
        <v>53</v>
      </c>
      <c r="C989" s="580"/>
      <c r="D989" s="580" t="s">
        <v>575</v>
      </c>
      <c r="E989" s="580" t="s">
        <v>576</v>
      </c>
      <c r="F989" s="580" t="s">
        <v>276</v>
      </c>
      <c r="G989" s="580" t="s">
        <v>356</v>
      </c>
      <c r="H989" s="580"/>
      <c r="I989" s="580" t="s">
        <v>277</v>
      </c>
      <c r="J989" s="580" t="s">
        <v>524</v>
      </c>
      <c r="K989" s="580"/>
      <c r="L989" s="580" t="s">
        <v>529</v>
      </c>
      <c r="M989" s="580" t="s">
        <v>285</v>
      </c>
      <c r="N989" s="580"/>
      <c r="O989" s="580" t="s">
        <v>399</v>
      </c>
      <c r="P989" s="580" t="s">
        <v>524</v>
      </c>
      <c r="Q989" s="580" t="s">
        <v>400</v>
      </c>
      <c r="R989" s="581">
        <v>45742</v>
      </c>
      <c r="S989" s="580"/>
      <c r="T989" s="581">
        <v>45747</v>
      </c>
      <c r="U989" s="582">
        <v>0</v>
      </c>
      <c r="V989" s="583">
        <v>1500</v>
      </c>
      <c r="W989" s="260">
        <v>45717</v>
      </c>
    </row>
    <row r="990" spans="1:23" hidden="1" x14ac:dyDescent="0.35">
      <c r="A990" s="580" t="s">
        <v>526</v>
      </c>
      <c r="B990" s="580" t="s">
        <v>53</v>
      </c>
      <c r="C990" s="580"/>
      <c r="D990" s="580" t="s">
        <v>575</v>
      </c>
      <c r="E990" s="580" t="s">
        <v>576</v>
      </c>
      <c r="F990" s="580" t="s">
        <v>276</v>
      </c>
      <c r="G990" s="580" t="s">
        <v>356</v>
      </c>
      <c r="H990" s="580"/>
      <c r="I990" s="580" t="s">
        <v>277</v>
      </c>
      <c r="J990" s="580" t="s">
        <v>524</v>
      </c>
      <c r="K990" s="580"/>
      <c r="L990" s="580" t="s">
        <v>529</v>
      </c>
      <c r="M990" s="580" t="s">
        <v>285</v>
      </c>
      <c r="N990" s="580"/>
      <c r="O990" s="580" t="s">
        <v>399</v>
      </c>
      <c r="P990" s="580" t="s">
        <v>524</v>
      </c>
      <c r="Q990" s="580" t="s">
        <v>400</v>
      </c>
      <c r="R990" s="581">
        <v>45742</v>
      </c>
      <c r="S990" s="580"/>
      <c r="T990" s="581">
        <v>45747</v>
      </c>
      <c r="U990" s="582">
        <v>0</v>
      </c>
      <c r="V990" s="583">
        <v>1500</v>
      </c>
      <c r="W990" s="260">
        <v>45717</v>
      </c>
    </row>
    <row r="991" spans="1:23" hidden="1" x14ac:dyDescent="0.35">
      <c r="A991" s="580" t="s">
        <v>526</v>
      </c>
      <c r="B991" s="580" t="s">
        <v>53</v>
      </c>
      <c r="C991" s="580"/>
      <c r="D991" s="580" t="s">
        <v>575</v>
      </c>
      <c r="E991" s="580" t="s">
        <v>576</v>
      </c>
      <c r="F991" s="580" t="s">
        <v>276</v>
      </c>
      <c r="G991" s="580" t="s">
        <v>356</v>
      </c>
      <c r="H991" s="580"/>
      <c r="I991" s="580" t="s">
        <v>277</v>
      </c>
      <c r="J991" s="580" t="s">
        <v>524</v>
      </c>
      <c r="K991" s="580"/>
      <c r="L991" s="580" t="s">
        <v>529</v>
      </c>
      <c r="M991" s="580" t="s">
        <v>285</v>
      </c>
      <c r="N991" s="580"/>
      <c r="O991" s="580" t="s">
        <v>662</v>
      </c>
      <c r="P991" s="580" t="s">
        <v>524</v>
      </c>
      <c r="Q991" s="580" t="s">
        <v>400</v>
      </c>
      <c r="R991" s="581">
        <v>45742</v>
      </c>
      <c r="S991" s="580"/>
      <c r="T991" s="581">
        <v>45747</v>
      </c>
      <c r="U991" s="582">
        <v>0</v>
      </c>
      <c r="V991" s="583">
        <v>5108.8</v>
      </c>
      <c r="W991" s="260">
        <v>45717</v>
      </c>
    </row>
    <row r="992" spans="1:23" hidden="1" x14ac:dyDescent="0.35">
      <c r="A992" s="580" t="s">
        <v>526</v>
      </c>
      <c r="B992" s="580" t="s">
        <v>53</v>
      </c>
      <c r="C992" s="580"/>
      <c r="D992" s="580" t="s">
        <v>575</v>
      </c>
      <c r="E992" s="580" t="s">
        <v>576</v>
      </c>
      <c r="F992" s="580" t="s">
        <v>276</v>
      </c>
      <c r="G992" s="580" t="s">
        <v>356</v>
      </c>
      <c r="H992" s="580"/>
      <c r="I992" s="580" t="s">
        <v>277</v>
      </c>
      <c r="J992" s="580" t="s">
        <v>524</v>
      </c>
      <c r="K992" s="580"/>
      <c r="L992" s="580" t="s">
        <v>529</v>
      </c>
      <c r="M992" s="580" t="s">
        <v>285</v>
      </c>
      <c r="N992" s="580"/>
      <c r="O992" s="580" t="s">
        <v>591</v>
      </c>
      <c r="P992" s="580" t="s">
        <v>524</v>
      </c>
      <c r="Q992" s="580" t="s">
        <v>400</v>
      </c>
      <c r="R992" s="581">
        <v>45742</v>
      </c>
      <c r="S992" s="580"/>
      <c r="T992" s="581">
        <v>45747</v>
      </c>
      <c r="U992" s="582">
        <v>0</v>
      </c>
      <c r="V992" s="583">
        <v>16500</v>
      </c>
      <c r="W992" s="260">
        <v>45717</v>
      </c>
    </row>
    <row r="993" spans="1:23" hidden="1" x14ac:dyDescent="0.35">
      <c r="A993" s="580" t="s">
        <v>526</v>
      </c>
      <c r="B993" s="580" t="s">
        <v>53</v>
      </c>
      <c r="C993" s="580"/>
      <c r="D993" s="580" t="s">
        <v>575</v>
      </c>
      <c r="E993" s="580" t="s">
        <v>576</v>
      </c>
      <c r="F993" s="580" t="s">
        <v>276</v>
      </c>
      <c r="G993" s="580" t="s">
        <v>356</v>
      </c>
      <c r="H993" s="580"/>
      <c r="I993" s="580" t="s">
        <v>277</v>
      </c>
      <c r="J993" s="580" t="s">
        <v>524</v>
      </c>
      <c r="K993" s="580"/>
      <c r="L993" s="580" t="s">
        <v>529</v>
      </c>
      <c r="M993" s="580" t="s">
        <v>285</v>
      </c>
      <c r="N993" s="580" t="s">
        <v>638</v>
      </c>
      <c r="O993" s="580" t="s">
        <v>601</v>
      </c>
      <c r="P993" s="580" t="s">
        <v>524</v>
      </c>
      <c r="Q993" s="580" t="s">
        <v>387</v>
      </c>
      <c r="R993" s="581">
        <v>45728</v>
      </c>
      <c r="S993" s="580" t="s">
        <v>388</v>
      </c>
      <c r="T993" s="581">
        <v>45740</v>
      </c>
      <c r="U993" s="584">
        <v>1</v>
      </c>
      <c r="V993" s="583">
        <v>29875</v>
      </c>
      <c r="W993" s="260">
        <v>45717</v>
      </c>
    </row>
    <row r="994" spans="1:23" hidden="1" x14ac:dyDescent="0.35">
      <c r="A994" s="580" t="s">
        <v>526</v>
      </c>
      <c r="B994" s="580" t="s">
        <v>53</v>
      </c>
      <c r="C994" s="580"/>
      <c r="D994" s="580" t="s">
        <v>575</v>
      </c>
      <c r="E994" s="580" t="s">
        <v>576</v>
      </c>
      <c r="F994" s="580" t="s">
        <v>276</v>
      </c>
      <c r="G994" s="580" t="s">
        <v>356</v>
      </c>
      <c r="H994" s="580"/>
      <c r="I994" s="580" t="s">
        <v>277</v>
      </c>
      <c r="J994" s="580" t="s">
        <v>524</v>
      </c>
      <c r="K994" s="580"/>
      <c r="L994" s="580" t="s">
        <v>529</v>
      </c>
      <c r="M994" s="580" t="s">
        <v>285</v>
      </c>
      <c r="N994" s="580" t="s">
        <v>665</v>
      </c>
      <c r="O994" s="580">
        <v>5000058992</v>
      </c>
      <c r="P994" s="580" t="s">
        <v>524</v>
      </c>
      <c r="Q994" s="580" t="s">
        <v>387</v>
      </c>
      <c r="R994" s="581">
        <v>45728</v>
      </c>
      <c r="S994" s="580" t="s">
        <v>388</v>
      </c>
      <c r="T994" s="581">
        <v>45740</v>
      </c>
      <c r="U994" s="584">
        <v>1</v>
      </c>
      <c r="V994" s="583">
        <v>50085</v>
      </c>
      <c r="W994" s="260">
        <v>45717</v>
      </c>
    </row>
    <row r="995" spans="1:23" hidden="1" x14ac:dyDescent="0.35">
      <c r="A995" s="586" t="s">
        <v>526</v>
      </c>
      <c r="B995" s="586" t="s">
        <v>159</v>
      </c>
      <c r="C995" s="586" t="s">
        <v>281</v>
      </c>
      <c r="D995" s="586" t="s">
        <v>282</v>
      </c>
      <c r="E995" s="586" t="s">
        <v>283</v>
      </c>
      <c r="F995" s="586" t="s">
        <v>276</v>
      </c>
      <c r="G995" s="586" t="s">
        <v>356</v>
      </c>
      <c r="H995" s="586" t="s">
        <v>670</v>
      </c>
      <c r="I995" s="586" t="s">
        <v>277</v>
      </c>
      <c r="J995" s="586" t="s">
        <v>522</v>
      </c>
      <c r="K995" s="586" t="s">
        <v>284</v>
      </c>
      <c r="L995" s="586" t="s">
        <v>541</v>
      </c>
      <c r="M995" s="586" t="s">
        <v>285</v>
      </c>
      <c r="N995" s="586" t="s">
        <v>670</v>
      </c>
      <c r="O995" s="586" t="s">
        <v>670</v>
      </c>
      <c r="P995" s="586" t="s">
        <v>522</v>
      </c>
      <c r="Q995" s="586" t="s">
        <v>670</v>
      </c>
      <c r="R995" s="587">
        <v>45810</v>
      </c>
      <c r="S995" s="586" t="s">
        <v>670</v>
      </c>
      <c r="T995" s="587">
        <v>45808</v>
      </c>
      <c r="U995" s="588">
        <v>0</v>
      </c>
      <c r="V995" s="589">
        <v>163.12</v>
      </c>
      <c r="W995" s="260">
        <v>45778</v>
      </c>
    </row>
    <row r="996" spans="1:23" hidden="1" x14ac:dyDescent="0.35">
      <c r="A996" s="586" t="s">
        <v>526</v>
      </c>
      <c r="B996" s="586" t="s">
        <v>159</v>
      </c>
      <c r="C996" s="586" t="s">
        <v>286</v>
      </c>
      <c r="D996" s="586" t="s">
        <v>287</v>
      </c>
      <c r="E996" s="586" t="s">
        <v>288</v>
      </c>
      <c r="F996" s="586" t="s">
        <v>276</v>
      </c>
      <c r="G996" s="586" t="s">
        <v>356</v>
      </c>
      <c r="H996" s="586" t="s">
        <v>670</v>
      </c>
      <c r="I996" s="586" t="s">
        <v>277</v>
      </c>
      <c r="J996" s="586" t="s">
        <v>522</v>
      </c>
      <c r="K996" s="586" t="s">
        <v>289</v>
      </c>
      <c r="L996" s="586" t="s">
        <v>541</v>
      </c>
      <c r="M996" s="586" t="s">
        <v>285</v>
      </c>
      <c r="N996" s="586" t="s">
        <v>670</v>
      </c>
      <c r="O996" s="586" t="s">
        <v>670</v>
      </c>
      <c r="P996" s="586" t="s">
        <v>522</v>
      </c>
      <c r="Q996" s="586" t="s">
        <v>670</v>
      </c>
      <c r="R996" s="587">
        <v>45810</v>
      </c>
      <c r="S996" s="586" t="s">
        <v>670</v>
      </c>
      <c r="T996" s="587">
        <v>45808</v>
      </c>
      <c r="U996" s="588">
        <v>0</v>
      </c>
      <c r="V996" s="589">
        <v>457.56</v>
      </c>
      <c r="W996" s="260">
        <v>45778</v>
      </c>
    </row>
    <row r="997" spans="1:23" hidden="1" x14ac:dyDescent="0.35">
      <c r="A997" s="586" t="s">
        <v>526</v>
      </c>
      <c r="B997" s="586" t="s">
        <v>159</v>
      </c>
      <c r="C997" s="586" t="s">
        <v>281</v>
      </c>
      <c r="D997" s="586" t="s">
        <v>290</v>
      </c>
      <c r="E997" s="586" t="s">
        <v>291</v>
      </c>
      <c r="F997" s="586" t="s">
        <v>276</v>
      </c>
      <c r="G997" s="586" t="s">
        <v>356</v>
      </c>
      <c r="H997" s="586" t="s">
        <v>670</v>
      </c>
      <c r="I997" s="586" t="s">
        <v>277</v>
      </c>
      <c r="J997" s="586" t="s">
        <v>522</v>
      </c>
      <c r="K997" s="586" t="s">
        <v>284</v>
      </c>
      <c r="L997" s="586" t="s">
        <v>541</v>
      </c>
      <c r="M997" s="586" t="s">
        <v>285</v>
      </c>
      <c r="N997" s="586" t="s">
        <v>670</v>
      </c>
      <c r="O997" s="586" t="s">
        <v>670</v>
      </c>
      <c r="P997" s="586" t="s">
        <v>522</v>
      </c>
      <c r="Q997" s="586" t="s">
        <v>670</v>
      </c>
      <c r="R997" s="587">
        <v>45810</v>
      </c>
      <c r="S997" s="586" t="s">
        <v>670</v>
      </c>
      <c r="T997" s="587">
        <v>45808</v>
      </c>
      <c r="U997" s="588">
        <v>0</v>
      </c>
      <c r="V997" s="589">
        <v>105.42</v>
      </c>
      <c r="W997" s="260">
        <v>45778</v>
      </c>
    </row>
    <row r="998" spans="1:23" hidden="1" x14ac:dyDescent="0.35">
      <c r="A998" s="586" t="s">
        <v>526</v>
      </c>
      <c r="B998" s="586" t="s">
        <v>159</v>
      </c>
      <c r="C998" s="586" t="s">
        <v>281</v>
      </c>
      <c r="D998" s="586" t="s">
        <v>292</v>
      </c>
      <c r="E998" s="586" t="s">
        <v>293</v>
      </c>
      <c r="F998" s="586" t="s">
        <v>276</v>
      </c>
      <c r="G998" s="586" t="s">
        <v>356</v>
      </c>
      <c r="H998" s="586" t="s">
        <v>670</v>
      </c>
      <c r="I998" s="586" t="s">
        <v>277</v>
      </c>
      <c r="J998" s="586" t="s">
        <v>522</v>
      </c>
      <c r="K998" s="586" t="s">
        <v>294</v>
      </c>
      <c r="L998" s="586" t="s">
        <v>541</v>
      </c>
      <c r="M998" s="586" t="s">
        <v>285</v>
      </c>
      <c r="N998" s="586" t="s">
        <v>670</v>
      </c>
      <c r="O998" s="586" t="s">
        <v>670</v>
      </c>
      <c r="P998" s="586" t="s">
        <v>522</v>
      </c>
      <c r="Q998" s="586" t="s">
        <v>670</v>
      </c>
      <c r="R998" s="587">
        <v>45810</v>
      </c>
      <c r="S998" s="586" t="s">
        <v>670</v>
      </c>
      <c r="T998" s="587">
        <v>45808</v>
      </c>
      <c r="U998" s="588">
        <v>0</v>
      </c>
      <c r="V998" s="589">
        <v>116.55</v>
      </c>
      <c r="W998" s="260">
        <v>45778</v>
      </c>
    </row>
    <row r="999" spans="1:23" hidden="1" x14ac:dyDescent="0.35">
      <c r="A999" s="586" t="s">
        <v>526</v>
      </c>
      <c r="B999" s="586" t="s">
        <v>159</v>
      </c>
      <c r="C999" s="586" t="s">
        <v>286</v>
      </c>
      <c r="D999" s="586" t="s">
        <v>295</v>
      </c>
      <c r="E999" s="586" t="s">
        <v>296</v>
      </c>
      <c r="F999" s="586" t="s">
        <v>276</v>
      </c>
      <c r="G999" s="586" t="s">
        <v>356</v>
      </c>
      <c r="H999" s="586" t="s">
        <v>670</v>
      </c>
      <c r="I999" s="586" t="s">
        <v>277</v>
      </c>
      <c r="J999" s="586" t="s">
        <v>522</v>
      </c>
      <c r="K999" s="586" t="s">
        <v>297</v>
      </c>
      <c r="L999" s="586" t="s">
        <v>541</v>
      </c>
      <c r="M999" s="586" t="s">
        <v>285</v>
      </c>
      <c r="N999" s="586" t="s">
        <v>670</v>
      </c>
      <c r="O999" s="586" t="s">
        <v>670</v>
      </c>
      <c r="P999" s="586" t="s">
        <v>522</v>
      </c>
      <c r="Q999" s="586" t="s">
        <v>670</v>
      </c>
      <c r="R999" s="587">
        <v>45810</v>
      </c>
      <c r="S999" s="586" t="s">
        <v>670</v>
      </c>
      <c r="T999" s="587">
        <v>45808</v>
      </c>
      <c r="U999" s="588">
        <v>0</v>
      </c>
      <c r="V999" s="589">
        <v>249.46</v>
      </c>
      <c r="W999" s="260">
        <v>45778</v>
      </c>
    </row>
    <row r="1000" spans="1:23" hidden="1" x14ac:dyDescent="0.35">
      <c r="A1000" s="586" t="s">
        <v>526</v>
      </c>
      <c r="B1000" s="586" t="s">
        <v>159</v>
      </c>
      <c r="C1000" s="586" t="s">
        <v>542</v>
      </c>
      <c r="D1000" s="586" t="s">
        <v>543</v>
      </c>
      <c r="E1000" s="586" t="s">
        <v>544</v>
      </c>
      <c r="F1000" s="586" t="s">
        <v>276</v>
      </c>
      <c r="G1000" s="586" t="s">
        <v>356</v>
      </c>
      <c r="H1000" s="586" t="s">
        <v>670</v>
      </c>
      <c r="I1000" s="586" t="s">
        <v>277</v>
      </c>
      <c r="J1000" s="586" t="s">
        <v>522</v>
      </c>
      <c r="K1000" s="586" t="s">
        <v>545</v>
      </c>
      <c r="L1000" s="586" t="s">
        <v>541</v>
      </c>
      <c r="M1000" s="586" t="s">
        <v>285</v>
      </c>
      <c r="N1000" s="586" t="s">
        <v>670</v>
      </c>
      <c r="O1000" s="586" t="s">
        <v>670</v>
      </c>
      <c r="P1000" s="586" t="s">
        <v>522</v>
      </c>
      <c r="Q1000" s="586" t="s">
        <v>670</v>
      </c>
      <c r="R1000" s="587">
        <v>45810</v>
      </c>
      <c r="S1000" s="586" t="s">
        <v>670</v>
      </c>
      <c r="T1000" s="587">
        <v>45808</v>
      </c>
      <c r="U1000" s="588">
        <v>0</v>
      </c>
      <c r="V1000" s="589">
        <v>29.89</v>
      </c>
      <c r="W1000" s="260">
        <v>45778</v>
      </c>
    </row>
    <row r="1001" spans="1:23" hidden="1" x14ac:dyDescent="0.35">
      <c r="A1001" s="586" t="s">
        <v>526</v>
      </c>
      <c r="B1001" s="586" t="s">
        <v>159</v>
      </c>
      <c r="C1001" s="586" t="s">
        <v>546</v>
      </c>
      <c r="D1001" s="586" t="s">
        <v>547</v>
      </c>
      <c r="E1001" s="586" t="s">
        <v>548</v>
      </c>
      <c r="F1001" s="586" t="s">
        <v>276</v>
      </c>
      <c r="G1001" s="586" t="s">
        <v>356</v>
      </c>
      <c r="H1001" s="586" t="s">
        <v>670</v>
      </c>
      <c r="I1001" s="586" t="s">
        <v>277</v>
      </c>
      <c r="J1001" s="586" t="s">
        <v>522</v>
      </c>
      <c r="K1001" s="586" t="s">
        <v>549</v>
      </c>
      <c r="L1001" s="586" t="s">
        <v>541</v>
      </c>
      <c r="M1001" s="586" t="s">
        <v>285</v>
      </c>
      <c r="N1001" s="586" t="s">
        <v>670</v>
      </c>
      <c r="O1001" s="586" t="s">
        <v>670</v>
      </c>
      <c r="P1001" s="586" t="s">
        <v>522</v>
      </c>
      <c r="Q1001" s="586" t="s">
        <v>670</v>
      </c>
      <c r="R1001" s="587">
        <v>45810</v>
      </c>
      <c r="S1001" s="586" t="s">
        <v>670</v>
      </c>
      <c r="T1001" s="587">
        <v>45808</v>
      </c>
      <c r="U1001" s="588">
        <v>0</v>
      </c>
      <c r="V1001" s="589">
        <v>83.84</v>
      </c>
      <c r="W1001" s="260">
        <v>45778</v>
      </c>
    </row>
    <row r="1002" spans="1:23" hidden="1" x14ac:dyDescent="0.35">
      <c r="A1002" s="586" t="s">
        <v>526</v>
      </c>
      <c r="B1002" s="586" t="s">
        <v>159</v>
      </c>
      <c r="C1002" s="586" t="s">
        <v>542</v>
      </c>
      <c r="D1002" s="586" t="s">
        <v>550</v>
      </c>
      <c r="E1002" s="586" t="s">
        <v>551</v>
      </c>
      <c r="F1002" s="586" t="s">
        <v>276</v>
      </c>
      <c r="G1002" s="586" t="s">
        <v>356</v>
      </c>
      <c r="H1002" s="586" t="s">
        <v>670</v>
      </c>
      <c r="I1002" s="586" t="s">
        <v>277</v>
      </c>
      <c r="J1002" s="586" t="s">
        <v>522</v>
      </c>
      <c r="K1002" s="586" t="s">
        <v>545</v>
      </c>
      <c r="L1002" s="586" t="s">
        <v>541</v>
      </c>
      <c r="M1002" s="586" t="s">
        <v>285</v>
      </c>
      <c r="N1002" s="586" t="s">
        <v>670</v>
      </c>
      <c r="O1002" s="586" t="s">
        <v>670</v>
      </c>
      <c r="P1002" s="586" t="s">
        <v>522</v>
      </c>
      <c r="Q1002" s="586" t="s">
        <v>670</v>
      </c>
      <c r="R1002" s="587">
        <v>45810</v>
      </c>
      <c r="S1002" s="586" t="s">
        <v>670</v>
      </c>
      <c r="T1002" s="587">
        <v>45808</v>
      </c>
      <c r="U1002" s="588">
        <v>0</v>
      </c>
      <c r="V1002" s="589">
        <v>19.32</v>
      </c>
      <c r="W1002" s="260">
        <v>45778</v>
      </c>
    </row>
    <row r="1003" spans="1:23" hidden="1" x14ac:dyDescent="0.35">
      <c r="A1003" s="586" t="s">
        <v>526</v>
      </c>
      <c r="B1003" s="586" t="s">
        <v>159</v>
      </c>
      <c r="C1003" s="586" t="s">
        <v>542</v>
      </c>
      <c r="D1003" s="586" t="s">
        <v>552</v>
      </c>
      <c r="E1003" s="586" t="s">
        <v>553</v>
      </c>
      <c r="F1003" s="586" t="s">
        <v>276</v>
      </c>
      <c r="G1003" s="586" t="s">
        <v>356</v>
      </c>
      <c r="H1003" s="586" t="s">
        <v>670</v>
      </c>
      <c r="I1003" s="586" t="s">
        <v>277</v>
      </c>
      <c r="J1003" s="586" t="s">
        <v>522</v>
      </c>
      <c r="K1003" s="586" t="s">
        <v>554</v>
      </c>
      <c r="L1003" s="586" t="s">
        <v>541</v>
      </c>
      <c r="M1003" s="586" t="s">
        <v>285</v>
      </c>
      <c r="N1003" s="586" t="s">
        <v>670</v>
      </c>
      <c r="O1003" s="586" t="s">
        <v>670</v>
      </c>
      <c r="P1003" s="586" t="s">
        <v>522</v>
      </c>
      <c r="Q1003" s="586" t="s">
        <v>670</v>
      </c>
      <c r="R1003" s="587">
        <v>45810</v>
      </c>
      <c r="S1003" s="586" t="s">
        <v>670</v>
      </c>
      <c r="T1003" s="587">
        <v>45808</v>
      </c>
      <c r="U1003" s="588">
        <v>0</v>
      </c>
      <c r="V1003" s="589">
        <v>21.36</v>
      </c>
      <c r="W1003" s="260">
        <v>45778</v>
      </c>
    </row>
    <row r="1004" spans="1:23" hidden="1" x14ac:dyDescent="0.35">
      <c r="A1004" s="586" t="s">
        <v>526</v>
      </c>
      <c r="B1004" s="586" t="s">
        <v>159</v>
      </c>
      <c r="C1004" s="586" t="s">
        <v>546</v>
      </c>
      <c r="D1004" s="586" t="s">
        <v>555</v>
      </c>
      <c r="E1004" s="586" t="s">
        <v>556</v>
      </c>
      <c r="F1004" s="586" t="s">
        <v>276</v>
      </c>
      <c r="G1004" s="586" t="s">
        <v>356</v>
      </c>
      <c r="H1004" s="586" t="s">
        <v>670</v>
      </c>
      <c r="I1004" s="586" t="s">
        <v>277</v>
      </c>
      <c r="J1004" s="586" t="s">
        <v>522</v>
      </c>
      <c r="K1004" s="586" t="s">
        <v>557</v>
      </c>
      <c r="L1004" s="586" t="s">
        <v>541</v>
      </c>
      <c r="M1004" s="586" t="s">
        <v>285</v>
      </c>
      <c r="N1004" s="586" t="s">
        <v>670</v>
      </c>
      <c r="O1004" s="586" t="s">
        <v>670</v>
      </c>
      <c r="P1004" s="586" t="s">
        <v>522</v>
      </c>
      <c r="Q1004" s="586" t="s">
        <v>670</v>
      </c>
      <c r="R1004" s="587">
        <v>45810</v>
      </c>
      <c r="S1004" s="586" t="s">
        <v>670</v>
      </c>
      <c r="T1004" s="587">
        <v>45808</v>
      </c>
      <c r="U1004" s="588">
        <v>0</v>
      </c>
      <c r="V1004" s="589">
        <v>45.71</v>
      </c>
      <c r="W1004" s="260">
        <v>45778</v>
      </c>
    </row>
    <row r="1005" spans="1:23" hidden="1" x14ac:dyDescent="0.35">
      <c r="A1005" s="586" t="s">
        <v>526</v>
      </c>
      <c r="B1005" s="586" t="s">
        <v>159</v>
      </c>
      <c r="C1005" s="586" t="s">
        <v>298</v>
      </c>
      <c r="D1005" s="586" t="s">
        <v>299</v>
      </c>
      <c r="E1005" s="586" t="s">
        <v>300</v>
      </c>
      <c r="F1005" s="586" t="s">
        <v>276</v>
      </c>
      <c r="G1005" s="586" t="s">
        <v>356</v>
      </c>
      <c r="H1005" s="586" t="s">
        <v>670</v>
      </c>
      <c r="I1005" s="586" t="s">
        <v>277</v>
      </c>
      <c r="J1005" s="586" t="s">
        <v>522</v>
      </c>
      <c r="K1005" s="586" t="s">
        <v>301</v>
      </c>
      <c r="L1005" s="586" t="s">
        <v>541</v>
      </c>
      <c r="M1005" s="586" t="s">
        <v>285</v>
      </c>
      <c r="N1005" s="586" t="s">
        <v>670</v>
      </c>
      <c r="O1005" s="586" t="s">
        <v>670</v>
      </c>
      <c r="P1005" s="586" t="s">
        <v>522</v>
      </c>
      <c r="Q1005" s="586" t="s">
        <v>670</v>
      </c>
      <c r="R1005" s="587">
        <v>45810</v>
      </c>
      <c r="S1005" s="586" t="s">
        <v>670</v>
      </c>
      <c r="T1005" s="587">
        <v>45808</v>
      </c>
      <c r="U1005" s="588">
        <v>0</v>
      </c>
      <c r="V1005" s="589">
        <v>0.01</v>
      </c>
      <c r="W1005" s="260">
        <v>45778</v>
      </c>
    </row>
    <row r="1006" spans="1:23" hidden="1" x14ac:dyDescent="0.35">
      <c r="A1006" s="586" t="s">
        <v>526</v>
      </c>
      <c r="B1006" s="586" t="s">
        <v>159</v>
      </c>
      <c r="C1006" s="586" t="s">
        <v>298</v>
      </c>
      <c r="D1006" s="586" t="s">
        <v>299</v>
      </c>
      <c r="E1006" s="586" t="s">
        <v>300</v>
      </c>
      <c r="F1006" s="586" t="s">
        <v>276</v>
      </c>
      <c r="G1006" s="586" t="s">
        <v>356</v>
      </c>
      <c r="H1006" s="586" t="s">
        <v>670</v>
      </c>
      <c r="I1006" s="586" t="s">
        <v>277</v>
      </c>
      <c r="J1006" s="586" t="s">
        <v>522</v>
      </c>
      <c r="K1006" s="586" t="s">
        <v>301</v>
      </c>
      <c r="L1006" s="586" t="s">
        <v>541</v>
      </c>
      <c r="M1006" s="586" t="s">
        <v>285</v>
      </c>
      <c r="N1006" s="586" t="s">
        <v>670</v>
      </c>
      <c r="O1006" s="586" t="s">
        <v>670</v>
      </c>
      <c r="P1006" s="586" t="s">
        <v>522</v>
      </c>
      <c r="Q1006" s="586" t="s">
        <v>670</v>
      </c>
      <c r="R1006" s="587">
        <v>45810</v>
      </c>
      <c r="S1006" s="586" t="s">
        <v>670</v>
      </c>
      <c r="T1006" s="587">
        <v>45808</v>
      </c>
      <c r="U1006" s="588">
        <v>0</v>
      </c>
      <c r="V1006" s="589">
        <v>0.18</v>
      </c>
      <c r="W1006" s="260">
        <v>45778</v>
      </c>
    </row>
    <row r="1007" spans="1:23" hidden="1" x14ac:dyDescent="0.35">
      <c r="A1007" s="586" t="s">
        <v>526</v>
      </c>
      <c r="B1007" s="586" t="s">
        <v>159</v>
      </c>
      <c r="C1007" s="586" t="s">
        <v>298</v>
      </c>
      <c r="D1007" s="586" t="s">
        <v>304</v>
      </c>
      <c r="E1007" s="586" t="s">
        <v>305</v>
      </c>
      <c r="F1007" s="586" t="s">
        <v>276</v>
      </c>
      <c r="G1007" s="586" t="s">
        <v>356</v>
      </c>
      <c r="H1007" s="586" t="s">
        <v>670</v>
      </c>
      <c r="I1007" s="586" t="s">
        <v>277</v>
      </c>
      <c r="J1007" s="586" t="s">
        <v>522</v>
      </c>
      <c r="K1007" s="586" t="s">
        <v>301</v>
      </c>
      <c r="L1007" s="586" t="s">
        <v>541</v>
      </c>
      <c r="M1007" s="586" t="s">
        <v>285</v>
      </c>
      <c r="N1007" s="586" t="s">
        <v>670</v>
      </c>
      <c r="O1007" s="586" t="s">
        <v>670</v>
      </c>
      <c r="P1007" s="586" t="s">
        <v>522</v>
      </c>
      <c r="Q1007" s="586" t="s">
        <v>670</v>
      </c>
      <c r="R1007" s="587">
        <v>45810</v>
      </c>
      <c r="S1007" s="586" t="s">
        <v>670</v>
      </c>
      <c r="T1007" s="587">
        <v>45808</v>
      </c>
      <c r="U1007" s="588">
        <v>0</v>
      </c>
      <c r="V1007" s="589">
        <v>0.2</v>
      </c>
      <c r="W1007" s="260">
        <v>45778</v>
      </c>
    </row>
    <row r="1008" spans="1:23" hidden="1" x14ac:dyDescent="0.35">
      <c r="A1008" s="586" t="s">
        <v>526</v>
      </c>
      <c r="B1008" s="586" t="s">
        <v>159</v>
      </c>
      <c r="C1008" s="586" t="s">
        <v>298</v>
      </c>
      <c r="D1008" s="586" t="s">
        <v>306</v>
      </c>
      <c r="E1008" s="586" t="s">
        <v>307</v>
      </c>
      <c r="F1008" s="586" t="s">
        <v>276</v>
      </c>
      <c r="G1008" s="586" t="s">
        <v>356</v>
      </c>
      <c r="H1008" s="586" t="s">
        <v>670</v>
      </c>
      <c r="I1008" s="586" t="s">
        <v>277</v>
      </c>
      <c r="J1008" s="586" t="s">
        <v>522</v>
      </c>
      <c r="K1008" s="586" t="s">
        <v>301</v>
      </c>
      <c r="L1008" s="586" t="s">
        <v>541</v>
      </c>
      <c r="M1008" s="586" t="s">
        <v>285</v>
      </c>
      <c r="N1008" s="586" t="s">
        <v>670</v>
      </c>
      <c r="O1008" s="586" t="s">
        <v>670</v>
      </c>
      <c r="P1008" s="586" t="s">
        <v>522</v>
      </c>
      <c r="Q1008" s="586" t="s">
        <v>670</v>
      </c>
      <c r="R1008" s="587">
        <v>45810</v>
      </c>
      <c r="S1008" s="586" t="s">
        <v>670</v>
      </c>
      <c r="T1008" s="587">
        <v>45808</v>
      </c>
      <c r="U1008" s="588">
        <v>0</v>
      </c>
      <c r="V1008" s="589">
        <v>0.02</v>
      </c>
      <c r="W1008" s="260">
        <v>45778</v>
      </c>
    </row>
    <row r="1009" spans="1:23" hidden="1" x14ac:dyDescent="0.35">
      <c r="A1009" s="586" t="s">
        <v>526</v>
      </c>
      <c r="B1009" s="586" t="s">
        <v>159</v>
      </c>
      <c r="C1009" s="586" t="s">
        <v>298</v>
      </c>
      <c r="D1009" s="586" t="s">
        <v>306</v>
      </c>
      <c r="E1009" s="586" t="s">
        <v>307</v>
      </c>
      <c r="F1009" s="586" t="s">
        <v>276</v>
      </c>
      <c r="G1009" s="586" t="s">
        <v>356</v>
      </c>
      <c r="H1009" s="586" t="s">
        <v>670</v>
      </c>
      <c r="I1009" s="586" t="s">
        <v>277</v>
      </c>
      <c r="J1009" s="586" t="s">
        <v>522</v>
      </c>
      <c r="K1009" s="586" t="s">
        <v>301</v>
      </c>
      <c r="L1009" s="586" t="s">
        <v>541</v>
      </c>
      <c r="M1009" s="586" t="s">
        <v>285</v>
      </c>
      <c r="N1009" s="586" t="s">
        <v>670</v>
      </c>
      <c r="O1009" s="586" t="s">
        <v>670</v>
      </c>
      <c r="P1009" s="586" t="s">
        <v>522</v>
      </c>
      <c r="Q1009" s="586" t="s">
        <v>670</v>
      </c>
      <c r="R1009" s="587">
        <v>45810</v>
      </c>
      <c r="S1009" s="586" t="s">
        <v>670</v>
      </c>
      <c r="T1009" s="587">
        <v>45808</v>
      </c>
      <c r="U1009" s="588">
        <v>0</v>
      </c>
      <c r="V1009" s="589">
        <v>0.28000000000000003</v>
      </c>
      <c r="W1009" s="260">
        <v>45778</v>
      </c>
    </row>
    <row r="1010" spans="1:23" hidden="1" x14ac:dyDescent="0.35">
      <c r="A1010" s="586" t="s">
        <v>526</v>
      </c>
      <c r="B1010" s="586" t="s">
        <v>159</v>
      </c>
      <c r="C1010" s="586" t="s">
        <v>298</v>
      </c>
      <c r="D1010" s="586" t="s">
        <v>308</v>
      </c>
      <c r="E1010" s="586" t="s">
        <v>309</v>
      </c>
      <c r="F1010" s="586" t="s">
        <v>276</v>
      </c>
      <c r="G1010" s="586" t="s">
        <v>356</v>
      </c>
      <c r="H1010" s="586" t="s">
        <v>670</v>
      </c>
      <c r="I1010" s="586" t="s">
        <v>277</v>
      </c>
      <c r="J1010" s="586" t="s">
        <v>522</v>
      </c>
      <c r="K1010" s="586" t="s">
        <v>301</v>
      </c>
      <c r="L1010" s="586" t="s">
        <v>541</v>
      </c>
      <c r="M1010" s="586" t="s">
        <v>285</v>
      </c>
      <c r="N1010" s="586" t="s">
        <v>670</v>
      </c>
      <c r="O1010" s="586" t="s">
        <v>670</v>
      </c>
      <c r="P1010" s="586" t="s">
        <v>522</v>
      </c>
      <c r="Q1010" s="586" t="s">
        <v>670</v>
      </c>
      <c r="R1010" s="587">
        <v>45810</v>
      </c>
      <c r="S1010" s="586" t="s">
        <v>670</v>
      </c>
      <c r="T1010" s="587">
        <v>45808</v>
      </c>
      <c r="U1010" s="588">
        <v>0</v>
      </c>
      <c r="V1010" s="589">
        <v>44.63</v>
      </c>
      <c r="W1010" s="260">
        <v>45778</v>
      </c>
    </row>
    <row r="1011" spans="1:23" hidden="1" x14ac:dyDescent="0.35">
      <c r="A1011" s="586" t="s">
        <v>526</v>
      </c>
      <c r="B1011" s="586" t="s">
        <v>159</v>
      </c>
      <c r="C1011" s="586" t="s">
        <v>302</v>
      </c>
      <c r="D1011" s="586" t="s">
        <v>308</v>
      </c>
      <c r="E1011" s="586" t="s">
        <v>309</v>
      </c>
      <c r="F1011" s="586" t="s">
        <v>276</v>
      </c>
      <c r="G1011" s="586" t="s">
        <v>356</v>
      </c>
      <c r="H1011" s="586" t="s">
        <v>670</v>
      </c>
      <c r="I1011" s="586" t="s">
        <v>277</v>
      </c>
      <c r="J1011" s="586" t="s">
        <v>522</v>
      </c>
      <c r="K1011" s="586" t="s">
        <v>303</v>
      </c>
      <c r="L1011" s="586" t="s">
        <v>541</v>
      </c>
      <c r="M1011" s="586" t="s">
        <v>285</v>
      </c>
      <c r="N1011" s="586" t="s">
        <v>670</v>
      </c>
      <c r="O1011" s="586" t="s">
        <v>670</v>
      </c>
      <c r="P1011" s="586" t="s">
        <v>522</v>
      </c>
      <c r="Q1011" s="586" t="s">
        <v>670</v>
      </c>
      <c r="R1011" s="587">
        <v>45811</v>
      </c>
      <c r="S1011" s="586" t="s">
        <v>670</v>
      </c>
      <c r="T1011" s="587">
        <v>45808</v>
      </c>
      <c r="U1011" s="588">
        <v>0</v>
      </c>
      <c r="V1011" s="589">
        <v>122.56</v>
      </c>
      <c r="W1011" s="260">
        <v>45778</v>
      </c>
    </row>
    <row r="1012" spans="1:23" hidden="1" x14ac:dyDescent="0.35">
      <c r="A1012" s="586" t="s">
        <v>526</v>
      </c>
      <c r="B1012" s="586" t="s">
        <v>159</v>
      </c>
      <c r="C1012" s="586" t="s">
        <v>302</v>
      </c>
      <c r="D1012" s="586" t="s">
        <v>310</v>
      </c>
      <c r="E1012" s="586" t="s">
        <v>311</v>
      </c>
      <c r="F1012" s="586" t="s">
        <v>276</v>
      </c>
      <c r="G1012" s="586" t="s">
        <v>356</v>
      </c>
      <c r="H1012" s="586" t="s">
        <v>670</v>
      </c>
      <c r="I1012" s="586" t="s">
        <v>277</v>
      </c>
      <c r="J1012" s="586" t="s">
        <v>522</v>
      </c>
      <c r="K1012" s="586" t="s">
        <v>303</v>
      </c>
      <c r="L1012" s="586" t="s">
        <v>541</v>
      </c>
      <c r="M1012" s="586" t="s">
        <v>285</v>
      </c>
      <c r="N1012" s="586" t="s">
        <v>670</v>
      </c>
      <c r="O1012" s="586" t="s">
        <v>670</v>
      </c>
      <c r="P1012" s="586" t="s">
        <v>522</v>
      </c>
      <c r="Q1012" s="586" t="s">
        <v>670</v>
      </c>
      <c r="R1012" s="587">
        <v>45811</v>
      </c>
      <c r="S1012" s="586" t="s">
        <v>670</v>
      </c>
      <c r="T1012" s="587">
        <v>45808</v>
      </c>
      <c r="U1012" s="588">
        <v>0</v>
      </c>
      <c r="V1012" s="589">
        <v>581.29</v>
      </c>
      <c r="W1012" s="260">
        <v>45778</v>
      </c>
    </row>
    <row r="1013" spans="1:23" hidden="1" x14ac:dyDescent="0.35">
      <c r="A1013" s="586" t="s">
        <v>526</v>
      </c>
      <c r="B1013" s="586" t="s">
        <v>159</v>
      </c>
      <c r="C1013" s="586" t="s">
        <v>298</v>
      </c>
      <c r="D1013" s="586" t="s">
        <v>312</v>
      </c>
      <c r="E1013" s="586" t="s">
        <v>313</v>
      </c>
      <c r="F1013" s="586" t="s">
        <v>276</v>
      </c>
      <c r="G1013" s="586" t="s">
        <v>356</v>
      </c>
      <c r="H1013" s="586" t="s">
        <v>670</v>
      </c>
      <c r="I1013" s="586" t="s">
        <v>277</v>
      </c>
      <c r="J1013" s="586" t="s">
        <v>522</v>
      </c>
      <c r="K1013" s="586" t="s">
        <v>301</v>
      </c>
      <c r="L1013" s="586" t="s">
        <v>541</v>
      </c>
      <c r="M1013" s="586" t="s">
        <v>285</v>
      </c>
      <c r="N1013" s="586" t="s">
        <v>670</v>
      </c>
      <c r="O1013" s="586" t="s">
        <v>670</v>
      </c>
      <c r="P1013" s="586" t="s">
        <v>522</v>
      </c>
      <c r="Q1013" s="586" t="s">
        <v>670</v>
      </c>
      <c r="R1013" s="587">
        <v>45810</v>
      </c>
      <c r="S1013" s="586" t="s">
        <v>670</v>
      </c>
      <c r="T1013" s="587">
        <v>45808</v>
      </c>
      <c r="U1013" s="588">
        <v>0</v>
      </c>
      <c r="V1013" s="589">
        <v>2.4</v>
      </c>
      <c r="W1013" s="260">
        <v>45778</v>
      </c>
    </row>
    <row r="1014" spans="1:23" hidden="1" x14ac:dyDescent="0.35">
      <c r="A1014" s="586" t="s">
        <v>526</v>
      </c>
      <c r="B1014" s="586" t="s">
        <v>159</v>
      </c>
      <c r="C1014" s="586" t="s">
        <v>298</v>
      </c>
      <c r="D1014" s="586" t="s">
        <v>314</v>
      </c>
      <c r="E1014" s="586" t="s">
        <v>315</v>
      </c>
      <c r="F1014" s="586" t="s">
        <v>276</v>
      </c>
      <c r="G1014" s="586" t="s">
        <v>356</v>
      </c>
      <c r="H1014" s="586" t="s">
        <v>670</v>
      </c>
      <c r="I1014" s="586" t="s">
        <v>277</v>
      </c>
      <c r="J1014" s="586" t="s">
        <v>522</v>
      </c>
      <c r="K1014" s="586" t="s">
        <v>301</v>
      </c>
      <c r="L1014" s="586" t="s">
        <v>541</v>
      </c>
      <c r="M1014" s="586" t="s">
        <v>285</v>
      </c>
      <c r="N1014" s="586" t="s">
        <v>670</v>
      </c>
      <c r="O1014" s="586" t="s">
        <v>670</v>
      </c>
      <c r="P1014" s="586" t="s">
        <v>522</v>
      </c>
      <c r="Q1014" s="586" t="s">
        <v>670</v>
      </c>
      <c r="R1014" s="587">
        <v>45810</v>
      </c>
      <c r="S1014" s="586" t="s">
        <v>670</v>
      </c>
      <c r="T1014" s="587">
        <v>45808</v>
      </c>
      <c r="U1014" s="588">
        <v>0</v>
      </c>
      <c r="V1014" s="589">
        <v>16.940000000000001</v>
      </c>
      <c r="W1014" s="260">
        <v>45778</v>
      </c>
    </row>
    <row r="1015" spans="1:23" hidden="1" x14ac:dyDescent="0.35">
      <c r="A1015" s="586" t="s">
        <v>526</v>
      </c>
      <c r="B1015" s="586" t="s">
        <v>159</v>
      </c>
      <c r="C1015" s="586" t="s">
        <v>298</v>
      </c>
      <c r="D1015" s="586" t="s">
        <v>316</v>
      </c>
      <c r="E1015" s="586" t="s">
        <v>317</v>
      </c>
      <c r="F1015" s="586" t="s">
        <v>276</v>
      </c>
      <c r="G1015" s="586" t="s">
        <v>356</v>
      </c>
      <c r="H1015" s="586" t="s">
        <v>670</v>
      </c>
      <c r="I1015" s="586" t="s">
        <v>277</v>
      </c>
      <c r="J1015" s="586" t="s">
        <v>522</v>
      </c>
      <c r="K1015" s="586" t="s">
        <v>301</v>
      </c>
      <c r="L1015" s="586" t="s">
        <v>541</v>
      </c>
      <c r="M1015" s="586" t="s">
        <v>285</v>
      </c>
      <c r="N1015" s="586" t="s">
        <v>670</v>
      </c>
      <c r="O1015" s="586" t="s">
        <v>670</v>
      </c>
      <c r="P1015" s="586" t="s">
        <v>522</v>
      </c>
      <c r="Q1015" s="586" t="s">
        <v>670</v>
      </c>
      <c r="R1015" s="587">
        <v>45810</v>
      </c>
      <c r="S1015" s="586" t="s">
        <v>670</v>
      </c>
      <c r="T1015" s="587">
        <v>45808</v>
      </c>
      <c r="U1015" s="588">
        <v>0</v>
      </c>
      <c r="V1015" s="589">
        <v>22.14</v>
      </c>
      <c r="W1015" s="260">
        <v>45778</v>
      </c>
    </row>
    <row r="1016" spans="1:23" hidden="1" x14ac:dyDescent="0.35">
      <c r="A1016" s="586" t="s">
        <v>526</v>
      </c>
      <c r="B1016" s="586" t="s">
        <v>159</v>
      </c>
      <c r="C1016" s="586" t="s">
        <v>298</v>
      </c>
      <c r="D1016" s="586" t="s">
        <v>318</v>
      </c>
      <c r="E1016" s="586" t="s">
        <v>319</v>
      </c>
      <c r="F1016" s="586" t="s">
        <v>276</v>
      </c>
      <c r="G1016" s="586" t="s">
        <v>356</v>
      </c>
      <c r="H1016" s="586" t="s">
        <v>670</v>
      </c>
      <c r="I1016" s="586" t="s">
        <v>277</v>
      </c>
      <c r="J1016" s="586" t="s">
        <v>522</v>
      </c>
      <c r="K1016" s="586" t="s">
        <v>301</v>
      </c>
      <c r="L1016" s="586" t="s">
        <v>541</v>
      </c>
      <c r="M1016" s="586" t="s">
        <v>285</v>
      </c>
      <c r="N1016" s="586" t="s">
        <v>670</v>
      </c>
      <c r="O1016" s="586" t="s">
        <v>670</v>
      </c>
      <c r="P1016" s="586" t="s">
        <v>522</v>
      </c>
      <c r="Q1016" s="586" t="s">
        <v>670</v>
      </c>
      <c r="R1016" s="587">
        <v>45810</v>
      </c>
      <c r="S1016" s="586" t="s">
        <v>670</v>
      </c>
      <c r="T1016" s="587">
        <v>45808</v>
      </c>
      <c r="U1016" s="588">
        <v>0</v>
      </c>
      <c r="V1016" s="589">
        <v>0.08</v>
      </c>
      <c r="W1016" s="260">
        <v>45778</v>
      </c>
    </row>
    <row r="1017" spans="1:23" hidden="1" x14ac:dyDescent="0.35">
      <c r="A1017" s="586" t="s">
        <v>526</v>
      </c>
      <c r="B1017" s="586" t="s">
        <v>159</v>
      </c>
      <c r="C1017" s="586" t="s">
        <v>298</v>
      </c>
      <c r="D1017" s="586" t="s">
        <v>318</v>
      </c>
      <c r="E1017" s="586" t="s">
        <v>319</v>
      </c>
      <c r="F1017" s="586" t="s">
        <v>276</v>
      </c>
      <c r="G1017" s="586" t="s">
        <v>356</v>
      </c>
      <c r="H1017" s="586" t="s">
        <v>670</v>
      </c>
      <c r="I1017" s="586" t="s">
        <v>277</v>
      </c>
      <c r="J1017" s="586" t="s">
        <v>522</v>
      </c>
      <c r="K1017" s="586" t="s">
        <v>301</v>
      </c>
      <c r="L1017" s="586" t="s">
        <v>541</v>
      </c>
      <c r="M1017" s="586" t="s">
        <v>285</v>
      </c>
      <c r="N1017" s="586" t="s">
        <v>670</v>
      </c>
      <c r="O1017" s="586" t="s">
        <v>670</v>
      </c>
      <c r="P1017" s="586" t="s">
        <v>522</v>
      </c>
      <c r="Q1017" s="586" t="s">
        <v>670</v>
      </c>
      <c r="R1017" s="587">
        <v>45810</v>
      </c>
      <c r="S1017" s="586" t="s">
        <v>670</v>
      </c>
      <c r="T1017" s="587">
        <v>45808</v>
      </c>
      <c r="U1017" s="588">
        <v>0</v>
      </c>
      <c r="V1017" s="589">
        <v>0.98</v>
      </c>
      <c r="W1017" s="260">
        <v>45778</v>
      </c>
    </row>
    <row r="1018" spans="1:23" hidden="1" x14ac:dyDescent="0.35">
      <c r="A1018" s="586" t="s">
        <v>526</v>
      </c>
      <c r="B1018" s="586" t="s">
        <v>159</v>
      </c>
      <c r="C1018" s="586" t="s">
        <v>298</v>
      </c>
      <c r="D1018" s="586" t="s">
        <v>391</v>
      </c>
      <c r="E1018" s="586" t="s">
        <v>392</v>
      </c>
      <c r="F1018" s="586" t="s">
        <v>276</v>
      </c>
      <c r="G1018" s="586" t="s">
        <v>356</v>
      </c>
      <c r="H1018" s="586" t="s">
        <v>670</v>
      </c>
      <c r="I1018" s="586" t="s">
        <v>277</v>
      </c>
      <c r="J1018" s="586" t="s">
        <v>522</v>
      </c>
      <c r="K1018" s="586" t="s">
        <v>301</v>
      </c>
      <c r="L1018" s="586" t="s">
        <v>541</v>
      </c>
      <c r="M1018" s="586" t="s">
        <v>285</v>
      </c>
      <c r="N1018" s="586" t="s">
        <v>670</v>
      </c>
      <c r="O1018" s="586" t="s">
        <v>670</v>
      </c>
      <c r="P1018" s="586" t="s">
        <v>522</v>
      </c>
      <c r="Q1018" s="586" t="s">
        <v>670</v>
      </c>
      <c r="R1018" s="587">
        <v>45810</v>
      </c>
      <c r="S1018" s="586" t="s">
        <v>670</v>
      </c>
      <c r="T1018" s="587">
        <v>45808</v>
      </c>
      <c r="U1018" s="588">
        <v>0</v>
      </c>
      <c r="V1018" s="589">
        <v>0.04</v>
      </c>
      <c r="W1018" s="260">
        <v>45778</v>
      </c>
    </row>
    <row r="1019" spans="1:23" hidden="1" x14ac:dyDescent="0.35">
      <c r="A1019" s="586" t="s">
        <v>526</v>
      </c>
      <c r="B1019" s="586" t="s">
        <v>159</v>
      </c>
      <c r="C1019" s="586" t="s">
        <v>298</v>
      </c>
      <c r="D1019" s="586" t="s">
        <v>320</v>
      </c>
      <c r="E1019" s="586" t="s">
        <v>321</v>
      </c>
      <c r="F1019" s="586" t="s">
        <v>276</v>
      </c>
      <c r="G1019" s="586" t="s">
        <v>356</v>
      </c>
      <c r="H1019" s="586" t="s">
        <v>670</v>
      </c>
      <c r="I1019" s="586" t="s">
        <v>277</v>
      </c>
      <c r="J1019" s="586" t="s">
        <v>522</v>
      </c>
      <c r="K1019" s="586" t="s">
        <v>301</v>
      </c>
      <c r="L1019" s="586" t="s">
        <v>541</v>
      </c>
      <c r="M1019" s="586" t="s">
        <v>285</v>
      </c>
      <c r="N1019" s="586" t="s">
        <v>670</v>
      </c>
      <c r="O1019" s="586" t="s">
        <v>670</v>
      </c>
      <c r="P1019" s="586" t="s">
        <v>522</v>
      </c>
      <c r="Q1019" s="586" t="s">
        <v>670</v>
      </c>
      <c r="R1019" s="587">
        <v>45810</v>
      </c>
      <c r="S1019" s="586" t="s">
        <v>670</v>
      </c>
      <c r="T1019" s="587">
        <v>45808</v>
      </c>
      <c r="U1019" s="588">
        <v>0</v>
      </c>
      <c r="V1019" s="589">
        <v>6.54</v>
      </c>
      <c r="W1019" s="260">
        <v>45778</v>
      </c>
    </row>
    <row r="1020" spans="1:23" hidden="1" x14ac:dyDescent="0.35">
      <c r="A1020" s="586" t="s">
        <v>526</v>
      </c>
      <c r="B1020" s="586" t="s">
        <v>159</v>
      </c>
      <c r="C1020" s="586" t="s">
        <v>298</v>
      </c>
      <c r="D1020" s="586" t="s">
        <v>322</v>
      </c>
      <c r="E1020" s="586" t="s">
        <v>323</v>
      </c>
      <c r="F1020" s="586" t="s">
        <v>276</v>
      </c>
      <c r="G1020" s="586" t="s">
        <v>356</v>
      </c>
      <c r="H1020" s="586" t="s">
        <v>670</v>
      </c>
      <c r="I1020" s="586" t="s">
        <v>277</v>
      </c>
      <c r="J1020" s="586" t="s">
        <v>522</v>
      </c>
      <c r="K1020" s="586" t="s">
        <v>301</v>
      </c>
      <c r="L1020" s="586" t="s">
        <v>541</v>
      </c>
      <c r="M1020" s="586" t="s">
        <v>285</v>
      </c>
      <c r="N1020" s="586" t="s">
        <v>670</v>
      </c>
      <c r="O1020" s="586" t="s">
        <v>670</v>
      </c>
      <c r="P1020" s="586" t="s">
        <v>522</v>
      </c>
      <c r="Q1020" s="586" t="s">
        <v>670</v>
      </c>
      <c r="R1020" s="587">
        <v>45810</v>
      </c>
      <c r="S1020" s="586" t="s">
        <v>670</v>
      </c>
      <c r="T1020" s="587">
        <v>45808</v>
      </c>
      <c r="U1020" s="588">
        <v>0</v>
      </c>
      <c r="V1020" s="589">
        <v>0.14000000000000001</v>
      </c>
      <c r="W1020" s="260">
        <v>45778</v>
      </c>
    </row>
    <row r="1021" spans="1:23" hidden="1" x14ac:dyDescent="0.35">
      <c r="A1021" s="586" t="s">
        <v>526</v>
      </c>
      <c r="B1021" s="586" t="s">
        <v>159</v>
      </c>
      <c r="C1021" s="586" t="s">
        <v>298</v>
      </c>
      <c r="D1021" s="586" t="s">
        <v>322</v>
      </c>
      <c r="E1021" s="586" t="s">
        <v>323</v>
      </c>
      <c r="F1021" s="586" t="s">
        <v>276</v>
      </c>
      <c r="G1021" s="586" t="s">
        <v>356</v>
      </c>
      <c r="H1021" s="586" t="s">
        <v>670</v>
      </c>
      <c r="I1021" s="586" t="s">
        <v>277</v>
      </c>
      <c r="J1021" s="586" t="s">
        <v>522</v>
      </c>
      <c r="K1021" s="586" t="s">
        <v>301</v>
      </c>
      <c r="L1021" s="586" t="s">
        <v>541</v>
      </c>
      <c r="M1021" s="586" t="s">
        <v>285</v>
      </c>
      <c r="N1021" s="586" t="s">
        <v>670</v>
      </c>
      <c r="O1021" s="586" t="s">
        <v>670</v>
      </c>
      <c r="P1021" s="586" t="s">
        <v>522</v>
      </c>
      <c r="Q1021" s="586" t="s">
        <v>670</v>
      </c>
      <c r="R1021" s="587">
        <v>45810</v>
      </c>
      <c r="S1021" s="586" t="s">
        <v>670</v>
      </c>
      <c r="T1021" s="587">
        <v>45808</v>
      </c>
      <c r="U1021" s="588">
        <v>0</v>
      </c>
      <c r="V1021" s="589">
        <v>0.05</v>
      </c>
      <c r="W1021" s="260">
        <v>45778</v>
      </c>
    </row>
    <row r="1022" spans="1:23" hidden="1" x14ac:dyDescent="0.35">
      <c r="A1022" s="586" t="s">
        <v>526</v>
      </c>
      <c r="B1022" s="586" t="s">
        <v>159</v>
      </c>
      <c r="C1022" s="586" t="s">
        <v>298</v>
      </c>
      <c r="D1022" s="586" t="s">
        <v>324</v>
      </c>
      <c r="E1022" s="586" t="s">
        <v>325</v>
      </c>
      <c r="F1022" s="586" t="s">
        <v>276</v>
      </c>
      <c r="G1022" s="586" t="s">
        <v>356</v>
      </c>
      <c r="H1022" s="586" t="s">
        <v>670</v>
      </c>
      <c r="I1022" s="586" t="s">
        <v>277</v>
      </c>
      <c r="J1022" s="586" t="s">
        <v>522</v>
      </c>
      <c r="K1022" s="586" t="s">
        <v>301</v>
      </c>
      <c r="L1022" s="586" t="s">
        <v>541</v>
      </c>
      <c r="M1022" s="586" t="s">
        <v>285</v>
      </c>
      <c r="N1022" s="586" t="s">
        <v>670</v>
      </c>
      <c r="O1022" s="586" t="s">
        <v>670</v>
      </c>
      <c r="P1022" s="586" t="s">
        <v>522</v>
      </c>
      <c r="Q1022" s="586" t="s">
        <v>670</v>
      </c>
      <c r="R1022" s="587">
        <v>45810</v>
      </c>
      <c r="S1022" s="586" t="s">
        <v>670</v>
      </c>
      <c r="T1022" s="587">
        <v>45808</v>
      </c>
      <c r="U1022" s="588">
        <v>0</v>
      </c>
      <c r="V1022" s="589">
        <v>62.81</v>
      </c>
      <c r="W1022" s="260">
        <v>45778</v>
      </c>
    </row>
    <row r="1023" spans="1:23" hidden="1" x14ac:dyDescent="0.35">
      <c r="A1023" s="586" t="s">
        <v>526</v>
      </c>
      <c r="B1023" s="586" t="s">
        <v>159</v>
      </c>
      <c r="C1023" s="586" t="s">
        <v>298</v>
      </c>
      <c r="D1023" s="586" t="s">
        <v>326</v>
      </c>
      <c r="E1023" s="586" t="s">
        <v>327</v>
      </c>
      <c r="F1023" s="586" t="s">
        <v>276</v>
      </c>
      <c r="G1023" s="586" t="s">
        <v>356</v>
      </c>
      <c r="H1023" s="586" t="s">
        <v>670</v>
      </c>
      <c r="I1023" s="586" t="s">
        <v>277</v>
      </c>
      <c r="J1023" s="586" t="s">
        <v>522</v>
      </c>
      <c r="K1023" s="586" t="s">
        <v>301</v>
      </c>
      <c r="L1023" s="586" t="s">
        <v>541</v>
      </c>
      <c r="M1023" s="586" t="s">
        <v>285</v>
      </c>
      <c r="N1023" s="586" t="s">
        <v>670</v>
      </c>
      <c r="O1023" s="586" t="s">
        <v>670</v>
      </c>
      <c r="P1023" s="586" t="s">
        <v>522</v>
      </c>
      <c r="Q1023" s="586" t="s">
        <v>670</v>
      </c>
      <c r="R1023" s="587">
        <v>45810</v>
      </c>
      <c r="S1023" s="586" t="s">
        <v>670</v>
      </c>
      <c r="T1023" s="587">
        <v>45808</v>
      </c>
      <c r="U1023" s="588">
        <v>0</v>
      </c>
      <c r="V1023" s="589">
        <v>0.15</v>
      </c>
      <c r="W1023" s="260">
        <v>45778</v>
      </c>
    </row>
    <row r="1024" spans="1:23" hidden="1" x14ac:dyDescent="0.35">
      <c r="A1024" s="586" t="s">
        <v>526</v>
      </c>
      <c r="B1024" s="586" t="s">
        <v>159</v>
      </c>
      <c r="C1024" s="586" t="s">
        <v>298</v>
      </c>
      <c r="D1024" s="586" t="s">
        <v>326</v>
      </c>
      <c r="E1024" s="586" t="s">
        <v>327</v>
      </c>
      <c r="F1024" s="586" t="s">
        <v>276</v>
      </c>
      <c r="G1024" s="586" t="s">
        <v>356</v>
      </c>
      <c r="H1024" s="586" t="s">
        <v>670</v>
      </c>
      <c r="I1024" s="586" t="s">
        <v>277</v>
      </c>
      <c r="J1024" s="586" t="s">
        <v>522</v>
      </c>
      <c r="K1024" s="586" t="s">
        <v>301</v>
      </c>
      <c r="L1024" s="586" t="s">
        <v>541</v>
      </c>
      <c r="M1024" s="586" t="s">
        <v>285</v>
      </c>
      <c r="N1024" s="586" t="s">
        <v>670</v>
      </c>
      <c r="O1024" s="586" t="s">
        <v>670</v>
      </c>
      <c r="P1024" s="586" t="s">
        <v>522</v>
      </c>
      <c r="Q1024" s="586" t="s">
        <v>670</v>
      </c>
      <c r="R1024" s="587">
        <v>45810</v>
      </c>
      <c r="S1024" s="586" t="s">
        <v>670</v>
      </c>
      <c r="T1024" s="587">
        <v>45808</v>
      </c>
      <c r="U1024" s="588">
        <v>0</v>
      </c>
      <c r="V1024" s="589">
        <v>2.73</v>
      </c>
      <c r="W1024" s="260">
        <v>45778</v>
      </c>
    </row>
    <row r="1025" spans="1:23" hidden="1" x14ac:dyDescent="0.35">
      <c r="A1025" s="586" t="s">
        <v>526</v>
      </c>
      <c r="B1025" s="586" t="s">
        <v>159</v>
      </c>
      <c r="C1025" s="586" t="s">
        <v>298</v>
      </c>
      <c r="D1025" s="586" t="s">
        <v>393</v>
      </c>
      <c r="E1025" s="586" t="s">
        <v>394</v>
      </c>
      <c r="F1025" s="586" t="s">
        <v>276</v>
      </c>
      <c r="G1025" s="586" t="s">
        <v>356</v>
      </c>
      <c r="H1025" s="586" t="s">
        <v>670</v>
      </c>
      <c r="I1025" s="586" t="s">
        <v>277</v>
      </c>
      <c r="J1025" s="586" t="s">
        <v>522</v>
      </c>
      <c r="K1025" s="586" t="s">
        <v>301</v>
      </c>
      <c r="L1025" s="586" t="s">
        <v>541</v>
      </c>
      <c r="M1025" s="586" t="s">
        <v>285</v>
      </c>
      <c r="N1025" s="586" t="s">
        <v>670</v>
      </c>
      <c r="O1025" s="586" t="s">
        <v>670</v>
      </c>
      <c r="P1025" s="586" t="s">
        <v>522</v>
      </c>
      <c r="Q1025" s="586" t="s">
        <v>670</v>
      </c>
      <c r="R1025" s="587">
        <v>45810</v>
      </c>
      <c r="S1025" s="586" t="s">
        <v>670</v>
      </c>
      <c r="T1025" s="587">
        <v>45808</v>
      </c>
      <c r="U1025" s="588">
        <v>0</v>
      </c>
      <c r="V1025" s="589">
        <v>0.16</v>
      </c>
      <c r="W1025" s="260">
        <v>45778</v>
      </c>
    </row>
    <row r="1026" spans="1:23" hidden="1" x14ac:dyDescent="0.35">
      <c r="A1026" s="586" t="s">
        <v>526</v>
      </c>
      <c r="B1026" s="586" t="s">
        <v>159</v>
      </c>
      <c r="C1026" s="586" t="s">
        <v>298</v>
      </c>
      <c r="D1026" s="586" t="s">
        <v>671</v>
      </c>
      <c r="E1026" s="586" t="s">
        <v>672</v>
      </c>
      <c r="F1026" s="586" t="s">
        <v>276</v>
      </c>
      <c r="G1026" s="586" t="s">
        <v>356</v>
      </c>
      <c r="H1026" s="586" t="s">
        <v>670</v>
      </c>
      <c r="I1026" s="586" t="s">
        <v>277</v>
      </c>
      <c r="J1026" s="586" t="s">
        <v>522</v>
      </c>
      <c r="K1026" s="586" t="s">
        <v>301</v>
      </c>
      <c r="L1026" s="586" t="s">
        <v>541</v>
      </c>
      <c r="M1026" s="586" t="s">
        <v>285</v>
      </c>
      <c r="N1026" s="586" t="s">
        <v>670</v>
      </c>
      <c r="O1026" s="586" t="s">
        <v>670</v>
      </c>
      <c r="P1026" s="586" t="s">
        <v>522</v>
      </c>
      <c r="Q1026" s="586" t="s">
        <v>670</v>
      </c>
      <c r="R1026" s="587">
        <v>45810</v>
      </c>
      <c r="S1026" s="586" t="s">
        <v>670</v>
      </c>
      <c r="T1026" s="587">
        <v>45808</v>
      </c>
      <c r="U1026" s="588">
        <v>0</v>
      </c>
      <c r="V1026" s="589">
        <v>0.13</v>
      </c>
      <c r="W1026" s="260">
        <v>45778</v>
      </c>
    </row>
    <row r="1027" spans="1:23" hidden="1" x14ac:dyDescent="0.35">
      <c r="A1027" s="586" t="s">
        <v>526</v>
      </c>
      <c r="B1027" s="586" t="s">
        <v>159</v>
      </c>
      <c r="C1027" s="586" t="s">
        <v>298</v>
      </c>
      <c r="D1027" s="586" t="s">
        <v>673</v>
      </c>
      <c r="E1027" s="586" t="s">
        <v>674</v>
      </c>
      <c r="F1027" s="586" t="s">
        <v>276</v>
      </c>
      <c r="G1027" s="586" t="s">
        <v>356</v>
      </c>
      <c r="H1027" s="586" t="s">
        <v>670</v>
      </c>
      <c r="I1027" s="586" t="s">
        <v>277</v>
      </c>
      <c r="J1027" s="586" t="s">
        <v>522</v>
      </c>
      <c r="K1027" s="586" t="s">
        <v>301</v>
      </c>
      <c r="L1027" s="586" t="s">
        <v>541</v>
      </c>
      <c r="M1027" s="586" t="s">
        <v>285</v>
      </c>
      <c r="N1027" s="586" t="s">
        <v>670</v>
      </c>
      <c r="O1027" s="586" t="s">
        <v>670</v>
      </c>
      <c r="P1027" s="586" t="s">
        <v>522</v>
      </c>
      <c r="Q1027" s="586" t="s">
        <v>670</v>
      </c>
      <c r="R1027" s="587">
        <v>45810</v>
      </c>
      <c r="S1027" s="586" t="s">
        <v>670</v>
      </c>
      <c r="T1027" s="587">
        <v>45808</v>
      </c>
      <c r="U1027" s="588">
        <v>0</v>
      </c>
      <c r="V1027" s="589">
        <v>0.14000000000000001</v>
      </c>
      <c r="W1027" s="260">
        <v>45778</v>
      </c>
    </row>
    <row r="1028" spans="1:23" hidden="1" x14ac:dyDescent="0.35">
      <c r="A1028" s="586" t="s">
        <v>526</v>
      </c>
      <c r="B1028" s="586" t="s">
        <v>159</v>
      </c>
      <c r="C1028" s="586" t="s">
        <v>298</v>
      </c>
      <c r="D1028" s="586" t="s">
        <v>328</v>
      </c>
      <c r="E1028" s="586" t="s">
        <v>329</v>
      </c>
      <c r="F1028" s="586" t="s">
        <v>276</v>
      </c>
      <c r="G1028" s="586" t="s">
        <v>356</v>
      </c>
      <c r="H1028" s="586" t="s">
        <v>670</v>
      </c>
      <c r="I1028" s="586" t="s">
        <v>277</v>
      </c>
      <c r="J1028" s="586" t="s">
        <v>522</v>
      </c>
      <c r="K1028" s="586" t="s">
        <v>301</v>
      </c>
      <c r="L1028" s="586" t="s">
        <v>541</v>
      </c>
      <c r="M1028" s="586" t="s">
        <v>285</v>
      </c>
      <c r="N1028" s="586" t="s">
        <v>670</v>
      </c>
      <c r="O1028" s="586" t="s">
        <v>670</v>
      </c>
      <c r="P1028" s="586" t="s">
        <v>522</v>
      </c>
      <c r="Q1028" s="586" t="s">
        <v>670</v>
      </c>
      <c r="R1028" s="587">
        <v>45810</v>
      </c>
      <c r="S1028" s="586" t="s">
        <v>670</v>
      </c>
      <c r="T1028" s="587">
        <v>45808</v>
      </c>
      <c r="U1028" s="588">
        <v>0</v>
      </c>
      <c r="V1028" s="589">
        <v>416.78</v>
      </c>
      <c r="W1028" s="260">
        <v>45778</v>
      </c>
    </row>
    <row r="1029" spans="1:23" hidden="1" x14ac:dyDescent="0.35">
      <c r="A1029" s="586" t="s">
        <v>526</v>
      </c>
      <c r="B1029" s="586" t="s">
        <v>159</v>
      </c>
      <c r="C1029" s="586" t="s">
        <v>298</v>
      </c>
      <c r="D1029" s="586" t="s">
        <v>330</v>
      </c>
      <c r="E1029" s="586" t="s">
        <v>331</v>
      </c>
      <c r="F1029" s="586" t="s">
        <v>276</v>
      </c>
      <c r="G1029" s="586" t="s">
        <v>356</v>
      </c>
      <c r="H1029" s="586" t="s">
        <v>670</v>
      </c>
      <c r="I1029" s="586" t="s">
        <v>277</v>
      </c>
      <c r="J1029" s="586" t="s">
        <v>522</v>
      </c>
      <c r="K1029" s="586" t="s">
        <v>301</v>
      </c>
      <c r="L1029" s="586" t="s">
        <v>541</v>
      </c>
      <c r="M1029" s="586" t="s">
        <v>285</v>
      </c>
      <c r="N1029" s="586" t="s">
        <v>670</v>
      </c>
      <c r="O1029" s="586" t="s">
        <v>670</v>
      </c>
      <c r="P1029" s="586" t="s">
        <v>522</v>
      </c>
      <c r="Q1029" s="586" t="s">
        <v>670</v>
      </c>
      <c r="R1029" s="587">
        <v>45810</v>
      </c>
      <c r="S1029" s="586" t="s">
        <v>670</v>
      </c>
      <c r="T1029" s="587">
        <v>45808</v>
      </c>
      <c r="U1029" s="588">
        <v>0</v>
      </c>
      <c r="V1029" s="589">
        <v>1.02</v>
      </c>
      <c r="W1029" s="260">
        <v>45778</v>
      </c>
    </row>
    <row r="1030" spans="1:23" hidden="1" x14ac:dyDescent="0.35">
      <c r="A1030" s="586" t="s">
        <v>526</v>
      </c>
      <c r="B1030" s="586" t="s">
        <v>159</v>
      </c>
      <c r="C1030" s="586" t="s">
        <v>298</v>
      </c>
      <c r="D1030" s="586" t="s">
        <v>332</v>
      </c>
      <c r="E1030" s="586" t="s">
        <v>333</v>
      </c>
      <c r="F1030" s="586" t="s">
        <v>276</v>
      </c>
      <c r="G1030" s="586" t="s">
        <v>356</v>
      </c>
      <c r="H1030" s="586" t="s">
        <v>670</v>
      </c>
      <c r="I1030" s="586" t="s">
        <v>277</v>
      </c>
      <c r="J1030" s="586" t="s">
        <v>522</v>
      </c>
      <c r="K1030" s="586" t="s">
        <v>301</v>
      </c>
      <c r="L1030" s="586" t="s">
        <v>541</v>
      </c>
      <c r="M1030" s="586" t="s">
        <v>285</v>
      </c>
      <c r="N1030" s="586" t="s">
        <v>670</v>
      </c>
      <c r="O1030" s="586" t="s">
        <v>670</v>
      </c>
      <c r="P1030" s="586" t="s">
        <v>522</v>
      </c>
      <c r="Q1030" s="586" t="s">
        <v>670</v>
      </c>
      <c r="R1030" s="587">
        <v>45810</v>
      </c>
      <c r="S1030" s="586" t="s">
        <v>670</v>
      </c>
      <c r="T1030" s="587">
        <v>45808</v>
      </c>
      <c r="U1030" s="588">
        <v>0</v>
      </c>
      <c r="V1030" s="589">
        <v>42.18</v>
      </c>
      <c r="W1030" s="260">
        <v>45778</v>
      </c>
    </row>
    <row r="1031" spans="1:23" hidden="1" x14ac:dyDescent="0.35">
      <c r="A1031" s="586" t="s">
        <v>526</v>
      </c>
      <c r="B1031" s="586" t="s">
        <v>159</v>
      </c>
      <c r="C1031" s="586" t="s">
        <v>298</v>
      </c>
      <c r="D1031" s="586" t="s">
        <v>334</v>
      </c>
      <c r="E1031" s="586" t="s">
        <v>335</v>
      </c>
      <c r="F1031" s="586" t="s">
        <v>276</v>
      </c>
      <c r="G1031" s="586" t="s">
        <v>356</v>
      </c>
      <c r="H1031" s="586" t="s">
        <v>670</v>
      </c>
      <c r="I1031" s="586" t="s">
        <v>277</v>
      </c>
      <c r="J1031" s="586" t="s">
        <v>522</v>
      </c>
      <c r="K1031" s="586" t="s">
        <v>301</v>
      </c>
      <c r="L1031" s="586" t="s">
        <v>541</v>
      </c>
      <c r="M1031" s="586" t="s">
        <v>285</v>
      </c>
      <c r="N1031" s="586" t="s">
        <v>670</v>
      </c>
      <c r="O1031" s="586" t="s">
        <v>670</v>
      </c>
      <c r="P1031" s="586" t="s">
        <v>522</v>
      </c>
      <c r="Q1031" s="586" t="s">
        <v>670</v>
      </c>
      <c r="R1031" s="587">
        <v>45810</v>
      </c>
      <c r="S1031" s="586" t="s">
        <v>670</v>
      </c>
      <c r="T1031" s="587">
        <v>45808</v>
      </c>
      <c r="U1031" s="588">
        <v>0</v>
      </c>
      <c r="V1031" s="589">
        <v>-0.22</v>
      </c>
      <c r="W1031" s="260">
        <v>45778</v>
      </c>
    </row>
    <row r="1032" spans="1:23" hidden="1" x14ac:dyDescent="0.35">
      <c r="A1032" s="586" t="s">
        <v>526</v>
      </c>
      <c r="B1032" s="586" t="s">
        <v>159</v>
      </c>
      <c r="C1032" s="586" t="s">
        <v>298</v>
      </c>
      <c r="D1032" s="586" t="s">
        <v>336</v>
      </c>
      <c r="E1032" s="586" t="s">
        <v>337</v>
      </c>
      <c r="F1032" s="586" t="s">
        <v>276</v>
      </c>
      <c r="G1032" s="586" t="s">
        <v>356</v>
      </c>
      <c r="H1032" s="586" t="s">
        <v>670</v>
      </c>
      <c r="I1032" s="586" t="s">
        <v>277</v>
      </c>
      <c r="J1032" s="586" t="s">
        <v>522</v>
      </c>
      <c r="K1032" s="586" t="s">
        <v>301</v>
      </c>
      <c r="L1032" s="586" t="s">
        <v>541</v>
      </c>
      <c r="M1032" s="586" t="s">
        <v>285</v>
      </c>
      <c r="N1032" s="586" t="s">
        <v>670</v>
      </c>
      <c r="O1032" s="586" t="s">
        <v>670</v>
      </c>
      <c r="P1032" s="586" t="s">
        <v>522</v>
      </c>
      <c r="Q1032" s="586" t="s">
        <v>670</v>
      </c>
      <c r="R1032" s="587">
        <v>45810</v>
      </c>
      <c r="S1032" s="586" t="s">
        <v>670</v>
      </c>
      <c r="T1032" s="587">
        <v>45808</v>
      </c>
      <c r="U1032" s="588">
        <v>0</v>
      </c>
      <c r="V1032" s="589">
        <v>0.32</v>
      </c>
      <c r="W1032" s="260">
        <v>45778</v>
      </c>
    </row>
    <row r="1033" spans="1:23" hidden="1" x14ac:dyDescent="0.35">
      <c r="A1033" s="586" t="s">
        <v>526</v>
      </c>
      <c r="B1033" s="586" t="s">
        <v>159</v>
      </c>
      <c r="C1033" s="586" t="s">
        <v>298</v>
      </c>
      <c r="D1033" s="586" t="s">
        <v>397</v>
      </c>
      <c r="E1033" s="586" t="s">
        <v>398</v>
      </c>
      <c r="F1033" s="586" t="s">
        <v>276</v>
      </c>
      <c r="G1033" s="586" t="s">
        <v>356</v>
      </c>
      <c r="H1033" s="586" t="s">
        <v>670</v>
      </c>
      <c r="I1033" s="586" t="s">
        <v>277</v>
      </c>
      <c r="J1033" s="586" t="s">
        <v>522</v>
      </c>
      <c r="K1033" s="586" t="s">
        <v>301</v>
      </c>
      <c r="L1033" s="586" t="s">
        <v>541</v>
      </c>
      <c r="M1033" s="586" t="s">
        <v>285</v>
      </c>
      <c r="N1033" s="586" t="s">
        <v>670</v>
      </c>
      <c r="O1033" s="586" t="s">
        <v>670</v>
      </c>
      <c r="P1033" s="586" t="s">
        <v>522</v>
      </c>
      <c r="Q1033" s="586" t="s">
        <v>670</v>
      </c>
      <c r="R1033" s="587">
        <v>45810</v>
      </c>
      <c r="S1033" s="586" t="s">
        <v>670</v>
      </c>
      <c r="T1033" s="587">
        <v>45808</v>
      </c>
      <c r="U1033" s="588">
        <v>0</v>
      </c>
      <c r="V1033" s="589">
        <v>0.22</v>
      </c>
      <c r="W1033" s="260">
        <v>45778</v>
      </c>
    </row>
    <row r="1034" spans="1:23" hidden="1" x14ac:dyDescent="0.35">
      <c r="A1034" s="586" t="s">
        <v>526</v>
      </c>
      <c r="B1034" s="586" t="s">
        <v>159</v>
      </c>
      <c r="C1034" s="586" t="s">
        <v>298</v>
      </c>
      <c r="D1034" s="586" t="s">
        <v>338</v>
      </c>
      <c r="E1034" s="586" t="s">
        <v>339</v>
      </c>
      <c r="F1034" s="586" t="s">
        <v>276</v>
      </c>
      <c r="G1034" s="586" t="s">
        <v>356</v>
      </c>
      <c r="H1034" s="586" t="s">
        <v>670</v>
      </c>
      <c r="I1034" s="586" t="s">
        <v>277</v>
      </c>
      <c r="J1034" s="586" t="s">
        <v>522</v>
      </c>
      <c r="K1034" s="586" t="s">
        <v>301</v>
      </c>
      <c r="L1034" s="586" t="s">
        <v>541</v>
      </c>
      <c r="M1034" s="586" t="s">
        <v>285</v>
      </c>
      <c r="N1034" s="586" t="s">
        <v>670</v>
      </c>
      <c r="O1034" s="586" t="s">
        <v>670</v>
      </c>
      <c r="P1034" s="586" t="s">
        <v>522</v>
      </c>
      <c r="Q1034" s="586" t="s">
        <v>670</v>
      </c>
      <c r="R1034" s="587">
        <v>45810</v>
      </c>
      <c r="S1034" s="586" t="s">
        <v>670</v>
      </c>
      <c r="T1034" s="587">
        <v>45808</v>
      </c>
      <c r="U1034" s="588">
        <v>0</v>
      </c>
      <c r="V1034" s="589">
        <v>-7.0000000000000007E-2</v>
      </c>
      <c r="W1034" s="260">
        <v>45778</v>
      </c>
    </row>
    <row r="1035" spans="1:23" hidden="1" x14ac:dyDescent="0.35">
      <c r="A1035" s="586" t="s">
        <v>526</v>
      </c>
      <c r="B1035" s="586" t="s">
        <v>159</v>
      </c>
      <c r="C1035" s="586" t="s">
        <v>281</v>
      </c>
      <c r="D1035" s="586" t="s">
        <v>340</v>
      </c>
      <c r="E1035" s="586" t="s">
        <v>283</v>
      </c>
      <c r="F1035" s="586" t="s">
        <v>276</v>
      </c>
      <c r="G1035" s="586" t="s">
        <v>356</v>
      </c>
      <c r="H1035" s="586" t="s">
        <v>670</v>
      </c>
      <c r="I1035" s="586" t="s">
        <v>277</v>
      </c>
      <c r="J1035" s="586" t="s">
        <v>522</v>
      </c>
      <c r="K1035" s="586" t="s">
        <v>284</v>
      </c>
      <c r="L1035" s="586" t="s">
        <v>541</v>
      </c>
      <c r="M1035" s="586" t="s">
        <v>285</v>
      </c>
      <c r="N1035" s="586" t="s">
        <v>670</v>
      </c>
      <c r="O1035" s="586" t="s">
        <v>670</v>
      </c>
      <c r="P1035" s="586" t="s">
        <v>522</v>
      </c>
      <c r="Q1035" s="586" t="s">
        <v>670</v>
      </c>
      <c r="R1035" s="587">
        <v>45810</v>
      </c>
      <c r="S1035" s="586" t="s">
        <v>670</v>
      </c>
      <c r="T1035" s="587">
        <v>45808</v>
      </c>
      <c r="U1035" s="588">
        <v>0</v>
      </c>
      <c r="V1035" s="589">
        <v>-77.16</v>
      </c>
      <c r="W1035" s="260">
        <v>45778</v>
      </c>
    </row>
    <row r="1036" spans="1:23" hidden="1" x14ac:dyDescent="0.35">
      <c r="A1036" s="586" t="s">
        <v>526</v>
      </c>
      <c r="B1036" s="586" t="s">
        <v>159</v>
      </c>
      <c r="C1036" s="586" t="s">
        <v>281</v>
      </c>
      <c r="D1036" s="586" t="s">
        <v>340</v>
      </c>
      <c r="E1036" s="586" t="s">
        <v>283</v>
      </c>
      <c r="F1036" s="586" t="s">
        <v>276</v>
      </c>
      <c r="G1036" s="586" t="s">
        <v>356</v>
      </c>
      <c r="H1036" s="586" t="s">
        <v>670</v>
      </c>
      <c r="I1036" s="586" t="s">
        <v>277</v>
      </c>
      <c r="J1036" s="586" t="s">
        <v>522</v>
      </c>
      <c r="K1036" s="586" t="s">
        <v>284</v>
      </c>
      <c r="L1036" s="586" t="s">
        <v>541</v>
      </c>
      <c r="M1036" s="586" t="s">
        <v>285</v>
      </c>
      <c r="N1036" s="586" t="s">
        <v>670</v>
      </c>
      <c r="O1036" s="586" t="s">
        <v>670</v>
      </c>
      <c r="P1036" s="586" t="s">
        <v>522</v>
      </c>
      <c r="Q1036" s="586" t="s">
        <v>670</v>
      </c>
      <c r="R1036" s="587">
        <v>45810</v>
      </c>
      <c r="S1036" s="586" t="s">
        <v>670</v>
      </c>
      <c r="T1036" s="587">
        <v>45808</v>
      </c>
      <c r="U1036" s="588">
        <v>0</v>
      </c>
      <c r="V1036" s="589">
        <v>77.16</v>
      </c>
      <c r="W1036" s="260">
        <v>45778</v>
      </c>
    </row>
    <row r="1037" spans="1:23" hidden="1" x14ac:dyDescent="0.35">
      <c r="A1037" s="586" t="s">
        <v>526</v>
      </c>
      <c r="B1037" s="586" t="s">
        <v>159</v>
      </c>
      <c r="C1037" s="586" t="s">
        <v>281</v>
      </c>
      <c r="D1037" s="586" t="s">
        <v>340</v>
      </c>
      <c r="E1037" s="586" t="s">
        <v>283</v>
      </c>
      <c r="F1037" s="586" t="s">
        <v>276</v>
      </c>
      <c r="G1037" s="586" t="s">
        <v>356</v>
      </c>
      <c r="H1037" s="586" t="s">
        <v>670</v>
      </c>
      <c r="I1037" s="586" t="s">
        <v>277</v>
      </c>
      <c r="J1037" s="586" t="s">
        <v>522</v>
      </c>
      <c r="K1037" s="586" t="s">
        <v>284</v>
      </c>
      <c r="L1037" s="586" t="s">
        <v>541</v>
      </c>
      <c r="M1037" s="586" t="s">
        <v>285</v>
      </c>
      <c r="N1037" s="586" t="s">
        <v>670</v>
      </c>
      <c r="O1037" s="586" t="s">
        <v>670</v>
      </c>
      <c r="P1037" s="586" t="s">
        <v>522</v>
      </c>
      <c r="Q1037" s="586" t="s">
        <v>670</v>
      </c>
      <c r="R1037" s="587">
        <v>45810</v>
      </c>
      <c r="S1037" s="586" t="s">
        <v>670</v>
      </c>
      <c r="T1037" s="587">
        <v>45808</v>
      </c>
      <c r="U1037" s="588">
        <v>0</v>
      </c>
      <c r="V1037" s="589">
        <v>55.28</v>
      </c>
      <c r="W1037" s="260">
        <v>45778</v>
      </c>
    </row>
    <row r="1038" spans="1:23" hidden="1" x14ac:dyDescent="0.35">
      <c r="A1038" s="586" t="s">
        <v>526</v>
      </c>
      <c r="B1038" s="586" t="s">
        <v>159</v>
      </c>
      <c r="C1038" s="586" t="s">
        <v>302</v>
      </c>
      <c r="D1038" s="586" t="s">
        <v>340</v>
      </c>
      <c r="E1038" s="586" t="s">
        <v>283</v>
      </c>
      <c r="F1038" s="586" t="s">
        <v>276</v>
      </c>
      <c r="G1038" s="586" t="s">
        <v>356</v>
      </c>
      <c r="H1038" s="586" t="s">
        <v>670</v>
      </c>
      <c r="I1038" s="586" t="s">
        <v>277</v>
      </c>
      <c r="J1038" s="586" t="s">
        <v>522</v>
      </c>
      <c r="K1038" s="586" t="s">
        <v>303</v>
      </c>
      <c r="L1038" s="586" t="s">
        <v>541</v>
      </c>
      <c r="M1038" s="586" t="s">
        <v>285</v>
      </c>
      <c r="N1038" s="586" t="s">
        <v>670</v>
      </c>
      <c r="O1038" s="586" t="s">
        <v>670</v>
      </c>
      <c r="P1038" s="586" t="s">
        <v>522</v>
      </c>
      <c r="Q1038" s="586" t="s">
        <v>670</v>
      </c>
      <c r="R1038" s="587">
        <v>45811</v>
      </c>
      <c r="S1038" s="586" t="s">
        <v>670</v>
      </c>
      <c r="T1038" s="587">
        <v>45808</v>
      </c>
      <c r="U1038" s="588">
        <v>0</v>
      </c>
      <c r="V1038" s="589">
        <v>8.8000000000000007</v>
      </c>
      <c r="W1038" s="260">
        <v>45778</v>
      </c>
    </row>
    <row r="1039" spans="1:23" hidden="1" x14ac:dyDescent="0.35">
      <c r="A1039" s="586" t="s">
        <v>526</v>
      </c>
      <c r="B1039" s="586" t="s">
        <v>159</v>
      </c>
      <c r="C1039" s="586" t="s">
        <v>302</v>
      </c>
      <c r="D1039" s="586" t="s">
        <v>340</v>
      </c>
      <c r="E1039" s="586" t="s">
        <v>283</v>
      </c>
      <c r="F1039" s="586" t="s">
        <v>276</v>
      </c>
      <c r="G1039" s="586" t="s">
        <v>356</v>
      </c>
      <c r="H1039" s="586" t="s">
        <v>670</v>
      </c>
      <c r="I1039" s="586" t="s">
        <v>277</v>
      </c>
      <c r="J1039" s="586" t="s">
        <v>522</v>
      </c>
      <c r="K1039" s="586" t="s">
        <v>303</v>
      </c>
      <c r="L1039" s="586" t="s">
        <v>541</v>
      </c>
      <c r="M1039" s="586" t="s">
        <v>285</v>
      </c>
      <c r="N1039" s="586" t="s">
        <v>670</v>
      </c>
      <c r="O1039" s="586" t="s">
        <v>670</v>
      </c>
      <c r="P1039" s="586" t="s">
        <v>522</v>
      </c>
      <c r="Q1039" s="586" t="s">
        <v>670</v>
      </c>
      <c r="R1039" s="587">
        <v>45811</v>
      </c>
      <c r="S1039" s="586" t="s">
        <v>670</v>
      </c>
      <c r="T1039" s="587">
        <v>45808</v>
      </c>
      <c r="U1039" s="588">
        <v>0</v>
      </c>
      <c r="V1039" s="589">
        <v>2.98</v>
      </c>
      <c r="W1039" s="260">
        <v>45778</v>
      </c>
    </row>
    <row r="1040" spans="1:23" hidden="1" x14ac:dyDescent="0.35">
      <c r="A1040" s="586" t="s">
        <v>526</v>
      </c>
      <c r="B1040" s="586" t="s">
        <v>159</v>
      </c>
      <c r="C1040" s="586" t="s">
        <v>286</v>
      </c>
      <c r="D1040" s="586" t="s">
        <v>341</v>
      </c>
      <c r="E1040" s="586" t="s">
        <v>288</v>
      </c>
      <c r="F1040" s="586" t="s">
        <v>276</v>
      </c>
      <c r="G1040" s="586" t="s">
        <v>356</v>
      </c>
      <c r="H1040" s="586" t="s">
        <v>670</v>
      </c>
      <c r="I1040" s="586" t="s">
        <v>277</v>
      </c>
      <c r="J1040" s="586" t="s">
        <v>522</v>
      </c>
      <c r="K1040" s="586" t="s">
        <v>289</v>
      </c>
      <c r="L1040" s="586" t="s">
        <v>541</v>
      </c>
      <c r="M1040" s="586" t="s">
        <v>285</v>
      </c>
      <c r="N1040" s="586" t="s">
        <v>670</v>
      </c>
      <c r="O1040" s="586" t="s">
        <v>670</v>
      </c>
      <c r="P1040" s="586" t="s">
        <v>522</v>
      </c>
      <c r="Q1040" s="586" t="s">
        <v>670</v>
      </c>
      <c r="R1040" s="587">
        <v>45810</v>
      </c>
      <c r="S1040" s="586" t="s">
        <v>670</v>
      </c>
      <c r="T1040" s="587">
        <v>45808</v>
      </c>
      <c r="U1040" s="588">
        <v>0</v>
      </c>
      <c r="V1040" s="589">
        <v>185.62</v>
      </c>
      <c r="W1040" s="260">
        <v>45778</v>
      </c>
    </row>
    <row r="1041" spans="1:23" hidden="1" x14ac:dyDescent="0.35">
      <c r="A1041" s="586" t="s">
        <v>526</v>
      </c>
      <c r="B1041" s="586" t="s">
        <v>159</v>
      </c>
      <c r="C1041" s="586" t="s">
        <v>286</v>
      </c>
      <c r="D1041" s="586" t="s">
        <v>341</v>
      </c>
      <c r="E1041" s="586" t="s">
        <v>288</v>
      </c>
      <c r="F1041" s="586" t="s">
        <v>276</v>
      </c>
      <c r="G1041" s="586" t="s">
        <v>356</v>
      </c>
      <c r="H1041" s="586" t="s">
        <v>670</v>
      </c>
      <c r="I1041" s="586" t="s">
        <v>277</v>
      </c>
      <c r="J1041" s="586" t="s">
        <v>522</v>
      </c>
      <c r="K1041" s="586" t="s">
        <v>289</v>
      </c>
      <c r="L1041" s="586" t="s">
        <v>541</v>
      </c>
      <c r="M1041" s="586" t="s">
        <v>285</v>
      </c>
      <c r="N1041" s="586" t="s">
        <v>670</v>
      </c>
      <c r="O1041" s="586" t="s">
        <v>670</v>
      </c>
      <c r="P1041" s="586" t="s">
        <v>522</v>
      </c>
      <c r="Q1041" s="586" t="s">
        <v>670</v>
      </c>
      <c r="R1041" s="587">
        <v>45810</v>
      </c>
      <c r="S1041" s="586" t="s">
        <v>670</v>
      </c>
      <c r="T1041" s="587">
        <v>45808</v>
      </c>
      <c r="U1041" s="588">
        <v>0</v>
      </c>
      <c r="V1041" s="589">
        <v>-185.62</v>
      </c>
      <c r="W1041" s="260">
        <v>45778</v>
      </c>
    </row>
    <row r="1042" spans="1:23" hidden="1" x14ac:dyDescent="0.35">
      <c r="A1042" s="586" t="s">
        <v>526</v>
      </c>
      <c r="B1042" s="586" t="s">
        <v>159</v>
      </c>
      <c r="C1042" s="586" t="s">
        <v>286</v>
      </c>
      <c r="D1042" s="586" t="s">
        <v>341</v>
      </c>
      <c r="E1042" s="586" t="s">
        <v>288</v>
      </c>
      <c r="F1042" s="586" t="s">
        <v>276</v>
      </c>
      <c r="G1042" s="586" t="s">
        <v>356</v>
      </c>
      <c r="H1042" s="586" t="s">
        <v>670</v>
      </c>
      <c r="I1042" s="586" t="s">
        <v>277</v>
      </c>
      <c r="J1042" s="586" t="s">
        <v>522</v>
      </c>
      <c r="K1042" s="586" t="s">
        <v>289</v>
      </c>
      <c r="L1042" s="586" t="s">
        <v>541</v>
      </c>
      <c r="M1042" s="586" t="s">
        <v>285</v>
      </c>
      <c r="N1042" s="586" t="s">
        <v>670</v>
      </c>
      <c r="O1042" s="586" t="s">
        <v>670</v>
      </c>
      <c r="P1042" s="586" t="s">
        <v>522</v>
      </c>
      <c r="Q1042" s="586" t="s">
        <v>670</v>
      </c>
      <c r="R1042" s="587">
        <v>45810</v>
      </c>
      <c r="S1042" s="586" t="s">
        <v>670</v>
      </c>
      <c r="T1042" s="587">
        <v>45808</v>
      </c>
      <c r="U1042" s="588">
        <v>0</v>
      </c>
      <c r="V1042" s="589">
        <v>185.62</v>
      </c>
      <c r="W1042" s="260">
        <v>45778</v>
      </c>
    </row>
    <row r="1043" spans="1:23" hidden="1" x14ac:dyDescent="0.35">
      <c r="A1043" s="586" t="s">
        <v>526</v>
      </c>
      <c r="B1043" s="586" t="s">
        <v>159</v>
      </c>
      <c r="C1043" s="586" t="s">
        <v>302</v>
      </c>
      <c r="D1043" s="586" t="s">
        <v>341</v>
      </c>
      <c r="E1043" s="586" t="s">
        <v>288</v>
      </c>
      <c r="F1043" s="586" t="s">
        <v>276</v>
      </c>
      <c r="G1043" s="586" t="s">
        <v>356</v>
      </c>
      <c r="H1043" s="586" t="s">
        <v>670</v>
      </c>
      <c r="I1043" s="586" t="s">
        <v>277</v>
      </c>
      <c r="J1043" s="586" t="s">
        <v>522</v>
      </c>
      <c r="K1043" s="586" t="s">
        <v>303</v>
      </c>
      <c r="L1043" s="586" t="s">
        <v>541</v>
      </c>
      <c r="M1043" s="586" t="s">
        <v>285</v>
      </c>
      <c r="N1043" s="586" t="s">
        <v>670</v>
      </c>
      <c r="O1043" s="586" t="s">
        <v>670</v>
      </c>
      <c r="P1043" s="586" t="s">
        <v>522</v>
      </c>
      <c r="Q1043" s="586" t="s">
        <v>670</v>
      </c>
      <c r="R1043" s="587">
        <v>45811</v>
      </c>
      <c r="S1043" s="586" t="s">
        <v>670</v>
      </c>
      <c r="T1043" s="587">
        <v>45808</v>
      </c>
      <c r="U1043" s="588">
        <v>0</v>
      </c>
      <c r="V1043" s="589">
        <v>24.68</v>
      </c>
      <c r="W1043" s="260">
        <v>45778</v>
      </c>
    </row>
    <row r="1044" spans="1:23" hidden="1" x14ac:dyDescent="0.35">
      <c r="A1044" s="586" t="s">
        <v>526</v>
      </c>
      <c r="B1044" s="586" t="s">
        <v>159</v>
      </c>
      <c r="C1044" s="586" t="s">
        <v>302</v>
      </c>
      <c r="D1044" s="586" t="s">
        <v>341</v>
      </c>
      <c r="E1044" s="586" t="s">
        <v>288</v>
      </c>
      <c r="F1044" s="586" t="s">
        <v>276</v>
      </c>
      <c r="G1044" s="586" t="s">
        <v>356</v>
      </c>
      <c r="H1044" s="586" t="s">
        <v>670</v>
      </c>
      <c r="I1044" s="586" t="s">
        <v>277</v>
      </c>
      <c r="J1044" s="586" t="s">
        <v>522</v>
      </c>
      <c r="K1044" s="586" t="s">
        <v>303</v>
      </c>
      <c r="L1044" s="586" t="s">
        <v>541</v>
      </c>
      <c r="M1044" s="586" t="s">
        <v>285</v>
      </c>
      <c r="N1044" s="586" t="s">
        <v>670</v>
      </c>
      <c r="O1044" s="586" t="s">
        <v>670</v>
      </c>
      <c r="P1044" s="586" t="s">
        <v>522</v>
      </c>
      <c r="Q1044" s="586" t="s">
        <v>670</v>
      </c>
      <c r="R1044" s="587">
        <v>45811</v>
      </c>
      <c r="S1044" s="586" t="s">
        <v>670</v>
      </c>
      <c r="T1044" s="587">
        <v>45808</v>
      </c>
      <c r="U1044" s="588">
        <v>0</v>
      </c>
      <c r="V1044" s="589">
        <v>10.01</v>
      </c>
      <c r="W1044" s="260">
        <v>45778</v>
      </c>
    </row>
    <row r="1045" spans="1:23" hidden="1" x14ac:dyDescent="0.35">
      <c r="A1045" s="586" t="s">
        <v>526</v>
      </c>
      <c r="B1045" s="586" t="s">
        <v>159</v>
      </c>
      <c r="C1045" s="586" t="s">
        <v>281</v>
      </c>
      <c r="D1045" s="586" t="s">
        <v>342</v>
      </c>
      <c r="E1045" s="586" t="s">
        <v>291</v>
      </c>
      <c r="F1045" s="586" t="s">
        <v>276</v>
      </c>
      <c r="G1045" s="586" t="s">
        <v>356</v>
      </c>
      <c r="H1045" s="586" t="s">
        <v>670</v>
      </c>
      <c r="I1045" s="586" t="s">
        <v>277</v>
      </c>
      <c r="J1045" s="586" t="s">
        <v>522</v>
      </c>
      <c r="K1045" s="586" t="s">
        <v>284</v>
      </c>
      <c r="L1045" s="586" t="s">
        <v>541</v>
      </c>
      <c r="M1045" s="586" t="s">
        <v>285</v>
      </c>
      <c r="N1045" s="586" t="s">
        <v>670</v>
      </c>
      <c r="O1045" s="586" t="s">
        <v>670</v>
      </c>
      <c r="P1045" s="586" t="s">
        <v>522</v>
      </c>
      <c r="Q1045" s="586" t="s">
        <v>670</v>
      </c>
      <c r="R1045" s="587">
        <v>45810</v>
      </c>
      <c r="S1045" s="586" t="s">
        <v>670</v>
      </c>
      <c r="T1045" s="587">
        <v>45808</v>
      </c>
      <c r="U1045" s="588">
        <v>0</v>
      </c>
      <c r="V1045" s="589">
        <v>142.08000000000001</v>
      </c>
      <c r="W1045" s="260">
        <v>45778</v>
      </c>
    </row>
    <row r="1046" spans="1:23" hidden="1" x14ac:dyDescent="0.35">
      <c r="A1046" s="586" t="s">
        <v>526</v>
      </c>
      <c r="B1046" s="586" t="s">
        <v>159</v>
      </c>
      <c r="C1046" s="586" t="s">
        <v>281</v>
      </c>
      <c r="D1046" s="586" t="s">
        <v>342</v>
      </c>
      <c r="E1046" s="586" t="s">
        <v>291</v>
      </c>
      <c r="F1046" s="586" t="s">
        <v>276</v>
      </c>
      <c r="G1046" s="586" t="s">
        <v>356</v>
      </c>
      <c r="H1046" s="586" t="s">
        <v>670</v>
      </c>
      <c r="I1046" s="586" t="s">
        <v>277</v>
      </c>
      <c r="J1046" s="586" t="s">
        <v>522</v>
      </c>
      <c r="K1046" s="586" t="s">
        <v>284</v>
      </c>
      <c r="L1046" s="586" t="s">
        <v>541</v>
      </c>
      <c r="M1046" s="586" t="s">
        <v>285</v>
      </c>
      <c r="N1046" s="586" t="s">
        <v>670</v>
      </c>
      <c r="O1046" s="586" t="s">
        <v>670</v>
      </c>
      <c r="P1046" s="586" t="s">
        <v>522</v>
      </c>
      <c r="Q1046" s="586" t="s">
        <v>670</v>
      </c>
      <c r="R1046" s="587">
        <v>45810</v>
      </c>
      <c r="S1046" s="586" t="s">
        <v>670</v>
      </c>
      <c r="T1046" s="587">
        <v>45808</v>
      </c>
      <c r="U1046" s="588">
        <v>0</v>
      </c>
      <c r="V1046" s="589">
        <v>-142.08000000000001</v>
      </c>
      <c r="W1046" s="260">
        <v>45778</v>
      </c>
    </row>
    <row r="1047" spans="1:23" hidden="1" x14ac:dyDescent="0.35">
      <c r="A1047" s="586" t="s">
        <v>526</v>
      </c>
      <c r="B1047" s="586" t="s">
        <v>159</v>
      </c>
      <c r="C1047" s="586" t="s">
        <v>281</v>
      </c>
      <c r="D1047" s="586" t="s">
        <v>342</v>
      </c>
      <c r="E1047" s="586" t="s">
        <v>291</v>
      </c>
      <c r="F1047" s="586" t="s">
        <v>276</v>
      </c>
      <c r="G1047" s="586" t="s">
        <v>356</v>
      </c>
      <c r="H1047" s="586" t="s">
        <v>670</v>
      </c>
      <c r="I1047" s="586" t="s">
        <v>277</v>
      </c>
      <c r="J1047" s="586" t="s">
        <v>522</v>
      </c>
      <c r="K1047" s="586" t="s">
        <v>284</v>
      </c>
      <c r="L1047" s="586" t="s">
        <v>541</v>
      </c>
      <c r="M1047" s="586" t="s">
        <v>285</v>
      </c>
      <c r="N1047" s="586" t="s">
        <v>670</v>
      </c>
      <c r="O1047" s="586" t="s">
        <v>670</v>
      </c>
      <c r="P1047" s="586" t="s">
        <v>522</v>
      </c>
      <c r="Q1047" s="586" t="s">
        <v>670</v>
      </c>
      <c r="R1047" s="587">
        <v>45810</v>
      </c>
      <c r="S1047" s="586" t="s">
        <v>670</v>
      </c>
      <c r="T1047" s="587">
        <v>45808</v>
      </c>
      <c r="U1047" s="588">
        <v>0</v>
      </c>
      <c r="V1047" s="589">
        <v>142.08000000000001</v>
      </c>
      <c r="W1047" s="260">
        <v>45778</v>
      </c>
    </row>
    <row r="1048" spans="1:23" hidden="1" x14ac:dyDescent="0.35">
      <c r="A1048" s="586" t="s">
        <v>526</v>
      </c>
      <c r="B1048" s="586" t="s">
        <v>159</v>
      </c>
      <c r="C1048" s="586" t="s">
        <v>302</v>
      </c>
      <c r="D1048" s="586" t="s">
        <v>342</v>
      </c>
      <c r="E1048" s="586" t="s">
        <v>291</v>
      </c>
      <c r="F1048" s="586" t="s">
        <v>276</v>
      </c>
      <c r="G1048" s="586" t="s">
        <v>356</v>
      </c>
      <c r="H1048" s="586" t="s">
        <v>670</v>
      </c>
      <c r="I1048" s="586" t="s">
        <v>277</v>
      </c>
      <c r="J1048" s="586" t="s">
        <v>522</v>
      </c>
      <c r="K1048" s="586" t="s">
        <v>303</v>
      </c>
      <c r="L1048" s="586" t="s">
        <v>541</v>
      </c>
      <c r="M1048" s="586" t="s">
        <v>285</v>
      </c>
      <c r="N1048" s="586" t="s">
        <v>670</v>
      </c>
      <c r="O1048" s="586" t="s">
        <v>670</v>
      </c>
      <c r="P1048" s="586" t="s">
        <v>522</v>
      </c>
      <c r="Q1048" s="586" t="s">
        <v>670</v>
      </c>
      <c r="R1048" s="587">
        <v>45811</v>
      </c>
      <c r="S1048" s="586" t="s">
        <v>670</v>
      </c>
      <c r="T1048" s="587">
        <v>45808</v>
      </c>
      <c r="U1048" s="588">
        <v>0</v>
      </c>
      <c r="V1048" s="589">
        <v>5.69</v>
      </c>
      <c r="W1048" s="260">
        <v>45778</v>
      </c>
    </row>
    <row r="1049" spans="1:23" hidden="1" x14ac:dyDescent="0.35">
      <c r="A1049" s="586" t="s">
        <v>526</v>
      </c>
      <c r="B1049" s="586" t="s">
        <v>159</v>
      </c>
      <c r="C1049" s="586" t="s">
        <v>302</v>
      </c>
      <c r="D1049" s="586" t="s">
        <v>342</v>
      </c>
      <c r="E1049" s="586" t="s">
        <v>291</v>
      </c>
      <c r="F1049" s="586" t="s">
        <v>276</v>
      </c>
      <c r="G1049" s="586" t="s">
        <v>356</v>
      </c>
      <c r="H1049" s="586" t="s">
        <v>670</v>
      </c>
      <c r="I1049" s="586" t="s">
        <v>277</v>
      </c>
      <c r="J1049" s="586" t="s">
        <v>522</v>
      </c>
      <c r="K1049" s="586" t="s">
        <v>303</v>
      </c>
      <c r="L1049" s="586" t="s">
        <v>541</v>
      </c>
      <c r="M1049" s="586" t="s">
        <v>285</v>
      </c>
      <c r="N1049" s="586" t="s">
        <v>670</v>
      </c>
      <c r="O1049" s="586" t="s">
        <v>670</v>
      </c>
      <c r="P1049" s="586" t="s">
        <v>522</v>
      </c>
      <c r="Q1049" s="586" t="s">
        <v>670</v>
      </c>
      <c r="R1049" s="587">
        <v>45811</v>
      </c>
      <c r="S1049" s="586" t="s">
        <v>670</v>
      </c>
      <c r="T1049" s="587">
        <v>45808</v>
      </c>
      <c r="U1049" s="588">
        <v>0</v>
      </c>
      <c r="V1049" s="589">
        <v>7.66</v>
      </c>
      <c r="W1049" s="260">
        <v>45778</v>
      </c>
    </row>
    <row r="1050" spans="1:23" hidden="1" x14ac:dyDescent="0.35">
      <c r="A1050" s="586" t="s">
        <v>526</v>
      </c>
      <c r="B1050" s="586" t="s">
        <v>159</v>
      </c>
      <c r="C1050" s="586" t="s">
        <v>281</v>
      </c>
      <c r="D1050" s="586" t="s">
        <v>343</v>
      </c>
      <c r="E1050" s="586" t="s">
        <v>293</v>
      </c>
      <c r="F1050" s="586" t="s">
        <v>276</v>
      </c>
      <c r="G1050" s="586" t="s">
        <v>356</v>
      </c>
      <c r="H1050" s="586" t="s">
        <v>670</v>
      </c>
      <c r="I1050" s="586" t="s">
        <v>277</v>
      </c>
      <c r="J1050" s="586" t="s">
        <v>522</v>
      </c>
      <c r="K1050" s="586" t="s">
        <v>294</v>
      </c>
      <c r="L1050" s="586" t="s">
        <v>541</v>
      </c>
      <c r="M1050" s="586" t="s">
        <v>285</v>
      </c>
      <c r="N1050" s="586" t="s">
        <v>670</v>
      </c>
      <c r="O1050" s="586" t="s">
        <v>670</v>
      </c>
      <c r="P1050" s="586" t="s">
        <v>522</v>
      </c>
      <c r="Q1050" s="586" t="s">
        <v>670</v>
      </c>
      <c r="R1050" s="587">
        <v>45810</v>
      </c>
      <c r="S1050" s="586" t="s">
        <v>670</v>
      </c>
      <c r="T1050" s="587">
        <v>45808</v>
      </c>
      <c r="U1050" s="588">
        <v>0</v>
      </c>
      <c r="V1050" s="589">
        <v>-2.93</v>
      </c>
      <c r="W1050" s="260">
        <v>45778</v>
      </c>
    </row>
    <row r="1051" spans="1:23" hidden="1" x14ac:dyDescent="0.35">
      <c r="A1051" s="586" t="s">
        <v>526</v>
      </c>
      <c r="B1051" s="586" t="s">
        <v>159</v>
      </c>
      <c r="C1051" s="586" t="s">
        <v>281</v>
      </c>
      <c r="D1051" s="586" t="s">
        <v>343</v>
      </c>
      <c r="E1051" s="586" t="s">
        <v>293</v>
      </c>
      <c r="F1051" s="586" t="s">
        <v>276</v>
      </c>
      <c r="G1051" s="586" t="s">
        <v>356</v>
      </c>
      <c r="H1051" s="586" t="s">
        <v>670</v>
      </c>
      <c r="I1051" s="586" t="s">
        <v>277</v>
      </c>
      <c r="J1051" s="586" t="s">
        <v>522</v>
      </c>
      <c r="K1051" s="586" t="s">
        <v>294</v>
      </c>
      <c r="L1051" s="586" t="s">
        <v>541</v>
      </c>
      <c r="M1051" s="586" t="s">
        <v>285</v>
      </c>
      <c r="N1051" s="586" t="s">
        <v>670</v>
      </c>
      <c r="O1051" s="586" t="s">
        <v>670</v>
      </c>
      <c r="P1051" s="586" t="s">
        <v>522</v>
      </c>
      <c r="Q1051" s="586" t="s">
        <v>670</v>
      </c>
      <c r="R1051" s="587">
        <v>45810</v>
      </c>
      <c r="S1051" s="586" t="s">
        <v>670</v>
      </c>
      <c r="T1051" s="587">
        <v>45808</v>
      </c>
      <c r="U1051" s="588">
        <v>0</v>
      </c>
      <c r="V1051" s="589">
        <v>2.93</v>
      </c>
      <c r="W1051" s="260">
        <v>45778</v>
      </c>
    </row>
    <row r="1052" spans="1:23" hidden="1" x14ac:dyDescent="0.35">
      <c r="A1052" s="586" t="s">
        <v>526</v>
      </c>
      <c r="B1052" s="586" t="s">
        <v>159</v>
      </c>
      <c r="C1052" s="586" t="s">
        <v>281</v>
      </c>
      <c r="D1052" s="586" t="s">
        <v>343</v>
      </c>
      <c r="E1052" s="586" t="s">
        <v>293</v>
      </c>
      <c r="F1052" s="586" t="s">
        <v>276</v>
      </c>
      <c r="G1052" s="586" t="s">
        <v>356</v>
      </c>
      <c r="H1052" s="586" t="s">
        <v>670</v>
      </c>
      <c r="I1052" s="586" t="s">
        <v>277</v>
      </c>
      <c r="J1052" s="586" t="s">
        <v>522</v>
      </c>
      <c r="K1052" s="586" t="s">
        <v>294</v>
      </c>
      <c r="L1052" s="586" t="s">
        <v>541</v>
      </c>
      <c r="M1052" s="586" t="s">
        <v>285</v>
      </c>
      <c r="N1052" s="586" t="s">
        <v>670</v>
      </c>
      <c r="O1052" s="586" t="s">
        <v>670</v>
      </c>
      <c r="P1052" s="586" t="s">
        <v>522</v>
      </c>
      <c r="Q1052" s="586" t="s">
        <v>670</v>
      </c>
      <c r="R1052" s="587">
        <v>45810</v>
      </c>
      <c r="S1052" s="586" t="s">
        <v>670</v>
      </c>
      <c r="T1052" s="587">
        <v>45808</v>
      </c>
      <c r="U1052" s="588">
        <v>0</v>
      </c>
      <c r="V1052" s="589">
        <v>-2.93</v>
      </c>
      <c r="W1052" s="260">
        <v>45778</v>
      </c>
    </row>
    <row r="1053" spans="1:23" hidden="1" x14ac:dyDescent="0.35">
      <c r="A1053" s="586" t="s">
        <v>526</v>
      </c>
      <c r="B1053" s="586" t="s">
        <v>159</v>
      </c>
      <c r="C1053" s="586" t="s">
        <v>302</v>
      </c>
      <c r="D1053" s="586" t="s">
        <v>343</v>
      </c>
      <c r="E1053" s="586" t="s">
        <v>293</v>
      </c>
      <c r="F1053" s="586" t="s">
        <v>276</v>
      </c>
      <c r="G1053" s="586" t="s">
        <v>356</v>
      </c>
      <c r="H1053" s="586" t="s">
        <v>670</v>
      </c>
      <c r="I1053" s="586" t="s">
        <v>277</v>
      </c>
      <c r="J1053" s="586" t="s">
        <v>522</v>
      </c>
      <c r="K1053" s="586" t="s">
        <v>303</v>
      </c>
      <c r="L1053" s="586" t="s">
        <v>541</v>
      </c>
      <c r="M1053" s="586" t="s">
        <v>285</v>
      </c>
      <c r="N1053" s="586" t="s">
        <v>670</v>
      </c>
      <c r="O1053" s="586" t="s">
        <v>670</v>
      </c>
      <c r="P1053" s="586" t="s">
        <v>522</v>
      </c>
      <c r="Q1053" s="586" t="s">
        <v>670</v>
      </c>
      <c r="R1053" s="587">
        <v>45811</v>
      </c>
      <c r="S1053" s="586" t="s">
        <v>670</v>
      </c>
      <c r="T1053" s="587">
        <v>45808</v>
      </c>
      <c r="U1053" s="588">
        <v>0</v>
      </c>
      <c r="V1053" s="589">
        <v>6.29</v>
      </c>
      <c r="W1053" s="260">
        <v>45778</v>
      </c>
    </row>
    <row r="1054" spans="1:23" hidden="1" x14ac:dyDescent="0.35">
      <c r="A1054" s="586" t="s">
        <v>526</v>
      </c>
      <c r="B1054" s="586" t="s">
        <v>159</v>
      </c>
      <c r="C1054" s="586" t="s">
        <v>302</v>
      </c>
      <c r="D1054" s="586" t="s">
        <v>343</v>
      </c>
      <c r="E1054" s="586" t="s">
        <v>293</v>
      </c>
      <c r="F1054" s="586" t="s">
        <v>276</v>
      </c>
      <c r="G1054" s="586" t="s">
        <v>356</v>
      </c>
      <c r="H1054" s="586" t="s">
        <v>670</v>
      </c>
      <c r="I1054" s="586" t="s">
        <v>277</v>
      </c>
      <c r="J1054" s="586" t="s">
        <v>522</v>
      </c>
      <c r="K1054" s="586" t="s">
        <v>303</v>
      </c>
      <c r="L1054" s="586" t="s">
        <v>541</v>
      </c>
      <c r="M1054" s="586" t="s">
        <v>285</v>
      </c>
      <c r="N1054" s="586" t="s">
        <v>670</v>
      </c>
      <c r="O1054" s="586" t="s">
        <v>670</v>
      </c>
      <c r="P1054" s="586" t="s">
        <v>522</v>
      </c>
      <c r="Q1054" s="586" t="s">
        <v>670</v>
      </c>
      <c r="R1054" s="587">
        <v>45811</v>
      </c>
      <c r="S1054" s="586" t="s">
        <v>670</v>
      </c>
      <c r="T1054" s="587">
        <v>45808</v>
      </c>
      <c r="U1054" s="588">
        <v>0</v>
      </c>
      <c r="V1054" s="589">
        <v>-0.16</v>
      </c>
      <c r="W1054" s="260">
        <v>45778</v>
      </c>
    </row>
    <row r="1055" spans="1:23" hidden="1" x14ac:dyDescent="0.35">
      <c r="A1055" s="586" t="s">
        <v>526</v>
      </c>
      <c r="B1055" s="586" t="s">
        <v>159</v>
      </c>
      <c r="C1055" s="586" t="s">
        <v>286</v>
      </c>
      <c r="D1055" s="586" t="s">
        <v>344</v>
      </c>
      <c r="E1055" s="586" t="s">
        <v>296</v>
      </c>
      <c r="F1055" s="586" t="s">
        <v>276</v>
      </c>
      <c r="G1055" s="586" t="s">
        <v>356</v>
      </c>
      <c r="H1055" s="586" t="s">
        <v>670</v>
      </c>
      <c r="I1055" s="586" t="s">
        <v>277</v>
      </c>
      <c r="J1055" s="586" t="s">
        <v>522</v>
      </c>
      <c r="K1055" s="586" t="s">
        <v>297</v>
      </c>
      <c r="L1055" s="586" t="s">
        <v>541</v>
      </c>
      <c r="M1055" s="586" t="s">
        <v>285</v>
      </c>
      <c r="N1055" s="586" t="s">
        <v>670</v>
      </c>
      <c r="O1055" s="586" t="s">
        <v>670</v>
      </c>
      <c r="P1055" s="586" t="s">
        <v>522</v>
      </c>
      <c r="Q1055" s="586" t="s">
        <v>670</v>
      </c>
      <c r="R1055" s="587">
        <v>45810</v>
      </c>
      <c r="S1055" s="586" t="s">
        <v>670</v>
      </c>
      <c r="T1055" s="587">
        <v>45808</v>
      </c>
      <c r="U1055" s="588">
        <v>0</v>
      </c>
      <c r="V1055" s="589">
        <v>10.17</v>
      </c>
      <c r="W1055" s="260">
        <v>45778</v>
      </c>
    </row>
    <row r="1056" spans="1:23" hidden="1" x14ac:dyDescent="0.35">
      <c r="A1056" s="586" t="s">
        <v>526</v>
      </c>
      <c r="B1056" s="586" t="s">
        <v>159</v>
      </c>
      <c r="C1056" s="586" t="s">
        <v>286</v>
      </c>
      <c r="D1056" s="586" t="s">
        <v>344</v>
      </c>
      <c r="E1056" s="586" t="s">
        <v>296</v>
      </c>
      <c r="F1056" s="586" t="s">
        <v>276</v>
      </c>
      <c r="G1056" s="586" t="s">
        <v>356</v>
      </c>
      <c r="H1056" s="586" t="s">
        <v>670</v>
      </c>
      <c r="I1056" s="586" t="s">
        <v>277</v>
      </c>
      <c r="J1056" s="586" t="s">
        <v>522</v>
      </c>
      <c r="K1056" s="586" t="s">
        <v>297</v>
      </c>
      <c r="L1056" s="586" t="s">
        <v>541</v>
      </c>
      <c r="M1056" s="586" t="s">
        <v>285</v>
      </c>
      <c r="N1056" s="586" t="s">
        <v>670</v>
      </c>
      <c r="O1056" s="586" t="s">
        <v>670</v>
      </c>
      <c r="P1056" s="586" t="s">
        <v>522</v>
      </c>
      <c r="Q1056" s="586" t="s">
        <v>670</v>
      </c>
      <c r="R1056" s="587">
        <v>45810</v>
      </c>
      <c r="S1056" s="586" t="s">
        <v>670</v>
      </c>
      <c r="T1056" s="587">
        <v>45808</v>
      </c>
      <c r="U1056" s="588">
        <v>0</v>
      </c>
      <c r="V1056" s="589">
        <v>-10.17</v>
      </c>
      <c r="W1056" s="260">
        <v>45778</v>
      </c>
    </row>
    <row r="1057" spans="1:23" hidden="1" x14ac:dyDescent="0.35">
      <c r="A1057" s="586" t="s">
        <v>526</v>
      </c>
      <c r="B1057" s="586" t="s">
        <v>159</v>
      </c>
      <c r="C1057" s="586" t="s">
        <v>286</v>
      </c>
      <c r="D1057" s="586" t="s">
        <v>344</v>
      </c>
      <c r="E1057" s="586" t="s">
        <v>296</v>
      </c>
      <c r="F1057" s="586" t="s">
        <v>276</v>
      </c>
      <c r="G1057" s="586" t="s">
        <v>356</v>
      </c>
      <c r="H1057" s="586" t="s">
        <v>670</v>
      </c>
      <c r="I1057" s="586" t="s">
        <v>277</v>
      </c>
      <c r="J1057" s="586" t="s">
        <v>522</v>
      </c>
      <c r="K1057" s="586" t="s">
        <v>297</v>
      </c>
      <c r="L1057" s="586" t="s">
        <v>541</v>
      </c>
      <c r="M1057" s="586" t="s">
        <v>285</v>
      </c>
      <c r="N1057" s="586" t="s">
        <v>670</v>
      </c>
      <c r="O1057" s="586" t="s">
        <v>670</v>
      </c>
      <c r="P1057" s="586" t="s">
        <v>522</v>
      </c>
      <c r="Q1057" s="586" t="s">
        <v>670</v>
      </c>
      <c r="R1057" s="587">
        <v>45810</v>
      </c>
      <c r="S1057" s="586" t="s">
        <v>670</v>
      </c>
      <c r="T1057" s="587">
        <v>45808</v>
      </c>
      <c r="U1057" s="588">
        <v>0</v>
      </c>
      <c r="V1057" s="589">
        <v>10.17</v>
      </c>
      <c r="W1057" s="260">
        <v>45778</v>
      </c>
    </row>
    <row r="1058" spans="1:23" hidden="1" x14ac:dyDescent="0.35">
      <c r="A1058" s="586" t="s">
        <v>526</v>
      </c>
      <c r="B1058" s="586" t="s">
        <v>159</v>
      </c>
      <c r="C1058" s="586" t="s">
        <v>302</v>
      </c>
      <c r="D1058" s="586" t="s">
        <v>344</v>
      </c>
      <c r="E1058" s="586" t="s">
        <v>296</v>
      </c>
      <c r="F1058" s="586" t="s">
        <v>276</v>
      </c>
      <c r="G1058" s="586" t="s">
        <v>356</v>
      </c>
      <c r="H1058" s="586" t="s">
        <v>670</v>
      </c>
      <c r="I1058" s="586" t="s">
        <v>277</v>
      </c>
      <c r="J1058" s="586" t="s">
        <v>522</v>
      </c>
      <c r="K1058" s="586" t="s">
        <v>303</v>
      </c>
      <c r="L1058" s="586" t="s">
        <v>541</v>
      </c>
      <c r="M1058" s="586" t="s">
        <v>285</v>
      </c>
      <c r="N1058" s="586" t="s">
        <v>670</v>
      </c>
      <c r="O1058" s="586" t="s">
        <v>670</v>
      </c>
      <c r="P1058" s="586" t="s">
        <v>522</v>
      </c>
      <c r="Q1058" s="586" t="s">
        <v>670</v>
      </c>
      <c r="R1058" s="587">
        <v>45811</v>
      </c>
      <c r="S1058" s="586" t="s">
        <v>670</v>
      </c>
      <c r="T1058" s="587">
        <v>45808</v>
      </c>
      <c r="U1058" s="588">
        <v>0</v>
      </c>
      <c r="V1058" s="589">
        <v>13.46</v>
      </c>
      <c r="W1058" s="260">
        <v>45778</v>
      </c>
    </row>
    <row r="1059" spans="1:23" hidden="1" x14ac:dyDescent="0.35">
      <c r="A1059" s="586" t="s">
        <v>526</v>
      </c>
      <c r="B1059" s="586" t="s">
        <v>159</v>
      </c>
      <c r="C1059" s="586" t="s">
        <v>302</v>
      </c>
      <c r="D1059" s="586" t="s">
        <v>344</v>
      </c>
      <c r="E1059" s="586" t="s">
        <v>296</v>
      </c>
      <c r="F1059" s="586" t="s">
        <v>276</v>
      </c>
      <c r="G1059" s="586" t="s">
        <v>356</v>
      </c>
      <c r="H1059" s="586" t="s">
        <v>670</v>
      </c>
      <c r="I1059" s="586" t="s">
        <v>277</v>
      </c>
      <c r="J1059" s="586" t="s">
        <v>522</v>
      </c>
      <c r="K1059" s="586" t="s">
        <v>303</v>
      </c>
      <c r="L1059" s="586" t="s">
        <v>541</v>
      </c>
      <c r="M1059" s="586" t="s">
        <v>285</v>
      </c>
      <c r="N1059" s="586" t="s">
        <v>670</v>
      </c>
      <c r="O1059" s="586" t="s">
        <v>670</v>
      </c>
      <c r="P1059" s="586" t="s">
        <v>522</v>
      </c>
      <c r="Q1059" s="586" t="s">
        <v>670</v>
      </c>
      <c r="R1059" s="587">
        <v>45811</v>
      </c>
      <c r="S1059" s="586" t="s">
        <v>670</v>
      </c>
      <c r="T1059" s="587">
        <v>45808</v>
      </c>
      <c r="U1059" s="588">
        <v>0</v>
      </c>
      <c r="V1059" s="589">
        <v>0.55000000000000004</v>
      </c>
      <c r="W1059" s="260">
        <v>45778</v>
      </c>
    </row>
    <row r="1060" spans="1:23" hidden="1" x14ac:dyDescent="0.35">
      <c r="A1060" s="586" t="s">
        <v>526</v>
      </c>
      <c r="B1060" s="586" t="s">
        <v>159</v>
      </c>
      <c r="C1060" s="586" t="s">
        <v>298</v>
      </c>
      <c r="D1060" s="586" t="s">
        <v>345</v>
      </c>
      <c r="E1060" s="586" t="s">
        <v>346</v>
      </c>
      <c r="F1060" s="586" t="s">
        <v>276</v>
      </c>
      <c r="G1060" s="586" t="s">
        <v>356</v>
      </c>
      <c r="H1060" s="586" t="s">
        <v>670</v>
      </c>
      <c r="I1060" s="586" t="s">
        <v>277</v>
      </c>
      <c r="J1060" s="586" t="s">
        <v>522</v>
      </c>
      <c r="K1060" s="586" t="s">
        <v>301</v>
      </c>
      <c r="L1060" s="586" t="s">
        <v>541</v>
      </c>
      <c r="M1060" s="586" t="s">
        <v>285</v>
      </c>
      <c r="N1060" s="586" t="s">
        <v>670</v>
      </c>
      <c r="O1060" s="586" t="s">
        <v>670</v>
      </c>
      <c r="P1060" s="586" t="s">
        <v>522</v>
      </c>
      <c r="Q1060" s="586" t="s">
        <v>670</v>
      </c>
      <c r="R1060" s="587">
        <v>45810</v>
      </c>
      <c r="S1060" s="586" t="s">
        <v>670</v>
      </c>
      <c r="T1060" s="587">
        <v>45808</v>
      </c>
      <c r="U1060" s="588">
        <v>0</v>
      </c>
      <c r="V1060" s="589">
        <v>0.21</v>
      </c>
      <c r="W1060" s="260">
        <v>45778</v>
      </c>
    </row>
    <row r="1061" spans="1:23" hidden="1" x14ac:dyDescent="0.35">
      <c r="A1061" s="586" t="s">
        <v>526</v>
      </c>
      <c r="B1061" s="586" t="s">
        <v>159</v>
      </c>
      <c r="C1061" s="586" t="s">
        <v>298</v>
      </c>
      <c r="D1061" s="586" t="s">
        <v>347</v>
      </c>
      <c r="E1061" s="586" t="s">
        <v>348</v>
      </c>
      <c r="F1061" s="586" t="s">
        <v>276</v>
      </c>
      <c r="G1061" s="586" t="s">
        <v>356</v>
      </c>
      <c r="H1061" s="586" t="s">
        <v>670</v>
      </c>
      <c r="I1061" s="586" t="s">
        <v>277</v>
      </c>
      <c r="J1061" s="586" t="s">
        <v>522</v>
      </c>
      <c r="K1061" s="586" t="s">
        <v>301</v>
      </c>
      <c r="L1061" s="586" t="s">
        <v>541</v>
      </c>
      <c r="M1061" s="586" t="s">
        <v>285</v>
      </c>
      <c r="N1061" s="586" t="s">
        <v>670</v>
      </c>
      <c r="O1061" s="586" t="s">
        <v>670</v>
      </c>
      <c r="P1061" s="586" t="s">
        <v>522</v>
      </c>
      <c r="Q1061" s="586" t="s">
        <v>670</v>
      </c>
      <c r="R1061" s="587">
        <v>45810</v>
      </c>
      <c r="S1061" s="586" t="s">
        <v>670</v>
      </c>
      <c r="T1061" s="587">
        <v>45808</v>
      </c>
      <c r="U1061" s="588">
        <v>0</v>
      </c>
      <c r="V1061" s="589">
        <v>0.75</v>
      </c>
      <c r="W1061" s="260">
        <v>45778</v>
      </c>
    </row>
    <row r="1062" spans="1:23" hidden="1" x14ac:dyDescent="0.35">
      <c r="A1062" s="586" t="s">
        <v>526</v>
      </c>
      <c r="B1062" s="586" t="s">
        <v>159</v>
      </c>
      <c r="C1062" s="586" t="s">
        <v>298</v>
      </c>
      <c r="D1062" s="586" t="s">
        <v>347</v>
      </c>
      <c r="E1062" s="586" t="s">
        <v>348</v>
      </c>
      <c r="F1062" s="586" t="s">
        <v>276</v>
      </c>
      <c r="G1062" s="586" t="s">
        <v>356</v>
      </c>
      <c r="H1062" s="586" t="s">
        <v>670</v>
      </c>
      <c r="I1062" s="586" t="s">
        <v>277</v>
      </c>
      <c r="J1062" s="586" t="s">
        <v>522</v>
      </c>
      <c r="K1062" s="586" t="s">
        <v>301</v>
      </c>
      <c r="L1062" s="586" t="s">
        <v>541</v>
      </c>
      <c r="M1062" s="586" t="s">
        <v>285</v>
      </c>
      <c r="N1062" s="586" t="s">
        <v>670</v>
      </c>
      <c r="O1062" s="586" t="s">
        <v>670</v>
      </c>
      <c r="P1062" s="586" t="s">
        <v>522</v>
      </c>
      <c r="Q1062" s="586" t="s">
        <v>670</v>
      </c>
      <c r="R1062" s="587">
        <v>45810</v>
      </c>
      <c r="S1062" s="586" t="s">
        <v>670</v>
      </c>
      <c r="T1062" s="587">
        <v>45808</v>
      </c>
      <c r="U1062" s="588">
        <v>0</v>
      </c>
      <c r="V1062" s="589">
        <v>0.15</v>
      </c>
      <c r="W1062" s="260">
        <v>45778</v>
      </c>
    </row>
    <row r="1063" spans="1:23" hidden="1" x14ac:dyDescent="0.35">
      <c r="A1063" s="586" t="s">
        <v>526</v>
      </c>
      <c r="B1063" s="586" t="s">
        <v>159</v>
      </c>
      <c r="C1063" s="586" t="s">
        <v>298</v>
      </c>
      <c r="D1063" s="586" t="s">
        <v>349</v>
      </c>
      <c r="E1063" s="586" t="s">
        <v>350</v>
      </c>
      <c r="F1063" s="586" t="s">
        <v>276</v>
      </c>
      <c r="G1063" s="586" t="s">
        <v>356</v>
      </c>
      <c r="H1063" s="586" t="s">
        <v>670</v>
      </c>
      <c r="I1063" s="586" t="s">
        <v>277</v>
      </c>
      <c r="J1063" s="586" t="s">
        <v>522</v>
      </c>
      <c r="K1063" s="586" t="s">
        <v>301</v>
      </c>
      <c r="L1063" s="586" t="s">
        <v>541</v>
      </c>
      <c r="M1063" s="586" t="s">
        <v>285</v>
      </c>
      <c r="N1063" s="586" t="s">
        <v>670</v>
      </c>
      <c r="O1063" s="586" t="s">
        <v>670</v>
      </c>
      <c r="P1063" s="586" t="s">
        <v>522</v>
      </c>
      <c r="Q1063" s="586" t="s">
        <v>670</v>
      </c>
      <c r="R1063" s="587">
        <v>45810</v>
      </c>
      <c r="S1063" s="586" t="s">
        <v>670</v>
      </c>
      <c r="T1063" s="587">
        <v>45808</v>
      </c>
      <c r="U1063" s="588">
        <v>0</v>
      </c>
      <c r="V1063" s="589">
        <v>-0.03</v>
      </c>
      <c r="W1063" s="260">
        <v>45778</v>
      </c>
    </row>
    <row r="1064" spans="1:23" hidden="1" x14ac:dyDescent="0.35">
      <c r="A1064" s="586" t="s">
        <v>526</v>
      </c>
      <c r="B1064" s="586" t="s">
        <v>159</v>
      </c>
      <c r="C1064" s="586" t="s">
        <v>298</v>
      </c>
      <c r="D1064" s="586" t="s">
        <v>351</v>
      </c>
      <c r="E1064" s="586" t="s">
        <v>352</v>
      </c>
      <c r="F1064" s="586" t="s">
        <v>276</v>
      </c>
      <c r="G1064" s="586" t="s">
        <v>356</v>
      </c>
      <c r="H1064" s="586" t="s">
        <v>670</v>
      </c>
      <c r="I1064" s="586" t="s">
        <v>277</v>
      </c>
      <c r="J1064" s="586" t="s">
        <v>522</v>
      </c>
      <c r="K1064" s="586" t="s">
        <v>301</v>
      </c>
      <c r="L1064" s="586" t="s">
        <v>541</v>
      </c>
      <c r="M1064" s="586" t="s">
        <v>285</v>
      </c>
      <c r="N1064" s="586" t="s">
        <v>670</v>
      </c>
      <c r="O1064" s="586" t="s">
        <v>670</v>
      </c>
      <c r="P1064" s="586" t="s">
        <v>522</v>
      </c>
      <c r="Q1064" s="586" t="s">
        <v>670</v>
      </c>
      <c r="R1064" s="587">
        <v>45810</v>
      </c>
      <c r="S1064" s="586" t="s">
        <v>670</v>
      </c>
      <c r="T1064" s="587">
        <v>45808</v>
      </c>
      <c r="U1064" s="588">
        <v>0</v>
      </c>
      <c r="V1064" s="589">
        <v>0.41</v>
      </c>
      <c r="W1064" s="260">
        <v>45778</v>
      </c>
    </row>
    <row r="1065" spans="1:23" hidden="1" x14ac:dyDescent="0.35">
      <c r="A1065" s="586" t="s">
        <v>526</v>
      </c>
      <c r="B1065" s="586" t="s">
        <v>159</v>
      </c>
      <c r="C1065" s="586" t="s">
        <v>298</v>
      </c>
      <c r="D1065" s="586" t="s">
        <v>351</v>
      </c>
      <c r="E1065" s="586" t="s">
        <v>352</v>
      </c>
      <c r="F1065" s="586" t="s">
        <v>276</v>
      </c>
      <c r="G1065" s="586" t="s">
        <v>356</v>
      </c>
      <c r="H1065" s="586" t="s">
        <v>670</v>
      </c>
      <c r="I1065" s="586" t="s">
        <v>277</v>
      </c>
      <c r="J1065" s="586" t="s">
        <v>522</v>
      </c>
      <c r="K1065" s="586" t="s">
        <v>301</v>
      </c>
      <c r="L1065" s="586" t="s">
        <v>541</v>
      </c>
      <c r="M1065" s="586" t="s">
        <v>285</v>
      </c>
      <c r="N1065" s="586" t="s">
        <v>670</v>
      </c>
      <c r="O1065" s="586" t="s">
        <v>670</v>
      </c>
      <c r="P1065" s="586" t="s">
        <v>522</v>
      </c>
      <c r="Q1065" s="586" t="s">
        <v>670</v>
      </c>
      <c r="R1065" s="587">
        <v>45810</v>
      </c>
      <c r="S1065" s="586" t="s">
        <v>670</v>
      </c>
      <c r="T1065" s="587">
        <v>45808</v>
      </c>
      <c r="U1065" s="588">
        <v>0</v>
      </c>
      <c r="V1065" s="589">
        <v>-0.05</v>
      </c>
      <c r="W1065" s="260">
        <v>45778</v>
      </c>
    </row>
    <row r="1066" spans="1:23" hidden="1" x14ac:dyDescent="0.35">
      <c r="A1066" s="586" t="s">
        <v>526</v>
      </c>
      <c r="B1066" s="586" t="s">
        <v>159</v>
      </c>
      <c r="C1066" s="586" t="s">
        <v>298</v>
      </c>
      <c r="D1066" s="586" t="s">
        <v>354</v>
      </c>
      <c r="E1066" s="586" t="s">
        <v>355</v>
      </c>
      <c r="F1066" s="586" t="s">
        <v>276</v>
      </c>
      <c r="G1066" s="586" t="s">
        <v>356</v>
      </c>
      <c r="H1066" s="586" t="s">
        <v>670</v>
      </c>
      <c r="I1066" s="586" t="s">
        <v>277</v>
      </c>
      <c r="J1066" s="586" t="s">
        <v>522</v>
      </c>
      <c r="K1066" s="586" t="s">
        <v>301</v>
      </c>
      <c r="L1066" s="586" t="s">
        <v>541</v>
      </c>
      <c r="M1066" s="586" t="s">
        <v>285</v>
      </c>
      <c r="N1066" s="586" t="s">
        <v>670</v>
      </c>
      <c r="O1066" s="586" t="s">
        <v>670</v>
      </c>
      <c r="P1066" s="586" t="s">
        <v>522</v>
      </c>
      <c r="Q1066" s="586" t="s">
        <v>670</v>
      </c>
      <c r="R1066" s="587">
        <v>45810</v>
      </c>
      <c r="S1066" s="586" t="s">
        <v>670</v>
      </c>
      <c r="T1066" s="587">
        <v>45808</v>
      </c>
      <c r="U1066" s="588">
        <v>0</v>
      </c>
      <c r="V1066" s="589">
        <v>0.03</v>
      </c>
      <c r="W1066" s="260">
        <v>45778</v>
      </c>
    </row>
    <row r="1067" spans="1:23" hidden="1" x14ac:dyDescent="0.35">
      <c r="A1067" s="586" t="s">
        <v>526</v>
      </c>
      <c r="B1067" s="586" t="s">
        <v>159</v>
      </c>
      <c r="C1067" s="586" t="s">
        <v>542</v>
      </c>
      <c r="D1067" s="586" t="s">
        <v>560</v>
      </c>
      <c r="E1067" s="586" t="s">
        <v>544</v>
      </c>
      <c r="F1067" s="586" t="s">
        <v>276</v>
      </c>
      <c r="G1067" s="586" t="s">
        <v>356</v>
      </c>
      <c r="H1067" s="586" t="s">
        <v>670</v>
      </c>
      <c r="I1067" s="586" t="s">
        <v>277</v>
      </c>
      <c r="J1067" s="586" t="s">
        <v>522</v>
      </c>
      <c r="K1067" s="586" t="s">
        <v>545</v>
      </c>
      <c r="L1067" s="586" t="s">
        <v>541</v>
      </c>
      <c r="M1067" s="586" t="s">
        <v>285</v>
      </c>
      <c r="N1067" s="586" t="s">
        <v>670</v>
      </c>
      <c r="O1067" s="586" t="s">
        <v>670</v>
      </c>
      <c r="P1067" s="586" t="s">
        <v>522</v>
      </c>
      <c r="Q1067" s="586" t="s">
        <v>670</v>
      </c>
      <c r="R1067" s="587">
        <v>45810</v>
      </c>
      <c r="S1067" s="586" t="s">
        <v>670</v>
      </c>
      <c r="T1067" s="587">
        <v>45808</v>
      </c>
      <c r="U1067" s="588">
        <v>0</v>
      </c>
      <c r="V1067" s="589">
        <v>-4.37</v>
      </c>
      <c r="W1067" s="260">
        <v>45778</v>
      </c>
    </row>
    <row r="1068" spans="1:23" hidden="1" x14ac:dyDescent="0.35">
      <c r="A1068" s="586" t="s">
        <v>526</v>
      </c>
      <c r="B1068" s="586" t="s">
        <v>159</v>
      </c>
      <c r="C1068" s="586" t="s">
        <v>542</v>
      </c>
      <c r="D1068" s="586" t="s">
        <v>560</v>
      </c>
      <c r="E1068" s="586" t="s">
        <v>544</v>
      </c>
      <c r="F1068" s="586" t="s">
        <v>276</v>
      </c>
      <c r="G1068" s="586" t="s">
        <v>356</v>
      </c>
      <c r="H1068" s="586" t="s">
        <v>670</v>
      </c>
      <c r="I1068" s="586" t="s">
        <v>277</v>
      </c>
      <c r="J1068" s="586" t="s">
        <v>522</v>
      </c>
      <c r="K1068" s="586" t="s">
        <v>545</v>
      </c>
      <c r="L1068" s="586" t="s">
        <v>541</v>
      </c>
      <c r="M1068" s="586" t="s">
        <v>285</v>
      </c>
      <c r="N1068" s="586" t="s">
        <v>670</v>
      </c>
      <c r="O1068" s="586" t="s">
        <v>670</v>
      </c>
      <c r="P1068" s="586" t="s">
        <v>522</v>
      </c>
      <c r="Q1068" s="586" t="s">
        <v>670</v>
      </c>
      <c r="R1068" s="587">
        <v>45810</v>
      </c>
      <c r="S1068" s="586" t="s">
        <v>670</v>
      </c>
      <c r="T1068" s="587">
        <v>45808</v>
      </c>
      <c r="U1068" s="588">
        <v>0</v>
      </c>
      <c r="V1068" s="589">
        <v>4.37</v>
      </c>
      <c r="W1068" s="260">
        <v>45778</v>
      </c>
    </row>
    <row r="1069" spans="1:23" hidden="1" x14ac:dyDescent="0.35">
      <c r="A1069" s="586" t="s">
        <v>526</v>
      </c>
      <c r="B1069" s="586" t="s">
        <v>159</v>
      </c>
      <c r="C1069" s="586" t="s">
        <v>542</v>
      </c>
      <c r="D1069" s="586" t="s">
        <v>560</v>
      </c>
      <c r="E1069" s="586" t="s">
        <v>544</v>
      </c>
      <c r="F1069" s="586" t="s">
        <v>276</v>
      </c>
      <c r="G1069" s="586" t="s">
        <v>356</v>
      </c>
      <c r="H1069" s="586" t="s">
        <v>670</v>
      </c>
      <c r="I1069" s="586" t="s">
        <v>277</v>
      </c>
      <c r="J1069" s="586" t="s">
        <v>522</v>
      </c>
      <c r="K1069" s="586" t="s">
        <v>545</v>
      </c>
      <c r="L1069" s="586" t="s">
        <v>541</v>
      </c>
      <c r="M1069" s="586" t="s">
        <v>285</v>
      </c>
      <c r="N1069" s="586" t="s">
        <v>670</v>
      </c>
      <c r="O1069" s="586" t="s">
        <v>670</v>
      </c>
      <c r="P1069" s="586" t="s">
        <v>522</v>
      </c>
      <c r="Q1069" s="586" t="s">
        <v>670</v>
      </c>
      <c r="R1069" s="587">
        <v>45810</v>
      </c>
      <c r="S1069" s="586" t="s">
        <v>670</v>
      </c>
      <c r="T1069" s="587">
        <v>45808</v>
      </c>
      <c r="U1069" s="588">
        <v>0</v>
      </c>
      <c r="V1069" s="589">
        <v>4.28</v>
      </c>
      <c r="W1069" s="260">
        <v>45778</v>
      </c>
    </row>
    <row r="1070" spans="1:23" hidden="1" x14ac:dyDescent="0.35">
      <c r="A1070" s="586" t="s">
        <v>526</v>
      </c>
      <c r="B1070" s="586" t="s">
        <v>159</v>
      </c>
      <c r="C1070" s="586" t="s">
        <v>298</v>
      </c>
      <c r="D1070" s="586" t="s">
        <v>560</v>
      </c>
      <c r="E1070" s="586" t="s">
        <v>544</v>
      </c>
      <c r="F1070" s="586" t="s">
        <v>276</v>
      </c>
      <c r="G1070" s="586" t="s">
        <v>356</v>
      </c>
      <c r="H1070" s="586" t="s">
        <v>670</v>
      </c>
      <c r="I1070" s="586" t="s">
        <v>277</v>
      </c>
      <c r="J1070" s="586" t="s">
        <v>522</v>
      </c>
      <c r="K1070" s="586" t="s">
        <v>301</v>
      </c>
      <c r="L1070" s="586" t="s">
        <v>541</v>
      </c>
      <c r="M1070" s="586" t="s">
        <v>285</v>
      </c>
      <c r="N1070" s="586" t="s">
        <v>670</v>
      </c>
      <c r="O1070" s="586" t="s">
        <v>670</v>
      </c>
      <c r="P1070" s="586" t="s">
        <v>522</v>
      </c>
      <c r="Q1070" s="586" t="s">
        <v>670</v>
      </c>
      <c r="R1070" s="587">
        <v>45810</v>
      </c>
      <c r="S1070" s="586" t="s">
        <v>670</v>
      </c>
      <c r="T1070" s="587">
        <v>45808</v>
      </c>
      <c r="U1070" s="588">
        <v>0</v>
      </c>
      <c r="V1070" s="589">
        <v>0.02</v>
      </c>
      <c r="W1070" s="260">
        <v>45778</v>
      </c>
    </row>
    <row r="1071" spans="1:23" hidden="1" x14ac:dyDescent="0.35">
      <c r="A1071" s="586" t="s">
        <v>526</v>
      </c>
      <c r="B1071" s="586" t="s">
        <v>159</v>
      </c>
      <c r="C1071" s="586" t="s">
        <v>546</v>
      </c>
      <c r="D1071" s="586" t="s">
        <v>561</v>
      </c>
      <c r="E1071" s="586" t="s">
        <v>548</v>
      </c>
      <c r="F1071" s="586" t="s">
        <v>276</v>
      </c>
      <c r="G1071" s="586" t="s">
        <v>356</v>
      </c>
      <c r="H1071" s="586" t="s">
        <v>670</v>
      </c>
      <c r="I1071" s="586" t="s">
        <v>277</v>
      </c>
      <c r="J1071" s="586" t="s">
        <v>522</v>
      </c>
      <c r="K1071" s="586" t="s">
        <v>549</v>
      </c>
      <c r="L1071" s="586" t="s">
        <v>541</v>
      </c>
      <c r="M1071" s="586" t="s">
        <v>285</v>
      </c>
      <c r="N1071" s="586" t="s">
        <v>670</v>
      </c>
      <c r="O1071" s="586" t="s">
        <v>670</v>
      </c>
      <c r="P1071" s="586" t="s">
        <v>522</v>
      </c>
      <c r="Q1071" s="586" t="s">
        <v>670</v>
      </c>
      <c r="R1071" s="587">
        <v>45810</v>
      </c>
      <c r="S1071" s="586" t="s">
        <v>670</v>
      </c>
      <c r="T1071" s="587">
        <v>45808</v>
      </c>
      <c r="U1071" s="588">
        <v>0</v>
      </c>
      <c r="V1071" s="589">
        <v>23.66</v>
      </c>
      <c r="W1071" s="260">
        <v>45778</v>
      </c>
    </row>
    <row r="1072" spans="1:23" hidden="1" x14ac:dyDescent="0.35">
      <c r="A1072" s="586" t="s">
        <v>526</v>
      </c>
      <c r="B1072" s="586" t="s">
        <v>159</v>
      </c>
      <c r="C1072" s="586" t="s">
        <v>546</v>
      </c>
      <c r="D1072" s="586" t="s">
        <v>561</v>
      </c>
      <c r="E1072" s="586" t="s">
        <v>548</v>
      </c>
      <c r="F1072" s="586" t="s">
        <v>276</v>
      </c>
      <c r="G1072" s="586" t="s">
        <v>356</v>
      </c>
      <c r="H1072" s="586" t="s">
        <v>670</v>
      </c>
      <c r="I1072" s="586" t="s">
        <v>277</v>
      </c>
      <c r="J1072" s="586" t="s">
        <v>522</v>
      </c>
      <c r="K1072" s="586" t="s">
        <v>549</v>
      </c>
      <c r="L1072" s="586" t="s">
        <v>541</v>
      </c>
      <c r="M1072" s="586" t="s">
        <v>285</v>
      </c>
      <c r="N1072" s="586" t="s">
        <v>670</v>
      </c>
      <c r="O1072" s="586" t="s">
        <v>670</v>
      </c>
      <c r="P1072" s="586" t="s">
        <v>522</v>
      </c>
      <c r="Q1072" s="586" t="s">
        <v>670</v>
      </c>
      <c r="R1072" s="587">
        <v>45810</v>
      </c>
      <c r="S1072" s="586" t="s">
        <v>670</v>
      </c>
      <c r="T1072" s="587">
        <v>45808</v>
      </c>
      <c r="U1072" s="588">
        <v>0</v>
      </c>
      <c r="V1072" s="589">
        <v>-23.66</v>
      </c>
      <c r="W1072" s="260">
        <v>45778</v>
      </c>
    </row>
    <row r="1073" spans="1:23" hidden="1" x14ac:dyDescent="0.35">
      <c r="A1073" s="586" t="s">
        <v>526</v>
      </c>
      <c r="B1073" s="586" t="s">
        <v>159</v>
      </c>
      <c r="C1073" s="586" t="s">
        <v>546</v>
      </c>
      <c r="D1073" s="586" t="s">
        <v>561</v>
      </c>
      <c r="E1073" s="586" t="s">
        <v>548</v>
      </c>
      <c r="F1073" s="586" t="s">
        <v>276</v>
      </c>
      <c r="G1073" s="586" t="s">
        <v>356</v>
      </c>
      <c r="H1073" s="586" t="s">
        <v>670</v>
      </c>
      <c r="I1073" s="586" t="s">
        <v>277</v>
      </c>
      <c r="J1073" s="586" t="s">
        <v>522</v>
      </c>
      <c r="K1073" s="586" t="s">
        <v>549</v>
      </c>
      <c r="L1073" s="586" t="s">
        <v>541</v>
      </c>
      <c r="M1073" s="586" t="s">
        <v>285</v>
      </c>
      <c r="N1073" s="586" t="s">
        <v>670</v>
      </c>
      <c r="O1073" s="586" t="s">
        <v>670</v>
      </c>
      <c r="P1073" s="586" t="s">
        <v>522</v>
      </c>
      <c r="Q1073" s="586" t="s">
        <v>670</v>
      </c>
      <c r="R1073" s="587">
        <v>45810</v>
      </c>
      <c r="S1073" s="586" t="s">
        <v>670</v>
      </c>
      <c r="T1073" s="587">
        <v>45808</v>
      </c>
      <c r="U1073" s="588">
        <v>0</v>
      </c>
      <c r="V1073" s="589">
        <v>23.66</v>
      </c>
      <c r="W1073" s="260">
        <v>45778</v>
      </c>
    </row>
    <row r="1074" spans="1:23" hidden="1" x14ac:dyDescent="0.35">
      <c r="A1074" s="586" t="s">
        <v>526</v>
      </c>
      <c r="B1074" s="586" t="s">
        <v>159</v>
      </c>
      <c r="C1074" s="586" t="s">
        <v>298</v>
      </c>
      <c r="D1074" s="586" t="s">
        <v>561</v>
      </c>
      <c r="E1074" s="586" t="s">
        <v>548</v>
      </c>
      <c r="F1074" s="586" t="s">
        <v>276</v>
      </c>
      <c r="G1074" s="586" t="s">
        <v>356</v>
      </c>
      <c r="H1074" s="586" t="s">
        <v>670</v>
      </c>
      <c r="I1074" s="586" t="s">
        <v>277</v>
      </c>
      <c r="J1074" s="586" t="s">
        <v>522</v>
      </c>
      <c r="K1074" s="586" t="s">
        <v>301</v>
      </c>
      <c r="L1074" s="586" t="s">
        <v>541</v>
      </c>
      <c r="M1074" s="586" t="s">
        <v>285</v>
      </c>
      <c r="N1074" s="586" t="s">
        <v>670</v>
      </c>
      <c r="O1074" s="586" t="s">
        <v>670</v>
      </c>
      <c r="P1074" s="586" t="s">
        <v>522</v>
      </c>
      <c r="Q1074" s="586" t="s">
        <v>670</v>
      </c>
      <c r="R1074" s="587">
        <v>45810</v>
      </c>
      <c r="S1074" s="586" t="s">
        <v>670</v>
      </c>
      <c r="T1074" s="587">
        <v>45808</v>
      </c>
      <c r="U1074" s="588">
        <v>0</v>
      </c>
      <c r="V1074" s="589">
        <v>0.03</v>
      </c>
      <c r="W1074" s="260">
        <v>45778</v>
      </c>
    </row>
    <row r="1075" spans="1:23" hidden="1" x14ac:dyDescent="0.35">
      <c r="A1075" s="586" t="s">
        <v>526</v>
      </c>
      <c r="B1075" s="586" t="s">
        <v>159</v>
      </c>
      <c r="C1075" s="586" t="s">
        <v>298</v>
      </c>
      <c r="D1075" s="586" t="s">
        <v>561</v>
      </c>
      <c r="E1075" s="586" t="s">
        <v>548</v>
      </c>
      <c r="F1075" s="586" t="s">
        <v>276</v>
      </c>
      <c r="G1075" s="586" t="s">
        <v>356</v>
      </c>
      <c r="H1075" s="586" t="s">
        <v>670</v>
      </c>
      <c r="I1075" s="586" t="s">
        <v>277</v>
      </c>
      <c r="J1075" s="586" t="s">
        <v>522</v>
      </c>
      <c r="K1075" s="586" t="s">
        <v>301</v>
      </c>
      <c r="L1075" s="586" t="s">
        <v>541</v>
      </c>
      <c r="M1075" s="586" t="s">
        <v>285</v>
      </c>
      <c r="N1075" s="586" t="s">
        <v>670</v>
      </c>
      <c r="O1075" s="586" t="s">
        <v>670</v>
      </c>
      <c r="P1075" s="586" t="s">
        <v>522</v>
      </c>
      <c r="Q1075" s="586" t="s">
        <v>670</v>
      </c>
      <c r="R1075" s="587">
        <v>45810</v>
      </c>
      <c r="S1075" s="586" t="s">
        <v>670</v>
      </c>
      <c r="T1075" s="587">
        <v>45808</v>
      </c>
      <c r="U1075" s="588">
        <v>0</v>
      </c>
      <c r="V1075" s="589">
        <v>0.01</v>
      </c>
      <c r="W1075" s="260">
        <v>45778</v>
      </c>
    </row>
    <row r="1076" spans="1:23" hidden="1" x14ac:dyDescent="0.35">
      <c r="A1076" s="586" t="s">
        <v>526</v>
      </c>
      <c r="B1076" s="586" t="s">
        <v>159</v>
      </c>
      <c r="C1076" s="586" t="s">
        <v>542</v>
      </c>
      <c r="D1076" s="586" t="s">
        <v>562</v>
      </c>
      <c r="E1076" s="586" t="s">
        <v>551</v>
      </c>
      <c r="F1076" s="586" t="s">
        <v>276</v>
      </c>
      <c r="G1076" s="586" t="s">
        <v>356</v>
      </c>
      <c r="H1076" s="586" t="s">
        <v>670</v>
      </c>
      <c r="I1076" s="586" t="s">
        <v>277</v>
      </c>
      <c r="J1076" s="586" t="s">
        <v>522</v>
      </c>
      <c r="K1076" s="586" t="s">
        <v>545</v>
      </c>
      <c r="L1076" s="586" t="s">
        <v>541</v>
      </c>
      <c r="M1076" s="586" t="s">
        <v>285</v>
      </c>
      <c r="N1076" s="586" t="s">
        <v>670</v>
      </c>
      <c r="O1076" s="586" t="s">
        <v>670</v>
      </c>
      <c r="P1076" s="586" t="s">
        <v>522</v>
      </c>
      <c r="Q1076" s="586" t="s">
        <v>670</v>
      </c>
      <c r="R1076" s="587">
        <v>45810</v>
      </c>
      <c r="S1076" s="586" t="s">
        <v>670</v>
      </c>
      <c r="T1076" s="587">
        <v>45808</v>
      </c>
      <c r="U1076" s="588">
        <v>0</v>
      </c>
      <c r="V1076" s="589">
        <v>21.42</v>
      </c>
      <c r="W1076" s="260">
        <v>45778</v>
      </c>
    </row>
    <row r="1077" spans="1:23" hidden="1" x14ac:dyDescent="0.35">
      <c r="A1077" s="586" t="s">
        <v>526</v>
      </c>
      <c r="B1077" s="586" t="s">
        <v>159</v>
      </c>
      <c r="C1077" s="586" t="s">
        <v>542</v>
      </c>
      <c r="D1077" s="586" t="s">
        <v>562</v>
      </c>
      <c r="E1077" s="586" t="s">
        <v>551</v>
      </c>
      <c r="F1077" s="586" t="s">
        <v>276</v>
      </c>
      <c r="G1077" s="586" t="s">
        <v>356</v>
      </c>
      <c r="H1077" s="586" t="s">
        <v>670</v>
      </c>
      <c r="I1077" s="586" t="s">
        <v>277</v>
      </c>
      <c r="J1077" s="586" t="s">
        <v>522</v>
      </c>
      <c r="K1077" s="586" t="s">
        <v>545</v>
      </c>
      <c r="L1077" s="586" t="s">
        <v>541</v>
      </c>
      <c r="M1077" s="586" t="s">
        <v>285</v>
      </c>
      <c r="N1077" s="586" t="s">
        <v>670</v>
      </c>
      <c r="O1077" s="586" t="s">
        <v>670</v>
      </c>
      <c r="P1077" s="586" t="s">
        <v>522</v>
      </c>
      <c r="Q1077" s="586" t="s">
        <v>670</v>
      </c>
      <c r="R1077" s="587">
        <v>45810</v>
      </c>
      <c r="S1077" s="586" t="s">
        <v>670</v>
      </c>
      <c r="T1077" s="587">
        <v>45808</v>
      </c>
      <c r="U1077" s="588">
        <v>0</v>
      </c>
      <c r="V1077" s="589">
        <v>-21.42</v>
      </c>
      <c r="W1077" s="260">
        <v>45778</v>
      </c>
    </row>
    <row r="1078" spans="1:23" hidden="1" x14ac:dyDescent="0.35">
      <c r="A1078" s="586" t="s">
        <v>526</v>
      </c>
      <c r="B1078" s="586" t="s">
        <v>159</v>
      </c>
      <c r="C1078" s="586" t="s">
        <v>542</v>
      </c>
      <c r="D1078" s="586" t="s">
        <v>562</v>
      </c>
      <c r="E1078" s="586" t="s">
        <v>551</v>
      </c>
      <c r="F1078" s="586" t="s">
        <v>276</v>
      </c>
      <c r="G1078" s="586" t="s">
        <v>356</v>
      </c>
      <c r="H1078" s="586" t="s">
        <v>670</v>
      </c>
      <c r="I1078" s="586" t="s">
        <v>277</v>
      </c>
      <c r="J1078" s="586" t="s">
        <v>522</v>
      </c>
      <c r="K1078" s="586" t="s">
        <v>545</v>
      </c>
      <c r="L1078" s="586" t="s">
        <v>541</v>
      </c>
      <c r="M1078" s="586" t="s">
        <v>285</v>
      </c>
      <c r="N1078" s="586" t="s">
        <v>670</v>
      </c>
      <c r="O1078" s="586" t="s">
        <v>670</v>
      </c>
      <c r="P1078" s="586" t="s">
        <v>522</v>
      </c>
      <c r="Q1078" s="586" t="s">
        <v>670</v>
      </c>
      <c r="R1078" s="587">
        <v>45810</v>
      </c>
      <c r="S1078" s="586" t="s">
        <v>670</v>
      </c>
      <c r="T1078" s="587">
        <v>45808</v>
      </c>
      <c r="U1078" s="588">
        <v>0</v>
      </c>
      <c r="V1078" s="589">
        <v>21.42</v>
      </c>
      <c r="W1078" s="260">
        <v>45778</v>
      </c>
    </row>
    <row r="1079" spans="1:23" hidden="1" x14ac:dyDescent="0.35">
      <c r="A1079" s="586" t="s">
        <v>526</v>
      </c>
      <c r="B1079" s="586" t="s">
        <v>159</v>
      </c>
      <c r="C1079" s="586" t="s">
        <v>298</v>
      </c>
      <c r="D1079" s="586" t="s">
        <v>562</v>
      </c>
      <c r="E1079" s="586" t="s">
        <v>551</v>
      </c>
      <c r="F1079" s="586" t="s">
        <v>276</v>
      </c>
      <c r="G1079" s="586" t="s">
        <v>356</v>
      </c>
      <c r="H1079" s="586" t="s">
        <v>670</v>
      </c>
      <c r="I1079" s="586" t="s">
        <v>277</v>
      </c>
      <c r="J1079" s="586" t="s">
        <v>522</v>
      </c>
      <c r="K1079" s="586" t="s">
        <v>301</v>
      </c>
      <c r="L1079" s="586" t="s">
        <v>541</v>
      </c>
      <c r="M1079" s="586" t="s">
        <v>285</v>
      </c>
      <c r="N1079" s="586" t="s">
        <v>670</v>
      </c>
      <c r="O1079" s="586" t="s">
        <v>670</v>
      </c>
      <c r="P1079" s="586" t="s">
        <v>522</v>
      </c>
      <c r="Q1079" s="586" t="s">
        <v>670</v>
      </c>
      <c r="R1079" s="587">
        <v>45810</v>
      </c>
      <c r="S1079" s="586" t="s">
        <v>670</v>
      </c>
      <c r="T1079" s="587">
        <v>45808</v>
      </c>
      <c r="U1079" s="588">
        <v>0</v>
      </c>
      <c r="V1079" s="589">
        <v>0.01</v>
      </c>
      <c r="W1079" s="260">
        <v>45778</v>
      </c>
    </row>
    <row r="1080" spans="1:23" hidden="1" x14ac:dyDescent="0.35">
      <c r="A1080" s="586" t="s">
        <v>526</v>
      </c>
      <c r="B1080" s="586" t="s">
        <v>159</v>
      </c>
      <c r="C1080" s="586" t="s">
        <v>298</v>
      </c>
      <c r="D1080" s="586" t="s">
        <v>562</v>
      </c>
      <c r="E1080" s="586" t="s">
        <v>551</v>
      </c>
      <c r="F1080" s="586" t="s">
        <v>276</v>
      </c>
      <c r="G1080" s="586" t="s">
        <v>356</v>
      </c>
      <c r="H1080" s="586" t="s">
        <v>670</v>
      </c>
      <c r="I1080" s="586" t="s">
        <v>277</v>
      </c>
      <c r="J1080" s="586" t="s">
        <v>522</v>
      </c>
      <c r="K1080" s="586" t="s">
        <v>301</v>
      </c>
      <c r="L1080" s="586" t="s">
        <v>541</v>
      </c>
      <c r="M1080" s="586" t="s">
        <v>285</v>
      </c>
      <c r="N1080" s="586" t="s">
        <v>670</v>
      </c>
      <c r="O1080" s="586" t="s">
        <v>670</v>
      </c>
      <c r="P1080" s="586" t="s">
        <v>522</v>
      </c>
      <c r="Q1080" s="586" t="s">
        <v>670</v>
      </c>
      <c r="R1080" s="587">
        <v>45810</v>
      </c>
      <c r="S1080" s="586" t="s">
        <v>670</v>
      </c>
      <c r="T1080" s="587">
        <v>45808</v>
      </c>
      <c r="U1080" s="588">
        <v>0</v>
      </c>
      <c r="V1080" s="589">
        <v>0.01</v>
      </c>
      <c r="W1080" s="260">
        <v>45778</v>
      </c>
    </row>
    <row r="1081" spans="1:23" hidden="1" x14ac:dyDescent="0.35">
      <c r="A1081" s="586" t="s">
        <v>526</v>
      </c>
      <c r="B1081" s="586" t="s">
        <v>159</v>
      </c>
      <c r="C1081" s="586" t="s">
        <v>542</v>
      </c>
      <c r="D1081" s="586" t="s">
        <v>563</v>
      </c>
      <c r="E1081" s="586" t="s">
        <v>553</v>
      </c>
      <c r="F1081" s="586" t="s">
        <v>276</v>
      </c>
      <c r="G1081" s="586" t="s">
        <v>356</v>
      </c>
      <c r="H1081" s="586" t="s">
        <v>670</v>
      </c>
      <c r="I1081" s="586" t="s">
        <v>277</v>
      </c>
      <c r="J1081" s="586" t="s">
        <v>522</v>
      </c>
      <c r="K1081" s="586" t="s">
        <v>554</v>
      </c>
      <c r="L1081" s="586" t="s">
        <v>541</v>
      </c>
      <c r="M1081" s="586" t="s">
        <v>285</v>
      </c>
      <c r="N1081" s="586" t="s">
        <v>670</v>
      </c>
      <c r="O1081" s="586" t="s">
        <v>670</v>
      </c>
      <c r="P1081" s="586" t="s">
        <v>522</v>
      </c>
      <c r="Q1081" s="586" t="s">
        <v>670</v>
      </c>
      <c r="R1081" s="587">
        <v>45810</v>
      </c>
      <c r="S1081" s="586" t="s">
        <v>670</v>
      </c>
      <c r="T1081" s="587">
        <v>45808</v>
      </c>
      <c r="U1081" s="588">
        <v>0</v>
      </c>
      <c r="V1081" s="589">
        <v>-3.17</v>
      </c>
      <c r="W1081" s="260">
        <v>45778</v>
      </c>
    </row>
    <row r="1082" spans="1:23" hidden="1" x14ac:dyDescent="0.35">
      <c r="A1082" s="586" t="s">
        <v>526</v>
      </c>
      <c r="B1082" s="586" t="s">
        <v>159</v>
      </c>
      <c r="C1082" s="586" t="s">
        <v>542</v>
      </c>
      <c r="D1082" s="586" t="s">
        <v>563</v>
      </c>
      <c r="E1082" s="586" t="s">
        <v>553</v>
      </c>
      <c r="F1082" s="586" t="s">
        <v>276</v>
      </c>
      <c r="G1082" s="586" t="s">
        <v>356</v>
      </c>
      <c r="H1082" s="586" t="s">
        <v>670</v>
      </c>
      <c r="I1082" s="586" t="s">
        <v>277</v>
      </c>
      <c r="J1082" s="586" t="s">
        <v>522</v>
      </c>
      <c r="K1082" s="586" t="s">
        <v>554</v>
      </c>
      <c r="L1082" s="586" t="s">
        <v>541</v>
      </c>
      <c r="M1082" s="586" t="s">
        <v>285</v>
      </c>
      <c r="N1082" s="586" t="s">
        <v>670</v>
      </c>
      <c r="O1082" s="586" t="s">
        <v>670</v>
      </c>
      <c r="P1082" s="586" t="s">
        <v>522</v>
      </c>
      <c r="Q1082" s="586" t="s">
        <v>670</v>
      </c>
      <c r="R1082" s="587">
        <v>45810</v>
      </c>
      <c r="S1082" s="586" t="s">
        <v>670</v>
      </c>
      <c r="T1082" s="587">
        <v>45808</v>
      </c>
      <c r="U1082" s="588">
        <v>0</v>
      </c>
      <c r="V1082" s="589">
        <v>3.17</v>
      </c>
      <c r="W1082" s="260">
        <v>45778</v>
      </c>
    </row>
    <row r="1083" spans="1:23" hidden="1" x14ac:dyDescent="0.35">
      <c r="A1083" s="586" t="s">
        <v>526</v>
      </c>
      <c r="B1083" s="586" t="s">
        <v>159</v>
      </c>
      <c r="C1083" s="586" t="s">
        <v>542</v>
      </c>
      <c r="D1083" s="586" t="s">
        <v>563</v>
      </c>
      <c r="E1083" s="586" t="s">
        <v>553</v>
      </c>
      <c r="F1083" s="586" t="s">
        <v>276</v>
      </c>
      <c r="G1083" s="586" t="s">
        <v>356</v>
      </c>
      <c r="H1083" s="586" t="s">
        <v>670</v>
      </c>
      <c r="I1083" s="586" t="s">
        <v>277</v>
      </c>
      <c r="J1083" s="586" t="s">
        <v>522</v>
      </c>
      <c r="K1083" s="586" t="s">
        <v>554</v>
      </c>
      <c r="L1083" s="586" t="s">
        <v>541</v>
      </c>
      <c r="M1083" s="586" t="s">
        <v>285</v>
      </c>
      <c r="N1083" s="586" t="s">
        <v>670</v>
      </c>
      <c r="O1083" s="586" t="s">
        <v>670</v>
      </c>
      <c r="P1083" s="586" t="s">
        <v>522</v>
      </c>
      <c r="Q1083" s="586" t="s">
        <v>670</v>
      </c>
      <c r="R1083" s="587">
        <v>45810</v>
      </c>
      <c r="S1083" s="586" t="s">
        <v>670</v>
      </c>
      <c r="T1083" s="587">
        <v>45808</v>
      </c>
      <c r="U1083" s="588">
        <v>0</v>
      </c>
      <c r="V1083" s="589">
        <v>-3.17</v>
      </c>
      <c r="W1083" s="260">
        <v>45778</v>
      </c>
    </row>
    <row r="1084" spans="1:23" hidden="1" x14ac:dyDescent="0.35">
      <c r="A1084" s="586" t="s">
        <v>526</v>
      </c>
      <c r="B1084" s="586" t="s">
        <v>159</v>
      </c>
      <c r="C1084" s="586" t="s">
        <v>298</v>
      </c>
      <c r="D1084" s="586" t="s">
        <v>563</v>
      </c>
      <c r="E1084" s="586" t="s">
        <v>553</v>
      </c>
      <c r="F1084" s="586" t="s">
        <v>276</v>
      </c>
      <c r="G1084" s="586" t="s">
        <v>356</v>
      </c>
      <c r="H1084" s="586" t="s">
        <v>670</v>
      </c>
      <c r="I1084" s="586" t="s">
        <v>277</v>
      </c>
      <c r="J1084" s="586" t="s">
        <v>522</v>
      </c>
      <c r="K1084" s="586" t="s">
        <v>301</v>
      </c>
      <c r="L1084" s="586" t="s">
        <v>541</v>
      </c>
      <c r="M1084" s="586" t="s">
        <v>285</v>
      </c>
      <c r="N1084" s="586" t="s">
        <v>670</v>
      </c>
      <c r="O1084" s="586" t="s">
        <v>670</v>
      </c>
      <c r="P1084" s="586" t="s">
        <v>522</v>
      </c>
      <c r="Q1084" s="586" t="s">
        <v>670</v>
      </c>
      <c r="R1084" s="587">
        <v>45810</v>
      </c>
      <c r="S1084" s="586" t="s">
        <v>670</v>
      </c>
      <c r="T1084" s="587">
        <v>45808</v>
      </c>
      <c r="U1084" s="588">
        <v>0</v>
      </c>
      <c r="V1084" s="589">
        <v>0.01</v>
      </c>
      <c r="W1084" s="260">
        <v>45778</v>
      </c>
    </row>
    <row r="1085" spans="1:23" hidden="1" x14ac:dyDescent="0.35">
      <c r="A1085" s="586" t="s">
        <v>526</v>
      </c>
      <c r="B1085" s="586" t="s">
        <v>159</v>
      </c>
      <c r="C1085" s="586" t="s">
        <v>546</v>
      </c>
      <c r="D1085" s="586" t="s">
        <v>564</v>
      </c>
      <c r="E1085" s="586" t="s">
        <v>556</v>
      </c>
      <c r="F1085" s="586" t="s">
        <v>276</v>
      </c>
      <c r="G1085" s="586" t="s">
        <v>356</v>
      </c>
      <c r="H1085" s="586" t="s">
        <v>670</v>
      </c>
      <c r="I1085" s="586" t="s">
        <v>277</v>
      </c>
      <c r="J1085" s="586" t="s">
        <v>522</v>
      </c>
      <c r="K1085" s="586" t="s">
        <v>557</v>
      </c>
      <c r="L1085" s="586" t="s">
        <v>541</v>
      </c>
      <c r="M1085" s="586" t="s">
        <v>285</v>
      </c>
      <c r="N1085" s="586" t="s">
        <v>670</v>
      </c>
      <c r="O1085" s="586" t="s">
        <v>670</v>
      </c>
      <c r="P1085" s="586" t="s">
        <v>522</v>
      </c>
      <c r="Q1085" s="586" t="s">
        <v>670</v>
      </c>
      <c r="R1085" s="587">
        <v>45810</v>
      </c>
      <c r="S1085" s="586" t="s">
        <v>670</v>
      </c>
      <c r="T1085" s="587">
        <v>45808</v>
      </c>
      <c r="U1085" s="588">
        <v>0</v>
      </c>
      <c r="V1085" s="589">
        <v>-3.66</v>
      </c>
      <c r="W1085" s="260">
        <v>45778</v>
      </c>
    </row>
    <row r="1086" spans="1:23" hidden="1" x14ac:dyDescent="0.35">
      <c r="A1086" s="586" t="s">
        <v>526</v>
      </c>
      <c r="B1086" s="586" t="s">
        <v>159</v>
      </c>
      <c r="C1086" s="586" t="s">
        <v>546</v>
      </c>
      <c r="D1086" s="586" t="s">
        <v>564</v>
      </c>
      <c r="E1086" s="586" t="s">
        <v>556</v>
      </c>
      <c r="F1086" s="586" t="s">
        <v>276</v>
      </c>
      <c r="G1086" s="586" t="s">
        <v>356</v>
      </c>
      <c r="H1086" s="586" t="s">
        <v>670</v>
      </c>
      <c r="I1086" s="586" t="s">
        <v>277</v>
      </c>
      <c r="J1086" s="586" t="s">
        <v>522</v>
      </c>
      <c r="K1086" s="586" t="s">
        <v>557</v>
      </c>
      <c r="L1086" s="586" t="s">
        <v>541</v>
      </c>
      <c r="M1086" s="586" t="s">
        <v>285</v>
      </c>
      <c r="N1086" s="586" t="s">
        <v>670</v>
      </c>
      <c r="O1086" s="586" t="s">
        <v>670</v>
      </c>
      <c r="P1086" s="586" t="s">
        <v>522</v>
      </c>
      <c r="Q1086" s="586" t="s">
        <v>670</v>
      </c>
      <c r="R1086" s="587">
        <v>45810</v>
      </c>
      <c r="S1086" s="586" t="s">
        <v>670</v>
      </c>
      <c r="T1086" s="587">
        <v>45808</v>
      </c>
      <c r="U1086" s="588">
        <v>0</v>
      </c>
      <c r="V1086" s="589">
        <v>3.66</v>
      </c>
      <c r="W1086" s="260">
        <v>45778</v>
      </c>
    </row>
    <row r="1087" spans="1:23" hidden="1" x14ac:dyDescent="0.35">
      <c r="A1087" s="586" t="s">
        <v>526</v>
      </c>
      <c r="B1087" s="586" t="s">
        <v>159</v>
      </c>
      <c r="C1087" s="586" t="s">
        <v>546</v>
      </c>
      <c r="D1087" s="586" t="s">
        <v>564</v>
      </c>
      <c r="E1087" s="586" t="s">
        <v>556</v>
      </c>
      <c r="F1087" s="586" t="s">
        <v>276</v>
      </c>
      <c r="G1087" s="586" t="s">
        <v>356</v>
      </c>
      <c r="H1087" s="586" t="s">
        <v>670</v>
      </c>
      <c r="I1087" s="586" t="s">
        <v>277</v>
      </c>
      <c r="J1087" s="586" t="s">
        <v>522</v>
      </c>
      <c r="K1087" s="586" t="s">
        <v>557</v>
      </c>
      <c r="L1087" s="586" t="s">
        <v>541</v>
      </c>
      <c r="M1087" s="586" t="s">
        <v>285</v>
      </c>
      <c r="N1087" s="586" t="s">
        <v>670</v>
      </c>
      <c r="O1087" s="586" t="s">
        <v>670</v>
      </c>
      <c r="P1087" s="586" t="s">
        <v>522</v>
      </c>
      <c r="Q1087" s="586" t="s">
        <v>670</v>
      </c>
      <c r="R1087" s="587">
        <v>45810</v>
      </c>
      <c r="S1087" s="586" t="s">
        <v>670</v>
      </c>
      <c r="T1087" s="587">
        <v>45808</v>
      </c>
      <c r="U1087" s="588">
        <v>0</v>
      </c>
      <c r="V1087" s="589">
        <v>-3.66</v>
      </c>
      <c r="W1087" s="260">
        <v>45778</v>
      </c>
    </row>
    <row r="1088" spans="1:23" hidden="1" x14ac:dyDescent="0.35">
      <c r="A1088" s="586" t="s">
        <v>526</v>
      </c>
      <c r="B1088" s="586" t="s">
        <v>159</v>
      </c>
      <c r="C1088" s="586" t="s">
        <v>298</v>
      </c>
      <c r="D1088" s="586" t="s">
        <v>564</v>
      </c>
      <c r="E1088" s="586" t="s">
        <v>556</v>
      </c>
      <c r="F1088" s="586" t="s">
        <v>276</v>
      </c>
      <c r="G1088" s="586" t="s">
        <v>356</v>
      </c>
      <c r="H1088" s="586" t="s">
        <v>670</v>
      </c>
      <c r="I1088" s="586" t="s">
        <v>277</v>
      </c>
      <c r="J1088" s="586" t="s">
        <v>522</v>
      </c>
      <c r="K1088" s="586" t="s">
        <v>301</v>
      </c>
      <c r="L1088" s="586" t="s">
        <v>541</v>
      </c>
      <c r="M1088" s="586" t="s">
        <v>285</v>
      </c>
      <c r="N1088" s="586" t="s">
        <v>670</v>
      </c>
      <c r="O1088" s="586" t="s">
        <v>670</v>
      </c>
      <c r="P1088" s="586" t="s">
        <v>522</v>
      </c>
      <c r="Q1088" s="586" t="s">
        <v>670</v>
      </c>
      <c r="R1088" s="587">
        <v>45810</v>
      </c>
      <c r="S1088" s="586" t="s">
        <v>670</v>
      </c>
      <c r="T1088" s="587">
        <v>45808</v>
      </c>
      <c r="U1088" s="588">
        <v>0</v>
      </c>
      <c r="V1088" s="589">
        <v>0.01</v>
      </c>
      <c r="W1088" s="260">
        <v>45778</v>
      </c>
    </row>
    <row r="1089" spans="1:24" hidden="1" x14ac:dyDescent="0.35">
      <c r="A1089" s="586" t="s">
        <v>526</v>
      </c>
      <c r="B1089" s="586" t="s">
        <v>159</v>
      </c>
      <c r="C1089" s="586" t="s">
        <v>655</v>
      </c>
      <c r="D1089" s="586" t="s">
        <v>656</v>
      </c>
      <c r="E1089" s="586" t="s">
        <v>657</v>
      </c>
      <c r="F1089" s="586" t="s">
        <v>276</v>
      </c>
      <c r="G1089" s="586" t="s">
        <v>356</v>
      </c>
      <c r="H1089" s="586" t="s">
        <v>567</v>
      </c>
      <c r="I1089" s="586" t="s">
        <v>277</v>
      </c>
      <c r="J1089" s="586" t="s">
        <v>522</v>
      </c>
      <c r="K1089" s="586" t="s">
        <v>658</v>
      </c>
      <c r="L1089" s="586" t="s">
        <v>541</v>
      </c>
      <c r="M1089" s="586" t="s">
        <v>568</v>
      </c>
      <c r="N1089" s="586" t="s">
        <v>670</v>
      </c>
      <c r="O1089" s="586" t="s">
        <v>670</v>
      </c>
      <c r="P1089" s="586" t="s">
        <v>522</v>
      </c>
      <c r="Q1089" s="586" t="s">
        <v>670</v>
      </c>
      <c r="R1089" s="587">
        <v>45776</v>
      </c>
      <c r="S1089" s="586" t="s">
        <v>278</v>
      </c>
      <c r="T1089" s="587">
        <v>45782</v>
      </c>
      <c r="U1089" s="588">
        <v>1</v>
      </c>
      <c r="V1089" s="589">
        <v>74.38</v>
      </c>
      <c r="W1089" s="260">
        <v>45778</v>
      </c>
      <c r="X1089" s="845"/>
    </row>
    <row r="1090" spans="1:24" hidden="1" x14ac:dyDescent="0.35">
      <c r="A1090" s="586" t="s">
        <v>526</v>
      </c>
      <c r="B1090" s="586" t="s">
        <v>159</v>
      </c>
      <c r="C1090" s="586" t="s">
        <v>655</v>
      </c>
      <c r="D1090" s="586" t="s">
        <v>656</v>
      </c>
      <c r="E1090" s="586" t="s">
        <v>657</v>
      </c>
      <c r="F1090" s="586" t="s">
        <v>276</v>
      </c>
      <c r="G1090" s="586" t="s">
        <v>356</v>
      </c>
      <c r="H1090" s="586" t="s">
        <v>567</v>
      </c>
      <c r="I1090" s="586" t="s">
        <v>277</v>
      </c>
      <c r="J1090" s="586" t="s">
        <v>522</v>
      </c>
      <c r="K1090" s="586" t="s">
        <v>658</v>
      </c>
      <c r="L1090" s="586" t="s">
        <v>541</v>
      </c>
      <c r="M1090" s="586" t="s">
        <v>568</v>
      </c>
      <c r="N1090" s="586" t="s">
        <v>670</v>
      </c>
      <c r="O1090" s="586" t="s">
        <v>670</v>
      </c>
      <c r="P1090" s="586" t="s">
        <v>522</v>
      </c>
      <c r="Q1090" s="586" t="s">
        <v>670</v>
      </c>
      <c r="R1090" s="587">
        <v>45783</v>
      </c>
      <c r="S1090" s="586" t="s">
        <v>278</v>
      </c>
      <c r="T1090" s="587">
        <v>45790</v>
      </c>
      <c r="U1090" s="588">
        <v>1</v>
      </c>
      <c r="V1090" s="589">
        <v>74.38</v>
      </c>
      <c r="W1090" s="260">
        <v>45778</v>
      </c>
      <c r="X1090" s="845"/>
    </row>
    <row r="1091" spans="1:24" hidden="1" x14ac:dyDescent="0.35">
      <c r="A1091" s="586" t="s">
        <v>526</v>
      </c>
      <c r="B1091" s="586" t="s">
        <v>159</v>
      </c>
      <c r="C1091" s="586" t="s">
        <v>655</v>
      </c>
      <c r="D1091" s="586" t="s">
        <v>656</v>
      </c>
      <c r="E1091" s="586" t="s">
        <v>657</v>
      </c>
      <c r="F1091" s="586" t="s">
        <v>276</v>
      </c>
      <c r="G1091" s="586" t="s">
        <v>356</v>
      </c>
      <c r="H1091" s="586" t="s">
        <v>567</v>
      </c>
      <c r="I1091" s="586" t="s">
        <v>277</v>
      </c>
      <c r="J1091" s="586" t="s">
        <v>522</v>
      </c>
      <c r="K1091" s="586" t="s">
        <v>658</v>
      </c>
      <c r="L1091" s="586" t="s">
        <v>541</v>
      </c>
      <c r="M1091" s="586" t="s">
        <v>568</v>
      </c>
      <c r="N1091" s="586" t="s">
        <v>670</v>
      </c>
      <c r="O1091" s="586" t="s">
        <v>670</v>
      </c>
      <c r="P1091" s="586" t="s">
        <v>522</v>
      </c>
      <c r="Q1091" s="586" t="s">
        <v>670</v>
      </c>
      <c r="R1091" s="587">
        <v>45790</v>
      </c>
      <c r="S1091" s="586" t="s">
        <v>278</v>
      </c>
      <c r="T1091" s="587">
        <v>45806</v>
      </c>
      <c r="U1091" s="588">
        <v>1</v>
      </c>
      <c r="V1091" s="589">
        <v>74.38</v>
      </c>
      <c r="W1091" s="260">
        <v>45778</v>
      </c>
      <c r="X1091" s="845"/>
    </row>
    <row r="1092" spans="1:24" hidden="1" x14ac:dyDescent="0.35">
      <c r="A1092" s="586" t="s">
        <v>526</v>
      </c>
      <c r="B1092" s="586" t="s">
        <v>159</v>
      </c>
      <c r="C1092" s="586" t="s">
        <v>655</v>
      </c>
      <c r="D1092" s="586" t="s">
        <v>656</v>
      </c>
      <c r="E1092" s="586" t="s">
        <v>657</v>
      </c>
      <c r="F1092" s="586" t="s">
        <v>276</v>
      </c>
      <c r="G1092" s="586" t="s">
        <v>356</v>
      </c>
      <c r="H1092" s="586" t="s">
        <v>567</v>
      </c>
      <c r="I1092" s="586" t="s">
        <v>277</v>
      </c>
      <c r="J1092" s="586" t="s">
        <v>522</v>
      </c>
      <c r="K1092" s="586" t="s">
        <v>658</v>
      </c>
      <c r="L1092" s="586" t="s">
        <v>541</v>
      </c>
      <c r="M1092" s="586" t="s">
        <v>568</v>
      </c>
      <c r="N1092" s="586" t="s">
        <v>670</v>
      </c>
      <c r="O1092" s="586" t="s">
        <v>670</v>
      </c>
      <c r="P1092" s="586" t="s">
        <v>522</v>
      </c>
      <c r="Q1092" s="586" t="s">
        <v>670</v>
      </c>
      <c r="R1092" s="587">
        <v>45797</v>
      </c>
      <c r="S1092" s="586" t="s">
        <v>278</v>
      </c>
      <c r="T1092" s="587">
        <v>45806</v>
      </c>
      <c r="U1092" s="588">
        <v>1</v>
      </c>
      <c r="V1092" s="589">
        <v>74.38</v>
      </c>
      <c r="W1092" s="260">
        <v>45778</v>
      </c>
      <c r="X1092" s="845"/>
    </row>
    <row r="1093" spans="1:24" hidden="1" x14ac:dyDescent="0.35">
      <c r="A1093" s="586" t="s">
        <v>526</v>
      </c>
      <c r="B1093" s="586" t="s">
        <v>159</v>
      </c>
      <c r="C1093" s="586" t="s">
        <v>569</v>
      </c>
      <c r="D1093" s="586" t="s">
        <v>570</v>
      </c>
      <c r="E1093" s="586" t="s">
        <v>571</v>
      </c>
      <c r="F1093" s="586" t="s">
        <v>276</v>
      </c>
      <c r="G1093" s="586" t="s">
        <v>356</v>
      </c>
      <c r="H1093" s="586" t="s">
        <v>582</v>
      </c>
      <c r="I1093" s="586" t="s">
        <v>277</v>
      </c>
      <c r="J1093" s="586" t="s">
        <v>522</v>
      </c>
      <c r="K1093" s="586" t="s">
        <v>573</v>
      </c>
      <c r="L1093" s="586" t="s">
        <v>541</v>
      </c>
      <c r="M1093" s="586" t="s">
        <v>583</v>
      </c>
      <c r="N1093" s="586" t="s">
        <v>670</v>
      </c>
      <c r="O1093" s="586" t="s">
        <v>670</v>
      </c>
      <c r="P1093" s="586" t="s">
        <v>522</v>
      </c>
      <c r="Q1093" s="586" t="s">
        <v>670</v>
      </c>
      <c r="R1093" s="587">
        <v>45785</v>
      </c>
      <c r="S1093" s="586" t="s">
        <v>278</v>
      </c>
      <c r="T1093" s="587">
        <v>45790</v>
      </c>
      <c r="U1093" s="588">
        <v>2</v>
      </c>
      <c r="V1093" s="589">
        <v>166.52</v>
      </c>
      <c r="W1093" s="260">
        <v>45778</v>
      </c>
      <c r="X1093" s="845"/>
    </row>
    <row r="1094" spans="1:24" hidden="1" x14ac:dyDescent="0.35">
      <c r="A1094" s="586" t="s">
        <v>526</v>
      </c>
      <c r="B1094" s="586" t="s">
        <v>159</v>
      </c>
      <c r="C1094" s="586" t="s">
        <v>569</v>
      </c>
      <c r="D1094" s="586" t="s">
        <v>570</v>
      </c>
      <c r="E1094" s="586" t="s">
        <v>571</v>
      </c>
      <c r="F1094" s="586" t="s">
        <v>276</v>
      </c>
      <c r="G1094" s="586" t="s">
        <v>356</v>
      </c>
      <c r="H1094" s="586" t="s">
        <v>582</v>
      </c>
      <c r="I1094" s="586" t="s">
        <v>277</v>
      </c>
      <c r="J1094" s="586" t="s">
        <v>522</v>
      </c>
      <c r="K1094" s="586" t="s">
        <v>573</v>
      </c>
      <c r="L1094" s="586" t="s">
        <v>541</v>
      </c>
      <c r="M1094" s="586" t="s">
        <v>583</v>
      </c>
      <c r="N1094" s="586" t="s">
        <v>670</v>
      </c>
      <c r="O1094" s="586" t="s">
        <v>670</v>
      </c>
      <c r="P1094" s="586" t="s">
        <v>522</v>
      </c>
      <c r="Q1094" s="586" t="s">
        <v>670</v>
      </c>
      <c r="R1094" s="587">
        <v>45800</v>
      </c>
      <c r="S1094" s="586" t="s">
        <v>278</v>
      </c>
      <c r="T1094" s="587">
        <v>45800</v>
      </c>
      <c r="U1094" s="588">
        <v>2</v>
      </c>
      <c r="V1094" s="589">
        <v>166.52</v>
      </c>
      <c r="W1094" s="260">
        <v>45778</v>
      </c>
      <c r="X1094" s="845"/>
    </row>
    <row r="1095" spans="1:24" hidden="1" x14ac:dyDescent="0.35">
      <c r="A1095" s="586" t="s">
        <v>526</v>
      </c>
      <c r="B1095" s="586" t="s">
        <v>159</v>
      </c>
      <c r="C1095" s="586" t="s">
        <v>569</v>
      </c>
      <c r="D1095" s="586" t="s">
        <v>570</v>
      </c>
      <c r="E1095" s="586" t="s">
        <v>571</v>
      </c>
      <c r="F1095" s="586" t="s">
        <v>276</v>
      </c>
      <c r="G1095" s="586" t="s">
        <v>356</v>
      </c>
      <c r="H1095" s="586" t="s">
        <v>582</v>
      </c>
      <c r="I1095" s="586" t="s">
        <v>277</v>
      </c>
      <c r="J1095" s="586" t="s">
        <v>522</v>
      </c>
      <c r="K1095" s="586" t="s">
        <v>573</v>
      </c>
      <c r="L1095" s="586" t="s">
        <v>541</v>
      </c>
      <c r="M1095" s="586" t="s">
        <v>583</v>
      </c>
      <c r="N1095" s="586" t="s">
        <v>670</v>
      </c>
      <c r="O1095" s="586" t="s">
        <v>670</v>
      </c>
      <c r="P1095" s="586" t="s">
        <v>522</v>
      </c>
      <c r="Q1095" s="586" t="s">
        <v>670</v>
      </c>
      <c r="R1095" s="587">
        <v>45799</v>
      </c>
      <c r="S1095" s="586" t="s">
        <v>278</v>
      </c>
      <c r="T1095" s="587">
        <v>45800</v>
      </c>
      <c r="U1095" s="588">
        <v>1</v>
      </c>
      <c r="V1095" s="589">
        <v>83.26</v>
      </c>
      <c r="W1095" s="260">
        <v>45778</v>
      </c>
      <c r="X1095" s="845"/>
    </row>
    <row r="1096" spans="1:24" hidden="1" x14ac:dyDescent="0.35">
      <c r="A1096" s="586" t="s">
        <v>526</v>
      </c>
      <c r="B1096" s="586" t="s">
        <v>159</v>
      </c>
      <c r="C1096" s="586" t="s">
        <v>584</v>
      </c>
      <c r="D1096" s="586" t="s">
        <v>585</v>
      </c>
      <c r="E1096" s="586" t="s">
        <v>586</v>
      </c>
      <c r="F1096" s="586" t="s">
        <v>276</v>
      </c>
      <c r="G1096" s="586" t="s">
        <v>356</v>
      </c>
      <c r="H1096" s="586" t="s">
        <v>533</v>
      </c>
      <c r="I1096" s="586" t="s">
        <v>277</v>
      </c>
      <c r="J1096" s="586" t="s">
        <v>522</v>
      </c>
      <c r="K1096" s="586" t="s">
        <v>587</v>
      </c>
      <c r="L1096" s="586" t="s">
        <v>541</v>
      </c>
      <c r="M1096" s="586" t="s">
        <v>535</v>
      </c>
      <c r="N1096" s="586" t="s">
        <v>670</v>
      </c>
      <c r="O1096" s="586" t="s">
        <v>670</v>
      </c>
      <c r="P1096" s="586" t="s">
        <v>522</v>
      </c>
      <c r="Q1096" s="586" t="s">
        <v>670</v>
      </c>
      <c r="R1096" s="587">
        <v>45777</v>
      </c>
      <c r="S1096" s="586" t="s">
        <v>278</v>
      </c>
      <c r="T1096" s="587">
        <v>45782</v>
      </c>
      <c r="U1096" s="588">
        <v>-6</v>
      </c>
      <c r="V1096" s="589">
        <v>-740.4</v>
      </c>
      <c r="W1096" s="260">
        <v>45778</v>
      </c>
      <c r="X1096" s="845"/>
    </row>
    <row r="1097" spans="1:24" hidden="1" x14ac:dyDescent="0.35">
      <c r="A1097" s="586" t="s">
        <v>526</v>
      </c>
      <c r="B1097" s="586" t="s">
        <v>159</v>
      </c>
      <c r="C1097" s="586" t="s">
        <v>584</v>
      </c>
      <c r="D1097" s="586" t="s">
        <v>585</v>
      </c>
      <c r="E1097" s="586" t="s">
        <v>586</v>
      </c>
      <c r="F1097" s="586" t="s">
        <v>276</v>
      </c>
      <c r="G1097" s="586" t="s">
        <v>356</v>
      </c>
      <c r="H1097" s="586" t="s">
        <v>533</v>
      </c>
      <c r="I1097" s="586" t="s">
        <v>277</v>
      </c>
      <c r="J1097" s="586" t="s">
        <v>522</v>
      </c>
      <c r="K1097" s="586" t="s">
        <v>587</v>
      </c>
      <c r="L1097" s="586" t="s">
        <v>541</v>
      </c>
      <c r="M1097" s="586" t="s">
        <v>535</v>
      </c>
      <c r="N1097" s="586" t="s">
        <v>670</v>
      </c>
      <c r="O1097" s="586" t="s">
        <v>670</v>
      </c>
      <c r="P1097" s="586" t="s">
        <v>522</v>
      </c>
      <c r="Q1097" s="586" t="s">
        <v>670</v>
      </c>
      <c r="R1097" s="587">
        <v>45776</v>
      </c>
      <c r="S1097" s="586" t="s">
        <v>278</v>
      </c>
      <c r="T1097" s="587">
        <v>45782</v>
      </c>
      <c r="U1097" s="588">
        <v>-6</v>
      </c>
      <c r="V1097" s="589">
        <v>-740.4</v>
      </c>
      <c r="W1097" s="260">
        <v>45778</v>
      </c>
      <c r="X1097" s="845"/>
    </row>
    <row r="1098" spans="1:24" hidden="1" x14ac:dyDescent="0.35">
      <c r="A1098" s="586" t="s">
        <v>526</v>
      </c>
      <c r="B1098" s="586" t="s">
        <v>159</v>
      </c>
      <c r="C1098" s="586" t="s">
        <v>584</v>
      </c>
      <c r="D1098" s="586" t="s">
        <v>585</v>
      </c>
      <c r="E1098" s="586" t="s">
        <v>586</v>
      </c>
      <c r="F1098" s="586" t="s">
        <v>276</v>
      </c>
      <c r="G1098" s="586" t="s">
        <v>356</v>
      </c>
      <c r="H1098" s="586" t="s">
        <v>533</v>
      </c>
      <c r="I1098" s="586" t="s">
        <v>277</v>
      </c>
      <c r="J1098" s="586" t="s">
        <v>522</v>
      </c>
      <c r="K1098" s="586" t="s">
        <v>587</v>
      </c>
      <c r="L1098" s="586" t="s">
        <v>541</v>
      </c>
      <c r="M1098" s="586" t="s">
        <v>535</v>
      </c>
      <c r="N1098" s="586" t="s">
        <v>670</v>
      </c>
      <c r="O1098" s="586" t="s">
        <v>670</v>
      </c>
      <c r="P1098" s="586" t="s">
        <v>522</v>
      </c>
      <c r="Q1098" s="586" t="s">
        <v>670</v>
      </c>
      <c r="R1098" s="587">
        <v>45775</v>
      </c>
      <c r="S1098" s="586" t="s">
        <v>278</v>
      </c>
      <c r="T1098" s="587">
        <v>45782</v>
      </c>
      <c r="U1098" s="588">
        <v>-6</v>
      </c>
      <c r="V1098" s="589">
        <v>-740.4</v>
      </c>
      <c r="W1098" s="260">
        <v>45778</v>
      </c>
      <c r="X1098" s="845"/>
    </row>
    <row r="1099" spans="1:24" hidden="1" x14ac:dyDescent="0.35">
      <c r="A1099" s="586" t="s">
        <v>526</v>
      </c>
      <c r="B1099" s="586" t="s">
        <v>159</v>
      </c>
      <c r="C1099" s="586" t="s">
        <v>584</v>
      </c>
      <c r="D1099" s="586" t="s">
        <v>585</v>
      </c>
      <c r="E1099" s="586" t="s">
        <v>586</v>
      </c>
      <c r="F1099" s="586" t="s">
        <v>276</v>
      </c>
      <c r="G1099" s="586" t="s">
        <v>356</v>
      </c>
      <c r="H1099" s="586" t="s">
        <v>533</v>
      </c>
      <c r="I1099" s="586" t="s">
        <v>277</v>
      </c>
      <c r="J1099" s="586" t="s">
        <v>522</v>
      </c>
      <c r="K1099" s="586" t="s">
        <v>587</v>
      </c>
      <c r="L1099" s="586" t="s">
        <v>541</v>
      </c>
      <c r="M1099" s="586" t="s">
        <v>535</v>
      </c>
      <c r="N1099" s="586" t="s">
        <v>670</v>
      </c>
      <c r="O1099" s="586" t="s">
        <v>670</v>
      </c>
      <c r="P1099" s="586" t="s">
        <v>522</v>
      </c>
      <c r="Q1099" s="586" t="s">
        <v>670</v>
      </c>
      <c r="R1099" s="587">
        <v>45768</v>
      </c>
      <c r="S1099" s="586" t="s">
        <v>278</v>
      </c>
      <c r="T1099" s="587">
        <v>45782</v>
      </c>
      <c r="U1099" s="588">
        <v>-6</v>
      </c>
      <c r="V1099" s="589">
        <v>-740.4</v>
      </c>
      <c r="W1099" s="260">
        <v>45778</v>
      </c>
      <c r="X1099" s="845"/>
    </row>
    <row r="1100" spans="1:24" hidden="1" x14ac:dyDescent="0.35">
      <c r="A1100" s="586" t="s">
        <v>526</v>
      </c>
      <c r="B1100" s="586" t="s">
        <v>159</v>
      </c>
      <c r="C1100" s="586" t="s">
        <v>584</v>
      </c>
      <c r="D1100" s="586" t="s">
        <v>585</v>
      </c>
      <c r="E1100" s="586" t="s">
        <v>586</v>
      </c>
      <c r="F1100" s="586" t="s">
        <v>276</v>
      </c>
      <c r="G1100" s="586" t="s">
        <v>356</v>
      </c>
      <c r="H1100" s="586" t="s">
        <v>533</v>
      </c>
      <c r="I1100" s="586" t="s">
        <v>277</v>
      </c>
      <c r="J1100" s="586" t="s">
        <v>522</v>
      </c>
      <c r="K1100" s="586" t="s">
        <v>587</v>
      </c>
      <c r="L1100" s="586" t="s">
        <v>541</v>
      </c>
      <c r="M1100" s="586" t="s">
        <v>535</v>
      </c>
      <c r="N1100" s="586" t="s">
        <v>670</v>
      </c>
      <c r="O1100" s="586" t="s">
        <v>670</v>
      </c>
      <c r="P1100" s="586" t="s">
        <v>522</v>
      </c>
      <c r="Q1100" s="586" t="s">
        <v>670</v>
      </c>
      <c r="R1100" s="587">
        <v>45771</v>
      </c>
      <c r="S1100" s="586" t="s">
        <v>278</v>
      </c>
      <c r="T1100" s="587">
        <v>45782</v>
      </c>
      <c r="U1100" s="588">
        <v>-6</v>
      </c>
      <c r="V1100" s="589">
        <v>-740.4</v>
      </c>
      <c r="W1100" s="260">
        <v>45778</v>
      </c>
      <c r="X1100" s="845"/>
    </row>
    <row r="1101" spans="1:24" hidden="1" x14ac:dyDescent="0.35">
      <c r="A1101" s="586" t="s">
        <v>526</v>
      </c>
      <c r="B1101" s="586" t="s">
        <v>159</v>
      </c>
      <c r="C1101" s="586" t="s">
        <v>584</v>
      </c>
      <c r="D1101" s="586" t="s">
        <v>585</v>
      </c>
      <c r="E1101" s="586" t="s">
        <v>586</v>
      </c>
      <c r="F1101" s="586" t="s">
        <v>276</v>
      </c>
      <c r="G1101" s="586" t="s">
        <v>356</v>
      </c>
      <c r="H1101" s="586" t="s">
        <v>533</v>
      </c>
      <c r="I1101" s="586" t="s">
        <v>277</v>
      </c>
      <c r="J1101" s="586" t="s">
        <v>522</v>
      </c>
      <c r="K1101" s="586" t="s">
        <v>587</v>
      </c>
      <c r="L1101" s="586" t="s">
        <v>541</v>
      </c>
      <c r="M1101" s="586" t="s">
        <v>535</v>
      </c>
      <c r="N1101" s="586" t="s">
        <v>670</v>
      </c>
      <c r="O1101" s="586" t="s">
        <v>670</v>
      </c>
      <c r="P1101" s="586" t="s">
        <v>522</v>
      </c>
      <c r="Q1101" s="586" t="s">
        <v>670</v>
      </c>
      <c r="R1101" s="587">
        <v>45779</v>
      </c>
      <c r="S1101" s="586" t="s">
        <v>278</v>
      </c>
      <c r="T1101" s="587">
        <v>45782</v>
      </c>
      <c r="U1101" s="588">
        <v>2</v>
      </c>
      <c r="V1101" s="589">
        <v>246.8</v>
      </c>
      <c r="W1101" s="260">
        <v>45778</v>
      </c>
      <c r="X1101" s="845"/>
    </row>
    <row r="1102" spans="1:24" hidden="1" x14ac:dyDescent="0.35">
      <c r="A1102" s="586" t="s">
        <v>526</v>
      </c>
      <c r="B1102" s="586" t="s">
        <v>159</v>
      </c>
      <c r="C1102" s="586" t="s">
        <v>584</v>
      </c>
      <c r="D1102" s="586" t="s">
        <v>585</v>
      </c>
      <c r="E1102" s="586" t="s">
        <v>586</v>
      </c>
      <c r="F1102" s="586" t="s">
        <v>276</v>
      </c>
      <c r="G1102" s="586" t="s">
        <v>356</v>
      </c>
      <c r="H1102" s="586" t="s">
        <v>533</v>
      </c>
      <c r="I1102" s="586" t="s">
        <v>277</v>
      </c>
      <c r="J1102" s="586" t="s">
        <v>522</v>
      </c>
      <c r="K1102" s="586" t="s">
        <v>587</v>
      </c>
      <c r="L1102" s="586" t="s">
        <v>541</v>
      </c>
      <c r="M1102" s="586" t="s">
        <v>535</v>
      </c>
      <c r="N1102" s="586" t="s">
        <v>670</v>
      </c>
      <c r="O1102" s="586" t="s">
        <v>670</v>
      </c>
      <c r="P1102" s="586" t="s">
        <v>522</v>
      </c>
      <c r="Q1102" s="586" t="s">
        <v>670</v>
      </c>
      <c r="R1102" s="587">
        <v>45778</v>
      </c>
      <c r="S1102" s="586" t="s">
        <v>278</v>
      </c>
      <c r="T1102" s="587">
        <v>45782</v>
      </c>
      <c r="U1102" s="588">
        <v>2</v>
      </c>
      <c r="V1102" s="589">
        <v>246.8</v>
      </c>
      <c r="W1102" s="260">
        <v>45778</v>
      </c>
      <c r="X1102" s="845"/>
    </row>
    <row r="1103" spans="1:24" hidden="1" x14ac:dyDescent="0.35">
      <c r="A1103" s="586" t="s">
        <v>526</v>
      </c>
      <c r="B1103" s="586" t="s">
        <v>159</v>
      </c>
      <c r="C1103" s="586" t="s">
        <v>584</v>
      </c>
      <c r="D1103" s="586" t="s">
        <v>585</v>
      </c>
      <c r="E1103" s="586" t="s">
        <v>586</v>
      </c>
      <c r="F1103" s="586" t="s">
        <v>276</v>
      </c>
      <c r="G1103" s="586" t="s">
        <v>356</v>
      </c>
      <c r="H1103" s="586" t="s">
        <v>533</v>
      </c>
      <c r="I1103" s="586" t="s">
        <v>277</v>
      </c>
      <c r="J1103" s="586" t="s">
        <v>522</v>
      </c>
      <c r="K1103" s="586" t="s">
        <v>587</v>
      </c>
      <c r="L1103" s="586" t="s">
        <v>541</v>
      </c>
      <c r="M1103" s="586" t="s">
        <v>535</v>
      </c>
      <c r="N1103" s="586" t="s">
        <v>670</v>
      </c>
      <c r="O1103" s="586" t="s">
        <v>670</v>
      </c>
      <c r="P1103" s="586" t="s">
        <v>522</v>
      </c>
      <c r="Q1103" s="586" t="s">
        <v>670</v>
      </c>
      <c r="R1103" s="587">
        <v>45777</v>
      </c>
      <c r="S1103" s="586" t="s">
        <v>278</v>
      </c>
      <c r="T1103" s="587">
        <v>45782</v>
      </c>
      <c r="U1103" s="588">
        <v>2</v>
      </c>
      <c r="V1103" s="589">
        <v>246.8</v>
      </c>
      <c r="W1103" s="260">
        <v>45778</v>
      </c>
      <c r="X1103" s="845"/>
    </row>
    <row r="1104" spans="1:24" hidden="1" x14ac:dyDescent="0.35">
      <c r="A1104" s="586" t="s">
        <v>526</v>
      </c>
      <c r="B1104" s="586" t="s">
        <v>159</v>
      </c>
      <c r="C1104" s="586" t="s">
        <v>584</v>
      </c>
      <c r="D1104" s="586" t="s">
        <v>585</v>
      </c>
      <c r="E1104" s="586" t="s">
        <v>586</v>
      </c>
      <c r="F1104" s="586" t="s">
        <v>276</v>
      </c>
      <c r="G1104" s="586" t="s">
        <v>356</v>
      </c>
      <c r="H1104" s="586" t="s">
        <v>533</v>
      </c>
      <c r="I1104" s="586" t="s">
        <v>277</v>
      </c>
      <c r="J1104" s="586" t="s">
        <v>522</v>
      </c>
      <c r="K1104" s="586" t="s">
        <v>587</v>
      </c>
      <c r="L1104" s="586" t="s">
        <v>541</v>
      </c>
      <c r="M1104" s="586" t="s">
        <v>535</v>
      </c>
      <c r="N1104" s="586" t="s">
        <v>670</v>
      </c>
      <c r="O1104" s="586" t="s">
        <v>670</v>
      </c>
      <c r="P1104" s="586" t="s">
        <v>522</v>
      </c>
      <c r="Q1104" s="586" t="s">
        <v>670</v>
      </c>
      <c r="R1104" s="587">
        <v>45776</v>
      </c>
      <c r="S1104" s="586" t="s">
        <v>278</v>
      </c>
      <c r="T1104" s="587">
        <v>45782</v>
      </c>
      <c r="U1104" s="588">
        <v>2</v>
      </c>
      <c r="V1104" s="589">
        <v>246.8</v>
      </c>
      <c r="W1104" s="260">
        <v>45778</v>
      </c>
      <c r="X1104" s="845"/>
    </row>
    <row r="1105" spans="1:24" hidden="1" x14ac:dyDescent="0.35">
      <c r="A1105" s="586" t="s">
        <v>526</v>
      </c>
      <c r="B1105" s="586" t="s">
        <v>159</v>
      </c>
      <c r="C1105" s="586" t="s">
        <v>584</v>
      </c>
      <c r="D1105" s="586" t="s">
        <v>585</v>
      </c>
      <c r="E1105" s="586" t="s">
        <v>586</v>
      </c>
      <c r="F1105" s="586" t="s">
        <v>276</v>
      </c>
      <c r="G1105" s="586" t="s">
        <v>356</v>
      </c>
      <c r="H1105" s="586" t="s">
        <v>533</v>
      </c>
      <c r="I1105" s="586" t="s">
        <v>277</v>
      </c>
      <c r="J1105" s="586" t="s">
        <v>522</v>
      </c>
      <c r="K1105" s="586" t="s">
        <v>587</v>
      </c>
      <c r="L1105" s="586" t="s">
        <v>541</v>
      </c>
      <c r="M1105" s="586" t="s">
        <v>535</v>
      </c>
      <c r="N1105" s="586" t="s">
        <v>670</v>
      </c>
      <c r="O1105" s="586" t="s">
        <v>670</v>
      </c>
      <c r="P1105" s="586" t="s">
        <v>522</v>
      </c>
      <c r="Q1105" s="586" t="s">
        <v>670</v>
      </c>
      <c r="R1105" s="587">
        <v>45775</v>
      </c>
      <c r="S1105" s="586" t="s">
        <v>278</v>
      </c>
      <c r="T1105" s="587">
        <v>45782</v>
      </c>
      <c r="U1105" s="588">
        <v>2</v>
      </c>
      <c r="V1105" s="589">
        <v>246.8</v>
      </c>
      <c r="W1105" s="260">
        <v>45778</v>
      </c>
      <c r="X1105" s="845"/>
    </row>
    <row r="1106" spans="1:24" hidden="1" x14ac:dyDescent="0.35">
      <c r="A1106" s="586" t="s">
        <v>526</v>
      </c>
      <c r="B1106" s="586" t="s">
        <v>159</v>
      </c>
      <c r="C1106" s="586" t="s">
        <v>584</v>
      </c>
      <c r="D1106" s="586" t="s">
        <v>585</v>
      </c>
      <c r="E1106" s="586" t="s">
        <v>586</v>
      </c>
      <c r="F1106" s="586" t="s">
        <v>276</v>
      </c>
      <c r="G1106" s="586" t="s">
        <v>356</v>
      </c>
      <c r="H1106" s="586" t="s">
        <v>533</v>
      </c>
      <c r="I1106" s="586" t="s">
        <v>277</v>
      </c>
      <c r="J1106" s="586" t="s">
        <v>522</v>
      </c>
      <c r="K1106" s="586" t="s">
        <v>587</v>
      </c>
      <c r="L1106" s="586" t="s">
        <v>541</v>
      </c>
      <c r="M1106" s="586" t="s">
        <v>535</v>
      </c>
      <c r="N1106" s="586" t="s">
        <v>670</v>
      </c>
      <c r="O1106" s="586" t="s">
        <v>670</v>
      </c>
      <c r="P1106" s="586" t="s">
        <v>522</v>
      </c>
      <c r="Q1106" s="586" t="s">
        <v>670</v>
      </c>
      <c r="R1106" s="587">
        <v>45771</v>
      </c>
      <c r="S1106" s="586" t="s">
        <v>278</v>
      </c>
      <c r="T1106" s="587">
        <v>45782</v>
      </c>
      <c r="U1106" s="588">
        <v>8</v>
      </c>
      <c r="V1106" s="589">
        <v>987.2</v>
      </c>
      <c r="W1106" s="260">
        <v>45778</v>
      </c>
      <c r="X1106" s="845"/>
    </row>
    <row r="1107" spans="1:24" hidden="1" x14ac:dyDescent="0.35">
      <c r="A1107" s="586" t="s">
        <v>526</v>
      </c>
      <c r="B1107" s="586" t="s">
        <v>159</v>
      </c>
      <c r="C1107" s="586" t="s">
        <v>584</v>
      </c>
      <c r="D1107" s="586" t="s">
        <v>585</v>
      </c>
      <c r="E1107" s="586" t="s">
        <v>586</v>
      </c>
      <c r="F1107" s="586" t="s">
        <v>276</v>
      </c>
      <c r="G1107" s="586" t="s">
        <v>356</v>
      </c>
      <c r="H1107" s="586" t="s">
        <v>533</v>
      </c>
      <c r="I1107" s="586" t="s">
        <v>277</v>
      </c>
      <c r="J1107" s="586" t="s">
        <v>522</v>
      </c>
      <c r="K1107" s="586" t="s">
        <v>587</v>
      </c>
      <c r="L1107" s="586" t="s">
        <v>541</v>
      </c>
      <c r="M1107" s="586" t="s">
        <v>535</v>
      </c>
      <c r="N1107" s="586" t="s">
        <v>670</v>
      </c>
      <c r="O1107" s="586" t="s">
        <v>670</v>
      </c>
      <c r="P1107" s="586" t="s">
        <v>522</v>
      </c>
      <c r="Q1107" s="586" t="s">
        <v>670</v>
      </c>
      <c r="R1107" s="587">
        <v>45786</v>
      </c>
      <c r="S1107" s="586" t="s">
        <v>278</v>
      </c>
      <c r="T1107" s="587">
        <v>45791</v>
      </c>
      <c r="U1107" s="588">
        <v>2</v>
      </c>
      <c r="V1107" s="589">
        <v>246.8</v>
      </c>
      <c r="W1107" s="260">
        <v>45778</v>
      </c>
      <c r="X1107" s="845"/>
    </row>
    <row r="1108" spans="1:24" hidden="1" x14ac:dyDescent="0.35">
      <c r="A1108" s="586" t="s">
        <v>526</v>
      </c>
      <c r="B1108" s="586" t="s">
        <v>159</v>
      </c>
      <c r="C1108" s="586" t="s">
        <v>584</v>
      </c>
      <c r="D1108" s="586" t="s">
        <v>585</v>
      </c>
      <c r="E1108" s="586" t="s">
        <v>586</v>
      </c>
      <c r="F1108" s="586" t="s">
        <v>276</v>
      </c>
      <c r="G1108" s="586" t="s">
        <v>356</v>
      </c>
      <c r="H1108" s="586" t="s">
        <v>533</v>
      </c>
      <c r="I1108" s="586" t="s">
        <v>277</v>
      </c>
      <c r="J1108" s="586" t="s">
        <v>522</v>
      </c>
      <c r="K1108" s="586" t="s">
        <v>587</v>
      </c>
      <c r="L1108" s="586" t="s">
        <v>541</v>
      </c>
      <c r="M1108" s="586" t="s">
        <v>535</v>
      </c>
      <c r="N1108" s="586" t="s">
        <v>670</v>
      </c>
      <c r="O1108" s="586" t="s">
        <v>670</v>
      </c>
      <c r="P1108" s="586" t="s">
        <v>522</v>
      </c>
      <c r="Q1108" s="586" t="s">
        <v>670</v>
      </c>
      <c r="R1108" s="587">
        <v>45785</v>
      </c>
      <c r="S1108" s="586" t="s">
        <v>278</v>
      </c>
      <c r="T1108" s="587">
        <v>45791</v>
      </c>
      <c r="U1108" s="588">
        <v>2</v>
      </c>
      <c r="V1108" s="589">
        <v>246.8</v>
      </c>
      <c r="W1108" s="260">
        <v>45778</v>
      </c>
      <c r="X1108" s="845"/>
    </row>
    <row r="1109" spans="1:24" hidden="1" x14ac:dyDescent="0.35">
      <c r="A1109" s="586" t="s">
        <v>526</v>
      </c>
      <c r="B1109" s="586" t="s">
        <v>159</v>
      </c>
      <c r="C1109" s="586" t="s">
        <v>584</v>
      </c>
      <c r="D1109" s="586" t="s">
        <v>585</v>
      </c>
      <c r="E1109" s="586" t="s">
        <v>586</v>
      </c>
      <c r="F1109" s="586" t="s">
        <v>276</v>
      </c>
      <c r="G1109" s="586" t="s">
        <v>356</v>
      </c>
      <c r="H1109" s="586" t="s">
        <v>533</v>
      </c>
      <c r="I1109" s="586" t="s">
        <v>277</v>
      </c>
      <c r="J1109" s="586" t="s">
        <v>522</v>
      </c>
      <c r="K1109" s="586" t="s">
        <v>587</v>
      </c>
      <c r="L1109" s="586" t="s">
        <v>541</v>
      </c>
      <c r="M1109" s="586" t="s">
        <v>535</v>
      </c>
      <c r="N1109" s="586" t="s">
        <v>670</v>
      </c>
      <c r="O1109" s="586" t="s">
        <v>670</v>
      </c>
      <c r="P1109" s="586" t="s">
        <v>522</v>
      </c>
      <c r="Q1109" s="586" t="s">
        <v>670</v>
      </c>
      <c r="R1109" s="587">
        <v>45784</v>
      </c>
      <c r="S1109" s="586" t="s">
        <v>278</v>
      </c>
      <c r="T1109" s="587">
        <v>45791</v>
      </c>
      <c r="U1109" s="588">
        <v>2</v>
      </c>
      <c r="V1109" s="589">
        <v>246.8</v>
      </c>
      <c r="W1109" s="260">
        <v>45778</v>
      </c>
      <c r="X1109" s="845"/>
    </row>
    <row r="1110" spans="1:24" hidden="1" x14ac:dyDescent="0.35">
      <c r="A1110" s="586" t="s">
        <v>526</v>
      </c>
      <c r="B1110" s="586" t="s">
        <v>159</v>
      </c>
      <c r="C1110" s="586" t="s">
        <v>584</v>
      </c>
      <c r="D1110" s="586" t="s">
        <v>585</v>
      </c>
      <c r="E1110" s="586" t="s">
        <v>586</v>
      </c>
      <c r="F1110" s="586" t="s">
        <v>276</v>
      </c>
      <c r="G1110" s="586" t="s">
        <v>356</v>
      </c>
      <c r="H1110" s="586" t="s">
        <v>533</v>
      </c>
      <c r="I1110" s="586" t="s">
        <v>277</v>
      </c>
      <c r="J1110" s="586" t="s">
        <v>522</v>
      </c>
      <c r="K1110" s="586" t="s">
        <v>587</v>
      </c>
      <c r="L1110" s="586" t="s">
        <v>541</v>
      </c>
      <c r="M1110" s="586" t="s">
        <v>535</v>
      </c>
      <c r="N1110" s="586" t="s">
        <v>670</v>
      </c>
      <c r="O1110" s="586" t="s">
        <v>670</v>
      </c>
      <c r="P1110" s="586" t="s">
        <v>522</v>
      </c>
      <c r="Q1110" s="586" t="s">
        <v>670</v>
      </c>
      <c r="R1110" s="587">
        <v>45783</v>
      </c>
      <c r="S1110" s="586" t="s">
        <v>278</v>
      </c>
      <c r="T1110" s="587">
        <v>45791</v>
      </c>
      <c r="U1110" s="588">
        <v>2</v>
      </c>
      <c r="V1110" s="589">
        <v>246.8</v>
      </c>
      <c r="W1110" s="260">
        <v>45778</v>
      </c>
      <c r="X1110" s="845"/>
    </row>
    <row r="1111" spans="1:24" hidden="1" x14ac:dyDescent="0.35">
      <c r="A1111" s="586" t="s">
        <v>526</v>
      </c>
      <c r="B1111" s="586" t="s">
        <v>159</v>
      </c>
      <c r="C1111" s="586" t="s">
        <v>584</v>
      </c>
      <c r="D1111" s="586" t="s">
        <v>585</v>
      </c>
      <c r="E1111" s="586" t="s">
        <v>586</v>
      </c>
      <c r="F1111" s="586" t="s">
        <v>276</v>
      </c>
      <c r="G1111" s="586" t="s">
        <v>356</v>
      </c>
      <c r="H1111" s="586" t="s">
        <v>533</v>
      </c>
      <c r="I1111" s="586" t="s">
        <v>277</v>
      </c>
      <c r="J1111" s="586" t="s">
        <v>522</v>
      </c>
      <c r="K1111" s="586" t="s">
        <v>587</v>
      </c>
      <c r="L1111" s="586" t="s">
        <v>541</v>
      </c>
      <c r="M1111" s="586" t="s">
        <v>535</v>
      </c>
      <c r="N1111" s="586" t="s">
        <v>670</v>
      </c>
      <c r="O1111" s="586" t="s">
        <v>670</v>
      </c>
      <c r="P1111" s="586" t="s">
        <v>522</v>
      </c>
      <c r="Q1111" s="586" t="s">
        <v>670</v>
      </c>
      <c r="R1111" s="587">
        <v>45782</v>
      </c>
      <c r="S1111" s="586" t="s">
        <v>278</v>
      </c>
      <c r="T1111" s="587">
        <v>45791</v>
      </c>
      <c r="U1111" s="588">
        <v>2</v>
      </c>
      <c r="V1111" s="589">
        <v>246.8</v>
      </c>
      <c r="W1111" s="260">
        <v>45778</v>
      </c>
      <c r="X1111" s="845"/>
    </row>
    <row r="1112" spans="1:24" hidden="1" x14ac:dyDescent="0.35">
      <c r="A1112" s="586" t="s">
        <v>526</v>
      </c>
      <c r="B1112" s="586" t="s">
        <v>159</v>
      </c>
      <c r="C1112" s="586" t="s">
        <v>584</v>
      </c>
      <c r="D1112" s="586" t="s">
        <v>585</v>
      </c>
      <c r="E1112" s="586" t="s">
        <v>586</v>
      </c>
      <c r="F1112" s="586" t="s">
        <v>276</v>
      </c>
      <c r="G1112" s="586" t="s">
        <v>356</v>
      </c>
      <c r="H1112" s="586" t="s">
        <v>533</v>
      </c>
      <c r="I1112" s="586" t="s">
        <v>277</v>
      </c>
      <c r="J1112" s="586" t="s">
        <v>522</v>
      </c>
      <c r="K1112" s="586" t="s">
        <v>587</v>
      </c>
      <c r="L1112" s="586" t="s">
        <v>541</v>
      </c>
      <c r="M1112" s="586" t="s">
        <v>535</v>
      </c>
      <c r="N1112" s="586" t="s">
        <v>670</v>
      </c>
      <c r="O1112" s="586" t="s">
        <v>670</v>
      </c>
      <c r="P1112" s="586" t="s">
        <v>522</v>
      </c>
      <c r="Q1112" s="586" t="s">
        <v>670</v>
      </c>
      <c r="R1112" s="587">
        <v>45793</v>
      </c>
      <c r="S1112" s="586" t="s">
        <v>278</v>
      </c>
      <c r="T1112" s="587">
        <v>45797</v>
      </c>
      <c r="U1112" s="588">
        <v>2</v>
      </c>
      <c r="V1112" s="589">
        <v>246.8</v>
      </c>
      <c r="W1112" s="260">
        <v>45778</v>
      </c>
      <c r="X1112" s="845"/>
    </row>
    <row r="1113" spans="1:24" hidden="1" x14ac:dyDescent="0.35">
      <c r="A1113" s="586" t="s">
        <v>526</v>
      </c>
      <c r="B1113" s="586" t="s">
        <v>159</v>
      </c>
      <c r="C1113" s="586" t="s">
        <v>584</v>
      </c>
      <c r="D1113" s="586" t="s">
        <v>585</v>
      </c>
      <c r="E1113" s="586" t="s">
        <v>586</v>
      </c>
      <c r="F1113" s="586" t="s">
        <v>276</v>
      </c>
      <c r="G1113" s="586" t="s">
        <v>356</v>
      </c>
      <c r="H1113" s="586" t="s">
        <v>533</v>
      </c>
      <c r="I1113" s="586" t="s">
        <v>277</v>
      </c>
      <c r="J1113" s="586" t="s">
        <v>522</v>
      </c>
      <c r="K1113" s="586" t="s">
        <v>587</v>
      </c>
      <c r="L1113" s="586" t="s">
        <v>541</v>
      </c>
      <c r="M1113" s="586" t="s">
        <v>535</v>
      </c>
      <c r="N1113" s="586" t="s">
        <v>670</v>
      </c>
      <c r="O1113" s="586" t="s">
        <v>670</v>
      </c>
      <c r="P1113" s="586" t="s">
        <v>522</v>
      </c>
      <c r="Q1113" s="586" t="s">
        <v>670</v>
      </c>
      <c r="R1113" s="587">
        <v>45792</v>
      </c>
      <c r="S1113" s="586" t="s">
        <v>278</v>
      </c>
      <c r="T1113" s="587">
        <v>45797</v>
      </c>
      <c r="U1113" s="588">
        <v>2</v>
      </c>
      <c r="V1113" s="589">
        <v>246.8</v>
      </c>
      <c r="W1113" s="260">
        <v>45778</v>
      </c>
      <c r="X1113" s="845"/>
    </row>
    <row r="1114" spans="1:24" hidden="1" x14ac:dyDescent="0.35">
      <c r="A1114" s="586" t="s">
        <v>526</v>
      </c>
      <c r="B1114" s="586" t="s">
        <v>159</v>
      </c>
      <c r="C1114" s="586" t="s">
        <v>584</v>
      </c>
      <c r="D1114" s="586" t="s">
        <v>585</v>
      </c>
      <c r="E1114" s="586" t="s">
        <v>586</v>
      </c>
      <c r="F1114" s="586" t="s">
        <v>276</v>
      </c>
      <c r="G1114" s="586" t="s">
        <v>356</v>
      </c>
      <c r="H1114" s="586" t="s">
        <v>533</v>
      </c>
      <c r="I1114" s="586" t="s">
        <v>277</v>
      </c>
      <c r="J1114" s="586" t="s">
        <v>522</v>
      </c>
      <c r="K1114" s="586" t="s">
        <v>587</v>
      </c>
      <c r="L1114" s="586" t="s">
        <v>541</v>
      </c>
      <c r="M1114" s="586" t="s">
        <v>535</v>
      </c>
      <c r="N1114" s="586" t="s">
        <v>670</v>
      </c>
      <c r="O1114" s="586" t="s">
        <v>670</v>
      </c>
      <c r="P1114" s="586" t="s">
        <v>522</v>
      </c>
      <c r="Q1114" s="586" t="s">
        <v>670</v>
      </c>
      <c r="R1114" s="587">
        <v>45791</v>
      </c>
      <c r="S1114" s="586" t="s">
        <v>278</v>
      </c>
      <c r="T1114" s="587">
        <v>45797</v>
      </c>
      <c r="U1114" s="588">
        <v>2</v>
      </c>
      <c r="V1114" s="589">
        <v>246.8</v>
      </c>
      <c r="W1114" s="260">
        <v>45778</v>
      </c>
      <c r="X1114" s="845"/>
    </row>
    <row r="1115" spans="1:24" hidden="1" x14ac:dyDescent="0.35">
      <c r="A1115" s="586" t="s">
        <v>526</v>
      </c>
      <c r="B1115" s="586" t="s">
        <v>159</v>
      </c>
      <c r="C1115" s="586" t="s">
        <v>584</v>
      </c>
      <c r="D1115" s="586" t="s">
        <v>585</v>
      </c>
      <c r="E1115" s="586" t="s">
        <v>586</v>
      </c>
      <c r="F1115" s="586" t="s">
        <v>276</v>
      </c>
      <c r="G1115" s="586" t="s">
        <v>356</v>
      </c>
      <c r="H1115" s="586" t="s">
        <v>533</v>
      </c>
      <c r="I1115" s="586" t="s">
        <v>277</v>
      </c>
      <c r="J1115" s="586" t="s">
        <v>522</v>
      </c>
      <c r="K1115" s="586" t="s">
        <v>587</v>
      </c>
      <c r="L1115" s="586" t="s">
        <v>541</v>
      </c>
      <c r="M1115" s="586" t="s">
        <v>535</v>
      </c>
      <c r="N1115" s="586" t="s">
        <v>670</v>
      </c>
      <c r="O1115" s="586" t="s">
        <v>670</v>
      </c>
      <c r="P1115" s="586" t="s">
        <v>522</v>
      </c>
      <c r="Q1115" s="586" t="s">
        <v>670</v>
      </c>
      <c r="R1115" s="587">
        <v>45790</v>
      </c>
      <c r="S1115" s="586" t="s">
        <v>278</v>
      </c>
      <c r="T1115" s="587">
        <v>45797</v>
      </c>
      <c r="U1115" s="588">
        <v>2</v>
      </c>
      <c r="V1115" s="589">
        <v>246.8</v>
      </c>
      <c r="W1115" s="260">
        <v>45778</v>
      </c>
      <c r="X1115" s="845"/>
    </row>
    <row r="1116" spans="1:24" hidden="1" x14ac:dyDescent="0.35">
      <c r="A1116" s="586" t="s">
        <v>526</v>
      </c>
      <c r="B1116" s="586" t="s">
        <v>159</v>
      </c>
      <c r="C1116" s="586" t="s">
        <v>584</v>
      </c>
      <c r="D1116" s="586" t="s">
        <v>585</v>
      </c>
      <c r="E1116" s="586" t="s">
        <v>586</v>
      </c>
      <c r="F1116" s="586" t="s">
        <v>276</v>
      </c>
      <c r="G1116" s="586" t="s">
        <v>356</v>
      </c>
      <c r="H1116" s="586" t="s">
        <v>533</v>
      </c>
      <c r="I1116" s="586" t="s">
        <v>277</v>
      </c>
      <c r="J1116" s="586" t="s">
        <v>522</v>
      </c>
      <c r="K1116" s="586" t="s">
        <v>587</v>
      </c>
      <c r="L1116" s="586" t="s">
        <v>541</v>
      </c>
      <c r="M1116" s="586" t="s">
        <v>535</v>
      </c>
      <c r="N1116" s="586" t="s">
        <v>670</v>
      </c>
      <c r="O1116" s="586" t="s">
        <v>670</v>
      </c>
      <c r="P1116" s="586" t="s">
        <v>522</v>
      </c>
      <c r="Q1116" s="586" t="s">
        <v>670</v>
      </c>
      <c r="R1116" s="587">
        <v>45789</v>
      </c>
      <c r="S1116" s="586" t="s">
        <v>278</v>
      </c>
      <c r="T1116" s="587">
        <v>45797</v>
      </c>
      <c r="U1116" s="588">
        <v>2</v>
      </c>
      <c r="V1116" s="589">
        <v>246.8</v>
      </c>
      <c r="W1116" s="260">
        <v>45778</v>
      </c>
      <c r="X1116" s="845"/>
    </row>
    <row r="1117" spans="1:24" hidden="1" x14ac:dyDescent="0.35">
      <c r="A1117" s="586" t="s">
        <v>526</v>
      </c>
      <c r="B1117" s="586" t="s">
        <v>159</v>
      </c>
      <c r="C1117" s="586" t="s">
        <v>584</v>
      </c>
      <c r="D1117" s="586" t="s">
        <v>585</v>
      </c>
      <c r="E1117" s="586" t="s">
        <v>586</v>
      </c>
      <c r="F1117" s="586" t="s">
        <v>276</v>
      </c>
      <c r="G1117" s="586" t="s">
        <v>356</v>
      </c>
      <c r="H1117" s="586" t="s">
        <v>533</v>
      </c>
      <c r="I1117" s="586" t="s">
        <v>277</v>
      </c>
      <c r="J1117" s="586" t="s">
        <v>522</v>
      </c>
      <c r="K1117" s="586" t="s">
        <v>587</v>
      </c>
      <c r="L1117" s="586" t="s">
        <v>541</v>
      </c>
      <c r="M1117" s="586" t="s">
        <v>535</v>
      </c>
      <c r="N1117" s="586" t="s">
        <v>670</v>
      </c>
      <c r="O1117" s="586" t="s">
        <v>670</v>
      </c>
      <c r="P1117" s="586" t="s">
        <v>522</v>
      </c>
      <c r="Q1117" s="586" t="s">
        <v>670</v>
      </c>
      <c r="R1117" s="587">
        <v>45796</v>
      </c>
      <c r="S1117" s="586" t="s">
        <v>278</v>
      </c>
      <c r="T1117" s="587">
        <v>45806</v>
      </c>
      <c r="U1117" s="588">
        <v>2</v>
      </c>
      <c r="V1117" s="589">
        <v>246.8</v>
      </c>
      <c r="W1117" s="260">
        <v>45778</v>
      </c>
      <c r="X1117" s="845"/>
    </row>
    <row r="1118" spans="1:24" hidden="1" x14ac:dyDescent="0.35">
      <c r="A1118" s="586" t="s">
        <v>526</v>
      </c>
      <c r="B1118" s="586" t="s">
        <v>159</v>
      </c>
      <c r="C1118" s="586" t="s">
        <v>584</v>
      </c>
      <c r="D1118" s="586" t="s">
        <v>585</v>
      </c>
      <c r="E1118" s="586" t="s">
        <v>586</v>
      </c>
      <c r="F1118" s="586" t="s">
        <v>276</v>
      </c>
      <c r="G1118" s="586" t="s">
        <v>356</v>
      </c>
      <c r="H1118" s="586" t="s">
        <v>533</v>
      </c>
      <c r="I1118" s="586" t="s">
        <v>277</v>
      </c>
      <c r="J1118" s="586" t="s">
        <v>522</v>
      </c>
      <c r="K1118" s="586" t="s">
        <v>587</v>
      </c>
      <c r="L1118" s="586" t="s">
        <v>541</v>
      </c>
      <c r="M1118" s="586" t="s">
        <v>535</v>
      </c>
      <c r="N1118" s="586" t="s">
        <v>670</v>
      </c>
      <c r="O1118" s="586" t="s">
        <v>670</v>
      </c>
      <c r="P1118" s="586" t="s">
        <v>522</v>
      </c>
      <c r="Q1118" s="586" t="s">
        <v>670</v>
      </c>
      <c r="R1118" s="587">
        <v>45797</v>
      </c>
      <c r="S1118" s="586" t="s">
        <v>278</v>
      </c>
      <c r="T1118" s="587">
        <v>45806</v>
      </c>
      <c r="U1118" s="588">
        <v>2</v>
      </c>
      <c r="V1118" s="589">
        <v>246.8</v>
      </c>
      <c r="W1118" s="260">
        <v>45778</v>
      </c>
      <c r="X1118" s="845"/>
    </row>
    <row r="1119" spans="1:24" hidden="1" x14ac:dyDescent="0.35">
      <c r="A1119" s="586" t="s">
        <v>526</v>
      </c>
      <c r="B1119" s="586" t="s">
        <v>159</v>
      </c>
      <c r="C1119" s="586" t="s">
        <v>584</v>
      </c>
      <c r="D1119" s="586" t="s">
        <v>585</v>
      </c>
      <c r="E1119" s="586" t="s">
        <v>586</v>
      </c>
      <c r="F1119" s="586" t="s">
        <v>276</v>
      </c>
      <c r="G1119" s="586" t="s">
        <v>356</v>
      </c>
      <c r="H1119" s="586" t="s">
        <v>533</v>
      </c>
      <c r="I1119" s="586" t="s">
        <v>277</v>
      </c>
      <c r="J1119" s="586" t="s">
        <v>522</v>
      </c>
      <c r="K1119" s="586" t="s">
        <v>587</v>
      </c>
      <c r="L1119" s="586" t="s">
        <v>541</v>
      </c>
      <c r="M1119" s="586" t="s">
        <v>535</v>
      </c>
      <c r="N1119" s="586" t="s">
        <v>670</v>
      </c>
      <c r="O1119" s="586" t="s">
        <v>670</v>
      </c>
      <c r="P1119" s="586" t="s">
        <v>522</v>
      </c>
      <c r="Q1119" s="586" t="s">
        <v>670</v>
      </c>
      <c r="R1119" s="587">
        <v>45798</v>
      </c>
      <c r="S1119" s="586" t="s">
        <v>278</v>
      </c>
      <c r="T1119" s="587">
        <v>45806</v>
      </c>
      <c r="U1119" s="588">
        <v>2</v>
      </c>
      <c r="V1119" s="589">
        <v>246.8</v>
      </c>
      <c r="W1119" s="260">
        <v>45778</v>
      </c>
      <c r="X1119" s="845"/>
    </row>
    <row r="1120" spans="1:24" hidden="1" x14ac:dyDescent="0.35">
      <c r="A1120" s="586" t="s">
        <v>526</v>
      </c>
      <c r="B1120" s="586" t="s">
        <v>159</v>
      </c>
      <c r="C1120" s="586" t="s">
        <v>584</v>
      </c>
      <c r="D1120" s="586" t="s">
        <v>585</v>
      </c>
      <c r="E1120" s="586" t="s">
        <v>586</v>
      </c>
      <c r="F1120" s="586" t="s">
        <v>276</v>
      </c>
      <c r="G1120" s="586" t="s">
        <v>356</v>
      </c>
      <c r="H1120" s="586" t="s">
        <v>533</v>
      </c>
      <c r="I1120" s="586" t="s">
        <v>277</v>
      </c>
      <c r="J1120" s="586" t="s">
        <v>522</v>
      </c>
      <c r="K1120" s="586" t="s">
        <v>587</v>
      </c>
      <c r="L1120" s="586" t="s">
        <v>541</v>
      </c>
      <c r="M1120" s="586" t="s">
        <v>535</v>
      </c>
      <c r="N1120" s="586" t="s">
        <v>670</v>
      </c>
      <c r="O1120" s="586" t="s">
        <v>670</v>
      </c>
      <c r="P1120" s="586" t="s">
        <v>522</v>
      </c>
      <c r="Q1120" s="586" t="s">
        <v>670</v>
      </c>
      <c r="R1120" s="587">
        <v>45799</v>
      </c>
      <c r="S1120" s="586" t="s">
        <v>278</v>
      </c>
      <c r="T1120" s="587">
        <v>45806</v>
      </c>
      <c r="U1120" s="588">
        <v>2</v>
      </c>
      <c r="V1120" s="589">
        <v>246.8</v>
      </c>
      <c r="W1120" s="260">
        <v>45778</v>
      </c>
      <c r="X1120" s="845"/>
    </row>
    <row r="1121" spans="1:23" hidden="1" x14ac:dyDescent="0.35">
      <c r="A1121" s="586" t="s">
        <v>526</v>
      </c>
      <c r="B1121" s="586" t="s">
        <v>160</v>
      </c>
      <c r="C1121" s="586" t="s">
        <v>670</v>
      </c>
      <c r="D1121" s="586" t="s">
        <v>603</v>
      </c>
      <c r="E1121" s="586" t="s">
        <v>604</v>
      </c>
      <c r="F1121" s="586" t="s">
        <v>588</v>
      </c>
      <c r="G1121" s="586" t="s">
        <v>356</v>
      </c>
      <c r="H1121" s="586" t="s">
        <v>670</v>
      </c>
      <c r="I1121" s="586" t="s">
        <v>277</v>
      </c>
      <c r="J1121" s="586" t="s">
        <v>523</v>
      </c>
      <c r="K1121" s="586" t="s">
        <v>670</v>
      </c>
      <c r="L1121" s="586" t="s">
        <v>541</v>
      </c>
      <c r="M1121" s="586" t="s">
        <v>285</v>
      </c>
      <c r="N1121" s="586" t="s">
        <v>670</v>
      </c>
      <c r="O1121" s="586" t="s">
        <v>636</v>
      </c>
      <c r="P1121" s="586" t="s">
        <v>523</v>
      </c>
      <c r="Q1121" s="586" t="s">
        <v>589</v>
      </c>
      <c r="R1121" s="587">
        <v>45771</v>
      </c>
      <c r="S1121" s="586" t="s">
        <v>670</v>
      </c>
      <c r="T1121" s="587">
        <v>45778</v>
      </c>
      <c r="U1121" s="588">
        <v>0</v>
      </c>
      <c r="V1121" s="589">
        <v>-190575</v>
      </c>
      <c r="W1121" s="260">
        <v>45778</v>
      </c>
    </row>
    <row r="1122" spans="1:23" hidden="1" x14ac:dyDescent="0.35">
      <c r="A1122" s="586" t="s">
        <v>526</v>
      </c>
      <c r="B1122" s="586" t="s">
        <v>160</v>
      </c>
      <c r="C1122" s="586" t="s">
        <v>670</v>
      </c>
      <c r="D1122" s="586" t="s">
        <v>603</v>
      </c>
      <c r="E1122" s="586" t="s">
        <v>604</v>
      </c>
      <c r="F1122" s="586" t="s">
        <v>276</v>
      </c>
      <c r="G1122" s="586" t="s">
        <v>356</v>
      </c>
      <c r="H1122" s="586" t="s">
        <v>670</v>
      </c>
      <c r="I1122" s="586" t="s">
        <v>277</v>
      </c>
      <c r="J1122" s="586" t="s">
        <v>523</v>
      </c>
      <c r="K1122" s="586" t="s">
        <v>670</v>
      </c>
      <c r="L1122" s="586" t="s">
        <v>541</v>
      </c>
      <c r="M1122" s="586" t="s">
        <v>285</v>
      </c>
      <c r="N1122" s="586" t="s">
        <v>670</v>
      </c>
      <c r="O1122" s="586">
        <v>7000001175</v>
      </c>
      <c r="P1122" s="586" t="s">
        <v>523</v>
      </c>
      <c r="Q1122" s="586" t="s">
        <v>400</v>
      </c>
      <c r="R1122" s="587">
        <v>45805</v>
      </c>
      <c r="S1122" s="586" t="s">
        <v>670</v>
      </c>
      <c r="T1122" s="587">
        <v>45808</v>
      </c>
      <c r="U1122" s="588">
        <v>0</v>
      </c>
      <c r="V1122" s="589">
        <v>190575</v>
      </c>
      <c r="W1122" s="260">
        <v>45778</v>
      </c>
    </row>
    <row r="1123" spans="1:23" hidden="1" x14ac:dyDescent="0.35">
      <c r="A1123" s="586" t="s">
        <v>526</v>
      </c>
      <c r="B1123" s="586" t="s">
        <v>53</v>
      </c>
      <c r="C1123" s="586" t="s">
        <v>670</v>
      </c>
      <c r="D1123" s="586" t="s">
        <v>385</v>
      </c>
      <c r="E1123" s="586" t="s">
        <v>386</v>
      </c>
      <c r="F1123" s="586" t="s">
        <v>588</v>
      </c>
      <c r="G1123" s="586" t="s">
        <v>356</v>
      </c>
      <c r="H1123" s="586" t="s">
        <v>670</v>
      </c>
      <c r="I1123" s="586" t="s">
        <v>277</v>
      </c>
      <c r="J1123" s="586" t="s">
        <v>524</v>
      </c>
      <c r="K1123" s="586" t="s">
        <v>670</v>
      </c>
      <c r="L1123" s="586" t="s">
        <v>541</v>
      </c>
      <c r="M1123" s="586" t="s">
        <v>285</v>
      </c>
      <c r="N1123" s="586" t="s">
        <v>670</v>
      </c>
      <c r="O1123" s="586" t="s">
        <v>675</v>
      </c>
      <c r="P1123" s="586" t="s">
        <v>524</v>
      </c>
      <c r="Q1123" s="586" t="s">
        <v>589</v>
      </c>
      <c r="R1123" s="587">
        <v>45771</v>
      </c>
      <c r="S1123" s="586" t="s">
        <v>670</v>
      </c>
      <c r="T1123" s="587">
        <v>45778</v>
      </c>
      <c r="U1123" s="588">
        <v>0</v>
      </c>
      <c r="V1123" s="589">
        <v>-10080</v>
      </c>
      <c r="W1123" s="260">
        <v>45778</v>
      </c>
    </row>
    <row r="1124" spans="1:23" hidden="1" x14ac:dyDescent="0.35">
      <c r="A1124" s="586" t="s">
        <v>526</v>
      </c>
      <c r="B1124" s="586" t="s">
        <v>53</v>
      </c>
      <c r="C1124" s="586" t="s">
        <v>670</v>
      </c>
      <c r="D1124" s="586" t="s">
        <v>385</v>
      </c>
      <c r="E1124" s="586" t="s">
        <v>386</v>
      </c>
      <c r="F1124" s="586" t="s">
        <v>588</v>
      </c>
      <c r="G1124" s="586" t="s">
        <v>356</v>
      </c>
      <c r="H1124" s="586" t="s">
        <v>670</v>
      </c>
      <c r="I1124" s="586" t="s">
        <v>277</v>
      </c>
      <c r="J1124" s="586" t="s">
        <v>524</v>
      </c>
      <c r="K1124" s="586" t="s">
        <v>670</v>
      </c>
      <c r="L1124" s="586" t="s">
        <v>541</v>
      </c>
      <c r="M1124" s="586" t="s">
        <v>285</v>
      </c>
      <c r="N1124" s="586" t="s">
        <v>670</v>
      </c>
      <c r="O1124" s="586" t="s">
        <v>676</v>
      </c>
      <c r="P1124" s="586" t="s">
        <v>524</v>
      </c>
      <c r="Q1124" s="586" t="s">
        <v>589</v>
      </c>
      <c r="R1124" s="587">
        <v>45771</v>
      </c>
      <c r="S1124" s="586" t="s">
        <v>670</v>
      </c>
      <c r="T1124" s="587">
        <v>45778</v>
      </c>
      <c r="U1124" s="588">
        <v>0</v>
      </c>
      <c r="V1124" s="589">
        <v>-5040</v>
      </c>
      <c r="W1124" s="260">
        <v>45778</v>
      </c>
    </row>
    <row r="1125" spans="1:23" hidden="1" x14ac:dyDescent="0.35">
      <c r="A1125" s="586" t="s">
        <v>526</v>
      </c>
      <c r="B1125" s="586" t="s">
        <v>53</v>
      </c>
      <c r="C1125" s="586" t="s">
        <v>670</v>
      </c>
      <c r="D1125" s="586" t="s">
        <v>385</v>
      </c>
      <c r="E1125" s="586" t="s">
        <v>386</v>
      </c>
      <c r="F1125" s="586" t="s">
        <v>276</v>
      </c>
      <c r="G1125" s="586" t="s">
        <v>356</v>
      </c>
      <c r="H1125" s="586" t="s">
        <v>670</v>
      </c>
      <c r="I1125" s="586" t="s">
        <v>277</v>
      </c>
      <c r="J1125" s="586" t="s">
        <v>524</v>
      </c>
      <c r="K1125" s="586" t="s">
        <v>670</v>
      </c>
      <c r="L1125" s="586" t="s">
        <v>541</v>
      </c>
      <c r="M1125" s="586" t="s">
        <v>285</v>
      </c>
      <c r="N1125" s="634" t="s">
        <v>637</v>
      </c>
      <c r="O1125" s="586" t="s">
        <v>677</v>
      </c>
      <c r="P1125" s="586" t="s">
        <v>524</v>
      </c>
      <c r="Q1125" s="586" t="s">
        <v>387</v>
      </c>
      <c r="R1125" s="587">
        <v>45786</v>
      </c>
      <c r="S1125" s="586" t="s">
        <v>388</v>
      </c>
      <c r="T1125" s="587">
        <v>45792</v>
      </c>
      <c r="U1125" s="590">
        <v>1</v>
      </c>
      <c r="V1125" s="589">
        <v>164.8</v>
      </c>
      <c r="W1125" s="260">
        <v>45778</v>
      </c>
    </row>
    <row r="1126" spans="1:23" hidden="1" x14ac:dyDescent="0.35">
      <c r="A1126" s="586" t="s">
        <v>526</v>
      </c>
      <c r="B1126" s="586" t="s">
        <v>53</v>
      </c>
      <c r="C1126" s="586" t="s">
        <v>670</v>
      </c>
      <c r="D1126" s="586" t="s">
        <v>385</v>
      </c>
      <c r="E1126" s="586" t="s">
        <v>386</v>
      </c>
      <c r="F1126" s="586" t="s">
        <v>276</v>
      </c>
      <c r="G1126" s="586" t="s">
        <v>356</v>
      </c>
      <c r="H1126" s="586" t="s">
        <v>670</v>
      </c>
      <c r="I1126" s="586" t="s">
        <v>277</v>
      </c>
      <c r="J1126" s="586" t="s">
        <v>524</v>
      </c>
      <c r="K1126" s="586" t="s">
        <v>670</v>
      </c>
      <c r="L1126" s="586" t="s">
        <v>541</v>
      </c>
      <c r="M1126" s="586" t="s">
        <v>285</v>
      </c>
      <c r="N1126" s="586" t="s">
        <v>605</v>
      </c>
      <c r="O1126" s="586" t="s">
        <v>678</v>
      </c>
      <c r="P1126" s="586" t="s">
        <v>524</v>
      </c>
      <c r="Q1126" s="586" t="s">
        <v>387</v>
      </c>
      <c r="R1126" s="587">
        <v>45723</v>
      </c>
      <c r="S1126" s="586" t="s">
        <v>388</v>
      </c>
      <c r="T1126" s="587">
        <v>45797</v>
      </c>
      <c r="U1126" s="590">
        <v>1</v>
      </c>
      <c r="V1126" s="589">
        <v>5762.09</v>
      </c>
      <c r="W1126" s="260">
        <v>45778</v>
      </c>
    </row>
    <row r="1127" spans="1:23" hidden="1" x14ac:dyDescent="0.35">
      <c r="A1127" s="586" t="s">
        <v>526</v>
      </c>
      <c r="B1127" s="586" t="s">
        <v>53</v>
      </c>
      <c r="C1127" s="586" t="s">
        <v>670</v>
      </c>
      <c r="D1127" s="586" t="s">
        <v>385</v>
      </c>
      <c r="E1127" s="586" t="s">
        <v>386</v>
      </c>
      <c r="F1127" s="586" t="s">
        <v>276</v>
      </c>
      <c r="G1127" s="586" t="s">
        <v>356</v>
      </c>
      <c r="H1127" s="586" t="s">
        <v>670</v>
      </c>
      <c r="I1127" s="586" t="s">
        <v>277</v>
      </c>
      <c r="J1127" s="586" t="s">
        <v>524</v>
      </c>
      <c r="K1127" s="586" t="s">
        <v>670</v>
      </c>
      <c r="L1127" s="586" t="s">
        <v>541</v>
      </c>
      <c r="M1127" s="586" t="s">
        <v>285</v>
      </c>
      <c r="N1127" s="586" t="s">
        <v>679</v>
      </c>
      <c r="O1127" s="586">
        <v>7000001527</v>
      </c>
      <c r="P1127" s="586" t="s">
        <v>524</v>
      </c>
      <c r="Q1127" s="586" t="s">
        <v>387</v>
      </c>
      <c r="R1127" s="587">
        <v>45751</v>
      </c>
      <c r="S1127" s="586" t="s">
        <v>388</v>
      </c>
      <c r="T1127" s="587">
        <v>45797</v>
      </c>
      <c r="U1127" s="590">
        <v>1</v>
      </c>
      <c r="V1127" s="589">
        <v>3135.35</v>
      </c>
      <c r="W1127" s="260">
        <v>45778</v>
      </c>
    </row>
    <row r="1128" spans="1:23" hidden="1" x14ac:dyDescent="0.35">
      <c r="A1128" s="586" t="s">
        <v>526</v>
      </c>
      <c r="B1128" s="586" t="s">
        <v>53</v>
      </c>
      <c r="C1128" s="586" t="s">
        <v>670</v>
      </c>
      <c r="D1128" s="586" t="s">
        <v>385</v>
      </c>
      <c r="E1128" s="586" t="s">
        <v>386</v>
      </c>
      <c r="F1128" s="586" t="s">
        <v>276</v>
      </c>
      <c r="G1128" s="586" t="s">
        <v>356</v>
      </c>
      <c r="H1128" s="586" t="s">
        <v>670</v>
      </c>
      <c r="I1128" s="586" t="s">
        <v>277</v>
      </c>
      <c r="J1128" s="586" t="s">
        <v>524</v>
      </c>
      <c r="K1128" s="586" t="s">
        <v>670</v>
      </c>
      <c r="L1128" s="586" t="s">
        <v>541</v>
      </c>
      <c r="M1128" s="586" t="s">
        <v>285</v>
      </c>
      <c r="N1128" s="634" t="s">
        <v>659</v>
      </c>
      <c r="O1128" s="586" t="s">
        <v>680</v>
      </c>
      <c r="P1128" s="586" t="s">
        <v>524</v>
      </c>
      <c r="Q1128" s="586" t="s">
        <v>387</v>
      </c>
      <c r="R1128" s="587">
        <v>45754</v>
      </c>
      <c r="S1128" s="586" t="s">
        <v>388</v>
      </c>
      <c r="T1128" s="587">
        <v>45797</v>
      </c>
      <c r="U1128" s="590">
        <v>1</v>
      </c>
      <c r="V1128" s="589">
        <v>1170.6099999999999</v>
      </c>
      <c r="W1128" s="260">
        <v>45778</v>
      </c>
    </row>
    <row r="1129" spans="1:23" hidden="1" x14ac:dyDescent="0.35">
      <c r="A1129" s="586" t="s">
        <v>526</v>
      </c>
      <c r="B1129" s="586" t="s">
        <v>53</v>
      </c>
      <c r="C1129" s="586" t="s">
        <v>670</v>
      </c>
      <c r="D1129" s="586" t="s">
        <v>385</v>
      </c>
      <c r="E1129" s="586" t="s">
        <v>386</v>
      </c>
      <c r="F1129" s="586" t="s">
        <v>276</v>
      </c>
      <c r="G1129" s="586" t="s">
        <v>356</v>
      </c>
      <c r="H1129" s="586" t="s">
        <v>670</v>
      </c>
      <c r="I1129" s="586" t="s">
        <v>277</v>
      </c>
      <c r="J1129" s="586" t="s">
        <v>524</v>
      </c>
      <c r="K1129" s="586" t="s">
        <v>670</v>
      </c>
      <c r="L1129" s="586" t="s">
        <v>541</v>
      </c>
      <c r="M1129" s="586" t="s">
        <v>285</v>
      </c>
      <c r="N1129" s="586" t="s">
        <v>659</v>
      </c>
      <c r="O1129" s="586">
        <v>7000001262</v>
      </c>
      <c r="P1129" s="586" t="s">
        <v>524</v>
      </c>
      <c r="Q1129" s="586" t="s">
        <v>387</v>
      </c>
      <c r="R1129" s="587">
        <v>45779</v>
      </c>
      <c r="S1129" s="586" t="s">
        <v>388</v>
      </c>
      <c r="T1129" s="587">
        <v>45797</v>
      </c>
      <c r="U1129" s="590">
        <v>1</v>
      </c>
      <c r="V1129" s="589">
        <v>667.3</v>
      </c>
      <c r="W1129" s="260">
        <v>45778</v>
      </c>
    </row>
    <row r="1130" spans="1:23" hidden="1" x14ac:dyDescent="0.35">
      <c r="A1130" s="586" t="s">
        <v>526</v>
      </c>
      <c r="B1130" s="586" t="s">
        <v>53</v>
      </c>
      <c r="C1130" s="586" t="s">
        <v>670</v>
      </c>
      <c r="D1130" s="586" t="s">
        <v>385</v>
      </c>
      <c r="E1130" s="586" t="s">
        <v>386</v>
      </c>
      <c r="F1130" s="586" t="s">
        <v>276</v>
      </c>
      <c r="G1130" s="586" t="s">
        <v>356</v>
      </c>
      <c r="H1130" s="586" t="s">
        <v>670</v>
      </c>
      <c r="I1130" s="586" t="s">
        <v>277</v>
      </c>
      <c r="J1130" s="586" t="s">
        <v>524</v>
      </c>
      <c r="K1130" s="586" t="s">
        <v>670</v>
      </c>
      <c r="L1130" s="586" t="s">
        <v>541</v>
      </c>
      <c r="M1130" s="586" t="s">
        <v>285</v>
      </c>
      <c r="N1130" s="586" t="s">
        <v>637</v>
      </c>
      <c r="O1130" s="586" t="s">
        <v>677</v>
      </c>
      <c r="P1130" s="586" t="s">
        <v>524</v>
      </c>
      <c r="Q1130" s="586" t="s">
        <v>387</v>
      </c>
      <c r="R1130" s="587">
        <v>45770</v>
      </c>
      <c r="S1130" s="586" t="s">
        <v>388</v>
      </c>
      <c r="T1130" s="587">
        <v>45804</v>
      </c>
      <c r="U1130" s="590">
        <v>1</v>
      </c>
      <c r="V1130" s="589">
        <v>5273.6</v>
      </c>
      <c r="W1130" s="260">
        <v>45778</v>
      </c>
    </row>
    <row r="1131" spans="1:23" hidden="1" x14ac:dyDescent="0.35">
      <c r="A1131" s="586" t="s">
        <v>526</v>
      </c>
      <c r="B1131" s="586" t="s">
        <v>53</v>
      </c>
      <c r="C1131" s="586" t="s">
        <v>670</v>
      </c>
      <c r="D1131" s="586" t="s">
        <v>385</v>
      </c>
      <c r="E1131" s="586" t="s">
        <v>386</v>
      </c>
      <c r="F1131" s="586" t="s">
        <v>276</v>
      </c>
      <c r="G1131" s="586" t="s">
        <v>356</v>
      </c>
      <c r="H1131" s="586" t="s">
        <v>670</v>
      </c>
      <c r="I1131" s="586" t="s">
        <v>277</v>
      </c>
      <c r="J1131" s="586" t="s">
        <v>524</v>
      </c>
      <c r="K1131" s="586" t="s">
        <v>670</v>
      </c>
      <c r="L1131" s="586" t="s">
        <v>541</v>
      </c>
      <c r="M1131" s="586" t="s">
        <v>285</v>
      </c>
      <c r="N1131" s="586" t="s">
        <v>670</v>
      </c>
      <c r="O1131" s="586" t="s">
        <v>675</v>
      </c>
      <c r="P1131" s="586" t="s">
        <v>524</v>
      </c>
      <c r="Q1131" s="586" t="s">
        <v>400</v>
      </c>
      <c r="R1131" s="587">
        <v>45805</v>
      </c>
      <c r="S1131" s="586" t="s">
        <v>670</v>
      </c>
      <c r="T1131" s="587">
        <v>45808</v>
      </c>
      <c r="U1131" s="588">
        <v>0</v>
      </c>
      <c r="V1131" s="589">
        <v>8295</v>
      </c>
      <c r="W1131" s="260">
        <v>45778</v>
      </c>
    </row>
    <row r="1132" spans="1:23" hidden="1" x14ac:dyDescent="0.35">
      <c r="A1132" s="586" t="s">
        <v>526</v>
      </c>
      <c r="B1132" s="586" t="s">
        <v>53</v>
      </c>
      <c r="C1132" s="586" t="s">
        <v>670</v>
      </c>
      <c r="D1132" s="586" t="s">
        <v>385</v>
      </c>
      <c r="E1132" s="586" t="s">
        <v>386</v>
      </c>
      <c r="F1132" s="586" t="s">
        <v>276</v>
      </c>
      <c r="G1132" s="586" t="s">
        <v>356</v>
      </c>
      <c r="H1132" s="586" t="s">
        <v>670</v>
      </c>
      <c r="I1132" s="586" t="s">
        <v>277</v>
      </c>
      <c r="J1132" s="586" t="s">
        <v>524</v>
      </c>
      <c r="K1132" s="586" t="s">
        <v>670</v>
      </c>
      <c r="L1132" s="586" t="s">
        <v>541</v>
      </c>
      <c r="M1132" s="586" t="s">
        <v>285</v>
      </c>
      <c r="N1132" s="586" t="s">
        <v>670</v>
      </c>
      <c r="O1132" s="586" t="s">
        <v>676</v>
      </c>
      <c r="P1132" s="586" t="s">
        <v>524</v>
      </c>
      <c r="Q1132" s="586" t="s">
        <v>400</v>
      </c>
      <c r="R1132" s="587">
        <v>45805</v>
      </c>
      <c r="S1132" s="586" t="s">
        <v>670</v>
      </c>
      <c r="T1132" s="587">
        <v>45808</v>
      </c>
      <c r="U1132" s="588">
        <v>0</v>
      </c>
      <c r="V1132" s="589">
        <v>5040</v>
      </c>
      <c r="W1132" s="260">
        <v>45778</v>
      </c>
    </row>
    <row r="1133" spans="1:23" hidden="1" x14ac:dyDescent="0.35">
      <c r="A1133" s="586" t="s">
        <v>526</v>
      </c>
      <c r="B1133" s="586" t="s">
        <v>53</v>
      </c>
      <c r="C1133" s="586" t="s">
        <v>521</v>
      </c>
      <c r="D1133" s="586" t="s">
        <v>681</v>
      </c>
      <c r="E1133" s="586" t="s">
        <v>682</v>
      </c>
      <c r="F1133" s="586" t="s">
        <v>276</v>
      </c>
      <c r="G1133" s="586" t="s">
        <v>356</v>
      </c>
      <c r="H1133" s="586" t="s">
        <v>670</v>
      </c>
      <c r="I1133" s="586" t="s">
        <v>277</v>
      </c>
      <c r="J1133" s="586" t="s">
        <v>524</v>
      </c>
      <c r="K1133" s="586" t="s">
        <v>683</v>
      </c>
      <c r="L1133" s="586" t="s">
        <v>541</v>
      </c>
      <c r="M1133" s="586" t="s">
        <v>285</v>
      </c>
      <c r="N1133" s="586" t="s">
        <v>670</v>
      </c>
      <c r="O1133" s="586" t="s">
        <v>670</v>
      </c>
      <c r="P1133" s="586" t="s">
        <v>524</v>
      </c>
      <c r="Q1133" s="586" t="s">
        <v>670</v>
      </c>
      <c r="R1133" s="587">
        <v>45810</v>
      </c>
      <c r="S1133" s="586" t="s">
        <v>670</v>
      </c>
      <c r="T1133" s="587">
        <v>45808</v>
      </c>
      <c r="U1133" s="588">
        <v>0</v>
      </c>
      <c r="V1133" s="589">
        <v>6370</v>
      </c>
      <c r="W1133" s="260">
        <v>45778</v>
      </c>
    </row>
    <row r="1134" spans="1:23" hidden="1" x14ac:dyDescent="0.35">
      <c r="A1134" s="586" t="s">
        <v>526</v>
      </c>
      <c r="B1134" s="586" t="s">
        <v>53</v>
      </c>
      <c r="C1134" s="586" t="s">
        <v>670</v>
      </c>
      <c r="D1134" s="586" t="s">
        <v>575</v>
      </c>
      <c r="E1134" s="586" t="s">
        <v>576</v>
      </c>
      <c r="F1134" s="586" t="s">
        <v>588</v>
      </c>
      <c r="G1134" s="586" t="s">
        <v>356</v>
      </c>
      <c r="H1134" s="586" t="s">
        <v>670</v>
      </c>
      <c r="I1134" s="586" t="s">
        <v>277</v>
      </c>
      <c r="J1134" s="586" t="s">
        <v>524</v>
      </c>
      <c r="K1134" s="586" t="s">
        <v>670</v>
      </c>
      <c r="L1134" s="586" t="s">
        <v>541</v>
      </c>
      <c r="M1134" s="586" t="s">
        <v>285</v>
      </c>
      <c r="N1134" s="586" t="s">
        <v>670</v>
      </c>
      <c r="O1134" s="586" t="s">
        <v>601</v>
      </c>
      <c r="P1134" s="586" t="s">
        <v>524</v>
      </c>
      <c r="Q1134" s="586" t="s">
        <v>589</v>
      </c>
      <c r="R1134" s="587">
        <v>45771</v>
      </c>
      <c r="S1134" s="586" t="s">
        <v>670</v>
      </c>
      <c r="T1134" s="587">
        <v>45778</v>
      </c>
      <c r="U1134" s="588">
        <v>0</v>
      </c>
      <c r="V1134" s="589">
        <v>-12750</v>
      </c>
      <c r="W1134" s="260">
        <v>45778</v>
      </c>
    </row>
    <row r="1135" spans="1:23" hidden="1" x14ac:dyDescent="0.35">
      <c r="A1135" s="586" t="s">
        <v>526</v>
      </c>
      <c r="B1135" s="586" t="s">
        <v>53</v>
      </c>
      <c r="C1135" s="586" t="s">
        <v>670</v>
      </c>
      <c r="D1135" s="586" t="s">
        <v>575</v>
      </c>
      <c r="E1135" s="586" t="s">
        <v>576</v>
      </c>
      <c r="F1135" s="586" t="s">
        <v>588</v>
      </c>
      <c r="G1135" s="586" t="s">
        <v>356</v>
      </c>
      <c r="H1135" s="586" t="s">
        <v>670</v>
      </c>
      <c r="I1135" s="586" t="s">
        <v>277</v>
      </c>
      <c r="J1135" s="586" t="s">
        <v>524</v>
      </c>
      <c r="K1135" s="586" t="s">
        <v>670</v>
      </c>
      <c r="L1135" s="586" t="s">
        <v>541</v>
      </c>
      <c r="M1135" s="586" t="s">
        <v>285</v>
      </c>
      <c r="N1135" s="586" t="s">
        <v>670</v>
      </c>
      <c r="O1135" s="586" t="s">
        <v>601</v>
      </c>
      <c r="P1135" s="586" t="s">
        <v>524</v>
      </c>
      <c r="Q1135" s="586" t="s">
        <v>589</v>
      </c>
      <c r="R1135" s="587">
        <v>45771</v>
      </c>
      <c r="S1135" s="586" t="s">
        <v>670</v>
      </c>
      <c r="T1135" s="587">
        <v>45778</v>
      </c>
      <c r="U1135" s="588">
        <v>0</v>
      </c>
      <c r="V1135" s="589">
        <v>-155892</v>
      </c>
      <c r="W1135" s="260">
        <v>45778</v>
      </c>
    </row>
    <row r="1136" spans="1:23" hidden="1" x14ac:dyDescent="0.35">
      <c r="A1136" s="586" t="s">
        <v>526</v>
      </c>
      <c r="B1136" s="586" t="s">
        <v>53</v>
      </c>
      <c r="C1136" s="586" t="s">
        <v>670</v>
      </c>
      <c r="D1136" s="586" t="s">
        <v>575</v>
      </c>
      <c r="E1136" s="586" t="s">
        <v>576</v>
      </c>
      <c r="F1136" s="586" t="s">
        <v>588</v>
      </c>
      <c r="G1136" s="586" t="s">
        <v>356</v>
      </c>
      <c r="H1136" s="586" t="s">
        <v>670</v>
      </c>
      <c r="I1136" s="586" t="s">
        <v>277</v>
      </c>
      <c r="J1136" s="586" t="s">
        <v>524</v>
      </c>
      <c r="K1136" s="586" t="s">
        <v>670</v>
      </c>
      <c r="L1136" s="586" t="s">
        <v>541</v>
      </c>
      <c r="M1136" s="586" t="s">
        <v>285</v>
      </c>
      <c r="N1136" s="586" t="s">
        <v>670</v>
      </c>
      <c r="O1136" s="586" t="s">
        <v>601</v>
      </c>
      <c r="P1136" s="586" t="s">
        <v>524</v>
      </c>
      <c r="Q1136" s="586" t="s">
        <v>589</v>
      </c>
      <c r="R1136" s="587">
        <v>45771</v>
      </c>
      <c r="S1136" s="586" t="s">
        <v>670</v>
      </c>
      <c r="T1136" s="587">
        <v>45778</v>
      </c>
      <c r="U1136" s="588">
        <v>0</v>
      </c>
      <c r="V1136" s="589">
        <v>-163375</v>
      </c>
      <c r="W1136" s="260">
        <v>45778</v>
      </c>
    </row>
    <row r="1137" spans="1:23" hidden="1" x14ac:dyDescent="0.35">
      <c r="A1137" s="586" t="s">
        <v>526</v>
      </c>
      <c r="B1137" s="586" t="s">
        <v>53</v>
      </c>
      <c r="C1137" s="586" t="s">
        <v>670</v>
      </c>
      <c r="D1137" s="586" t="s">
        <v>575</v>
      </c>
      <c r="E1137" s="586" t="s">
        <v>576</v>
      </c>
      <c r="F1137" s="586" t="s">
        <v>588</v>
      </c>
      <c r="G1137" s="586" t="s">
        <v>356</v>
      </c>
      <c r="H1137" s="586" t="s">
        <v>670</v>
      </c>
      <c r="I1137" s="586" t="s">
        <v>277</v>
      </c>
      <c r="J1137" s="586" t="s">
        <v>524</v>
      </c>
      <c r="K1137" s="586" t="s">
        <v>670</v>
      </c>
      <c r="L1137" s="586" t="s">
        <v>541</v>
      </c>
      <c r="M1137" s="586" t="s">
        <v>285</v>
      </c>
      <c r="N1137" s="586" t="s">
        <v>670</v>
      </c>
      <c r="O1137" s="586" t="s">
        <v>399</v>
      </c>
      <c r="P1137" s="586" t="s">
        <v>524</v>
      </c>
      <c r="Q1137" s="586" t="s">
        <v>589</v>
      </c>
      <c r="R1137" s="587">
        <v>45771</v>
      </c>
      <c r="S1137" s="586" t="s">
        <v>670</v>
      </c>
      <c r="T1137" s="587">
        <v>45778</v>
      </c>
      <c r="U1137" s="588">
        <v>0</v>
      </c>
      <c r="V1137" s="589">
        <v>-1500</v>
      </c>
      <c r="W1137" s="260">
        <v>45778</v>
      </c>
    </row>
    <row r="1138" spans="1:23" hidden="1" x14ac:dyDescent="0.35">
      <c r="A1138" s="586" t="s">
        <v>526</v>
      </c>
      <c r="B1138" s="586" t="s">
        <v>53</v>
      </c>
      <c r="C1138" s="586" t="s">
        <v>670</v>
      </c>
      <c r="D1138" s="586" t="s">
        <v>575</v>
      </c>
      <c r="E1138" s="586" t="s">
        <v>576</v>
      </c>
      <c r="F1138" s="586" t="s">
        <v>588</v>
      </c>
      <c r="G1138" s="586" t="s">
        <v>356</v>
      </c>
      <c r="H1138" s="586" t="s">
        <v>670</v>
      </c>
      <c r="I1138" s="586" t="s">
        <v>277</v>
      </c>
      <c r="J1138" s="586" t="s">
        <v>524</v>
      </c>
      <c r="K1138" s="586" t="s">
        <v>670</v>
      </c>
      <c r="L1138" s="586" t="s">
        <v>541</v>
      </c>
      <c r="M1138" s="586" t="s">
        <v>285</v>
      </c>
      <c r="N1138" s="586" t="s">
        <v>670</v>
      </c>
      <c r="O1138" s="586" t="s">
        <v>399</v>
      </c>
      <c r="P1138" s="586" t="s">
        <v>524</v>
      </c>
      <c r="Q1138" s="586" t="s">
        <v>589</v>
      </c>
      <c r="R1138" s="587">
        <v>45771</v>
      </c>
      <c r="S1138" s="586" t="s">
        <v>670</v>
      </c>
      <c r="T1138" s="587">
        <v>45778</v>
      </c>
      <c r="U1138" s="588">
        <v>0</v>
      </c>
      <c r="V1138" s="589">
        <v>-1500</v>
      </c>
      <c r="W1138" s="260">
        <v>45778</v>
      </c>
    </row>
    <row r="1139" spans="1:23" hidden="1" x14ac:dyDescent="0.35">
      <c r="A1139" s="586" t="s">
        <v>526</v>
      </c>
      <c r="B1139" s="586" t="s">
        <v>53</v>
      </c>
      <c r="C1139" s="586" t="s">
        <v>670</v>
      </c>
      <c r="D1139" s="586" t="s">
        <v>575</v>
      </c>
      <c r="E1139" s="586" t="s">
        <v>576</v>
      </c>
      <c r="F1139" s="586" t="s">
        <v>588</v>
      </c>
      <c r="G1139" s="586" t="s">
        <v>356</v>
      </c>
      <c r="H1139" s="586" t="s">
        <v>670</v>
      </c>
      <c r="I1139" s="586" t="s">
        <v>277</v>
      </c>
      <c r="J1139" s="586" t="s">
        <v>524</v>
      </c>
      <c r="K1139" s="586" t="s">
        <v>670</v>
      </c>
      <c r="L1139" s="586" t="s">
        <v>541</v>
      </c>
      <c r="M1139" s="586" t="s">
        <v>285</v>
      </c>
      <c r="N1139" s="586" t="s">
        <v>670</v>
      </c>
      <c r="O1139" s="586" t="s">
        <v>662</v>
      </c>
      <c r="P1139" s="586" t="s">
        <v>524</v>
      </c>
      <c r="Q1139" s="586" t="s">
        <v>589</v>
      </c>
      <c r="R1139" s="587">
        <v>45771</v>
      </c>
      <c r="S1139" s="586" t="s">
        <v>670</v>
      </c>
      <c r="T1139" s="587">
        <v>45778</v>
      </c>
      <c r="U1139" s="588">
        <v>0</v>
      </c>
      <c r="V1139" s="589">
        <v>-5109</v>
      </c>
      <c r="W1139" s="260">
        <v>45778</v>
      </c>
    </row>
    <row r="1140" spans="1:23" hidden="1" x14ac:dyDescent="0.35">
      <c r="A1140" s="586" t="s">
        <v>526</v>
      </c>
      <c r="B1140" s="586" t="s">
        <v>53</v>
      </c>
      <c r="C1140" s="586" t="s">
        <v>670</v>
      </c>
      <c r="D1140" s="586" t="s">
        <v>575</v>
      </c>
      <c r="E1140" s="586" t="s">
        <v>576</v>
      </c>
      <c r="F1140" s="586" t="s">
        <v>588</v>
      </c>
      <c r="G1140" s="586" t="s">
        <v>356</v>
      </c>
      <c r="H1140" s="586" t="s">
        <v>670</v>
      </c>
      <c r="I1140" s="586" t="s">
        <v>277</v>
      </c>
      <c r="J1140" s="586" t="s">
        <v>524</v>
      </c>
      <c r="K1140" s="586" t="s">
        <v>670</v>
      </c>
      <c r="L1140" s="586" t="s">
        <v>541</v>
      </c>
      <c r="M1140" s="586" t="s">
        <v>285</v>
      </c>
      <c r="N1140" s="586" t="s">
        <v>670</v>
      </c>
      <c r="O1140" s="586" t="s">
        <v>662</v>
      </c>
      <c r="P1140" s="586" t="s">
        <v>524</v>
      </c>
      <c r="Q1140" s="586" t="s">
        <v>589</v>
      </c>
      <c r="R1140" s="587">
        <v>45771</v>
      </c>
      <c r="S1140" s="586" t="s">
        <v>670</v>
      </c>
      <c r="T1140" s="587">
        <v>45778</v>
      </c>
      <c r="U1140" s="588">
        <v>0</v>
      </c>
      <c r="V1140" s="589">
        <v>-659.2</v>
      </c>
      <c r="W1140" s="260">
        <v>45778</v>
      </c>
    </row>
    <row r="1141" spans="1:23" hidden="1" x14ac:dyDescent="0.35">
      <c r="A1141" s="586" t="s">
        <v>526</v>
      </c>
      <c r="B1141" s="586" t="s">
        <v>53</v>
      </c>
      <c r="C1141" s="586" t="s">
        <v>670</v>
      </c>
      <c r="D1141" s="586" t="s">
        <v>575</v>
      </c>
      <c r="E1141" s="586" t="s">
        <v>576</v>
      </c>
      <c r="F1141" s="586" t="s">
        <v>588</v>
      </c>
      <c r="G1141" s="586" t="s">
        <v>356</v>
      </c>
      <c r="H1141" s="586" t="s">
        <v>670</v>
      </c>
      <c r="I1141" s="586" t="s">
        <v>277</v>
      </c>
      <c r="J1141" s="586" t="s">
        <v>524</v>
      </c>
      <c r="K1141" s="586" t="s">
        <v>670</v>
      </c>
      <c r="L1141" s="586" t="s">
        <v>541</v>
      </c>
      <c r="M1141" s="586" t="s">
        <v>285</v>
      </c>
      <c r="N1141" s="586" t="s">
        <v>670</v>
      </c>
      <c r="O1141" s="586" t="s">
        <v>591</v>
      </c>
      <c r="P1141" s="586" t="s">
        <v>524</v>
      </c>
      <c r="Q1141" s="586" t="s">
        <v>589</v>
      </c>
      <c r="R1141" s="587">
        <v>45771</v>
      </c>
      <c r="S1141" s="586" t="s">
        <v>670</v>
      </c>
      <c r="T1141" s="587">
        <v>45778</v>
      </c>
      <c r="U1141" s="588">
        <v>0</v>
      </c>
      <c r="V1141" s="589">
        <v>-16500</v>
      </c>
      <c r="W1141" s="260">
        <v>45778</v>
      </c>
    </row>
    <row r="1142" spans="1:23" hidden="1" x14ac:dyDescent="0.35">
      <c r="A1142" s="586" t="s">
        <v>526</v>
      </c>
      <c r="B1142" s="586" t="s">
        <v>53</v>
      </c>
      <c r="C1142" s="586" t="s">
        <v>670</v>
      </c>
      <c r="D1142" s="586" t="s">
        <v>575</v>
      </c>
      <c r="E1142" s="586" t="s">
        <v>576</v>
      </c>
      <c r="F1142" s="586" t="s">
        <v>588</v>
      </c>
      <c r="G1142" s="586" t="s">
        <v>356</v>
      </c>
      <c r="H1142" s="586" t="s">
        <v>670</v>
      </c>
      <c r="I1142" s="586" t="s">
        <v>277</v>
      </c>
      <c r="J1142" s="586" t="s">
        <v>524</v>
      </c>
      <c r="K1142" s="586" t="s">
        <v>670</v>
      </c>
      <c r="L1142" s="586" t="s">
        <v>541</v>
      </c>
      <c r="M1142" s="586" t="s">
        <v>285</v>
      </c>
      <c r="N1142" s="586" t="s">
        <v>670</v>
      </c>
      <c r="O1142" s="586" t="s">
        <v>591</v>
      </c>
      <c r="P1142" s="586" t="s">
        <v>524</v>
      </c>
      <c r="Q1142" s="586" t="s">
        <v>589</v>
      </c>
      <c r="R1142" s="587">
        <v>45771</v>
      </c>
      <c r="S1142" s="586" t="s">
        <v>670</v>
      </c>
      <c r="T1142" s="587">
        <v>45778</v>
      </c>
      <c r="U1142" s="588">
        <v>0</v>
      </c>
      <c r="V1142" s="589">
        <v>-5500</v>
      </c>
      <c r="W1142" s="260">
        <v>45778</v>
      </c>
    </row>
    <row r="1143" spans="1:23" hidden="1" x14ac:dyDescent="0.35">
      <c r="A1143" s="586" t="s">
        <v>526</v>
      </c>
      <c r="B1143" s="586" t="s">
        <v>53</v>
      </c>
      <c r="C1143" s="586" t="s">
        <v>670</v>
      </c>
      <c r="D1143" s="586" t="s">
        <v>575</v>
      </c>
      <c r="E1143" s="586" t="s">
        <v>576</v>
      </c>
      <c r="F1143" s="586" t="s">
        <v>276</v>
      </c>
      <c r="G1143" s="586" t="s">
        <v>356</v>
      </c>
      <c r="H1143" s="586" t="s">
        <v>670</v>
      </c>
      <c r="I1143" s="586" t="s">
        <v>277</v>
      </c>
      <c r="J1143" s="586" t="s">
        <v>524</v>
      </c>
      <c r="K1143" s="586" t="s">
        <v>670</v>
      </c>
      <c r="L1143" s="586" t="s">
        <v>541</v>
      </c>
      <c r="M1143" s="586" t="s">
        <v>285</v>
      </c>
      <c r="N1143" s="586" t="s">
        <v>670</v>
      </c>
      <c r="O1143" s="586" t="s">
        <v>684</v>
      </c>
      <c r="P1143" s="586" t="s">
        <v>524</v>
      </c>
      <c r="Q1143" s="586" t="s">
        <v>400</v>
      </c>
      <c r="R1143" s="587">
        <v>45805</v>
      </c>
      <c r="S1143" s="586" t="s">
        <v>670</v>
      </c>
      <c r="T1143" s="587">
        <v>45808</v>
      </c>
      <c r="U1143" s="588">
        <v>0</v>
      </c>
      <c r="V1143" s="589">
        <v>12750</v>
      </c>
      <c r="W1143" s="260">
        <v>45778</v>
      </c>
    </row>
    <row r="1144" spans="1:23" hidden="1" x14ac:dyDescent="0.35">
      <c r="A1144" s="586" t="s">
        <v>526</v>
      </c>
      <c r="B1144" s="586" t="s">
        <v>53</v>
      </c>
      <c r="C1144" s="586" t="s">
        <v>670</v>
      </c>
      <c r="D1144" s="586" t="s">
        <v>575</v>
      </c>
      <c r="E1144" s="586" t="s">
        <v>576</v>
      </c>
      <c r="F1144" s="586" t="s">
        <v>276</v>
      </c>
      <c r="G1144" s="586" t="s">
        <v>356</v>
      </c>
      <c r="H1144" s="586" t="s">
        <v>670</v>
      </c>
      <c r="I1144" s="586" t="s">
        <v>277</v>
      </c>
      <c r="J1144" s="586" t="s">
        <v>524</v>
      </c>
      <c r="K1144" s="586" t="s">
        <v>670</v>
      </c>
      <c r="L1144" s="586" t="s">
        <v>541</v>
      </c>
      <c r="M1144" s="586" t="s">
        <v>285</v>
      </c>
      <c r="N1144" s="586" t="s">
        <v>670</v>
      </c>
      <c r="O1144" s="586" t="s">
        <v>684</v>
      </c>
      <c r="P1144" s="586" t="s">
        <v>524</v>
      </c>
      <c r="Q1144" s="586" t="s">
        <v>400</v>
      </c>
      <c r="R1144" s="587">
        <v>45805</v>
      </c>
      <c r="S1144" s="586" t="s">
        <v>670</v>
      </c>
      <c r="T1144" s="587">
        <v>45808</v>
      </c>
      <c r="U1144" s="588">
        <v>0</v>
      </c>
      <c r="V1144" s="589">
        <v>139197</v>
      </c>
      <c r="W1144" s="260">
        <v>45778</v>
      </c>
    </row>
    <row r="1145" spans="1:23" hidden="1" x14ac:dyDescent="0.35">
      <c r="A1145" s="586" t="s">
        <v>526</v>
      </c>
      <c r="B1145" s="586" t="s">
        <v>53</v>
      </c>
      <c r="C1145" s="586" t="s">
        <v>670</v>
      </c>
      <c r="D1145" s="586" t="s">
        <v>575</v>
      </c>
      <c r="E1145" s="586" t="s">
        <v>576</v>
      </c>
      <c r="F1145" s="586" t="s">
        <v>276</v>
      </c>
      <c r="G1145" s="586" t="s">
        <v>356</v>
      </c>
      <c r="H1145" s="586" t="s">
        <v>670</v>
      </c>
      <c r="I1145" s="586" t="s">
        <v>277</v>
      </c>
      <c r="J1145" s="586" t="s">
        <v>524</v>
      </c>
      <c r="K1145" s="586" t="s">
        <v>670</v>
      </c>
      <c r="L1145" s="586" t="s">
        <v>541</v>
      </c>
      <c r="M1145" s="586" t="s">
        <v>285</v>
      </c>
      <c r="N1145" s="586" t="s">
        <v>670</v>
      </c>
      <c r="O1145" s="586">
        <v>7000001415</v>
      </c>
      <c r="P1145" s="586" t="s">
        <v>524</v>
      </c>
      <c r="Q1145" s="586" t="s">
        <v>400</v>
      </c>
      <c r="R1145" s="587">
        <v>45805</v>
      </c>
      <c r="S1145" s="586" t="s">
        <v>670</v>
      </c>
      <c r="T1145" s="587">
        <v>45808</v>
      </c>
      <c r="U1145" s="588">
        <v>0</v>
      </c>
      <c r="V1145" s="589">
        <v>124022</v>
      </c>
      <c r="W1145" s="260">
        <v>45778</v>
      </c>
    </row>
    <row r="1146" spans="1:23" hidden="1" x14ac:dyDescent="0.35">
      <c r="A1146" s="586" t="s">
        <v>526</v>
      </c>
      <c r="B1146" s="586" t="s">
        <v>53</v>
      </c>
      <c r="C1146" s="586" t="s">
        <v>670</v>
      </c>
      <c r="D1146" s="586" t="s">
        <v>575</v>
      </c>
      <c r="E1146" s="586" t="s">
        <v>576</v>
      </c>
      <c r="F1146" s="586" t="s">
        <v>276</v>
      </c>
      <c r="G1146" s="586" t="s">
        <v>356</v>
      </c>
      <c r="H1146" s="586" t="s">
        <v>670</v>
      </c>
      <c r="I1146" s="586" t="s">
        <v>277</v>
      </c>
      <c r="J1146" s="586" t="s">
        <v>524</v>
      </c>
      <c r="K1146" s="586" t="s">
        <v>670</v>
      </c>
      <c r="L1146" s="586" t="s">
        <v>541</v>
      </c>
      <c r="M1146" s="586" t="s">
        <v>285</v>
      </c>
      <c r="N1146" s="586" t="s">
        <v>670</v>
      </c>
      <c r="O1146" s="586">
        <v>7000001415</v>
      </c>
      <c r="P1146" s="586" t="s">
        <v>524</v>
      </c>
      <c r="Q1146" s="586" t="s">
        <v>400</v>
      </c>
      <c r="R1146" s="587">
        <v>45805</v>
      </c>
      <c r="S1146" s="586" t="s">
        <v>670</v>
      </c>
      <c r="T1146" s="587">
        <v>45808</v>
      </c>
      <c r="U1146" s="588">
        <v>0</v>
      </c>
      <c r="V1146" s="589">
        <v>78706</v>
      </c>
      <c r="W1146" s="260">
        <v>45778</v>
      </c>
    </row>
    <row r="1147" spans="1:23" hidden="1" x14ac:dyDescent="0.35">
      <c r="A1147" s="586" t="s">
        <v>526</v>
      </c>
      <c r="B1147" s="586" t="s">
        <v>53</v>
      </c>
      <c r="C1147" s="586" t="s">
        <v>670</v>
      </c>
      <c r="D1147" s="586" t="s">
        <v>575</v>
      </c>
      <c r="E1147" s="586" t="s">
        <v>576</v>
      </c>
      <c r="F1147" s="586" t="s">
        <v>276</v>
      </c>
      <c r="G1147" s="586" t="s">
        <v>356</v>
      </c>
      <c r="H1147" s="586" t="s">
        <v>670</v>
      </c>
      <c r="I1147" s="586" t="s">
        <v>277</v>
      </c>
      <c r="J1147" s="586" t="s">
        <v>524</v>
      </c>
      <c r="K1147" s="586" t="s">
        <v>670</v>
      </c>
      <c r="L1147" s="586" t="s">
        <v>541</v>
      </c>
      <c r="M1147" s="586" t="s">
        <v>285</v>
      </c>
      <c r="N1147" s="586" t="s">
        <v>670</v>
      </c>
      <c r="O1147" s="586" t="s">
        <v>677</v>
      </c>
      <c r="P1147" s="586" t="s">
        <v>524</v>
      </c>
      <c r="Q1147" s="586" t="s">
        <v>400</v>
      </c>
      <c r="R1147" s="587">
        <v>45805</v>
      </c>
      <c r="S1147" s="586" t="s">
        <v>670</v>
      </c>
      <c r="T1147" s="587">
        <v>45808</v>
      </c>
      <c r="U1147" s="588">
        <v>0</v>
      </c>
      <c r="V1147" s="589">
        <v>1483.2</v>
      </c>
      <c r="W1147" s="260">
        <v>45778</v>
      </c>
    </row>
    <row r="1148" spans="1:23" hidden="1" x14ac:dyDescent="0.35">
      <c r="A1148" s="586" t="s">
        <v>526</v>
      </c>
      <c r="B1148" s="586" t="s">
        <v>53</v>
      </c>
      <c r="C1148" s="586" t="s">
        <v>670</v>
      </c>
      <c r="D1148" s="586" t="s">
        <v>575</v>
      </c>
      <c r="E1148" s="586" t="s">
        <v>576</v>
      </c>
      <c r="F1148" s="586" t="s">
        <v>276</v>
      </c>
      <c r="G1148" s="586" t="s">
        <v>356</v>
      </c>
      <c r="H1148" s="586" t="s">
        <v>670</v>
      </c>
      <c r="I1148" s="586" t="s">
        <v>277</v>
      </c>
      <c r="J1148" s="586" t="s">
        <v>524</v>
      </c>
      <c r="K1148" s="586" t="s">
        <v>670</v>
      </c>
      <c r="L1148" s="586" t="s">
        <v>541</v>
      </c>
      <c r="M1148" s="586" t="s">
        <v>285</v>
      </c>
      <c r="N1148" s="586" t="s">
        <v>670</v>
      </c>
      <c r="O1148" s="586">
        <v>7000001237</v>
      </c>
      <c r="P1148" s="586" t="s">
        <v>524</v>
      </c>
      <c r="Q1148" s="586" t="s">
        <v>400</v>
      </c>
      <c r="R1148" s="587">
        <v>45805</v>
      </c>
      <c r="S1148" s="586" t="s">
        <v>670</v>
      </c>
      <c r="T1148" s="587">
        <v>45808</v>
      </c>
      <c r="U1148" s="588">
        <v>0</v>
      </c>
      <c r="V1148" s="589">
        <v>659</v>
      </c>
      <c r="W1148" s="260">
        <v>45778</v>
      </c>
    </row>
    <row r="1149" spans="1:23" hidden="1" x14ac:dyDescent="0.35">
      <c r="A1149" s="586" t="s">
        <v>526</v>
      </c>
      <c r="B1149" s="586" t="s">
        <v>53</v>
      </c>
      <c r="C1149" s="586" t="s">
        <v>670</v>
      </c>
      <c r="D1149" s="586" t="s">
        <v>575</v>
      </c>
      <c r="E1149" s="586" t="s">
        <v>576</v>
      </c>
      <c r="F1149" s="586" t="s">
        <v>276</v>
      </c>
      <c r="G1149" s="586" t="s">
        <v>356</v>
      </c>
      <c r="H1149" s="586" t="s">
        <v>670</v>
      </c>
      <c r="I1149" s="586" t="s">
        <v>277</v>
      </c>
      <c r="J1149" s="586" t="s">
        <v>524</v>
      </c>
      <c r="K1149" s="586" t="s">
        <v>670</v>
      </c>
      <c r="L1149" s="586" t="s">
        <v>541</v>
      </c>
      <c r="M1149" s="586" t="s">
        <v>285</v>
      </c>
      <c r="N1149" s="586" t="s">
        <v>670</v>
      </c>
      <c r="O1149" s="586">
        <v>7000001429</v>
      </c>
      <c r="P1149" s="586" t="s">
        <v>524</v>
      </c>
      <c r="Q1149" s="586" t="s">
        <v>400</v>
      </c>
      <c r="R1149" s="587">
        <v>45805</v>
      </c>
      <c r="S1149" s="586" t="s">
        <v>670</v>
      </c>
      <c r="T1149" s="587">
        <v>45808</v>
      </c>
      <c r="U1149" s="588">
        <v>0</v>
      </c>
      <c r="V1149" s="589">
        <v>11000</v>
      </c>
      <c r="W1149" s="260">
        <v>45778</v>
      </c>
    </row>
    <row r="1150" spans="1:23" hidden="1" x14ac:dyDescent="0.35">
      <c r="A1150" s="586" t="s">
        <v>526</v>
      </c>
      <c r="B1150" s="586" t="s">
        <v>159</v>
      </c>
      <c r="C1150" s="586" t="s">
        <v>281</v>
      </c>
      <c r="D1150" s="586" t="s">
        <v>282</v>
      </c>
      <c r="E1150" s="586" t="s">
        <v>283</v>
      </c>
      <c r="F1150" s="586" t="s">
        <v>276</v>
      </c>
      <c r="G1150" s="586" t="s">
        <v>356</v>
      </c>
      <c r="H1150" s="586" t="s">
        <v>670</v>
      </c>
      <c r="I1150" s="586" t="s">
        <v>277</v>
      </c>
      <c r="J1150" s="586" t="s">
        <v>522</v>
      </c>
      <c r="K1150" s="586" t="s">
        <v>284</v>
      </c>
      <c r="L1150" s="586" t="s">
        <v>536</v>
      </c>
      <c r="M1150" s="586" t="s">
        <v>285</v>
      </c>
      <c r="N1150" s="586" t="s">
        <v>670</v>
      </c>
      <c r="O1150" s="586" t="s">
        <v>670</v>
      </c>
      <c r="P1150" s="586" t="s">
        <v>522</v>
      </c>
      <c r="Q1150" s="586" t="s">
        <v>670</v>
      </c>
      <c r="R1150" s="587">
        <v>45778</v>
      </c>
      <c r="S1150" s="586" t="s">
        <v>670</v>
      </c>
      <c r="T1150" s="587">
        <v>45777</v>
      </c>
      <c r="U1150" s="588">
        <v>0</v>
      </c>
      <c r="V1150" s="589">
        <v>1146.5999999999999</v>
      </c>
      <c r="W1150" s="260">
        <v>45748</v>
      </c>
    </row>
    <row r="1151" spans="1:23" hidden="1" x14ac:dyDescent="0.35">
      <c r="A1151" s="586" t="s">
        <v>526</v>
      </c>
      <c r="B1151" s="586" t="s">
        <v>159</v>
      </c>
      <c r="C1151" s="586" t="s">
        <v>286</v>
      </c>
      <c r="D1151" s="586" t="s">
        <v>287</v>
      </c>
      <c r="E1151" s="586" t="s">
        <v>288</v>
      </c>
      <c r="F1151" s="586" t="s">
        <v>276</v>
      </c>
      <c r="G1151" s="586" t="s">
        <v>356</v>
      </c>
      <c r="H1151" s="586" t="s">
        <v>670</v>
      </c>
      <c r="I1151" s="586" t="s">
        <v>277</v>
      </c>
      <c r="J1151" s="586" t="s">
        <v>522</v>
      </c>
      <c r="K1151" s="586" t="s">
        <v>289</v>
      </c>
      <c r="L1151" s="586" t="s">
        <v>536</v>
      </c>
      <c r="M1151" s="586" t="s">
        <v>285</v>
      </c>
      <c r="N1151" s="586" t="s">
        <v>670</v>
      </c>
      <c r="O1151" s="586" t="s">
        <v>670</v>
      </c>
      <c r="P1151" s="586" t="s">
        <v>522</v>
      </c>
      <c r="Q1151" s="586" t="s">
        <v>670</v>
      </c>
      <c r="R1151" s="587">
        <v>45778</v>
      </c>
      <c r="S1151" s="586" t="s">
        <v>670</v>
      </c>
      <c r="T1151" s="587">
        <v>45777</v>
      </c>
      <c r="U1151" s="588">
        <v>0</v>
      </c>
      <c r="V1151" s="589">
        <v>3216.22</v>
      </c>
      <c r="W1151" s="260">
        <v>45748</v>
      </c>
    </row>
    <row r="1152" spans="1:23" hidden="1" x14ac:dyDescent="0.35">
      <c r="A1152" s="586" t="s">
        <v>526</v>
      </c>
      <c r="B1152" s="586" t="s">
        <v>159</v>
      </c>
      <c r="C1152" s="586" t="s">
        <v>281</v>
      </c>
      <c r="D1152" s="586" t="s">
        <v>290</v>
      </c>
      <c r="E1152" s="586" t="s">
        <v>291</v>
      </c>
      <c r="F1152" s="586" t="s">
        <v>276</v>
      </c>
      <c r="G1152" s="586" t="s">
        <v>356</v>
      </c>
      <c r="H1152" s="586" t="s">
        <v>670</v>
      </c>
      <c r="I1152" s="586" t="s">
        <v>277</v>
      </c>
      <c r="J1152" s="586" t="s">
        <v>522</v>
      </c>
      <c r="K1152" s="586" t="s">
        <v>284</v>
      </c>
      <c r="L1152" s="586" t="s">
        <v>536</v>
      </c>
      <c r="M1152" s="586" t="s">
        <v>285</v>
      </c>
      <c r="N1152" s="586" t="s">
        <v>670</v>
      </c>
      <c r="O1152" s="586" t="s">
        <v>670</v>
      </c>
      <c r="P1152" s="586" t="s">
        <v>522</v>
      </c>
      <c r="Q1152" s="586" t="s">
        <v>670</v>
      </c>
      <c r="R1152" s="587">
        <v>45778</v>
      </c>
      <c r="S1152" s="586" t="s">
        <v>670</v>
      </c>
      <c r="T1152" s="587">
        <v>45777</v>
      </c>
      <c r="U1152" s="588">
        <v>0</v>
      </c>
      <c r="V1152" s="589">
        <v>740.98</v>
      </c>
      <c r="W1152" s="260">
        <v>45748</v>
      </c>
    </row>
    <row r="1153" spans="1:23" hidden="1" x14ac:dyDescent="0.35">
      <c r="A1153" s="586" t="s">
        <v>526</v>
      </c>
      <c r="B1153" s="586" t="s">
        <v>159</v>
      </c>
      <c r="C1153" s="586" t="s">
        <v>281</v>
      </c>
      <c r="D1153" s="586" t="s">
        <v>292</v>
      </c>
      <c r="E1153" s="586" t="s">
        <v>293</v>
      </c>
      <c r="F1153" s="586" t="s">
        <v>276</v>
      </c>
      <c r="G1153" s="586" t="s">
        <v>356</v>
      </c>
      <c r="H1153" s="586" t="s">
        <v>670</v>
      </c>
      <c r="I1153" s="586" t="s">
        <v>277</v>
      </c>
      <c r="J1153" s="586" t="s">
        <v>522</v>
      </c>
      <c r="K1153" s="586" t="s">
        <v>294</v>
      </c>
      <c r="L1153" s="586" t="s">
        <v>536</v>
      </c>
      <c r="M1153" s="586" t="s">
        <v>285</v>
      </c>
      <c r="N1153" s="586" t="s">
        <v>670</v>
      </c>
      <c r="O1153" s="586" t="s">
        <v>670</v>
      </c>
      <c r="P1153" s="586" t="s">
        <v>522</v>
      </c>
      <c r="Q1153" s="586" t="s">
        <v>670</v>
      </c>
      <c r="R1153" s="587">
        <v>45778</v>
      </c>
      <c r="S1153" s="586" t="s">
        <v>670</v>
      </c>
      <c r="T1153" s="587">
        <v>45777</v>
      </c>
      <c r="U1153" s="588">
        <v>0</v>
      </c>
      <c r="V1153" s="589">
        <v>819.23</v>
      </c>
      <c r="W1153" s="260">
        <v>45748</v>
      </c>
    </row>
    <row r="1154" spans="1:23" hidden="1" x14ac:dyDescent="0.35">
      <c r="A1154" s="586" t="s">
        <v>526</v>
      </c>
      <c r="B1154" s="586" t="s">
        <v>159</v>
      </c>
      <c r="C1154" s="586" t="s">
        <v>286</v>
      </c>
      <c r="D1154" s="586" t="s">
        <v>295</v>
      </c>
      <c r="E1154" s="586" t="s">
        <v>296</v>
      </c>
      <c r="F1154" s="586" t="s">
        <v>276</v>
      </c>
      <c r="G1154" s="586" t="s">
        <v>356</v>
      </c>
      <c r="H1154" s="586" t="s">
        <v>670</v>
      </c>
      <c r="I1154" s="586" t="s">
        <v>277</v>
      </c>
      <c r="J1154" s="586" t="s">
        <v>522</v>
      </c>
      <c r="K1154" s="586" t="s">
        <v>297</v>
      </c>
      <c r="L1154" s="586" t="s">
        <v>536</v>
      </c>
      <c r="M1154" s="586" t="s">
        <v>285</v>
      </c>
      <c r="N1154" s="586" t="s">
        <v>670</v>
      </c>
      <c r="O1154" s="586" t="s">
        <v>670</v>
      </c>
      <c r="P1154" s="586" t="s">
        <v>522</v>
      </c>
      <c r="Q1154" s="586" t="s">
        <v>670</v>
      </c>
      <c r="R1154" s="587">
        <v>45778</v>
      </c>
      <c r="S1154" s="586" t="s">
        <v>670</v>
      </c>
      <c r="T1154" s="587">
        <v>45777</v>
      </c>
      <c r="U1154" s="588">
        <v>0</v>
      </c>
      <c r="V1154" s="589">
        <v>1753.43</v>
      </c>
      <c r="W1154" s="260">
        <v>45748</v>
      </c>
    </row>
    <row r="1155" spans="1:23" hidden="1" x14ac:dyDescent="0.35">
      <c r="A1155" s="586" t="s">
        <v>526</v>
      </c>
      <c r="B1155" s="586" t="s">
        <v>159</v>
      </c>
      <c r="C1155" s="586" t="s">
        <v>298</v>
      </c>
      <c r="D1155" s="586" t="s">
        <v>299</v>
      </c>
      <c r="E1155" s="586" t="s">
        <v>300</v>
      </c>
      <c r="F1155" s="586" t="s">
        <v>276</v>
      </c>
      <c r="G1155" s="586" t="s">
        <v>356</v>
      </c>
      <c r="H1155" s="586" t="s">
        <v>670</v>
      </c>
      <c r="I1155" s="586" t="s">
        <v>277</v>
      </c>
      <c r="J1155" s="586" t="s">
        <v>522</v>
      </c>
      <c r="K1155" s="586" t="s">
        <v>301</v>
      </c>
      <c r="L1155" s="586" t="s">
        <v>536</v>
      </c>
      <c r="M1155" s="586" t="s">
        <v>285</v>
      </c>
      <c r="N1155" s="586" t="s">
        <v>670</v>
      </c>
      <c r="O1155" s="586" t="s">
        <v>670</v>
      </c>
      <c r="P1155" s="586" t="s">
        <v>522</v>
      </c>
      <c r="Q1155" s="586" t="s">
        <v>670</v>
      </c>
      <c r="R1155" s="587">
        <v>45778</v>
      </c>
      <c r="S1155" s="586" t="s">
        <v>670</v>
      </c>
      <c r="T1155" s="587">
        <v>45777</v>
      </c>
      <c r="U1155" s="588">
        <v>0</v>
      </c>
      <c r="V1155" s="589">
        <v>0.17</v>
      </c>
      <c r="W1155" s="260">
        <v>45748</v>
      </c>
    </row>
    <row r="1156" spans="1:23" hidden="1" x14ac:dyDescent="0.35">
      <c r="A1156" s="586" t="s">
        <v>526</v>
      </c>
      <c r="B1156" s="586" t="s">
        <v>159</v>
      </c>
      <c r="C1156" s="586" t="s">
        <v>298</v>
      </c>
      <c r="D1156" s="586" t="s">
        <v>299</v>
      </c>
      <c r="E1156" s="586" t="s">
        <v>300</v>
      </c>
      <c r="F1156" s="586" t="s">
        <v>276</v>
      </c>
      <c r="G1156" s="586" t="s">
        <v>356</v>
      </c>
      <c r="H1156" s="586" t="s">
        <v>670</v>
      </c>
      <c r="I1156" s="586" t="s">
        <v>277</v>
      </c>
      <c r="J1156" s="586" t="s">
        <v>522</v>
      </c>
      <c r="K1156" s="586" t="s">
        <v>301</v>
      </c>
      <c r="L1156" s="586" t="s">
        <v>536</v>
      </c>
      <c r="M1156" s="586" t="s">
        <v>285</v>
      </c>
      <c r="N1156" s="586" t="s">
        <v>670</v>
      </c>
      <c r="O1156" s="586" t="s">
        <v>670</v>
      </c>
      <c r="P1156" s="586" t="s">
        <v>522</v>
      </c>
      <c r="Q1156" s="586" t="s">
        <v>670</v>
      </c>
      <c r="R1156" s="587">
        <v>45778</v>
      </c>
      <c r="S1156" s="586" t="s">
        <v>670</v>
      </c>
      <c r="T1156" s="587">
        <v>45777</v>
      </c>
      <c r="U1156" s="588">
        <v>0</v>
      </c>
      <c r="V1156" s="589">
        <v>2.0099999999999998</v>
      </c>
      <c r="W1156" s="260">
        <v>45748</v>
      </c>
    </row>
    <row r="1157" spans="1:23" hidden="1" x14ac:dyDescent="0.35">
      <c r="A1157" s="586" t="s">
        <v>526</v>
      </c>
      <c r="B1157" s="586" t="s">
        <v>159</v>
      </c>
      <c r="C1157" s="586" t="s">
        <v>298</v>
      </c>
      <c r="D1157" s="586" t="s">
        <v>304</v>
      </c>
      <c r="E1157" s="586" t="s">
        <v>305</v>
      </c>
      <c r="F1157" s="586" t="s">
        <v>276</v>
      </c>
      <c r="G1157" s="586" t="s">
        <v>356</v>
      </c>
      <c r="H1157" s="586" t="s">
        <v>670</v>
      </c>
      <c r="I1157" s="586" t="s">
        <v>277</v>
      </c>
      <c r="J1157" s="586" t="s">
        <v>522</v>
      </c>
      <c r="K1157" s="586" t="s">
        <v>301</v>
      </c>
      <c r="L1157" s="586" t="s">
        <v>536</v>
      </c>
      <c r="M1157" s="586" t="s">
        <v>285</v>
      </c>
      <c r="N1157" s="586" t="s">
        <v>670</v>
      </c>
      <c r="O1157" s="586" t="s">
        <v>670</v>
      </c>
      <c r="P1157" s="586" t="s">
        <v>522</v>
      </c>
      <c r="Q1157" s="586" t="s">
        <v>670</v>
      </c>
      <c r="R1157" s="587">
        <v>45778</v>
      </c>
      <c r="S1157" s="586" t="s">
        <v>670</v>
      </c>
      <c r="T1157" s="587">
        <v>45777</v>
      </c>
      <c r="U1157" s="588">
        <v>0</v>
      </c>
      <c r="V1157" s="589">
        <v>2.2200000000000002</v>
      </c>
      <c r="W1157" s="260">
        <v>45748</v>
      </c>
    </row>
    <row r="1158" spans="1:23" hidden="1" x14ac:dyDescent="0.35">
      <c r="A1158" s="586" t="s">
        <v>526</v>
      </c>
      <c r="B1158" s="586" t="s">
        <v>159</v>
      </c>
      <c r="C1158" s="586" t="s">
        <v>298</v>
      </c>
      <c r="D1158" s="586" t="s">
        <v>306</v>
      </c>
      <c r="E1158" s="586" t="s">
        <v>307</v>
      </c>
      <c r="F1158" s="586" t="s">
        <v>276</v>
      </c>
      <c r="G1158" s="586" t="s">
        <v>356</v>
      </c>
      <c r="H1158" s="586" t="s">
        <v>670</v>
      </c>
      <c r="I1158" s="586" t="s">
        <v>277</v>
      </c>
      <c r="J1158" s="586" t="s">
        <v>522</v>
      </c>
      <c r="K1158" s="586" t="s">
        <v>301</v>
      </c>
      <c r="L1158" s="586" t="s">
        <v>536</v>
      </c>
      <c r="M1158" s="586" t="s">
        <v>285</v>
      </c>
      <c r="N1158" s="586" t="s">
        <v>670</v>
      </c>
      <c r="O1158" s="586" t="s">
        <v>670</v>
      </c>
      <c r="P1158" s="586" t="s">
        <v>522</v>
      </c>
      <c r="Q1158" s="586" t="s">
        <v>670</v>
      </c>
      <c r="R1158" s="587">
        <v>45778</v>
      </c>
      <c r="S1158" s="586" t="s">
        <v>670</v>
      </c>
      <c r="T1158" s="587">
        <v>45777</v>
      </c>
      <c r="U1158" s="588">
        <v>0</v>
      </c>
      <c r="V1158" s="589">
        <v>0.26</v>
      </c>
      <c r="W1158" s="260">
        <v>45748</v>
      </c>
    </row>
    <row r="1159" spans="1:23" hidden="1" x14ac:dyDescent="0.35">
      <c r="A1159" s="586" t="s">
        <v>526</v>
      </c>
      <c r="B1159" s="586" t="s">
        <v>159</v>
      </c>
      <c r="C1159" s="586" t="s">
        <v>298</v>
      </c>
      <c r="D1159" s="586" t="s">
        <v>306</v>
      </c>
      <c r="E1159" s="586" t="s">
        <v>307</v>
      </c>
      <c r="F1159" s="586" t="s">
        <v>276</v>
      </c>
      <c r="G1159" s="586" t="s">
        <v>356</v>
      </c>
      <c r="H1159" s="586" t="s">
        <v>670</v>
      </c>
      <c r="I1159" s="586" t="s">
        <v>277</v>
      </c>
      <c r="J1159" s="586" t="s">
        <v>522</v>
      </c>
      <c r="K1159" s="586" t="s">
        <v>301</v>
      </c>
      <c r="L1159" s="586" t="s">
        <v>536</v>
      </c>
      <c r="M1159" s="586" t="s">
        <v>285</v>
      </c>
      <c r="N1159" s="586" t="s">
        <v>670</v>
      </c>
      <c r="O1159" s="586" t="s">
        <v>670</v>
      </c>
      <c r="P1159" s="586" t="s">
        <v>522</v>
      </c>
      <c r="Q1159" s="586" t="s">
        <v>670</v>
      </c>
      <c r="R1159" s="587">
        <v>45778</v>
      </c>
      <c r="S1159" s="586" t="s">
        <v>670</v>
      </c>
      <c r="T1159" s="587">
        <v>45777</v>
      </c>
      <c r="U1159" s="588">
        <v>0</v>
      </c>
      <c r="V1159" s="589">
        <v>3.11</v>
      </c>
      <c r="W1159" s="260">
        <v>45748</v>
      </c>
    </row>
    <row r="1160" spans="1:23" hidden="1" x14ac:dyDescent="0.35">
      <c r="A1160" s="586" t="s">
        <v>526</v>
      </c>
      <c r="B1160" s="586" t="s">
        <v>159</v>
      </c>
      <c r="C1160" s="586" t="s">
        <v>298</v>
      </c>
      <c r="D1160" s="586" t="s">
        <v>308</v>
      </c>
      <c r="E1160" s="586" t="s">
        <v>309</v>
      </c>
      <c r="F1160" s="586" t="s">
        <v>276</v>
      </c>
      <c r="G1160" s="586" t="s">
        <v>356</v>
      </c>
      <c r="H1160" s="586" t="s">
        <v>670</v>
      </c>
      <c r="I1160" s="586" t="s">
        <v>277</v>
      </c>
      <c r="J1160" s="586" t="s">
        <v>522</v>
      </c>
      <c r="K1160" s="586" t="s">
        <v>301</v>
      </c>
      <c r="L1160" s="586" t="s">
        <v>536</v>
      </c>
      <c r="M1160" s="586" t="s">
        <v>285</v>
      </c>
      <c r="N1160" s="586" t="s">
        <v>670</v>
      </c>
      <c r="O1160" s="586" t="s">
        <v>670</v>
      </c>
      <c r="P1160" s="586" t="s">
        <v>522</v>
      </c>
      <c r="Q1160" s="586" t="s">
        <v>670</v>
      </c>
      <c r="R1160" s="587">
        <v>45778</v>
      </c>
      <c r="S1160" s="586" t="s">
        <v>670</v>
      </c>
      <c r="T1160" s="587">
        <v>45777</v>
      </c>
      <c r="U1160" s="588">
        <v>0</v>
      </c>
      <c r="V1160" s="589">
        <v>393.84</v>
      </c>
      <c r="W1160" s="260">
        <v>45748</v>
      </c>
    </row>
    <row r="1161" spans="1:23" hidden="1" x14ac:dyDescent="0.35">
      <c r="A1161" s="586" t="s">
        <v>526</v>
      </c>
      <c r="B1161" s="586" t="s">
        <v>159</v>
      </c>
      <c r="C1161" s="586" t="s">
        <v>302</v>
      </c>
      <c r="D1161" s="586" t="s">
        <v>308</v>
      </c>
      <c r="E1161" s="586" t="s">
        <v>309</v>
      </c>
      <c r="F1161" s="586" t="s">
        <v>276</v>
      </c>
      <c r="G1161" s="586" t="s">
        <v>356</v>
      </c>
      <c r="H1161" s="586" t="s">
        <v>670</v>
      </c>
      <c r="I1161" s="586" t="s">
        <v>277</v>
      </c>
      <c r="J1161" s="586" t="s">
        <v>522</v>
      </c>
      <c r="K1161" s="586" t="s">
        <v>303</v>
      </c>
      <c r="L1161" s="586" t="s">
        <v>536</v>
      </c>
      <c r="M1161" s="586" t="s">
        <v>285</v>
      </c>
      <c r="N1161" s="586" t="s">
        <v>670</v>
      </c>
      <c r="O1161" s="586" t="s">
        <v>670</v>
      </c>
      <c r="P1161" s="586" t="s">
        <v>522</v>
      </c>
      <c r="Q1161" s="586" t="s">
        <v>670</v>
      </c>
      <c r="R1161" s="587">
        <v>45779</v>
      </c>
      <c r="S1161" s="586" t="s">
        <v>670</v>
      </c>
      <c r="T1161" s="587">
        <v>45777</v>
      </c>
      <c r="U1161" s="588">
        <v>0</v>
      </c>
      <c r="V1161" s="589">
        <v>1222.81</v>
      </c>
      <c r="W1161" s="260">
        <v>45748</v>
      </c>
    </row>
    <row r="1162" spans="1:23" hidden="1" x14ac:dyDescent="0.35">
      <c r="A1162" s="586" t="s">
        <v>526</v>
      </c>
      <c r="B1162" s="586" t="s">
        <v>159</v>
      </c>
      <c r="C1162" s="586" t="s">
        <v>302</v>
      </c>
      <c r="D1162" s="586" t="s">
        <v>310</v>
      </c>
      <c r="E1162" s="586" t="s">
        <v>311</v>
      </c>
      <c r="F1162" s="586" t="s">
        <v>276</v>
      </c>
      <c r="G1162" s="586" t="s">
        <v>356</v>
      </c>
      <c r="H1162" s="586" t="s">
        <v>670</v>
      </c>
      <c r="I1162" s="586" t="s">
        <v>277</v>
      </c>
      <c r="J1162" s="586" t="s">
        <v>522</v>
      </c>
      <c r="K1162" s="586" t="s">
        <v>303</v>
      </c>
      <c r="L1162" s="586" t="s">
        <v>536</v>
      </c>
      <c r="M1162" s="586" t="s">
        <v>285</v>
      </c>
      <c r="N1162" s="586" t="s">
        <v>670</v>
      </c>
      <c r="O1162" s="586" t="s">
        <v>670</v>
      </c>
      <c r="P1162" s="586" t="s">
        <v>522</v>
      </c>
      <c r="Q1162" s="586" t="s">
        <v>670</v>
      </c>
      <c r="R1162" s="587">
        <v>45779</v>
      </c>
      <c r="S1162" s="586" t="s">
        <v>670</v>
      </c>
      <c r="T1162" s="587">
        <v>45777</v>
      </c>
      <c r="U1162" s="588">
        <v>0</v>
      </c>
      <c r="V1162" s="589">
        <v>3847.83</v>
      </c>
      <c r="W1162" s="260">
        <v>45748</v>
      </c>
    </row>
    <row r="1163" spans="1:23" hidden="1" x14ac:dyDescent="0.35">
      <c r="A1163" s="586" t="s">
        <v>526</v>
      </c>
      <c r="B1163" s="586" t="s">
        <v>159</v>
      </c>
      <c r="C1163" s="586" t="s">
        <v>298</v>
      </c>
      <c r="D1163" s="586" t="s">
        <v>312</v>
      </c>
      <c r="E1163" s="586" t="s">
        <v>313</v>
      </c>
      <c r="F1163" s="586" t="s">
        <v>276</v>
      </c>
      <c r="G1163" s="586" t="s">
        <v>356</v>
      </c>
      <c r="H1163" s="586" t="s">
        <v>670</v>
      </c>
      <c r="I1163" s="586" t="s">
        <v>277</v>
      </c>
      <c r="J1163" s="586" t="s">
        <v>522</v>
      </c>
      <c r="K1163" s="586" t="s">
        <v>301</v>
      </c>
      <c r="L1163" s="586" t="s">
        <v>536</v>
      </c>
      <c r="M1163" s="586" t="s">
        <v>285</v>
      </c>
      <c r="N1163" s="586" t="s">
        <v>670</v>
      </c>
      <c r="O1163" s="586" t="s">
        <v>670</v>
      </c>
      <c r="P1163" s="586" t="s">
        <v>522</v>
      </c>
      <c r="Q1163" s="586" t="s">
        <v>670</v>
      </c>
      <c r="R1163" s="587">
        <v>45778</v>
      </c>
      <c r="S1163" s="586" t="s">
        <v>670</v>
      </c>
      <c r="T1163" s="587">
        <v>45777</v>
      </c>
      <c r="U1163" s="588">
        <v>0</v>
      </c>
      <c r="V1163" s="589">
        <v>189.74</v>
      </c>
      <c r="W1163" s="260">
        <v>45748</v>
      </c>
    </row>
    <row r="1164" spans="1:23" hidden="1" x14ac:dyDescent="0.35">
      <c r="A1164" s="586" t="s">
        <v>526</v>
      </c>
      <c r="B1164" s="586" t="s">
        <v>159</v>
      </c>
      <c r="C1164" s="586" t="s">
        <v>298</v>
      </c>
      <c r="D1164" s="586" t="s">
        <v>314</v>
      </c>
      <c r="E1164" s="586" t="s">
        <v>315</v>
      </c>
      <c r="F1164" s="586" t="s">
        <v>276</v>
      </c>
      <c r="G1164" s="586" t="s">
        <v>356</v>
      </c>
      <c r="H1164" s="586" t="s">
        <v>670</v>
      </c>
      <c r="I1164" s="586" t="s">
        <v>277</v>
      </c>
      <c r="J1164" s="586" t="s">
        <v>522</v>
      </c>
      <c r="K1164" s="586" t="s">
        <v>301</v>
      </c>
      <c r="L1164" s="586" t="s">
        <v>536</v>
      </c>
      <c r="M1164" s="586" t="s">
        <v>285</v>
      </c>
      <c r="N1164" s="586" t="s">
        <v>670</v>
      </c>
      <c r="O1164" s="586" t="s">
        <v>670</v>
      </c>
      <c r="P1164" s="586" t="s">
        <v>522</v>
      </c>
      <c r="Q1164" s="586" t="s">
        <v>670</v>
      </c>
      <c r="R1164" s="587">
        <v>45778</v>
      </c>
      <c r="S1164" s="586" t="s">
        <v>670</v>
      </c>
      <c r="T1164" s="587">
        <v>45777</v>
      </c>
      <c r="U1164" s="588">
        <v>0</v>
      </c>
      <c r="V1164" s="589">
        <v>149.46</v>
      </c>
      <c r="W1164" s="260">
        <v>45748</v>
      </c>
    </row>
    <row r="1165" spans="1:23" hidden="1" x14ac:dyDescent="0.35">
      <c r="A1165" s="586" t="s">
        <v>526</v>
      </c>
      <c r="B1165" s="586" t="s">
        <v>159</v>
      </c>
      <c r="C1165" s="586" t="s">
        <v>298</v>
      </c>
      <c r="D1165" s="586" t="s">
        <v>316</v>
      </c>
      <c r="E1165" s="586" t="s">
        <v>317</v>
      </c>
      <c r="F1165" s="586" t="s">
        <v>276</v>
      </c>
      <c r="G1165" s="586" t="s">
        <v>356</v>
      </c>
      <c r="H1165" s="586" t="s">
        <v>670</v>
      </c>
      <c r="I1165" s="586" t="s">
        <v>277</v>
      </c>
      <c r="J1165" s="586" t="s">
        <v>522</v>
      </c>
      <c r="K1165" s="586" t="s">
        <v>301</v>
      </c>
      <c r="L1165" s="586" t="s">
        <v>536</v>
      </c>
      <c r="M1165" s="586" t="s">
        <v>285</v>
      </c>
      <c r="N1165" s="586" t="s">
        <v>670</v>
      </c>
      <c r="O1165" s="586" t="s">
        <v>670</v>
      </c>
      <c r="P1165" s="586" t="s">
        <v>522</v>
      </c>
      <c r="Q1165" s="586" t="s">
        <v>670</v>
      </c>
      <c r="R1165" s="587">
        <v>45778</v>
      </c>
      <c r="S1165" s="586" t="s">
        <v>670</v>
      </c>
      <c r="T1165" s="587">
        <v>45777</v>
      </c>
      <c r="U1165" s="588">
        <v>0</v>
      </c>
      <c r="V1165" s="589">
        <v>195.33</v>
      </c>
      <c r="W1165" s="260">
        <v>45748</v>
      </c>
    </row>
    <row r="1166" spans="1:23" hidden="1" x14ac:dyDescent="0.35">
      <c r="A1166" s="586" t="s">
        <v>526</v>
      </c>
      <c r="B1166" s="586" t="s">
        <v>159</v>
      </c>
      <c r="C1166" s="586" t="s">
        <v>298</v>
      </c>
      <c r="D1166" s="586" t="s">
        <v>318</v>
      </c>
      <c r="E1166" s="586" t="s">
        <v>319</v>
      </c>
      <c r="F1166" s="586" t="s">
        <v>276</v>
      </c>
      <c r="G1166" s="586" t="s">
        <v>356</v>
      </c>
      <c r="H1166" s="586" t="s">
        <v>670</v>
      </c>
      <c r="I1166" s="586" t="s">
        <v>277</v>
      </c>
      <c r="J1166" s="586" t="s">
        <v>522</v>
      </c>
      <c r="K1166" s="586" t="s">
        <v>301</v>
      </c>
      <c r="L1166" s="586" t="s">
        <v>536</v>
      </c>
      <c r="M1166" s="586" t="s">
        <v>285</v>
      </c>
      <c r="N1166" s="586" t="s">
        <v>670</v>
      </c>
      <c r="O1166" s="586" t="s">
        <v>670</v>
      </c>
      <c r="P1166" s="586" t="s">
        <v>522</v>
      </c>
      <c r="Q1166" s="586" t="s">
        <v>670</v>
      </c>
      <c r="R1166" s="587">
        <v>45778</v>
      </c>
      <c r="S1166" s="586" t="s">
        <v>670</v>
      </c>
      <c r="T1166" s="587">
        <v>45777</v>
      </c>
      <c r="U1166" s="588">
        <v>0</v>
      </c>
      <c r="V1166" s="589">
        <v>0.74</v>
      </c>
      <c r="W1166" s="260">
        <v>45748</v>
      </c>
    </row>
    <row r="1167" spans="1:23" hidden="1" x14ac:dyDescent="0.35">
      <c r="A1167" s="586" t="s">
        <v>526</v>
      </c>
      <c r="B1167" s="586" t="s">
        <v>159</v>
      </c>
      <c r="C1167" s="586" t="s">
        <v>298</v>
      </c>
      <c r="D1167" s="586" t="s">
        <v>318</v>
      </c>
      <c r="E1167" s="586" t="s">
        <v>319</v>
      </c>
      <c r="F1167" s="586" t="s">
        <v>276</v>
      </c>
      <c r="G1167" s="586" t="s">
        <v>356</v>
      </c>
      <c r="H1167" s="586" t="s">
        <v>670</v>
      </c>
      <c r="I1167" s="586" t="s">
        <v>277</v>
      </c>
      <c r="J1167" s="586" t="s">
        <v>522</v>
      </c>
      <c r="K1167" s="586" t="s">
        <v>301</v>
      </c>
      <c r="L1167" s="586" t="s">
        <v>536</v>
      </c>
      <c r="M1167" s="586" t="s">
        <v>285</v>
      </c>
      <c r="N1167" s="586" t="s">
        <v>670</v>
      </c>
      <c r="O1167" s="586" t="s">
        <v>670</v>
      </c>
      <c r="P1167" s="586" t="s">
        <v>522</v>
      </c>
      <c r="Q1167" s="586" t="s">
        <v>670</v>
      </c>
      <c r="R1167" s="587">
        <v>45778</v>
      </c>
      <c r="S1167" s="586" t="s">
        <v>670</v>
      </c>
      <c r="T1167" s="587">
        <v>45777</v>
      </c>
      <c r="U1167" s="588">
        <v>0</v>
      </c>
      <c r="V1167" s="589">
        <v>7.09</v>
      </c>
      <c r="W1167" s="260">
        <v>45748</v>
      </c>
    </row>
    <row r="1168" spans="1:23" hidden="1" x14ac:dyDescent="0.35">
      <c r="A1168" s="586" t="s">
        <v>526</v>
      </c>
      <c r="B1168" s="586" t="s">
        <v>159</v>
      </c>
      <c r="C1168" s="586" t="s">
        <v>298</v>
      </c>
      <c r="D1168" s="586" t="s">
        <v>391</v>
      </c>
      <c r="E1168" s="586" t="s">
        <v>392</v>
      </c>
      <c r="F1168" s="586" t="s">
        <v>276</v>
      </c>
      <c r="G1168" s="586" t="s">
        <v>356</v>
      </c>
      <c r="H1168" s="586" t="s">
        <v>670</v>
      </c>
      <c r="I1168" s="586" t="s">
        <v>277</v>
      </c>
      <c r="J1168" s="586" t="s">
        <v>522</v>
      </c>
      <c r="K1168" s="586" t="s">
        <v>301</v>
      </c>
      <c r="L1168" s="586" t="s">
        <v>536</v>
      </c>
      <c r="M1168" s="586" t="s">
        <v>285</v>
      </c>
      <c r="N1168" s="586" t="s">
        <v>670</v>
      </c>
      <c r="O1168" s="586" t="s">
        <v>670</v>
      </c>
      <c r="P1168" s="586" t="s">
        <v>522</v>
      </c>
      <c r="Q1168" s="586" t="s">
        <v>670</v>
      </c>
      <c r="R1168" s="587">
        <v>45778</v>
      </c>
      <c r="S1168" s="586" t="s">
        <v>670</v>
      </c>
      <c r="T1168" s="587">
        <v>45777</v>
      </c>
      <c r="U1168" s="588">
        <v>0</v>
      </c>
      <c r="V1168" s="589">
        <v>0.19</v>
      </c>
      <c r="W1168" s="260">
        <v>45748</v>
      </c>
    </row>
    <row r="1169" spans="1:23" hidden="1" x14ac:dyDescent="0.35">
      <c r="A1169" s="586" t="s">
        <v>526</v>
      </c>
      <c r="B1169" s="586" t="s">
        <v>159</v>
      </c>
      <c r="C1169" s="586" t="s">
        <v>298</v>
      </c>
      <c r="D1169" s="586" t="s">
        <v>320</v>
      </c>
      <c r="E1169" s="586" t="s">
        <v>321</v>
      </c>
      <c r="F1169" s="586" t="s">
        <v>276</v>
      </c>
      <c r="G1169" s="586" t="s">
        <v>356</v>
      </c>
      <c r="H1169" s="586" t="s">
        <v>670</v>
      </c>
      <c r="I1169" s="586" t="s">
        <v>277</v>
      </c>
      <c r="J1169" s="586" t="s">
        <v>522</v>
      </c>
      <c r="K1169" s="586" t="s">
        <v>301</v>
      </c>
      <c r="L1169" s="586" t="s">
        <v>536</v>
      </c>
      <c r="M1169" s="586" t="s">
        <v>285</v>
      </c>
      <c r="N1169" s="586" t="s">
        <v>670</v>
      </c>
      <c r="O1169" s="586" t="s">
        <v>670</v>
      </c>
      <c r="P1169" s="586" t="s">
        <v>522</v>
      </c>
      <c r="Q1169" s="586" t="s">
        <v>670</v>
      </c>
      <c r="R1169" s="587">
        <v>45778</v>
      </c>
      <c r="S1169" s="586" t="s">
        <v>670</v>
      </c>
      <c r="T1169" s="587">
        <v>45777</v>
      </c>
      <c r="U1169" s="588">
        <v>0</v>
      </c>
      <c r="V1169" s="589">
        <v>27.37</v>
      </c>
      <c r="W1169" s="260">
        <v>45748</v>
      </c>
    </row>
    <row r="1170" spans="1:23" hidden="1" x14ac:dyDescent="0.35">
      <c r="A1170" s="586" t="s">
        <v>526</v>
      </c>
      <c r="B1170" s="586" t="s">
        <v>159</v>
      </c>
      <c r="C1170" s="586" t="s">
        <v>298</v>
      </c>
      <c r="D1170" s="586" t="s">
        <v>322</v>
      </c>
      <c r="E1170" s="586" t="s">
        <v>323</v>
      </c>
      <c r="F1170" s="586" t="s">
        <v>276</v>
      </c>
      <c r="G1170" s="586" t="s">
        <v>356</v>
      </c>
      <c r="H1170" s="586" t="s">
        <v>670</v>
      </c>
      <c r="I1170" s="586" t="s">
        <v>277</v>
      </c>
      <c r="J1170" s="586" t="s">
        <v>522</v>
      </c>
      <c r="K1170" s="586" t="s">
        <v>301</v>
      </c>
      <c r="L1170" s="586" t="s">
        <v>536</v>
      </c>
      <c r="M1170" s="586" t="s">
        <v>285</v>
      </c>
      <c r="N1170" s="586" t="s">
        <v>670</v>
      </c>
      <c r="O1170" s="586" t="s">
        <v>670</v>
      </c>
      <c r="P1170" s="586" t="s">
        <v>522</v>
      </c>
      <c r="Q1170" s="586" t="s">
        <v>670</v>
      </c>
      <c r="R1170" s="587">
        <v>45778</v>
      </c>
      <c r="S1170" s="586" t="s">
        <v>670</v>
      </c>
      <c r="T1170" s="587">
        <v>45777</v>
      </c>
      <c r="U1170" s="588">
        <v>0</v>
      </c>
      <c r="V1170" s="589">
        <v>1.66</v>
      </c>
      <c r="W1170" s="260">
        <v>45748</v>
      </c>
    </row>
    <row r="1171" spans="1:23" hidden="1" x14ac:dyDescent="0.35">
      <c r="A1171" s="586" t="s">
        <v>526</v>
      </c>
      <c r="B1171" s="586" t="s">
        <v>159</v>
      </c>
      <c r="C1171" s="586" t="s">
        <v>298</v>
      </c>
      <c r="D1171" s="586" t="s">
        <v>322</v>
      </c>
      <c r="E1171" s="586" t="s">
        <v>323</v>
      </c>
      <c r="F1171" s="586" t="s">
        <v>276</v>
      </c>
      <c r="G1171" s="586" t="s">
        <v>356</v>
      </c>
      <c r="H1171" s="586" t="s">
        <v>670</v>
      </c>
      <c r="I1171" s="586" t="s">
        <v>277</v>
      </c>
      <c r="J1171" s="586" t="s">
        <v>522</v>
      </c>
      <c r="K1171" s="586" t="s">
        <v>301</v>
      </c>
      <c r="L1171" s="586" t="s">
        <v>536</v>
      </c>
      <c r="M1171" s="586" t="s">
        <v>285</v>
      </c>
      <c r="N1171" s="586" t="s">
        <v>670</v>
      </c>
      <c r="O1171" s="586" t="s">
        <v>670</v>
      </c>
      <c r="P1171" s="586" t="s">
        <v>522</v>
      </c>
      <c r="Q1171" s="586" t="s">
        <v>670</v>
      </c>
      <c r="R1171" s="587">
        <v>45778</v>
      </c>
      <c r="S1171" s="586" t="s">
        <v>670</v>
      </c>
      <c r="T1171" s="587">
        <v>45777</v>
      </c>
      <c r="U1171" s="588">
        <v>0</v>
      </c>
      <c r="V1171" s="589">
        <v>0.23</v>
      </c>
      <c r="W1171" s="260">
        <v>45748</v>
      </c>
    </row>
    <row r="1172" spans="1:23" hidden="1" x14ac:dyDescent="0.35">
      <c r="A1172" s="586" t="s">
        <v>526</v>
      </c>
      <c r="B1172" s="586" t="s">
        <v>159</v>
      </c>
      <c r="C1172" s="586" t="s">
        <v>298</v>
      </c>
      <c r="D1172" s="586" t="s">
        <v>324</v>
      </c>
      <c r="E1172" s="586" t="s">
        <v>325</v>
      </c>
      <c r="F1172" s="586" t="s">
        <v>276</v>
      </c>
      <c r="G1172" s="586" t="s">
        <v>356</v>
      </c>
      <c r="H1172" s="586" t="s">
        <v>670</v>
      </c>
      <c r="I1172" s="586" t="s">
        <v>277</v>
      </c>
      <c r="J1172" s="586" t="s">
        <v>522</v>
      </c>
      <c r="K1172" s="586" t="s">
        <v>301</v>
      </c>
      <c r="L1172" s="586" t="s">
        <v>536</v>
      </c>
      <c r="M1172" s="586" t="s">
        <v>285</v>
      </c>
      <c r="N1172" s="586" t="s">
        <v>670</v>
      </c>
      <c r="O1172" s="586" t="s">
        <v>670</v>
      </c>
      <c r="P1172" s="586" t="s">
        <v>522</v>
      </c>
      <c r="Q1172" s="586" t="s">
        <v>670</v>
      </c>
      <c r="R1172" s="587">
        <v>45778</v>
      </c>
      <c r="S1172" s="586" t="s">
        <v>670</v>
      </c>
      <c r="T1172" s="587">
        <v>45777</v>
      </c>
      <c r="U1172" s="588">
        <v>0</v>
      </c>
      <c r="V1172" s="589">
        <v>-36.71</v>
      </c>
      <c r="W1172" s="260">
        <v>45748</v>
      </c>
    </row>
    <row r="1173" spans="1:23" hidden="1" x14ac:dyDescent="0.35">
      <c r="A1173" s="586" t="s">
        <v>526</v>
      </c>
      <c r="B1173" s="586" t="s">
        <v>159</v>
      </c>
      <c r="C1173" s="586" t="s">
        <v>298</v>
      </c>
      <c r="D1173" s="586" t="s">
        <v>326</v>
      </c>
      <c r="E1173" s="586" t="s">
        <v>327</v>
      </c>
      <c r="F1173" s="586" t="s">
        <v>276</v>
      </c>
      <c r="G1173" s="586" t="s">
        <v>356</v>
      </c>
      <c r="H1173" s="586" t="s">
        <v>670</v>
      </c>
      <c r="I1173" s="586" t="s">
        <v>277</v>
      </c>
      <c r="J1173" s="586" t="s">
        <v>522</v>
      </c>
      <c r="K1173" s="586" t="s">
        <v>301</v>
      </c>
      <c r="L1173" s="586" t="s">
        <v>536</v>
      </c>
      <c r="M1173" s="586" t="s">
        <v>285</v>
      </c>
      <c r="N1173" s="586" t="s">
        <v>670</v>
      </c>
      <c r="O1173" s="586" t="s">
        <v>670</v>
      </c>
      <c r="P1173" s="586" t="s">
        <v>522</v>
      </c>
      <c r="Q1173" s="586" t="s">
        <v>670</v>
      </c>
      <c r="R1173" s="587">
        <v>45778</v>
      </c>
      <c r="S1173" s="586" t="s">
        <v>670</v>
      </c>
      <c r="T1173" s="587">
        <v>45777</v>
      </c>
      <c r="U1173" s="588">
        <v>0</v>
      </c>
      <c r="V1173" s="589">
        <v>2.85</v>
      </c>
      <c r="W1173" s="260">
        <v>45748</v>
      </c>
    </row>
    <row r="1174" spans="1:23" hidden="1" x14ac:dyDescent="0.35">
      <c r="A1174" s="586" t="s">
        <v>526</v>
      </c>
      <c r="B1174" s="586" t="s">
        <v>159</v>
      </c>
      <c r="C1174" s="586" t="s">
        <v>298</v>
      </c>
      <c r="D1174" s="586" t="s">
        <v>326</v>
      </c>
      <c r="E1174" s="586" t="s">
        <v>327</v>
      </c>
      <c r="F1174" s="586" t="s">
        <v>276</v>
      </c>
      <c r="G1174" s="586" t="s">
        <v>356</v>
      </c>
      <c r="H1174" s="586" t="s">
        <v>670</v>
      </c>
      <c r="I1174" s="586" t="s">
        <v>277</v>
      </c>
      <c r="J1174" s="586" t="s">
        <v>522</v>
      </c>
      <c r="K1174" s="586" t="s">
        <v>301</v>
      </c>
      <c r="L1174" s="586" t="s">
        <v>536</v>
      </c>
      <c r="M1174" s="586" t="s">
        <v>285</v>
      </c>
      <c r="N1174" s="586" t="s">
        <v>670</v>
      </c>
      <c r="O1174" s="586" t="s">
        <v>670</v>
      </c>
      <c r="P1174" s="586" t="s">
        <v>522</v>
      </c>
      <c r="Q1174" s="586" t="s">
        <v>670</v>
      </c>
      <c r="R1174" s="587">
        <v>45778</v>
      </c>
      <c r="S1174" s="586" t="s">
        <v>670</v>
      </c>
      <c r="T1174" s="587">
        <v>45777</v>
      </c>
      <c r="U1174" s="588">
        <v>0</v>
      </c>
      <c r="V1174" s="589">
        <v>35.68</v>
      </c>
      <c r="W1174" s="260">
        <v>45748</v>
      </c>
    </row>
    <row r="1175" spans="1:23" hidden="1" x14ac:dyDescent="0.35">
      <c r="A1175" s="586" t="s">
        <v>526</v>
      </c>
      <c r="B1175" s="586" t="s">
        <v>159</v>
      </c>
      <c r="C1175" s="586" t="s">
        <v>298</v>
      </c>
      <c r="D1175" s="586" t="s">
        <v>393</v>
      </c>
      <c r="E1175" s="586" t="s">
        <v>394</v>
      </c>
      <c r="F1175" s="586" t="s">
        <v>276</v>
      </c>
      <c r="G1175" s="586" t="s">
        <v>356</v>
      </c>
      <c r="H1175" s="586" t="s">
        <v>670</v>
      </c>
      <c r="I1175" s="586" t="s">
        <v>277</v>
      </c>
      <c r="J1175" s="586" t="s">
        <v>522</v>
      </c>
      <c r="K1175" s="586" t="s">
        <v>301</v>
      </c>
      <c r="L1175" s="586" t="s">
        <v>536</v>
      </c>
      <c r="M1175" s="586" t="s">
        <v>285</v>
      </c>
      <c r="N1175" s="586" t="s">
        <v>670</v>
      </c>
      <c r="O1175" s="586" t="s">
        <v>670</v>
      </c>
      <c r="P1175" s="586" t="s">
        <v>522</v>
      </c>
      <c r="Q1175" s="586" t="s">
        <v>670</v>
      </c>
      <c r="R1175" s="587">
        <v>45778</v>
      </c>
      <c r="S1175" s="586" t="s">
        <v>670</v>
      </c>
      <c r="T1175" s="587">
        <v>45777</v>
      </c>
      <c r="U1175" s="588">
        <v>0</v>
      </c>
      <c r="V1175" s="589">
        <v>0.56000000000000005</v>
      </c>
      <c r="W1175" s="260">
        <v>45748</v>
      </c>
    </row>
    <row r="1176" spans="1:23" hidden="1" x14ac:dyDescent="0.35">
      <c r="A1176" s="586" t="s">
        <v>526</v>
      </c>
      <c r="B1176" s="586" t="s">
        <v>159</v>
      </c>
      <c r="C1176" s="586" t="s">
        <v>298</v>
      </c>
      <c r="D1176" s="586" t="s">
        <v>328</v>
      </c>
      <c r="E1176" s="586" t="s">
        <v>329</v>
      </c>
      <c r="F1176" s="586" t="s">
        <v>276</v>
      </c>
      <c r="G1176" s="586" t="s">
        <v>356</v>
      </c>
      <c r="H1176" s="586" t="s">
        <v>670</v>
      </c>
      <c r="I1176" s="586" t="s">
        <v>277</v>
      </c>
      <c r="J1176" s="586" t="s">
        <v>522</v>
      </c>
      <c r="K1176" s="586" t="s">
        <v>301</v>
      </c>
      <c r="L1176" s="586" t="s">
        <v>536</v>
      </c>
      <c r="M1176" s="586" t="s">
        <v>285</v>
      </c>
      <c r="N1176" s="586" t="s">
        <v>670</v>
      </c>
      <c r="O1176" s="586" t="s">
        <v>670</v>
      </c>
      <c r="P1176" s="586" t="s">
        <v>522</v>
      </c>
      <c r="Q1176" s="586" t="s">
        <v>670</v>
      </c>
      <c r="R1176" s="587">
        <v>45778</v>
      </c>
      <c r="S1176" s="586" t="s">
        <v>670</v>
      </c>
      <c r="T1176" s="587">
        <v>45777</v>
      </c>
      <c r="U1176" s="588">
        <v>0</v>
      </c>
      <c r="V1176" s="589">
        <v>1642.9</v>
      </c>
      <c r="W1176" s="260">
        <v>45748</v>
      </c>
    </row>
    <row r="1177" spans="1:23" hidden="1" x14ac:dyDescent="0.35">
      <c r="A1177" s="586" t="s">
        <v>526</v>
      </c>
      <c r="B1177" s="586" t="s">
        <v>159</v>
      </c>
      <c r="C1177" s="586" t="s">
        <v>298</v>
      </c>
      <c r="D1177" s="586" t="s">
        <v>330</v>
      </c>
      <c r="E1177" s="586" t="s">
        <v>331</v>
      </c>
      <c r="F1177" s="586" t="s">
        <v>276</v>
      </c>
      <c r="G1177" s="586" t="s">
        <v>356</v>
      </c>
      <c r="H1177" s="586" t="s">
        <v>670</v>
      </c>
      <c r="I1177" s="586" t="s">
        <v>277</v>
      </c>
      <c r="J1177" s="586" t="s">
        <v>522</v>
      </c>
      <c r="K1177" s="586" t="s">
        <v>301</v>
      </c>
      <c r="L1177" s="586" t="s">
        <v>536</v>
      </c>
      <c r="M1177" s="586" t="s">
        <v>285</v>
      </c>
      <c r="N1177" s="586" t="s">
        <v>670</v>
      </c>
      <c r="O1177" s="586" t="s">
        <v>670</v>
      </c>
      <c r="P1177" s="586" t="s">
        <v>522</v>
      </c>
      <c r="Q1177" s="586" t="s">
        <v>670</v>
      </c>
      <c r="R1177" s="587">
        <v>45778</v>
      </c>
      <c r="S1177" s="586" t="s">
        <v>670</v>
      </c>
      <c r="T1177" s="587">
        <v>45777</v>
      </c>
      <c r="U1177" s="588">
        <v>0</v>
      </c>
      <c r="V1177" s="589">
        <v>-7.72</v>
      </c>
      <c r="W1177" s="260">
        <v>45748</v>
      </c>
    </row>
    <row r="1178" spans="1:23" hidden="1" x14ac:dyDescent="0.35">
      <c r="A1178" s="586" t="s">
        <v>526</v>
      </c>
      <c r="B1178" s="586" t="s">
        <v>159</v>
      </c>
      <c r="C1178" s="586" t="s">
        <v>298</v>
      </c>
      <c r="D1178" s="586" t="s">
        <v>332</v>
      </c>
      <c r="E1178" s="586" t="s">
        <v>333</v>
      </c>
      <c r="F1178" s="586" t="s">
        <v>276</v>
      </c>
      <c r="G1178" s="586" t="s">
        <v>356</v>
      </c>
      <c r="H1178" s="586" t="s">
        <v>670</v>
      </c>
      <c r="I1178" s="586" t="s">
        <v>277</v>
      </c>
      <c r="J1178" s="586" t="s">
        <v>522</v>
      </c>
      <c r="K1178" s="586" t="s">
        <v>301</v>
      </c>
      <c r="L1178" s="586" t="s">
        <v>536</v>
      </c>
      <c r="M1178" s="586" t="s">
        <v>285</v>
      </c>
      <c r="N1178" s="586" t="s">
        <v>670</v>
      </c>
      <c r="O1178" s="586" t="s">
        <v>670</v>
      </c>
      <c r="P1178" s="586" t="s">
        <v>522</v>
      </c>
      <c r="Q1178" s="586" t="s">
        <v>670</v>
      </c>
      <c r="R1178" s="587">
        <v>45778</v>
      </c>
      <c r="S1178" s="586" t="s">
        <v>670</v>
      </c>
      <c r="T1178" s="587">
        <v>45777</v>
      </c>
      <c r="U1178" s="588">
        <v>0</v>
      </c>
      <c r="V1178" s="589">
        <v>362.62</v>
      </c>
      <c r="W1178" s="260">
        <v>45748</v>
      </c>
    </row>
    <row r="1179" spans="1:23" hidden="1" x14ac:dyDescent="0.35">
      <c r="A1179" s="586" t="s">
        <v>526</v>
      </c>
      <c r="B1179" s="586" t="s">
        <v>159</v>
      </c>
      <c r="C1179" s="586" t="s">
        <v>298</v>
      </c>
      <c r="D1179" s="586" t="s">
        <v>334</v>
      </c>
      <c r="E1179" s="586" t="s">
        <v>335</v>
      </c>
      <c r="F1179" s="586" t="s">
        <v>276</v>
      </c>
      <c r="G1179" s="586" t="s">
        <v>356</v>
      </c>
      <c r="H1179" s="586" t="s">
        <v>670</v>
      </c>
      <c r="I1179" s="586" t="s">
        <v>277</v>
      </c>
      <c r="J1179" s="586" t="s">
        <v>522</v>
      </c>
      <c r="K1179" s="586" t="s">
        <v>301</v>
      </c>
      <c r="L1179" s="586" t="s">
        <v>536</v>
      </c>
      <c r="M1179" s="586" t="s">
        <v>285</v>
      </c>
      <c r="N1179" s="586" t="s">
        <v>670</v>
      </c>
      <c r="O1179" s="586" t="s">
        <v>670</v>
      </c>
      <c r="P1179" s="586" t="s">
        <v>522</v>
      </c>
      <c r="Q1179" s="586" t="s">
        <v>670</v>
      </c>
      <c r="R1179" s="587">
        <v>45778</v>
      </c>
      <c r="S1179" s="586" t="s">
        <v>670</v>
      </c>
      <c r="T1179" s="587">
        <v>45777</v>
      </c>
      <c r="U1179" s="588">
        <v>0</v>
      </c>
      <c r="V1179" s="589">
        <v>-66.62</v>
      </c>
      <c r="W1179" s="260">
        <v>45748</v>
      </c>
    </row>
    <row r="1180" spans="1:23" hidden="1" x14ac:dyDescent="0.35">
      <c r="A1180" s="586" t="s">
        <v>526</v>
      </c>
      <c r="B1180" s="586" t="s">
        <v>159</v>
      </c>
      <c r="C1180" s="586" t="s">
        <v>298</v>
      </c>
      <c r="D1180" s="586" t="s">
        <v>336</v>
      </c>
      <c r="E1180" s="586" t="s">
        <v>337</v>
      </c>
      <c r="F1180" s="586" t="s">
        <v>276</v>
      </c>
      <c r="G1180" s="586" t="s">
        <v>356</v>
      </c>
      <c r="H1180" s="586" t="s">
        <v>670</v>
      </c>
      <c r="I1180" s="586" t="s">
        <v>277</v>
      </c>
      <c r="J1180" s="586" t="s">
        <v>522</v>
      </c>
      <c r="K1180" s="586" t="s">
        <v>301</v>
      </c>
      <c r="L1180" s="586" t="s">
        <v>536</v>
      </c>
      <c r="M1180" s="586" t="s">
        <v>285</v>
      </c>
      <c r="N1180" s="586" t="s">
        <v>670</v>
      </c>
      <c r="O1180" s="586" t="s">
        <v>670</v>
      </c>
      <c r="P1180" s="586" t="s">
        <v>522</v>
      </c>
      <c r="Q1180" s="586" t="s">
        <v>670</v>
      </c>
      <c r="R1180" s="587">
        <v>45778</v>
      </c>
      <c r="S1180" s="586" t="s">
        <v>670</v>
      </c>
      <c r="T1180" s="587">
        <v>45777</v>
      </c>
      <c r="U1180" s="588">
        <v>0</v>
      </c>
      <c r="V1180" s="589">
        <v>16.09</v>
      </c>
      <c r="W1180" s="260">
        <v>45748</v>
      </c>
    </row>
    <row r="1181" spans="1:23" hidden="1" x14ac:dyDescent="0.35">
      <c r="A1181" s="586" t="s">
        <v>526</v>
      </c>
      <c r="B1181" s="586" t="s">
        <v>159</v>
      </c>
      <c r="C1181" s="586" t="s">
        <v>298</v>
      </c>
      <c r="D1181" s="586" t="s">
        <v>397</v>
      </c>
      <c r="E1181" s="586" t="s">
        <v>398</v>
      </c>
      <c r="F1181" s="586" t="s">
        <v>276</v>
      </c>
      <c r="G1181" s="586" t="s">
        <v>356</v>
      </c>
      <c r="H1181" s="586" t="s">
        <v>670</v>
      </c>
      <c r="I1181" s="586" t="s">
        <v>277</v>
      </c>
      <c r="J1181" s="586" t="s">
        <v>522</v>
      </c>
      <c r="K1181" s="586" t="s">
        <v>301</v>
      </c>
      <c r="L1181" s="586" t="s">
        <v>536</v>
      </c>
      <c r="M1181" s="586" t="s">
        <v>285</v>
      </c>
      <c r="N1181" s="586" t="s">
        <v>670</v>
      </c>
      <c r="O1181" s="586" t="s">
        <v>670</v>
      </c>
      <c r="P1181" s="586" t="s">
        <v>522</v>
      </c>
      <c r="Q1181" s="586" t="s">
        <v>670</v>
      </c>
      <c r="R1181" s="587">
        <v>45778</v>
      </c>
      <c r="S1181" s="586" t="s">
        <v>670</v>
      </c>
      <c r="T1181" s="587">
        <v>45777</v>
      </c>
      <c r="U1181" s="588">
        <v>0</v>
      </c>
      <c r="V1181" s="589">
        <v>2.5299999999999998</v>
      </c>
      <c r="W1181" s="260">
        <v>45748</v>
      </c>
    </row>
    <row r="1182" spans="1:23" hidden="1" x14ac:dyDescent="0.35">
      <c r="A1182" s="586" t="s">
        <v>526</v>
      </c>
      <c r="B1182" s="586" t="s">
        <v>159</v>
      </c>
      <c r="C1182" s="586" t="s">
        <v>298</v>
      </c>
      <c r="D1182" s="586" t="s">
        <v>338</v>
      </c>
      <c r="E1182" s="586" t="s">
        <v>339</v>
      </c>
      <c r="F1182" s="586" t="s">
        <v>276</v>
      </c>
      <c r="G1182" s="586" t="s">
        <v>356</v>
      </c>
      <c r="H1182" s="586" t="s">
        <v>670</v>
      </c>
      <c r="I1182" s="586" t="s">
        <v>277</v>
      </c>
      <c r="J1182" s="586" t="s">
        <v>522</v>
      </c>
      <c r="K1182" s="586" t="s">
        <v>301</v>
      </c>
      <c r="L1182" s="586" t="s">
        <v>536</v>
      </c>
      <c r="M1182" s="586" t="s">
        <v>285</v>
      </c>
      <c r="N1182" s="586" t="s">
        <v>670</v>
      </c>
      <c r="O1182" s="586" t="s">
        <v>670</v>
      </c>
      <c r="P1182" s="586" t="s">
        <v>522</v>
      </c>
      <c r="Q1182" s="586" t="s">
        <v>670</v>
      </c>
      <c r="R1182" s="587">
        <v>45778</v>
      </c>
      <c r="S1182" s="586" t="s">
        <v>670</v>
      </c>
      <c r="T1182" s="587">
        <v>45777</v>
      </c>
      <c r="U1182" s="588">
        <v>0</v>
      </c>
      <c r="V1182" s="589">
        <v>1.36</v>
      </c>
      <c r="W1182" s="260">
        <v>45748</v>
      </c>
    </row>
    <row r="1183" spans="1:23" hidden="1" x14ac:dyDescent="0.35">
      <c r="A1183" s="586" t="s">
        <v>526</v>
      </c>
      <c r="B1183" s="586" t="s">
        <v>159</v>
      </c>
      <c r="C1183" s="586" t="s">
        <v>281</v>
      </c>
      <c r="D1183" s="586" t="s">
        <v>340</v>
      </c>
      <c r="E1183" s="586" t="s">
        <v>283</v>
      </c>
      <c r="F1183" s="586" t="s">
        <v>276</v>
      </c>
      <c r="G1183" s="586" t="s">
        <v>356</v>
      </c>
      <c r="H1183" s="586" t="s">
        <v>670</v>
      </c>
      <c r="I1183" s="586" t="s">
        <v>277</v>
      </c>
      <c r="J1183" s="586" t="s">
        <v>522</v>
      </c>
      <c r="K1183" s="586" t="s">
        <v>284</v>
      </c>
      <c r="L1183" s="586" t="s">
        <v>536</v>
      </c>
      <c r="M1183" s="586" t="s">
        <v>285</v>
      </c>
      <c r="N1183" s="586" t="s">
        <v>670</v>
      </c>
      <c r="O1183" s="586" t="s">
        <v>670</v>
      </c>
      <c r="P1183" s="586" t="s">
        <v>522</v>
      </c>
      <c r="Q1183" s="586" t="s">
        <v>670</v>
      </c>
      <c r="R1183" s="587">
        <v>45778</v>
      </c>
      <c r="S1183" s="586" t="s">
        <v>670</v>
      </c>
      <c r="T1183" s="587">
        <v>45777</v>
      </c>
      <c r="U1183" s="588">
        <v>0</v>
      </c>
      <c r="V1183" s="589">
        <v>267.58</v>
      </c>
      <c r="W1183" s="260">
        <v>45748</v>
      </c>
    </row>
    <row r="1184" spans="1:23" hidden="1" x14ac:dyDescent="0.35">
      <c r="A1184" s="586" t="s">
        <v>526</v>
      </c>
      <c r="B1184" s="586" t="s">
        <v>159</v>
      </c>
      <c r="C1184" s="586" t="s">
        <v>302</v>
      </c>
      <c r="D1184" s="586" t="s">
        <v>340</v>
      </c>
      <c r="E1184" s="586" t="s">
        <v>283</v>
      </c>
      <c r="F1184" s="586" t="s">
        <v>276</v>
      </c>
      <c r="G1184" s="586" t="s">
        <v>356</v>
      </c>
      <c r="H1184" s="586" t="s">
        <v>670</v>
      </c>
      <c r="I1184" s="586" t="s">
        <v>277</v>
      </c>
      <c r="J1184" s="586" t="s">
        <v>522</v>
      </c>
      <c r="K1184" s="586" t="s">
        <v>303</v>
      </c>
      <c r="L1184" s="586" t="s">
        <v>536</v>
      </c>
      <c r="M1184" s="586" t="s">
        <v>285</v>
      </c>
      <c r="N1184" s="586" t="s">
        <v>670</v>
      </c>
      <c r="O1184" s="586" t="s">
        <v>670</v>
      </c>
      <c r="P1184" s="586" t="s">
        <v>522</v>
      </c>
      <c r="Q1184" s="586" t="s">
        <v>670</v>
      </c>
      <c r="R1184" s="587">
        <v>45779</v>
      </c>
      <c r="S1184" s="586" t="s">
        <v>670</v>
      </c>
      <c r="T1184" s="587">
        <v>45777</v>
      </c>
      <c r="U1184" s="588">
        <v>0</v>
      </c>
      <c r="V1184" s="589">
        <v>87.8</v>
      </c>
      <c r="W1184" s="260">
        <v>45748</v>
      </c>
    </row>
    <row r="1185" spans="1:23" hidden="1" x14ac:dyDescent="0.35">
      <c r="A1185" s="586" t="s">
        <v>526</v>
      </c>
      <c r="B1185" s="586" t="s">
        <v>159</v>
      </c>
      <c r="C1185" s="586" t="s">
        <v>302</v>
      </c>
      <c r="D1185" s="586" t="s">
        <v>340</v>
      </c>
      <c r="E1185" s="586" t="s">
        <v>283</v>
      </c>
      <c r="F1185" s="586" t="s">
        <v>276</v>
      </c>
      <c r="G1185" s="586" t="s">
        <v>356</v>
      </c>
      <c r="H1185" s="586" t="s">
        <v>670</v>
      </c>
      <c r="I1185" s="586" t="s">
        <v>277</v>
      </c>
      <c r="J1185" s="586" t="s">
        <v>522</v>
      </c>
      <c r="K1185" s="586" t="s">
        <v>303</v>
      </c>
      <c r="L1185" s="586" t="s">
        <v>536</v>
      </c>
      <c r="M1185" s="586" t="s">
        <v>285</v>
      </c>
      <c r="N1185" s="586" t="s">
        <v>670</v>
      </c>
      <c r="O1185" s="586" t="s">
        <v>670</v>
      </c>
      <c r="P1185" s="586" t="s">
        <v>522</v>
      </c>
      <c r="Q1185" s="586" t="s">
        <v>670</v>
      </c>
      <c r="R1185" s="587">
        <v>45779</v>
      </c>
      <c r="S1185" s="586" t="s">
        <v>670</v>
      </c>
      <c r="T1185" s="587">
        <v>45777</v>
      </c>
      <c r="U1185" s="588">
        <v>0</v>
      </c>
      <c r="V1185" s="589">
        <v>20.49</v>
      </c>
      <c r="W1185" s="260">
        <v>45748</v>
      </c>
    </row>
    <row r="1186" spans="1:23" hidden="1" x14ac:dyDescent="0.35">
      <c r="A1186" s="586" t="s">
        <v>526</v>
      </c>
      <c r="B1186" s="586" t="s">
        <v>159</v>
      </c>
      <c r="C1186" s="586" t="s">
        <v>286</v>
      </c>
      <c r="D1186" s="586" t="s">
        <v>341</v>
      </c>
      <c r="E1186" s="586" t="s">
        <v>288</v>
      </c>
      <c r="F1186" s="586" t="s">
        <v>276</v>
      </c>
      <c r="G1186" s="586" t="s">
        <v>356</v>
      </c>
      <c r="H1186" s="586" t="s">
        <v>670</v>
      </c>
      <c r="I1186" s="586" t="s">
        <v>277</v>
      </c>
      <c r="J1186" s="586" t="s">
        <v>522</v>
      </c>
      <c r="K1186" s="586" t="s">
        <v>289</v>
      </c>
      <c r="L1186" s="586" t="s">
        <v>536</v>
      </c>
      <c r="M1186" s="586" t="s">
        <v>285</v>
      </c>
      <c r="N1186" s="586" t="s">
        <v>670</v>
      </c>
      <c r="O1186" s="586" t="s">
        <v>670</v>
      </c>
      <c r="P1186" s="586" t="s">
        <v>522</v>
      </c>
      <c r="Q1186" s="586" t="s">
        <v>670</v>
      </c>
      <c r="R1186" s="587">
        <v>45778</v>
      </c>
      <c r="S1186" s="586" t="s">
        <v>670</v>
      </c>
      <c r="T1186" s="587">
        <v>45777</v>
      </c>
      <c r="U1186" s="588">
        <v>0</v>
      </c>
      <c r="V1186" s="589">
        <v>2089.6999999999998</v>
      </c>
      <c r="W1186" s="260">
        <v>45748</v>
      </c>
    </row>
    <row r="1187" spans="1:23" hidden="1" x14ac:dyDescent="0.35">
      <c r="A1187" s="586" t="s">
        <v>526</v>
      </c>
      <c r="B1187" s="586" t="s">
        <v>159</v>
      </c>
      <c r="C1187" s="586" t="s">
        <v>302</v>
      </c>
      <c r="D1187" s="586" t="s">
        <v>341</v>
      </c>
      <c r="E1187" s="586" t="s">
        <v>288</v>
      </c>
      <c r="F1187" s="586" t="s">
        <v>276</v>
      </c>
      <c r="G1187" s="586" t="s">
        <v>356</v>
      </c>
      <c r="H1187" s="586" t="s">
        <v>670</v>
      </c>
      <c r="I1187" s="586" t="s">
        <v>277</v>
      </c>
      <c r="J1187" s="586" t="s">
        <v>522</v>
      </c>
      <c r="K1187" s="586" t="s">
        <v>303</v>
      </c>
      <c r="L1187" s="586" t="s">
        <v>536</v>
      </c>
      <c r="M1187" s="586" t="s">
        <v>285</v>
      </c>
      <c r="N1187" s="586" t="s">
        <v>670</v>
      </c>
      <c r="O1187" s="586" t="s">
        <v>670</v>
      </c>
      <c r="P1187" s="586" t="s">
        <v>522</v>
      </c>
      <c r="Q1187" s="586" t="s">
        <v>670</v>
      </c>
      <c r="R1187" s="587">
        <v>45779</v>
      </c>
      <c r="S1187" s="586" t="s">
        <v>670</v>
      </c>
      <c r="T1187" s="587">
        <v>45777</v>
      </c>
      <c r="U1187" s="588">
        <v>0</v>
      </c>
      <c r="V1187" s="589">
        <v>246.27</v>
      </c>
      <c r="W1187" s="260">
        <v>45748</v>
      </c>
    </row>
    <row r="1188" spans="1:23" hidden="1" x14ac:dyDescent="0.35">
      <c r="A1188" s="586" t="s">
        <v>526</v>
      </c>
      <c r="B1188" s="586" t="s">
        <v>159</v>
      </c>
      <c r="C1188" s="586" t="s">
        <v>302</v>
      </c>
      <c r="D1188" s="586" t="s">
        <v>341</v>
      </c>
      <c r="E1188" s="586" t="s">
        <v>288</v>
      </c>
      <c r="F1188" s="586" t="s">
        <v>276</v>
      </c>
      <c r="G1188" s="586" t="s">
        <v>356</v>
      </c>
      <c r="H1188" s="586" t="s">
        <v>670</v>
      </c>
      <c r="I1188" s="586" t="s">
        <v>277</v>
      </c>
      <c r="J1188" s="586" t="s">
        <v>522</v>
      </c>
      <c r="K1188" s="586" t="s">
        <v>303</v>
      </c>
      <c r="L1188" s="586" t="s">
        <v>536</v>
      </c>
      <c r="M1188" s="586" t="s">
        <v>285</v>
      </c>
      <c r="N1188" s="586" t="s">
        <v>670</v>
      </c>
      <c r="O1188" s="586" t="s">
        <v>670</v>
      </c>
      <c r="P1188" s="586" t="s">
        <v>522</v>
      </c>
      <c r="Q1188" s="586" t="s">
        <v>670</v>
      </c>
      <c r="R1188" s="587">
        <v>45779</v>
      </c>
      <c r="S1188" s="586" t="s">
        <v>670</v>
      </c>
      <c r="T1188" s="587">
        <v>45777</v>
      </c>
      <c r="U1188" s="588">
        <v>0</v>
      </c>
      <c r="V1188" s="589">
        <v>160.01</v>
      </c>
      <c r="W1188" s="260">
        <v>45748</v>
      </c>
    </row>
    <row r="1189" spans="1:23" hidden="1" x14ac:dyDescent="0.35">
      <c r="A1189" s="586" t="s">
        <v>526</v>
      </c>
      <c r="B1189" s="586" t="s">
        <v>159</v>
      </c>
      <c r="C1189" s="586" t="s">
        <v>281</v>
      </c>
      <c r="D1189" s="586" t="s">
        <v>342</v>
      </c>
      <c r="E1189" s="586" t="s">
        <v>291</v>
      </c>
      <c r="F1189" s="586" t="s">
        <v>276</v>
      </c>
      <c r="G1189" s="586" t="s">
        <v>356</v>
      </c>
      <c r="H1189" s="586" t="s">
        <v>670</v>
      </c>
      <c r="I1189" s="586" t="s">
        <v>277</v>
      </c>
      <c r="J1189" s="586" t="s">
        <v>522</v>
      </c>
      <c r="K1189" s="586" t="s">
        <v>284</v>
      </c>
      <c r="L1189" s="586" t="s">
        <v>536</v>
      </c>
      <c r="M1189" s="586" t="s">
        <v>285</v>
      </c>
      <c r="N1189" s="586" t="s">
        <v>670</v>
      </c>
      <c r="O1189" s="586" t="s">
        <v>670</v>
      </c>
      <c r="P1189" s="586" t="s">
        <v>522</v>
      </c>
      <c r="Q1189" s="586" t="s">
        <v>670</v>
      </c>
      <c r="R1189" s="587">
        <v>45778</v>
      </c>
      <c r="S1189" s="586" t="s">
        <v>670</v>
      </c>
      <c r="T1189" s="587">
        <v>45777</v>
      </c>
      <c r="U1189" s="588">
        <v>0</v>
      </c>
      <c r="V1189" s="589">
        <v>-77.42</v>
      </c>
      <c r="W1189" s="260">
        <v>45748</v>
      </c>
    </row>
    <row r="1190" spans="1:23" hidden="1" x14ac:dyDescent="0.35">
      <c r="A1190" s="586" t="s">
        <v>526</v>
      </c>
      <c r="B1190" s="586" t="s">
        <v>159</v>
      </c>
      <c r="C1190" s="586" t="s">
        <v>302</v>
      </c>
      <c r="D1190" s="586" t="s">
        <v>342</v>
      </c>
      <c r="E1190" s="586" t="s">
        <v>291</v>
      </c>
      <c r="F1190" s="586" t="s">
        <v>276</v>
      </c>
      <c r="G1190" s="586" t="s">
        <v>356</v>
      </c>
      <c r="H1190" s="586" t="s">
        <v>670</v>
      </c>
      <c r="I1190" s="586" t="s">
        <v>277</v>
      </c>
      <c r="J1190" s="586" t="s">
        <v>522</v>
      </c>
      <c r="K1190" s="586" t="s">
        <v>303</v>
      </c>
      <c r="L1190" s="586" t="s">
        <v>536</v>
      </c>
      <c r="M1190" s="586" t="s">
        <v>285</v>
      </c>
      <c r="N1190" s="586" t="s">
        <v>670</v>
      </c>
      <c r="O1190" s="586" t="s">
        <v>670</v>
      </c>
      <c r="P1190" s="586" t="s">
        <v>522</v>
      </c>
      <c r="Q1190" s="586" t="s">
        <v>670</v>
      </c>
      <c r="R1190" s="587">
        <v>45779</v>
      </c>
      <c r="S1190" s="586" t="s">
        <v>670</v>
      </c>
      <c r="T1190" s="587">
        <v>45777</v>
      </c>
      <c r="U1190" s="588">
        <v>0</v>
      </c>
      <c r="V1190" s="589">
        <v>56.74</v>
      </c>
      <c r="W1190" s="260">
        <v>45748</v>
      </c>
    </row>
    <row r="1191" spans="1:23" hidden="1" x14ac:dyDescent="0.35">
      <c r="A1191" s="586" t="s">
        <v>526</v>
      </c>
      <c r="B1191" s="586" t="s">
        <v>159</v>
      </c>
      <c r="C1191" s="586" t="s">
        <v>302</v>
      </c>
      <c r="D1191" s="586" t="s">
        <v>342</v>
      </c>
      <c r="E1191" s="586" t="s">
        <v>291</v>
      </c>
      <c r="F1191" s="586" t="s">
        <v>276</v>
      </c>
      <c r="G1191" s="586" t="s">
        <v>356</v>
      </c>
      <c r="H1191" s="586" t="s">
        <v>670</v>
      </c>
      <c r="I1191" s="586" t="s">
        <v>277</v>
      </c>
      <c r="J1191" s="586" t="s">
        <v>522</v>
      </c>
      <c r="K1191" s="586" t="s">
        <v>303</v>
      </c>
      <c r="L1191" s="586" t="s">
        <v>536</v>
      </c>
      <c r="M1191" s="586" t="s">
        <v>285</v>
      </c>
      <c r="N1191" s="586" t="s">
        <v>670</v>
      </c>
      <c r="O1191" s="586" t="s">
        <v>670</v>
      </c>
      <c r="P1191" s="586" t="s">
        <v>522</v>
      </c>
      <c r="Q1191" s="586" t="s">
        <v>670</v>
      </c>
      <c r="R1191" s="587">
        <v>45779</v>
      </c>
      <c r="S1191" s="586" t="s">
        <v>670</v>
      </c>
      <c r="T1191" s="587">
        <v>45777</v>
      </c>
      <c r="U1191" s="588">
        <v>0</v>
      </c>
      <c r="V1191" s="589">
        <v>-5.93</v>
      </c>
      <c r="W1191" s="260">
        <v>45748</v>
      </c>
    </row>
    <row r="1192" spans="1:23" hidden="1" x14ac:dyDescent="0.35">
      <c r="A1192" s="586" t="s">
        <v>526</v>
      </c>
      <c r="B1192" s="586" t="s">
        <v>159</v>
      </c>
      <c r="C1192" s="586" t="s">
        <v>281</v>
      </c>
      <c r="D1192" s="586" t="s">
        <v>343</v>
      </c>
      <c r="E1192" s="586" t="s">
        <v>293</v>
      </c>
      <c r="F1192" s="586" t="s">
        <v>276</v>
      </c>
      <c r="G1192" s="586" t="s">
        <v>356</v>
      </c>
      <c r="H1192" s="586" t="s">
        <v>670</v>
      </c>
      <c r="I1192" s="586" t="s">
        <v>277</v>
      </c>
      <c r="J1192" s="586" t="s">
        <v>522</v>
      </c>
      <c r="K1192" s="586" t="s">
        <v>294</v>
      </c>
      <c r="L1192" s="586" t="s">
        <v>536</v>
      </c>
      <c r="M1192" s="586" t="s">
        <v>285</v>
      </c>
      <c r="N1192" s="586" t="s">
        <v>670</v>
      </c>
      <c r="O1192" s="586" t="s">
        <v>670</v>
      </c>
      <c r="P1192" s="586" t="s">
        <v>522</v>
      </c>
      <c r="Q1192" s="586" t="s">
        <v>670</v>
      </c>
      <c r="R1192" s="587">
        <v>45778</v>
      </c>
      <c r="S1192" s="586" t="s">
        <v>670</v>
      </c>
      <c r="T1192" s="587">
        <v>45777</v>
      </c>
      <c r="U1192" s="588">
        <v>0</v>
      </c>
      <c r="V1192" s="589">
        <v>55.25</v>
      </c>
      <c r="W1192" s="260">
        <v>45748</v>
      </c>
    </row>
    <row r="1193" spans="1:23" hidden="1" x14ac:dyDescent="0.35">
      <c r="A1193" s="586" t="s">
        <v>526</v>
      </c>
      <c r="B1193" s="586" t="s">
        <v>159</v>
      </c>
      <c r="C1193" s="586" t="s">
        <v>302</v>
      </c>
      <c r="D1193" s="586" t="s">
        <v>343</v>
      </c>
      <c r="E1193" s="586" t="s">
        <v>293</v>
      </c>
      <c r="F1193" s="586" t="s">
        <v>276</v>
      </c>
      <c r="G1193" s="586" t="s">
        <v>356</v>
      </c>
      <c r="H1193" s="586" t="s">
        <v>670</v>
      </c>
      <c r="I1193" s="586" t="s">
        <v>277</v>
      </c>
      <c r="J1193" s="586" t="s">
        <v>522</v>
      </c>
      <c r="K1193" s="586" t="s">
        <v>303</v>
      </c>
      <c r="L1193" s="586" t="s">
        <v>536</v>
      </c>
      <c r="M1193" s="586" t="s">
        <v>285</v>
      </c>
      <c r="N1193" s="586" t="s">
        <v>670</v>
      </c>
      <c r="O1193" s="586" t="s">
        <v>670</v>
      </c>
      <c r="P1193" s="586" t="s">
        <v>522</v>
      </c>
      <c r="Q1193" s="586" t="s">
        <v>670</v>
      </c>
      <c r="R1193" s="587">
        <v>45779</v>
      </c>
      <c r="S1193" s="586" t="s">
        <v>670</v>
      </c>
      <c r="T1193" s="587">
        <v>45777</v>
      </c>
      <c r="U1193" s="588">
        <v>0</v>
      </c>
      <c r="V1193" s="589">
        <v>62.73</v>
      </c>
      <c r="W1193" s="260">
        <v>45748</v>
      </c>
    </row>
    <row r="1194" spans="1:23" hidden="1" x14ac:dyDescent="0.35">
      <c r="A1194" s="586" t="s">
        <v>526</v>
      </c>
      <c r="B1194" s="586" t="s">
        <v>159</v>
      </c>
      <c r="C1194" s="586" t="s">
        <v>302</v>
      </c>
      <c r="D1194" s="586" t="s">
        <v>343</v>
      </c>
      <c r="E1194" s="586" t="s">
        <v>293</v>
      </c>
      <c r="F1194" s="586" t="s">
        <v>276</v>
      </c>
      <c r="G1194" s="586" t="s">
        <v>356</v>
      </c>
      <c r="H1194" s="586" t="s">
        <v>670</v>
      </c>
      <c r="I1194" s="586" t="s">
        <v>277</v>
      </c>
      <c r="J1194" s="586" t="s">
        <v>522</v>
      </c>
      <c r="K1194" s="586" t="s">
        <v>303</v>
      </c>
      <c r="L1194" s="586" t="s">
        <v>536</v>
      </c>
      <c r="M1194" s="586" t="s">
        <v>285</v>
      </c>
      <c r="N1194" s="586" t="s">
        <v>670</v>
      </c>
      <c r="O1194" s="586" t="s">
        <v>670</v>
      </c>
      <c r="P1194" s="586" t="s">
        <v>522</v>
      </c>
      <c r="Q1194" s="586" t="s">
        <v>670</v>
      </c>
      <c r="R1194" s="587">
        <v>45779</v>
      </c>
      <c r="S1194" s="586" t="s">
        <v>670</v>
      </c>
      <c r="T1194" s="587">
        <v>45777</v>
      </c>
      <c r="U1194" s="588">
        <v>0</v>
      </c>
      <c r="V1194" s="589">
        <v>4.2300000000000004</v>
      </c>
      <c r="W1194" s="260">
        <v>45748</v>
      </c>
    </row>
    <row r="1195" spans="1:23" hidden="1" x14ac:dyDescent="0.35">
      <c r="A1195" s="586" t="s">
        <v>526</v>
      </c>
      <c r="B1195" s="586" t="s">
        <v>159</v>
      </c>
      <c r="C1195" s="586" t="s">
        <v>286</v>
      </c>
      <c r="D1195" s="586" t="s">
        <v>344</v>
      </c>
      <c r="E1195" s="586" t="s">
        <v>296</v>
      </c>
      <c r="F1195" s="586" t="s">
        <v>276</v>
      </c>
      <c r="G1195" s="586" t="s">
        <v>356</v>
      </c>
      <c r="H1195" s="586" t="s">
        <v>670</v>
      </c>
      <c r="I1195" s="586" t="s">
        <v>277</v>
      </c>
      <c r="J1195" s="586" t="s">
        <v>522</v>
      </c>
      <c r="K1195" s="586" t="s">
        <v>297</v>
      </c>
      <c r="L1195" s="586" t="s">
        <v>536</v>
      </c>
      <c r="M1195" s="586" t="s">
        <v>285</v>
      </c>
      <c r="N1195" s="586" t="s">
        <v>670</v>
      </c>
      <c r="O1195" s="586" t="s">
        <v>670</v>
      </c>
      <c r="P1195" s="586" t="s">
        <v>522</v>
      </c>
      <c r="Q1195" s="586" t="s">
        <v>670</v>
      </c>
      <c r="R1195" s="587">
        <v>45778</v>
      </c>
      <c r="S1195" s="586" t="s">
        <v>670</v>
      </c>
      <c r="T1195" s="587">
        <v>45777</v>
      </c>
      <c r="U1195" s="588">
        <v>0</v>
      </c>
      <c r="V1195" s="589">
        <v>246.63</v>
      </c>
      <c r="W1195" s="260">
        <v>45748</v>
      </c>
    </row>
    <row r="1196" spans="1:23" hidden="1" x14ac:dyDescent="0.35">
      <c r="A1196" s="586" t="s">
        <v>526</v>
      </c>
      <c r="B1196" s="586" t="s">
        <v>159</v>
      </c>
      <c r="C1196" s="586" t="s">
        <v>302</v>
      </c>
      <c r="D1196" s="586" t="s">
        <v>344</v>
      </c>
      <c r="E1196" s="586" t="s">
        <v>296</v>
      </c>
      <c r="F1196" s="586" t="s">
        <v>276</v>
      </c>
      <c r="G1196" s="586" t="s">
        <v>356</v>
      </c>
      <c r="H1196" s="586" t="s">
        <v>670</v>
      </c>
      <c r="I1196" s="586" t="s">
        <v>277</v>
      </c>
      <c r="J1196" s="586" t="s">
        <v>522</v>
      </c>
      <c r="K1196" s="586" t="s">
        <v>303</v>
      </c>
      <c r="L1196" s="586" t="s">
        <v>536</v>
      </c>
      <c r="M1196" s="586" t="s">
        <v>285</v>
      </c>
      <c r="N1196" s="586" t="s">
        <v>670</v>
      </c>
      <c r="O1196" s="586" t="s">
        <v>670</v>
      </c>
      <c r="P1196" s="586" t="s">
        <v>522</v>
      </c>
      <c r="Q1196" s="586" t="s">
        <v>670</v>
      </c>
      <c r="R1196" s="587">
        <v>45779</v>
      </c>
      <c r="S1196" s="586" t="s">
        <v>670</v>
      </c>
      <c r="T1196" s="587">
        <v>45777</v>
      </c>
      <c r="U1196" s="588">
        <v>0</v>
      </c>
      <c r="V1196" s="589">
        <v>134.26</v>
      </c>
      <c r="W1196" s="260">
        <v>45748</v>
      </c>
    </row>
    <row r="1197" spans="1:23" hidden="1" x14ac:dyDescent="0.35">
      <c r="A1197" s="586" t="s">
        <v>526</v>
      </c>
      <c r="B1197" s="586" t="s">
        <v>159</v>
      </c>
      <c r="C1197" s="586" t="s">
        <v>302</v>
      </c>
      <c r="D1197" s="586" t="s">
        <v>344</v>
      </c>
      <c r="E1197" s="586" t="s">
        <v>296</v>
      </c>
      <c r="F1197" s="586" t="s">
        <v>276</v>
      </c>
      <c r="G1197" s="586" t="s">
        <v>356</v>
      </c>
      <c r="H1197" s="586" t="s">
        <v>670</v>
      </c>
      <c r="I1197" s="586" t="s">
        <v>277</v>
      </c>
      <c r="J1197" s="586" t="s">
        <v>522</v>
      </c>
      <c r="K1197" s="586" t="s">
        <v>303</v>
      </c>
      <c r="L1197" s="586" t="s">
        <v>536</v>
      </c>
      <c r="M1197" s="586" t="s">
        <v>285</v>
      </c>
      <c r="N1197" s="586" t="s">
        <v>670</v>
      </c>
      <c r="O1197" s="586" t="s">
        <v>670</v>
      </c>
      <c r="P1197" s="586" t="s">
        <v>522</v>
      </c>
      <c r="Q1197" s="586" t="s">
        <v>670</v>
      </c>
      <c r="R1197" s="587">
        <v>45779</v>
      </c>
      <c r="S1197" s="586" t="s">
        <v>670</v>
      </c>
      <c r="T1197" s="587">
        <v>45777</v>
      </c>
      <c r="U1197" s="588">
        <v>0</v>
      </c>
      <c r="V1197" s="589">
        <v>18.89</v>
      </c>
      <c r="W1197" s="260">
        <v>45748</v>
      </c>
    </row>
    <row r="1198" spans="1:23" hidden="1" x14ac:dyDescent="0.35">
      <c r="A1198" s="586" t="s">
        <v>526</v>
      </c>
      <c r="B1198" s="586" t="s">
        <v>159</v>
      </c>
      <c r="C1198" s="586" t="s">
        <v>298</v>
      </c>
      <c r="D1198" s="586" t="s">
        <v>345</v>
      </c>
      <c r="E1198" s="586" t="s">
        <v>346</v>
      </c>
      <c r="F1198" s="586" t="s">
        <v>276</v>
      </c>
      <c r="G1198" s="586" t="s">
        <v>356</v>
      </c>
      <c r="H1198" s="586" t="s">
        <v>670</v>
      </c>
      <c r="I1198" s="586" t="s">
        <v>277</v>
      </c>
      <c r="J1198" s="586" t="s">
        <v>522</v>
      </c>
      <c r="K1198" s="586" t="s">
        <v>301</v>
      </c>
      <c r="L1198" s="586" t="s">
        <v>536</v>
      </c>
      <c r="M1198" s="586" t="s">
        <v>285</v>
      </c>
      <c r="N1198" s="586" t="s">
        <v>670</v>
      </c>
      <c r="O1198" s="586" t="s">
        <v>670</v>
      </c>
      <c r="P1198" s="586" t="s">
        <v>522</v>
      </c>
      <c r="Q1198" s="586" t="s">
        <v>670</v>
      </c>
      <c r="R1198" s="587">
        <v>45778</v>
      </c>
      <c r="S1198" s="586" t="s">
        <v>670</v>
      </c>
      <c r="T1198" s="587">
        <v>45777</v>
      </c>
      <c r="U1198" s="588">
        <v>0</v>
      </c>
      <c r="V1198" s="589">
        <v>-0.47</v>
      </c>
      <c r="W1198" s="260">
        <v>45748</v>
      </c>
    </row>
    <row r="1199" spans="1:23" hidden="1" x14ac:dyDescent="0.35">
      <c r="A1199" s="586" t="s">
        <v>526</v>
      </c>
      <c r="B1199" s="586" t="s">
        <v>159</v>
      </c>
      <c r="C1199" s="586" t="s">
        <v>298</v>
      </c>
      <c r="D1199" s="586" t="s">
        <v>347</v>
      </c>
      <c r="E1199" s="586" t="s">
        <v>348</v>
      </c>
      <c r="F1199" s="586" t="s">
        <v>276</v>
      </c>
      <c r="G1199" s="586" t="s">
        <v>356</v>
      </c>
      <c r="H1199" s="586" t="s">
        <v>670</v>
      </c>
      <c r="I1199" s="586" t="s">
        <v>277</v>
      </c>
      <c r="J1199" s="586" t="s">
        <v>522</v>
      </c>
      <c r="K1199" s="586" t="s">
        <v>301</v>
      </c>
      <c r="L1199" s="586" t="s">
        <v>536</v>
      </c>
      <c r="M1199" s="586" t="s">
        <v>285</v>
      </c>
      <c r="N1199" s="586" t="s">
        <v>670</v>
      </c>
      <c r="O1199" s="586" t="s">
        <v>670</v>
      </c>
      <c r="P1199" s="586" t="s">
        <v>522</v>
      </c>
      <c r="Q1199" s="586" t="s">
        <v>670</v>
      </c>
      <c r="R1199" s="587">
        <v>45778</v>
      </c>
      <c r="S1199" s="586" t="s">
        <v>670</v>
      </c>
      <c r="T1199" s="587">
        <v>45777</v>
      </c>
      <c r="U1199" s="588">
        <v>0</v>
      </c>
      <c r="V1199" s="589">
        <v>8.61</v>
      </c>
      <c r="W1199" s="260">
        <v>45748</v>
      </c>
    </row>
    <row r="1200" spans="1:23" hidden="1" x14ac:dyDescent="0.35">
      <c r="A1200" s="586" t="s">
        <v>526</v>
      </c>
      <c r="B1200" s="586" t="s">
        <v>159</v>
      </c>
      <c r="C1200" s="586" t="s">
        <v>298</v>
      </c>
      <c r="D1200" s="586" t="s">
        <v>347</v>
      </c>
      <c r="E1200" s="586" t="s">
        <v>348</v>
      </c>
      <c r="F1200" s="586" t="s">
        <v>276</v>
      </c>
      <c r="G1200" s="586" t="s">
        <v>356</v>
      </c>
      <c r="H1200" s="586" t="s">
        <v>670</v>
      </c>
      <c r="I1200" s="586" t="s">
        <v>277</v>
      </c>
      <c r="J1200" s="586" t="s">
        <v>522</v>
      </c>
      <c r="K1200" s="586" t="s">
        <v>301</v>
      </c>
      <c r="L1200" s="586" t="s">
        <v>536</v>
      </c>
      <c r="M1200" s="586" t="s">
        <v>285</v>
      </c>
      <c r="N1200" s="586" t="s">
        <v>670</v>
      </c>
      <c r="O1200" s="586" t="s">
        <v>670</v>
      </c>
      <c r="P1200" s="586" t="s">
        <v>522</v>
      </c>
      <c r="Q1200" s="586" t="s">
        <v>670</v>
      </c>
      <c r="R1200" s="587">
        <v>45778</v>
      </c>
      <c r="S1200" s="586" t="s">
        <v>670</v>
      </c>
      <c r="T1200" s="587">
        <v>45777</v>
      </c>
      <c r="U1200" s="588">
        <v>0</v>
      </c>
      <c r="V1200" s="589">
        <v>3.92</v>
      </c>
      <c r="W1200" s="260">
        <v>45748</v>
      </c>
    </row>
    <row r="1201" spans="1:24" hidden="1" x14ac:dyDescent="0.35">
      <c r="A1201" s="586" t="s">
        <v>526</v>
      </c>
      <c r="B1201" s="586" t="s">
        <v>159</v>
      </c>
      <c r="C1201" s="586" t="s">
        <v>298</v>
      </c>
      <c r="D1201" s="586" t="s">
        <v>349</v>
      </c>
      <c r="E1201" s="586" t="s">
        <v>350</v>
      </c>
      <c r="F1201" s="586" t="s">
        <v>276</v>
      </c>
      <c r="G1201" s="586" t="s">
        <v>356</v>
      </c>
      <c r="H1201" s="586" t="s">
        <v>670</v>
      </c>
      <c r="I1201" s="586" t="s">
        <v>277</v>
      </c>
      <c r="J1201" s="586" t="s">
        <v>522</v>
      </c>
      <c r="K1201" s="586" t="s">
        <v>301</v>
      </c>
      <c r="L1201" s="586" t="s">
        <v>536</v>
      </c>
      <c r="M1201" s="586" t="s">
        <v>285</v>
      </c>
      <c r="N1201" s="586" t="s">
        <v>670</v>
      </c>
      <c r="O1201" s="586" t="s">
        <v>670</v>
      </c>
      <c r="P1201" s="586" t="s">
        <v>522</v>
      </c>
      <c r="Q1201" s="586" t="s">
        <v>670</v>
      </c>
      <c r="R1201" s="587">
        <v>45778</v>
      </c>
      <c r="S1201" s="586" t="s">
        <v>670</v>
      </c>
      <c r="T1201" s="587">
        <v>45777</v>
      </c>
      <c r="U1201" s="588">
        <v>0</v>
      </c>
      <c r="V1201" s="589">
        <v>0.03</v>
      </c>
      <c r="W1201" s="260">
        <v>45748</v>
      </c>
    </row>
    <row r="1202" spans="1:24" hidden="1" x14ac:dyDescent="0.35">
      <c r="A1202" s="586" t="s">
        <v>526</v>
      </c>
      <c r="B1202" s="586" t="s">
        <v>159</v>
      </c>
      <c r="C1202" s="586" t="s">
        <v>298</v>
      </c>
      <c r="D1202" s="586" t="s">
        <v>351</v>
      </c>
      <c r="E1202" s="586" t="s">
        <v>352</v>
      </c>
      <c r="F1202" s="586" t="s">
        <v>276</v>
      </c>
      <c r="G1202" s="586" t="s">
        <v>356</v>
      </c>
      <c r="H1202" s="586" t="s">
        <v>670</v>
      </c>
      <c r="I1202" s="586" t="s">
        <v>277</v>
      </c>
      <c r="J1202" s="586" t="s">
        <v>522</v>
      </c>
      <c r="K1202" s="586" t="s">
        <v>301</v>
      </c>
      <c r="L1202" s="586" t="s">
        <v>536</v>
      </c>
      <c r="M1202" s="586" t="s">
        <v>285</v>
      </c>
      <c r="N1202" s="586" t="s">
        <v>670</v>
      </c>
      <c r="O1202" s="586" t="s">
        <v>670</v>
      </c>
      <c r="P1202" s="586" t="s">
        <v>522</v>
      </c>
      <c r="Q1202" s="586" t="s">
        <v>670</v>
      </c>
      <c r="R1202" s="587">
        <v>45778</v>
      </c>
      <c r="S1202" s="586" t="s">
        <v>670</v>
      </c>
      <c r="T1202" s="587">
        <v>45777</v>
      </c>
      <c r="U1202" s="588">
        <v>0</v>
      </c>
      <c r="V1202" s="589">
        <v>4.7</v>
      </c>
      <c r="W1202" s="260">
        <v>45748</v>
      </c>
    </row>
    <row r="1203" spans="1:24" hidden="1" x14ac:dyDescent="0.35">
      <c r="A1203" s="586" t="s">
        <v>526</v>
      </c>
      <c r="B1203" s="586" t="s">
        <v>159</v>
      </c>
      <c r="C1203" s="586" t="s">
        <v>298</v>
      </c>
      <c r="D1203" s="586" t="s">
        <v>351</v>
      </c>
      <c r="E1203" s="586" t="s">
        <v>352</v>
      </c>
      <c r="F1203" s="586" t="s">
        <v>276</v>
      </c>
      <c r="G1203" s="586" t="s">
        <v>356</v>
      </c>
      <c r="H1203" s="586" t="s">
        <v>670</v>
      </c>
      <c r="I1203" s="586" t="s">
        <v>277</v>
      </c>
      <c r="J1203" s="586" t="s">
        <v>522</v>
      </c>
      <c r="K1203" s="586" t="s">
        <v>301</v>
      </c>
      <c r="L1203" s="586" t="s">
        <v>536</v>
      </c>
      <c r="M1203" s="586" t="s">
        <v>285</v>
      </c>
      <c r="N1203" s="586" t="s">
        <v>670</v>
      </c>
      <c r="O1203" s="586" t="s">
        <v>670</v>
      </c>
      <c r="P1203" s="586" t="s">
        <v>522</v>
      </c>
      <c r="Q1203" s="586" t="s">
        <v>670</v>
      </c>
      <c r="R1203" s="587">
        <v>45778</v>
      </c>
      <c r="S1203" s="586" t="s">
        <v>670</v>
      </c>
      <c r="T1203" s="587">
        <v>45777</v>
      </c>
      <c r="U1203" s="588">
        <v>0</v>
      </c>
      <c r="V1203" s="589">
        <v>0.32</v>
      </c>
      <c r="W1203" s="260">
        <v>45748</v>
      </c>
    </row>
    <row r="1204" spans="1:24" hidden="1" x14ac:dyDescent="0.35">
      <c r="A1204" s="586" t="s">
        <v>526</v>
      </c>
      <c r="B1204" s="586" t="s">
        <v>159</v>
      </c>
      <c r="C1204" s="586" t="s">
        <v>298</v>
      </c>
      <c r="D1204" s="586" t="s">
        <v>354</v>
      </c>
      <c r="E1204" s="586" t="s">
        <v>355</v>
      </c>
      <c r="F1204" s="586" t="s">
        <v>276</v>
      </c>
      <c r="G1204" s="586" t="s">
        <v>356</v>
      </c>
      <c r="H1204" s="586" t="s">
        <v>670</v>
      </c>
      <c r="I1204" s="586" t="s">
        <v>277</v>
      </c>
      <c r="J1204" s="586" t="s">
        <v>522</v>
      </c>
      <c r="K1204" s="586" t="s">
        <v>301</v>
      </c>
      <c r="L1204" s="586" t="s">
        <v>536</v>
      </c>
      <c r="M1204" s="586" t="s">
        <v>285</v>
      </c>
      <c r="N1204" s="586" t="s">
        <v>670</v>
      </c>
      <c r="O1204" s="586" t="s">
        <v>670</v>
      </c>
      <c r="P1204" s="586" t="s">
        <v>522</v>
      </c>
      <c r="Q1204" s="586" t="s">
        <v>670</v>
      </c>
      <c r="R1204" s="587">
        <v>45778</v>
      </c>
      <c r="S1204" s="586" t="s">
        <v>670</v>
      </c>
      <c r="T1204" s="587">
        <v>45777</v>
      </c>
      <c r="U1204" s="588">
        <v>0</v>
      </c>
      <c r="V1204" s="589">
        <v>0.57999999999999996</v>
      </c>
      <c r="W1204" s="260">
        <v>45748</v>
      </c>
    </row>
    <row r="1205" spans="1:24" hidden="1" x14ac:dyDescent="0.35">
      <c r="A1205" s="586" t="s">
        <v>526</v>
      </c>
      <c r="B1205" s="586" t="s">
        <v>159</v>
      </c>
      <c r="C1205" s="586" t="s">
        <v>655</v>
      </c>
      <c r="D1205" s="586" t="s">
        <v>656</v>
      </c>
      <c r="E1205" s="586" t="s">
        <v>657</v>
      </c>
      <c r="F1205" s="586" t="s">
        <v>276</v>
      </c>
      <c r="G1205" s="586" t="s">
        <v>356</v>
      </c>
      <c r="H1205" s="586" t="s">
        <v>567</v>
      </c>
      <c r="I1205" s="586" t="s">
        <v>277</v>
      </c>
      <c r="J1205" s="586" t="s">
        <v>522</v>
      </c>
      <c r="K1205" s="586" t="s">
        <v>658</v>
      </c>
      <c r="L1205" s="586" t="s">
        <v>536</v>
      </c>
      <c r="M1205" s="586" t="s">
        <v>568</v>
      </c>
      <c r="N1205" s="586" t="s">
        <v>670</v>
      </c>
      <c r="O1205" s="586" t="s">
        <v>670</v>
      </c>
      <c r="P1205" s="586" t="s">
        <v>522</v>
      </c>
      <c r="Q1205" s="586" t="s">
        <v>670</v>
      </c>
      <c r="R1205" s="587">
        <v>45748</v>
      </c>
      <c r="S1205" s="586" t="s">
        <v>278</v>
      </c>
      <c r="T1205" s="587">
        <v>45750</v>
      </c>
      <c r="U1205" s="588">
        <v>1</v>
      </c>
      <c r="V1205" s="589">
        <v>74.38</v>
      </c>
      <c r="W1205" s="260">
        <v>45748</v>
      </c>
      <c r="X1205" s="845"/>
    </row>
    <row r="1206" spans="1:24" hidden="1" x14ac:dyDescent="0.35">
      <c r="A1206" s="586" t="s">
        <v>526</v>
      </c>
      <c r="B1206" s="586" t="s">
        <v>159</v>
      </c>
      <c r="C1206" s="586" t="s">
        <v>655</v>
      </c>
      <c r="D1206" s="586" t="s">
        <v>656</v>
      </c>
      <c r="E1206" s="586" t="s">
        <v>657</v>
      </c>
      <c r="F1206" s="586" t="s">
        <v>276</v>
      </c>
      <c r="G1206" s="586" t="s">
        <v>356</v>
      </c>
      <c r="H1206" s="586" t="s">
        <v>567</v>
      </c>
      <c r="I1206" s="586" t="s">
        <v>277</v>
      </c>
      <c r="J1206" s="586" t="s">
        <v>522</v>
      </c>
      <c r="K1206" s="586" t="s">
        <v>658</v>
      </c>
      <c r="L1206" s="586" t="s">
        <v>536</v>
      </c>
      <c r="M1206" s="586" t="s">
        <v>568</v>
      </c>
      <c r="N1206" s="586" t="s">
        <v>670</v>
      </c>
      <c r="O1206" s="586" t="s">
        <v>670</v>
      </c>
      <c r="P1206" s="586" t="s">
        <v>522</v>
      </c>
      <c r="Q1206" s="586" t="s">
        <v>670</v>
      </c>
      <c r="R1206" s="587">
        <v>45755</v>
      </c>
      <c r="S1206" s="586" t="s">
        <v>278</v>
      </c>
      <c r="T1206" s="587">
        <v>45761</v>
      </c>
      <c r="U1206" s="588">
        <v>1</v>
      </c>
      <c r="V1206" s="589">
        <v>74.38</v>
      </c>
      <c r="W1206" s="260">
        <v>45748</v>
      </c>
      <c r="X1206" s="845"/>
    </row>
    <row r="1207" spans="1:24" hidden="1" x14ac:dyDescent="0.35">
      <c r="A1207" s="586" t="s">
        <v>526</v>
      </c>
      <c r="B1207" s="586" t="s">
        <v>159</v>
      </c>
      <c r="C1207" s="586" t="s">
        <v>655</v>
      </c>
      <c r="D1207" s="586" t="s">
        <v>656</v>
      </c>
      <c r="E1207" s="586" t="s">
        <v>657</v>
      </c>
      <c r="F1207" s="586" t="s">
        <v>276</v>
      </c>
      <c r="G1207" s="586" t="s">
        <v>356</v>
      </c>
      <c r="H1207" s="586" t="s">
        <v>567</v>
      </c>
      <c r="I1207" s="586" t="s">
        <v>277</v>
      </c>
      <c r="J1207" s="586" t="s">
        <v>522</v>
      </c>
      <c r="K1207" s="586" t="s">
        <v>658</v>
      </c>
      <c r="L1207" s="586" t="s">
        <v>536</v>
      </c>
      <c r="M1207" s="586" t="s">
        <v>568</v>
      </c>
      <c r="N1207" s="586" t="s">
        <v>670</v>
      </c>
      <c r="O1207" s="586" t="s">
        <v>670</v>
      </c>
      <c r="P1207" s="586" t="s">
        <v>522</v>
      </c>
      <c r="Q1207" s="586" t="s">
        <v>670</v>
      </c>
      <c r="R1207" s="587">
        <v>45762</v>
      </c>
      <c r="S1207" s="586" t="s">
        <v>278</v>
      </c>
      <c r="T1207" s="587">
        <v>45763</v>
      </c>
      <c r="U1207" s="588">
        <v>1</v>
      </c>
      <c r="V1207" s="589">
        <v>74.38</v>
      </c>
      <c r="W1207" s="260">
        <v>45748</v>
      </c>
      <c r="X1207" s="845"/>
    </row>
    <row r="1208" spans="1:24" hidden="1" x14ac:dyDescent="0.35">
      <c r="A1208" s="586" t="s">
        <v>526</v>
      </c>
      <c r="B1208" s="586" t="s">
        <v>159</v>
      </c>
      <c r="C1208" s="586" t="s">
        <v>655</v>
      </c>
      <c r="D1208" s="586" t="s">
        <v>656</v>
      </c>
      <c r="E1208" s="586" t="s">
        <v>657</v>
      </c>
      <c r="F1208" s="586" t="s">
        <v>276</v>
      </c>
      <c r="G1208" s="586" t="s">
        <v>356</v>
      </c>
      <c r="H1208" s="586" t="s">
        <v>567</v>
      </c>
      <c r="I1208" s="586" t="s">
        <v>277</v>
      </c>
      <c r="J1208" s="586" t="s">
        <v>522</v>
      </c>
      <c r="K1208" s="586" t="s">
        <v>658</v>
      </c>
      <c r="L1208" s="586" t="s">
        <v>536</v>
      </c>
      <c r="M1208" s="586" t="s">
        <v>568</v>
      </c>
      <c r="N1208" s="586" t="s">
        <v>670</v>
      </c>
      <c r="O1208" s="586" t="s">
        <v>670</v>
      </c>
      <c r="P1208" s="586" t="s">
        <v>522</v>
      </c>
      <c r="Q1208" s="586" t="s">
        <v>670</v>
      </c>
      <c r="R1208" s="587">
        <v>45769</v>
      </c>
      <c r="S1208" s="586" t="s">
        <v>278</v>
      </c>
      <c r="T1208" s="587">
        <v>45769</v>
      </c>
      <c r="U1208" s="588">
        <v>1</v>
      </c>
      <c r="V1208" s="589">
        <v>74.38</v>
      </c>
      <c r="W1208" s="260">
        <v>45748</v>
      </c>
      <c r="X1208" s="845"/>
    </row>
    <row r="1209" spans="1:24" hidden="1" x14ac:dyDescent="0.35">
      <c r="A1209" s="586" t="s">
        <v>526</v>
      </c>
      <c r="B1209" s="586" t="s">
        <v>159</v>
      </c>
      <c r="C1209" s="586" t="s">
        <v>584</v>
      </c>
      <c r="D1209" s="586" t="s">
        <v>585</v>
      </c>
      <c r="E1209" s="586" t="s">
        <v>586</v>
      </c>
      <c r="F1209" s="586" t="s">
        <v>276</v>
      </c>
      <c r="G1209" s="586" t="s">
        <v>356</v>
      </c>
      <c r="H1209" s="586" t="s">
        <v>533</v>
      </c>
      <c r="I1209" s="586" t="s">
        <v>277</v>
      </c>
      <c r="J1209" s="586" t="s">
        <v>522</v>
      </c>
      <c r="K1209" s="586" t="s">
        <v>587</v>
      </c>
      <c r="L1209" s="586" t="s">
        <v>536</v>
      </c>
      <c r="M1209" s="586" t="s">
        <v>535</v>
      </c>
      <c r="N1209" s="586" t="s">
        <v>670</v>
      </c>
      <c r="O1209" s="586" t="s">
        <v>670</v>
      </c>
      <c r="P1209" s="586" t="s">
        <v>522</v>
      </c>
      <c r="Q1209" s="586" t="s">
        <v>670</v>
      </c>
      <c r="R1209" s="587">
        <v>45749</v>
      </c>
      <c r="S1209" s="586" t="s">
        <v>278</v>
      </c>
      <c r="T1209" s="587">
        <v>45750</v>
      </c>
      <c r="U1209" s="588">
        <v>1</v>
      </c>
      <c r="V1209" s="589">
        <v>123.4</v>
      </c>
      <c r="W1209" s="260">
        <v>45748</v>
      </c>
      <c r="X1209" s="845"/>
    </row>
    <row r="1210" spans="1:24" hidden="1" x14ac:dyDescent="0.35">
      <c r="A1210" s="586" t="s">
        <v>526</v>
      </c>
      <c r="B1210" s="586" t="s">
        <v>159</v>
      </c>
      <c r="C1210" s="586" t="s">
        <v>584</v>
      </c>
      <c r="D1210" s="586" t="s">
        <v>585</v>
      </c>
      <c r="E1210" s="586" t="s">
        <v>586</v>
      </c>
      <c r="F1210" s="586" t="s">
        <v>276</v>
      </c>
      <c r="G1210" s="586" t="s">
        <v>356</v>
      </c>
      <c r="H1210" s="586" t="s">
        <v>533</v>
      </c>
      <c r="I1210" s="586" t="s">
        <v>277</v>
      </c>
      <c r="J1210" s="586" t="s">
        <v>522</v>
      </c>
      <c r="K1210" s="586" t="s">
        <v>587</v>
      </c>
      <c r="L1210" s="586" t="s">
        <v>536</v>
      </c>
      <c r="M1210" s="586" t="s">
        <v>535</v>
      </c>
      <c r="N1210" s="586" t="s">
        <v>670</v>
      </c>
      <c r="O1210" s="586" t="s">
        <v>670</v>
      </c>
      <c r="P1210" s="586" t="s">
        <v>522</v>
      </c>
      <c r="Q1210" s="586" t="s">
        <v>670</v>
      </c>
      <c r="R1210" s="587">
        <v>45750</v>
      </c>
      <c r="S1210" s="586" t="s">
        <v>278</v>
      </c>
      <c r="T1210" s="587">
        <v>45750</v>
      </c>
      <c r="U1210" s="588">
        <v>6</v>
      </c>
      <c r="V1210" s="589">
        <v>740.4</v>
      </c>
      <c r="W1210" s="260">
        <v>45748</v>
      </c>
      <c r="X1210" s="845"/>
    </row>
    <row r="1211" spans="1:24" hidden="1" x14ac:dyDescent="0.35">
      <c r="A1211" s="586" t="s">
        <v>526</v>
      </c>
      <c r="B1211" s="586" t="s">
        <v>159</v>
      </c>
      <c r="C1211" s="586" t="s">
        <v>584</v>
      </c>
      <c r="D1211" s="586" t="s">
        <v>585</v>
      </c>
      <c r="E1211" s="586" t="s">
        <v>586</v>
      </c>
      <c r="F1211" s="586" t="s">
        <v>276</v>
      </c>
      <c r="G1211" s="586" t="s">
        <v>356</v>
      </c>
      <c r="H1211" s="586" t="s">
        <v>533</v>
      </c>
      <c r="I1211" s="586" t="s">
        <v>277</v>
      </c>
      <c r="J1211" s="586" t="s">
        <v>522</v>
      </c>
      <c r="K1211" s="586" t="s">
        <v>587</v>
      </c>
      <c r="L1211" s="586" t="s">
        <v>536</v>
      </c>
      <c r="M1211" s="586" t="s">
        <v>535</v>
      </c>
      <c r="N1211" s="586" t="s">
        <v>670</v>
      </c>
      <c r="O1211" s="586" t="s">
        <v>670</v>
      </c>
      <c r="P1211" s="586" t="s">
        <v>522</v>
      </c>
      <c r="Q1211" s="586" t="s">
        <v>670</v>
      </c>
      <c r="R1211" s="587">
        <v>45749</v>
      </c>
      <c r="S1211" s="586" t="s">
        <v>278</v>
      </c>
      <c r="T1211" s="587">
        <v>45750</v>
      </c>
      <c r="U1211" s="588">
        <v>6</v>
      </c>
      <c r="V1211" s="589">
        <v>740.4</v>
      </c>
      <c r="W1211" s="260">
        <v>45748</v>
      </c>
      <c r="X1211" s="845"/>
    </row>
    <row r="1212" spans="1:24" hidden="1" x14ac:dyDescent="0.35">
      <c r="A1212" s="586" t="s">
        <v>526</v>
      </c>
      <c r="B1212" s="586" t="s">
        <v>159</v>
      </c>
      <c r="C1212" s="586" t="s">
        <v>584</v>
      </c>
      <c r="D1212" s="586" t="s">
        <v>585</v>
      </c>
      <c r="E1212" s="586" t="s">
        <v>586</v>
      </c>
      <c r="F1212" s="586" t="s">
        <v>276</v>
      </c>
      <c r="G1212" s="586" t="s">
        <v>356</v>
      </c>
      <c r="H1212" s="586" t="s">
        <v>533</v>
      </c>
      <c r="I1212" s="586" t="s">
        <v>277</v>
      </c>
      <c r="J1212" s="586" t="s">
        <v>522</v>
      </c>
      <c r="K1212" s="586" t="s">
        <v>587</v>
      </c>
      <c r="L1212" s="586" t="s">
        <v>536</v>
      </c>
      <c r="M1212" s="586" t="s">
        <v>535</v>
      </c>
      <c r="N1212" s="586" t="s">
        <v>670</v>
      </c>
      <c r="O1212" s="586" t="s">
        <v>670</v>
      </c>
      <c r="P1212" s="586" t="s">
        <v>522</v>
      </c>
      <c r="Q1212" s="586" t="s">
        <v>670</v>
      </c>
      <c r="R1212" s="587">
        <v>45748</v>
      </c>
      <c r="S1212" s="586" t="s">
        <v>278</v>
      </c>
      <c r="T1212" s="587">
        <v>45750</v>
      </c>
      <c r="U1212" s="588">
        <v>6</v>
      </c>
      <c r="V1212" s="589">
        <v>740.4</v>
      </c>
      <c r="W1212" s="260">
        <v>45748</v>
      </c>
      <c r="X1212" s="845"/>
    </row>
    <row r="1213" spans="1:24" hidden="1" x14ac:dyDescent="0.35">
      <c r="A1213" s="586" t="s">
        <v>526</v>
      </c>
      <c r="B1213" s="586" t="s">
        <v>159</v>
      </c>
      <c r="C1213" s="586" t="s">
        <v>584</v>
      </c>
      <c r="D1213" s="586" t="s">
        <v>585</v>
      </c>
      <c r="E1213" s="586" t="s">
        <v>586</v>
      </c>
      <c r="F1213" s="586" t="s">
        <v>276</v>
      </c>
      <c r="G1213" s="586" t="s">
        <v>356</v>
      </c>
      <c r="H1213" s="586" t="s">
        <v>533</v>
      </c>
      <c r="I1213" s="586" t="s">
        <v>277</v>
      </c>
      <c r="J1213" s="586" t="s">
        <v>522</v>
      </c>
      <c r="K1213" s="586" t="s">
        <v>587</v>
      </c>
      <c r="L1213" s="586" t="s">
        <v>536</v>
      </c>
      <c r="M1213" s="586" t="s">
        <v>535</v>
      </c>
      <c r="N1213" s="586" t="s">
        <v>670</v>
      </c>
      <c r="O1213" s="586" t="s">
        <v>670</v>
      </c>
      <c r="P1213" s="586" t="s">
        <v>522</v>
      </c>
      <c r="Q1213" s="586" t="s">
        <v>670</v>
      </c>
      <c r="R1213" s="587">
        <v>45751</v>
      </c>
      <c r="S1213" s="586" t="s">
        <v>278</v>
      </c>
      <c r="T1213" s="587">
        <v>45751</v>
      </c>
      <c r="U1213" s="588">
        <v>6</v>
      </c>
      <c r="V1213" s="589">
        <v>740.4</v>
      </c>
      <c r="W1213" s="260">
        <v>45748</v>
      </c>
      <c r="X1213" s="845"/>
    </row>
    <row r="1214" spans="1:24" hidden="1" x14ac:dyDescent="0.35">
      <c r="A1214" s="586" t="s">
        <v>526</v>
      </c>
      <c r="B1214" s="586" t="s">
        <v>159</v>
      </c>
      <c r="C1214" s="586" t="s">
        <v>584</v>
      </c>
      <c r="D1214" s="586" t="s">
        <v>585</v>
      </c>
      <c r="E1214" s="586" t="s">
        <v>586</v>
      </c>
      <c r="F1214" s="586" t="s">
        <v>276</v>
      </c>
      <c r="G1214" s="586" t="s">
        <v>356</v>
      </c>
      <c r="H1214" s="586" t="s">
        <v>533</v>
      </c>
      <c r="I1214" s="586" t="s">
        <v>277</v>
      </c>
      <c r="J1214" s="586" t="s">
        <v>522</v>
      </c>
      <c r="K1214" s="586" t="s">
        <v>587</v>
      </c>
      <c r="L1214" s="586" t="s">
        <v>536</v>
      </c>
      <c r="M1214" s="586" t="s">
        <v>535</v>
      </c>
      <c r="N1214" s="586" t="s">
        <v>670</v>
      </c>
      <c r="O1214" s="586" t="s">
        <v>670</v>
      </c>
      <c r="P1214" s="586" t="s">
        <v>522</v>
      </c>
      <c r="Q1214" s="586" t="s">
        <v>670</v>
      </c>
      <c r="R1214" s="587">
        <v>45761</v>
      </c>
      <c r="S1214" s="586" t="s">
        <v>278</v>
      </c>
      <c r="T1214" s="587">
        <v>45761</v>
      </c>
      <c r="U1214" s="588">
        <v>6</v>
      </c>
      <c r="V1214" s="589">
        <v>740.4</v>
      </c>
      <c r="W1214" s="260">
        <v>45748</v>
      </c>
      <c r="X1214" s="845"/>
    </row>
    <row r="1215" spans="1:24" hidden="1" x14ac:dyDescent="0.35">
      <c r="A1215" s="586" t="s">
        <v>526</v>
      </c>
      <c r="B1215" s="586" t="s">
        <v>159</v>
      </c>
      <c r="C1215" s="586" t="s">
        <v>584</v>
      </c>
      <c r="D1215" s="586" t="s">
        <v>585</v>
      </c>
      <c r="E1215" s="586" t="s">
        <v>586</v>
      </c>
      <c r="F1215" s="586" t="s">
        <v>276</v>
      </c>
      <c r="G1215" s="586" t="s">
        <v>356</v>
      </c>
      <c r="H1215" s="586" t="s">
        <v>533</v>
      </c>
      <c r="I1215" s="586" t="s">
        <v>277</v>
      </c>
      <c r="J1215" s="586" t="s">
        <v>522</v>
      </c>
      <c r="K1215" s="586" t="s">
        <v>587</v>
      </c>
      <c r="L1215" s="586" t="s">
        <v>536</v>
      </c>
      <c r="M1215" s="586" t="s">
        <v>535</v>
      </c>
      <c r="N1215" s="586" t="s">
        <v>670</v>
      </c>
      <c r="O1215" s="586" t="s">
        <v>670</v>
      </c>
      <c r="P1215" s="586" t="s">
        <v>522</v>
      </c>
      <c r="Q1215" s="586" t="s">
        <v>670</v>
      </c>
      <c r="R1215" s="587">
        <v>45758</v>
      </c>
      <c r="S1215" s="586" t="s">
        <v>278</v>
      </c>
      <c r="T1215" s="587">
        <v>45761</v>
      </c>
      <c r="U1215" s="588">
        <v>6</v>
      </c>
      <c r="V1215" s="589">
        <v>740.4</v>
      </c>
      <c r="W1215" s="260">
        <v>45748</v>
      </c>
      <c r="X1215" s="845"/>
    </row>
    <row r="1216" spans="1:24" hidden="1" x14ac:dyDescent="0.35">
      <c r="A1216" s="586" t="s">
        <v>526</v>
      </c>
      <c r="B1216" s="586" t="s">
        <v>159</v>
      </c>
      <c r="C1216" s="586" t="s">
        <v>584</v>
      </c>
      <c r="D1216" s="586" t="s">
        <v>585</v>
      </c>
      <c r="E1216" s="586" t="s">
        <v>586</v>
      </c>
      <c r="F1216" s="586" t="s">
        <v>276</v>
      </c>
      <c r="G1216" s="586" t="s">
        <v>356</v>
      </c>
      <c r="H1216" s="586" t="s">
        <v>533</v>
      </c>
      <c r="I1216" s="586" t="s">
        <v>277</v>
      </c>
      <c r="J1216" s="586" t="s">
        <v>522</v>
      </c>
      <c r="K1216" s="586" t="s">
        <v>587</v>
      </c>
      <c r="L1216" s="586" t="s">
        <v>536</v>
      </c>
      <c r="M1216" s="586" t="s">
        <v>535</v>
      </c>
      <c r="N1216" s="586" t="s">
        <v>670</v>
      </c>
      <c r="O1216" s="586" t="s">
        <v>670</v>
      </c>
      <c r="P1216" s="586" t="s">
        <v>522</v>
      </c>
      <c r="Q1216" s="586" t="s">
        <v>670</v>
      </c>
      <c r="R1216" s="587">
        <v>45757</v>
      </c>
      <c r="S1216" s="586" t="s">
        <v>278</v>
      </c>
      <c r="T1216" s="587">
        <v>45761</v>
      </c>
      <c r="U1216" s="588">
        <v>6</v>
      </c>
      <c r="V1216" s="589">
        <v>740.4</v>
      </c>
      <c r="W1216" s="260">
        <v>45748</v>
      </c>
      <c r="X1216" s="845"/>
    </row>
    <row r="1217" spans="1:24" hidden="1" x14ac:dyDescent="0.35">
      <c r="A1217" s="586" t="s">
        <v>526</v>
      </c>
      <c r="B1217" s="586" t="s">
        <v>159</v>
      </c>
      <c r="C1217" s="586" t="s">
        <v>584</v>
      </c>
      <c r="D1217" s="586" t="s">
        <v>585</v>
      </c>
      <c r="E1217" s="586" t="s">
        <v>586</v>
      </c>
      <c r="F1217" s="586" t="s">
        <v>276</v>
      </c>
      <c r="G1217" s="586" t="s">
        <v>356</v>
      </c>
      <c r="H1217" s="586" t="s">
        <v>533</v>
      </c>
      <c r="I1217" s="586" t="s">
        <v>277</v>
      </c>
      <c r="J1217" s="586" t="s">
        <v>522</v>
      </c>
      <c r="K1217" s="586" t="s">
        <v>587</v>
      </c>
      <c r="L1217" s="586" t="s">
        <v>536</v>
      </c>
      <c r="M1217" s="586" t="s">
        <v>535</v>
      </c>
      <c r="N1217" s="586" t="s">
        <v>670</v>
      </c>
      <c r="O1217" s="586" t="s">
        <v>670</v>
      </c>
      <c r="P1217" s="586" t="s">
        <v>522</v>
      </c>
      <c r="Q1217" s="586" t="s">
        <v>670</v>
      </c>
      <c r="R1217" s="587">
        <v>45756</v>
      </c>
      <c r="S1217" s="586" t="s">
        <v>278</v>
      </c>
      <c r="T1217" s="587">
        <v>45761</v>
      </c>
      <c r="U1217" s="588">
        <v>6</v>
      </c>
      <c r="V1217" s="589">
        <v>740.4</v>
      </c>
      <c r="W1217" s="260">
        <v>45748</v>
      </c>
      <c r="X1217" s="845"/>
    </row>
    <row r="1218" spans="1:24" hidden="1" x14ac:dyDescent="0.35">
      <c r="A1218" s="586" t="s">
        <v>526</v>
      </c>
      <c r="B1218" s="586" t="s">
        <v>159</v>
      </c>
      <c r="C1218" s="586" t="s">
        <v>584</v>
      </c>
      <c r="D1218" s="586" t="s">
        <v>585</v>
      </c>
      <c r="E1218" s="586" t="s">
        <v>586</v>
      </c>
      <c r="F1218" s="586" t="s">
        <v>276</v>
      </c>
      <c r="G1218" s="586" t="s">
        <v>356</v>
      </c>
      <c r="H1218" s="586" t="s">
        <v>533</v>
      </c>
      <c r="I1218" s="586" t="s">
        <v>277</v>
      </c>
      <c r="J1218" s="586" t="s">
        <v>522</v>
      </c>
      <c r="K1218" s="586" t="s">
        <v>587</v>
      </c>
      <c r="L1218" s="586" t="s">
        <v>536</v>
      </c>
      <c r="M1218" s="586" t="s">
        <v>535</v>
      </c>
      <c r="N1218" s="586" t="s">
        <v>670</v>
      </c>
      <c r="O1218" s="586" t="s">
        <v>670</v>
      </c>
      <c r="P1218" s="586" t="s">
        <v>522</v>
      </c>
      <c r="Q1218" s="586" t="s">
        <v>670</v>
      </c>
      <c r="R1218" s="587">
        <v>45755</v>
      </c>
      <c r="S1218" s="586" t="s">
        <v>278</v>
      </c>
      <c r="T1218" s="587">
        <v>45761</v>
      </c>
      <c r="U1218" s="588">
        <v>6</v>
      </c>
      <c r="V1218" s="589">
        <v>740.4</v>
      </c>
      <c r="W1218" s="260">
        <v>45748</v>
      </c>
      <c r="X1218" s="845"/>
    </row>
    <row r="1219" spans="1:24" hidden="1" x14ac:dyDescent="0.35">
      <c r="A1219" s="586" t="s">
        <v>526</v>
      </c>
      <c r="B1219" s="586" t="s">
        <v>159</v>
      </c>
      <c r="C1219" s="586" t="s">
        <v>584</v>
      </c>
      <c r="D1219" s="586" t="s">
        <v>585</v>
      </c>
      <c r="E1219" s="586" t="s">
        <v>586</v>
      </c>
      <c r="F1219" s="586" t="s">
        <v>276</v>
      </c>
      <c r="G1219" s="586" t="s">
        <v>356</v>
      </c>
      <c r="H1219" s="586" t="s">
        <v>533</v>
      </c>
      <c r="I1219" s="586" t="s">
        <v>277</v>
      </c>
      <c r="J1219" s="586" t="s">
        <v>522</v>
      </c>
      <c r="K1219" s="586" t="s">
        <v>587</v>
      </c>
      <c r="L1219" s="586" t="s">
        <v>536</v>
      </c>
      <c r="M1219" s="586" t="s">
        <v>535</v>
      </c>
      <c r="N1219" s="586" t="s">
        <v>670</v>
      </c>
      <c r="O1219" s="586" t="s">
        <v>670</v>
      </c>
      <c r="P1219" s="586" t="s">
        <v>522</v>
      </c>
      <c r="Q1219" s="586" t="s">
        <v>670</v>
      </c>
      <c r="R1219" s="587">
        <v>45754</v>
      </c>
      <c r="S1219" s="586" t="s">
        <v>278</v>
      </c>
      <c r="T1219" s="587">
        <v>45761</v>
      </c>
      <c r="U1219" s="588">
        <v>6</v>
      </c>
      <c r="V1219" s="589">
        <v>740.4</v>
      </c>
      <c r="W1219" s="260">
        <v>45748</v>
      </c>
      <c r="X1219" s="845"/>
    </row>
    <row r="1220" spans="1:24" hidden="1" x14ac:dyDescent="0.35">
      <c r="A1220" s="586" t="s">
        <v>526</v>
      </c>
      <c r="B1220" s="586" t="s">
        <v>159</v>
      </c>
      <c r="C1220" s="586" t="s">
        <v>584</v>
      </c>
      <c r="D1220" s="586" t="s">
        <v>585</v>
      </c>
      <c r="E1220" s="586" t="s">
        <v>586</v>
      </c>
      <c r="F1220" s="586" t="s">
        <v>276</v>
      </c>
      <c r="G1220" s="586" t="s">
        <v>356</v>
      </c>
      <c r="H1220" s="586" t="s">
        <v>533</v>
      </c>
      <c r="I1220" s="586" t="s">
        <v>277</v>
      </c>
      <c r="J1220" s="586" t="s">
        <v>522</v>
      </c>
      <c r="K1220" s="586" t="s">
        <v>587</v>
      </c>
      <c r="L1220" s="586" t="s">
        <v>536</v>
      </c>
      <c r="M1220" s="586" t="s">
        <v>535</v>
      </c>
      <c r="N1220" s="586" t="s">
        <v>670</v>
      </c>
      <c r="O1220" s="586" t="s">
        <v>670</v>
      </c>
      <c r="P1220" s="586" t="s">
        <v>522</v>
      </c>
      <c r="Q1220" s="586" t="s">
        <v>670</v>
      </c>
      <c r="R1220" s="587">
        <v>45763</v>
      </c>
      <c r="S1220" s="586" t="s">
        <v>278</v>
      </c>
      <c r="T1220" s="587">
        <v>45763</v>
      </c>
      <c r="U1220" s="588">
        <v>6</v>
      </c>
      <c r="V1220" s="589">
        <v>740.4</v>
      </c>
      <c r="W1220" s="260">
        <v>45748</v>
      </c>
      <c r="X1220" s="845"/>
    </row>
    <row r="1221" spans="1:24" hidden="1" x14ac:dyDescent="0.35">
      <c r="A1221" s="586" t="s">
        <v>526</v>
      </c>
      <c r="B1221" s="586" t="s">
        <v>159</v>
      </c>
      <c r="C1221" s="586" t="s">
        <v>584</v>
      </c>
      <c r="D1221" s="586" t="s">
        <v>585</v>
      </c>
      <c r="E1221" s="586" t="s">
        <v>586</v>
      </c>
      <c r="F1221" s="586" t="s">
        <v>276</v>
      </c>
      <c r="G1221" s="586" t="s">
        <v>356</v>
      </c>
      <c r="H1221" s="586" t="s">
        <v>533</v>
      </c>
      <c r="I1221" s="586" t="s">
        <v>277</v>
      </c>
      <c r="J1221" s="586" t="s">
        <v>522</v>
      </c>
      <c r="K1221" s="586" t="s">
        <v>587</v>
      </c>
      <c r="L1221" s="586" t="s">
        <v>536</v>
      </c>
      <c r="M1221" s="586" t="s">
        <v>535</v>
      </c>
      <c r="N1221" s="586" t="s">
        <v>670</v>
      </c>
      <c r="O1221" s="586" t="s">
        <v>670</v>
      </c>
      <c r="P1221" s="586" t="s">
        <v>522</v>
      </c>
      <c r="Q1221" s="586" t="s">
        <v>670</v>
      </c>
      <c r="R1221" s="587">
        <v>45762</v>
      </c>
      <c r="S1221" s="586" t="s">
        <v>278</v>
      </c>
      <c r="T1221" s="587">
        <v>45763</v>
      </c>
      <c r="U1221" s="588">
        <v>6</v>
      </c>
      <c r="V1221" s="589">
        <v>740.4</v>
      </c>
      <c r="W1221" s="260">
        <v>45748</v>
      </c>
      <c r="X1221" s="845"/>
    </row>
    <row r="1222" spans="1:24" hidden="1" x14ac:dyDescent="0.35">
      <c r="A1222" s="586" t="s">
        <v>526</v>
      </c>
      <c r="B1222" s="586" t="s">
        <v>159</v>
      </c>
      <c r="C1222" s="586" t="s">
        <v>584</v>
      </c>
      <c r="D1222" s="586" t="s">
        <v>585</v>
      </c>
      <c r="E1222" s="586" t="s">
        <v>586</v>
      </c>
      <c r="F1222" s="586" t="s">
        <v>276</v>
      </c>
      <c r="G1222" s="586" t="s">
        <v>356</v>
      </c>
      <c r="H1222" s="586" t="s">
        <v>533</v>
      </c>
      <c r="I1222" s="586" t="s">
        <v>277</v>
      </c>
      <c r="J1222" s="586" t="s">
        <v>522</v>
      </c>
      <c r="K1222" s="586" t="s">
        <v>587</v>
      </c>
      <c r="L1222" s="586" t="s">
        <v>536</v>
      </c>
      <c r="M1222" s="586" t="s">
        <v>535</v>
      </c>
      <c r="N1222" s="586" t="s">
        <v>670</v>
      </c>
      <c r="O1222" s="586" t="s">
        <v>670</v>
      </c>
      <c r="P1222" s="586" t="s">
        <v>522</v>
      </c>
      <c r="Q1222" s="586" t="s">
        <v>670</v>
      </c>
      <c r="R1222" s="587">
        <v>45764</v>
      </c>
      <c r="S1222" s="586" t="s">
        <v>278</v>
      </c>
      <c r="T1222" s="587">
        <v>45764</v>
      </c>
      <c r="U1222" s="588">
        <v>6</v>
      </c>
      <c r="V1222" s="589">
        <v>740.4</v>
      </c>
      <c r="W1222" s="260">
        <v>45748</v>
      </c>
      <c r="X1222" s="845"/>
    </row>
    <row r="1223" spans="1:24" hidden="1" x14ac:dyDescent="0.35">
      <c r="A1223" s="586" t="s">
        <v>526</v>
      </c>
      <c r="B1223" s="586" t="s">
        <v>159</v>
      </c>
      <c r="C1223" s="586" t="s">
        <v>584</v>
      </c>
      <c r="D1223" s="586" t="s">
        <v>585</v>
      </c>
      <c r="E1223" s="586" t="s">
        <v>586</v>
      </c>
      <c r="F1223" s="586" t="s">
        <v>276</v>
      </c>
      <c r="G1223" s="586" t="s">
        <v>356</v>
      </c>
      <c r="H1223" s="586" t="s">
        <v>533</v>
      </c>
      <c r="I1223" s="586" t="s">
        <v>277</v>
      </c>
      <c r="J1223" s="586" t="s">
        <v>522</v>
      </c>
      <c r="K1223" s="586" t="s">
        <v>587</v>
      </c>
      <c r="L1223" s="586" t="s">
        <v>536</v>
      </c>
      <c r="M1223" s="586" t="s">
        <v>535</v>
      </c>
      <c r="N1223" s="586" t="s">
        <v>670</v>
      </c>
      <c r="O1223" s="586" t="s">
        <v>670</v>
      </c>
      <c r="P1223" s="586" t="s">
        <v>522</v>
      </c>
      <c r="Q1223" s="586" t="s">
        <v>670</v>
      </c>
      <c r="R1223" s="587">
        <v>45768</v>
      </c>
      <c r="S1223" s="586" t="s">
        <v>278</v>
      </c>
      <c r="T1223" s="587">
        <v>45768</v>
      </c>
      <c r="U1223" s="588">
        <v>6</v>
      </c>
      <c r="V1223" s="589">
        <v>740.4</v>
      </c>
      <c r="W1223" s="260">
        <v>45748</v>
      </c>
      <c r="X1223" s="845"/>
    </row>
    <row r="1224" spans="1:24" hidden="1" x14ac:dyDescent="0.35">
      <c r="A1224" s="586" t="s">
        <v>526</v>
      </c>
      <c r="B1224" s="586" t="s">
        <v>159</v>
      </c>
      <c r="C1224" s="586" t="s">
        <v>584</v>
      </c>
      <c r="D1224" s="586" t="s">
        <v>585</v>
      </c>
      <c r="E1224" s="586" t="s">
        <v>586</v>
      </c>
      <c r="F1224" s="586" t="s">
        <v>276</v>
      </c>
      <c r="G1224" s="586" t="s">
        <v>356</v>
      </c>
      <c r="H1224" s="586" t="s">
        <v>533</v>
      </c>
      <c r="I1224" s="586" t="s">
        <v>277</v>
      </c>
      <c r="J1224" s="586" t="s">
        <v>522</v>
      </c>
      <c r="K1224" s="586" t="s">
        <v>587</v>
      </c>
      <c r="L1224" s="586" t="s">
        <v>536</v>
      </c>
      <c r="M1224" s="586" t="s">
        <v>535</v>
      </c>
      <c r="N1224" s="586" t="s">
        <v>670</v>
      </c>
      <c r="O1224" s="586" t="s">
        <v>670</v>
      </c>
      <c r="P1224" s="586" t="s">
        <v>522</v>
      </c>
      <c r="Q1224" s="586" t="s">
        <v>670</v>
      </c>
      <c r="R1224" s="587">
        <v>45769</v>
      </c>
      <c r="S1224" s="586" t="s">
        <v>278</v>
      </c>
      <c r="T1224" s="587">
        <v>45769</v>
      </c>
      <c r="U1224" s="588">
        <v>6</v>
      </c>
      <c r="V1224" s="589">
        <v>740.4</v>
      </c>
      <c r="W1224" s="260">
        <v>45748</v>
      </c>
      <c r="X1224" s="845"/>
    </row>
    <row r="1225" spans="1:24" hidden="1" x14ac:dyDescent="0.35">
      <c r="A1225" s="586" t="s">
        <v>526</v>
      </c>
      <c r="B1225" s="586" t="s">
        <v>159</v>
      </c>
      <c r="C1225" s="586" t="s">
        <v>584</v>
      </c>
      <c r="D1225" s="586" t="s">
        <v>585</v>
      </c>
      <c r="E1225" s="586" t="s">
        <v>586</v>
      </c>
      <c r="F1225" s="586" t="s">
        <v>276</v>
      </c>
      <c r="G1225" s="586" t="s">
        <v>356</v>
      </c>
      <c r="H1225" s="586" t="s">
        <v>533</v>
      </c>
      <c r="I1225" s="586" t="s">
        <v>277</v>
      </c>
      <c r="J1225" s="586" t="s">
        <v>522</v>
      </c>
      <c r="K1225" s="586" t="s">
        <v>587</v>
      </c>
      <c r="L1225" s="586" t="s">
        <v>536</v>
      </c>
      <c r="M1225" s="586" t="s">
        <v>535</v>
      </c>
      <c r="N1225" s="586" t="s">
        <v>670</v>
      </c>
      <c r="O1225" s="586" t="s">
        <v>670</v>
      </c>
      <c r="P1225" s="586" t="s">
        <v>522</v>
      </c>
      <c r="Q1225" s="586" t="s">
        <v>670</v>
      </c>
      <c r="R1225" s="587">
        <v>45771</v>
      </c>
      <c r="S1225" s="586" t="s">
        <v>278</v>
      </c>
      <c r="T1225" s="587">
        <v>45771</v>
      </c>
      <c r="U1225" s="588">
        <v>6</v>
      </c>
      <c r="V1225" s="589">
        <v>740.4</v>
      </c>
      <c r="W1225" s="260">
        <v>45748</v>
      </c>
      <c r="X1225" s="845"/>
    </row>
    <row r="1226" spans="1:24" hidden="1" x14ac:dyDescent="0.35">
      <c r="A1226" s="586" t="s">
        <v>526</v>
      </c>
      <c r="B1226" s="586" t="s">
        <v>159</v>
      </c>
      <c r="C1226" s="586" t="s">
        <v>584</v>
      </c>
      <c r="D1226" s="586" t="s">
        <v>585</v>
      </c>
      <c r="E1226" s="586" t="s">
        <v>586</v>
      </c>
      <c r="F1226" s="586" t="s">
        <v>276</v>
      </c>
      <c r="G1226" s="586" t="s">
        <v>356</v>
      </c>
      <c r="H1226" s="586" t="s">
        <v>533</v>
      </c>
      <c r="I1226" s="586" t="s">
        <v>277</v>
      </c>
      <c r="J1226" s="586" t="s">
        <v>522</v>
      </c>
      <c r="K1226" s="586" t="s">
        <v>587</v>
      </c>
      <c r="L1226" s="586" t="s">
        <v>536</v>
      </c>
      <c r="M1226" s="586" t="s">
        <v>535</v>
      </c>
      <c r="N1226" s="586" t="s">
        <v>670</v>
      </c>
      <c r="O1226" s="586" t="s">
        <v>670</v>
      </c>
      <c r="P1226" s="586" t="s">
        <v>522</v>
      </c>
      <c r="Q1226" s="586" t="s">
        <v>670</v>
      </c>
      <c r="R1226" s="587">
        <v>45770</v>
      </c>
      <c r="S1226" s="586" t="s">
        <v>278</v>
      </c>
      <c r="T1226" s="587">
        <v>45770</v>
      </c>
      <c r="U1226" s="588">
        <v>6</v>
      </c>
      <c r="V1226" s="589">
        <v>740.4</v>
      </c>
      <c r="W1226" s="260">
        <v>45748</v>
      </c>
      <c r="X1226" s="845"/>
    </row>
    <row r="1227" spans="1:24" hidden="1" x14ac:dyDescent="0.35">
      <c r="A1227" s="586" t="s">
        <v>526</v>
      </c>
      <c r="B1227" s="586" t="s">
        <v>159</v>
      </c>
      <c r="C1227" s="586" t="s">
        <v>584</v>
      </c>
      <c r="D1227" s="586" t="s">
        <v>585</v>
      </c>
      <c r="E1227" s="586" t="s">
        <v>586</v>
      </c>
      <c r="F1227" s="586" t="s">
        <v>276</v>
      </c>
      <c r="G1227" s="586" t="s">
        <v>356</v>
      </c>
      <c r="H1227" s="586" t="s">
        <v>533</v>
      </c>
      <c r="I1227" s="586" t="s">
        <v>277</v>
      </c>
      <c r="J1227" s="586" t="s">
        <v>522</v>
      </c>
      <c r="K1227" s="586" t="s">
        <v>587</v>
      </c>
      <c r="L1227" s="586" t="s">
        <v>536</v>
      </c>
      <c r="M1227" s="586" t="s">
        <v>535</v>
      </c>
      <c r="N1227" s="586" t="s">
        <v>670</v>
      </c>
      <c r="O1227" s="586" t="s">
        <v>670</v>
      </c>
      <c r="P1227" s="586" t="s">
        <v>522</v>
      </c>
      <c r="Q1227" s="586" t="s">
        <v>670</v>
      </c>
      <c r="R1227" s="587">
        <v>45772</v>
      </c>
      <c r="S1227" s="586" t="s">
        <v>278</v>
      </c>
      <c r="T1227" s="587">
        <v>45772</v>
      </c>
      <c r="U1227" s="588">
        <v>6</v>
      </c>
      <c r="V1227" s="589">
        <v>740.4</v>
      </c>
      <c r="W1227" s="260">
        <v>45748</v>
      </c>
      <c r="X1227" s="845"/>
    </row>
    <row r="1228" spans="1:24" hidden="1" x14ac:dyDescent="0.35">
      <c r="A1228" s="586" t="s">
        <v>526</v>
      </c>
      <c r="B1228" s="586" t="s">
        <v>159</v>
      </c>
      <c r="C1228" s="586" t="s">
        <v>584</v>
      </c>
      <c r="D1228" s="586" t="s">
        <v>585</v>
      </c>
      <c r="E1228" s="586" t="s">
        <v>586</v>
      </c>
      <c r="F1228" s="586" t="s">
        <v>276</v>
      </c>
      <c r="G1228" s="586" t="s">
        <v>356</v>
      </c>
      <c r="H1228" s="586" t="s">
        <v>533</v>
      </c>
      <c r="I1228" s="586" t="s">
        <v>277</v>
      </c>
      <c r="J1228" s="586" t="s">
        <v>522</v>
      </c>
      <c r="K1228" s="586" t="s">
        <v>587</v>
      </c>
      <c r="L1228" s="586" t="s">
        <v>536</v>
      </c>
      <c r="M1228" s="586" t="s">
        <v>535</v>
      </c>
      <c r="N1228" s="586" t="s">
        <v>670</v>
      </c>
      <c r="O1228" s="586" t="s">
        <v>670</v>
      </c>
      <c r="P1228" s="586" t="s">
        <v>522</v>
      </c>
      <c r="Q1228" s="586" t="s">
        <v>670</v>
      </c>
      <c r="R1228" s="587">
        <v>45775</v>
      </c>
      <c r="S1228" s="586" t="s">
        <v>278</v>
      </c>
      <c r="T1228" s="587">
        <v>45775</v>
      </c>
      <c r="U1228" s="588">
        <v>6</v>
      </c>
      <c r="V1228" s="589">
        <v>740.4</v>
      </c>
      <c r="W1228" s="260">
        <v>45748</v>
      </c>
      <c r="X1228" s="845"/>
    </row>
    <row r="1229" spans="1:24" hidden="1" x14ac:dyDescent="0.35">
      <c r="A1229" s="586" t="s">
        <v>526</v>
      </c>
      <c r="B1229" s="586" t="s">
        <v>159</v>
      </c>
      <c r="C1229" s="586" t="s">
        <v>584</v>
      </c>
      <c r="D1229" s="586" t="s">
        <v>585</v>
      </c>
      <c r="E1229" s="586" t="s">
        <v>586</v>
      </c>
      <c r="F1229" s="586" t="s">
        <v>276</v>
      </c>
      <c r="G1229" s="586" t="s">
        <v>356</v>
      </c>
      <c r="H1229" s="586" t="s">
        <v>533</v>
      </c>
      <c r="I1229" s="586" t="s">
        <v>277</v>
      </c>
      <c r="J1229" s="586" t="s">
        <v>522</v>
      </c>
      <c r="K1229" s="586" t="s">
        <v>587</v>
      </c>
      <c r="L1229" s="586" t="s">
        <v>536</v>
      </c>
      <c r="M1229" s="586" t="s">
        <v>535</v>
      </c>
      <c r="N1229" s="586" t="s">
        <v>670</v>
      </c>
      <c r="O1229" s="586" t="s">
        <v>670</v>
      </c>
      <c r="P1229" s="586" t="s">
        <v>522</v>
      </c>
      <c r="Q1229" s="586" t="s">
        <v>670</v>
      </c>
      <c r="R1229" s="587">
        <v>45776</v>
      </c>
      <c r="S1229" s="586" t="s">
        <v>278</v>
      </c>
      <c r="T1229" s="587">
        <v>45776</v>
      </c>
      <c r="U1229" s="588">
        <v>6</v>
      </c>
      <c r="V1229" s="589">
        <v>740.4</v>
      </c>
      <c r="W1229" s="260">
        <v>45748</v>
      </c>
      <c r="X1229" s="845"/>
    </row>
    <row r="1230" spans="1:24" hidden="1" x14ac:dyDescent="0.35">
      <c r="A1230" s="586" t="s">
        <v>526</v>
      </c>
      <c r="B1230" s="586" t="s">
        <v>159</v>
      </c>
      <c r="C1230" s="586" t="s">
        <v>584</v>
      </c>
      <c r="D1230" s="586" t="s">
        <v>585</v>
      </c>
      <c r="E1230" s="586" t="s">
        <v>586</v>
      </c>
      <c r="F1230" s="586" t="s">
        <v>276</v>
      </c>
      <c r="G1230" s="586" t="s">
        <v>356</v>
      </c>
      <c r="H1230" s="586" t="s">
        <v>533</v>
      </c>
      <c r="I1230" s="586" t="s">
        <v>277</v>
      </c>
      <c r="J1230" s="586" t="s">
        <v>522</v>
      </c>
      <c r="K1230" s="586" t="s">
        <v>587</v>
      </c>
      <c r="L1230" s="586" t="s">
        <v>536</v>
      </c>
      <c r="M1230" s="586" t="s">
        <v>535</v>
      </c>
      <c r="N1230" s="586" t="s">
        <v>670</v>
      </c>
      <c r="O1230" s="586" t="s">
        <v>670</v>
      </c>
      <c r="P1230" s="586" t="s">
        <v>522</v>
      </c>
      <c r="Q1230" s="586" t="s">
        <v>670</v>
      </c>
      <c r="R1230" s="587">
        <v>45777</v>
      </c>
      <c r="S1230" s="586" t="s">
        <v>278</v>
      </c>
      <c r="T1230" s="587">
        <v>45777</v>
      </c>
      <c r="U1230" s="588">
        <v>6</v>
      </c>
      <c r="V1230" s="589">
        <v>740.4</v>
      </c>
      <c r="W1230" s="260">
        <v>45748</v>
      </c>
      <c r="X1230" s="845"/>
    </row>
    <row r="1231" spans="1:24" hidden="1" x14ac:dyDescent="0.35">
      <c r="A1231" s="586" t="s">
        <v>526</v>
      </c>
      <c r="B1231" s="586" t="s">
        <v>160</v>
      </c>
      <c r="C1231" s="586" t="s">
        <v>670</v>
      </c>
      <c r="D1231" s="586" t="s">
        <v>603</v>
      </c>
      <c r="E1231" s="586" t="s">
        <v>604</v>
      </c>
      <c r="F1231" s="586" t="s">
        <v>588</v>
      </c>
      <c r="G1231" s="586" t="s">
        <v>356</v>
      </c>
      <c r="H1231" s="586" t="s">
        <v>670</v>
      </c>
      <c r="I1231" s="586" t="s">
        <v>277</v>
      </c>
      <c r="J1231" s="586" t="s">
        <v>523</v>
      </c>
      <c r="K1231" s="586" t="s">
        <v>670</v>
      </c>
      <c r="L1231" s="586" t="s">
        <v>536</v>
      </c>
      <c r="M1231" s="586" t="s">
        <v>285</v>
      </c>
      <c r="N1231" s="586" t="s">
        <v>670</v>
      </c>
      <c r="O1231" s="586" t="s">
        <v>636</v>
      </c>
      <c r="P1231" s="586" t="s">
        <v>523</v>
      </c>
      <c r="Q1231" s="586" t="s">
        <v>589</v>
      </c>
      <c r="R1231" s="587">
        <v>45742</v>
      </c>
      <c r="S1231" s="586" t="s">
        <v>670</v>
      </c>
      <c r="T1231" s="587">
        <v>45748</v>
      </c>
      <c r="U1231" s="588">
        <v>0</v>
      </c>
      <c r="V1231" s="589">
        <v>-190575</v>
      </c>
      <c r="W1231" s="260">
        <v>45748</v>
      </c>
    </row>
    <row r="1232" spans="1:24" hidden="1" x14ac:dyDescent="0.35">
      <c r="A1232" s="586" t="s">
        <v>526</v>
      </c>
      <c r="B1232" s="586" t="s">
        <v>160</v>
      </c>
      <c r="C1232" s="586" t="s">
        <v>670</v>
      </c>
      <c r="D1232" s="586" t="s">
        <v>603</v>
      </c>
      <c r="E1232" s="586" t="s">
        <v>604</v>
      </c>
      <c r="F1232" s="586" t="s">
        <v>276</v>
      </c>
      <c r="G1232" s="586" t="s">
        <v>356</v>
      </c>
      <c r="H1232" s="586" t="s">
        <v>670</v>
      </c>
      <c r="I1232" s="586" t="s">
        <v>277</v>
      </c>
      <c r="J1232" s="586" t="s">
        <v>523</v>
      </c>
      <c r="K1232" s="586" t="s">
        <v>670</v>
      </c>
      <c r="L1232" s="586" t="s">
        <v>536</v>
      </c>
      <c r="M1232" s="586" t="s">
        <v>285</v>
      </c>
      <c r="N1232" s="586" t="s">
        <v>670</v>
      </c>
      <c r="O1232" s="586" t="s">
        <v>636</v>
      </c>
      <c r="P1232" s="586" t="s">
        <v>523</v>
      </c>
      <c r="Q1232" s="586" t="s">
        <v>400</v>
      </c>
      <c r="R1232" s="587">
        <v>45771</v>
      </c>
      <c r="S1232" s="586" t="s">
        <v>670</v>
      </c>
      <c r="T1232" s="587">
        <v>45777</v>
      </c>
      <c r="U1232" s="588">
        <v>0</v>
      </c>
      <c r="V1232" s="589">
        <v>190575</v>
      </c>
      <c r="W1232" s="260">
        <v>45748</v>
      </c>
    </row>
    <row r="1233" spans="1:23" hidden="1" x14ac:dyDescent="0.35">
      <c r="A1233" s="586" t="s">
        <v>526</v>
      </c>
      <c r="B1233" s="586" t="s">
        <v>53</v>
      </c>
      <c r="C1233" s="586" t="s">
        <v>670</v>
      </c>
      <c r="D1233" s="586" t="s">
        <v>385</v>
      </c>
      <c r="E1233" s="586" t="s">
        <v>386</v>
      </c>
      <c r="F1233" s="586" t="s">
        <v>276</v>
      </c>
      <c r="G1233" s="586" t="s">
        <v>356</v>
      </c>
      <c r="H1233" s="586" t="s">
        <v>670</v>
      </c>
      <c r="I1233" s="586" t="s">
        <v>277</v>
      </c>
      <c r="J1233" s="586" t="s">
        <v>524</v>
      </c>
      <c r="K1233" s="586" t="s">
        <v>670</v>
      </c>
      <c r="L1233" s="586" t="s">
        <v>536</v>
      </c>
      <c r="M1233" s="586" t="s">
        <v>285</v>
      </c>
      <c r="N1233" s="586" t="s">
        <v>670</v>
      </c>
      <c r="O1233" s="586" t="s">
        <v>675</v>
      </c>
      <c r="P1233" s="586" t="s">
        <v>524</v>
      </c>
      <c r="Q1233" s="586" t="s">
        <v>400</v>
      </c>
      <c r="R1233" s="587">
        <v>45771</v>
      </c>
      <c r="S1233" s="586" t="s">
        <v>670</v>
      </c>
      <c r="T1233" s="587">
        <v>45777</v>
      </c>
      <c r="U1233" s="588">
        <v>0</v>
      </c>
      <c r="V1233" s="589">
        <v>10080</v>
      </c>
      <c r="W1233" s="260">
        <v>45748</v>
      </c>
    </row>
    <row r="1234" spans="1:23" hidden="1" x14ac:dyDescent="0.35">
      <c r="A1234" s="586" t="s">
        <v>526</v>
      </c>
      <c r="B1234" s="586" t="s">
        <v>53</v>
      </c>
      <c r="C1234" s="586" t="s">
        <v>670</v>
      </c>
      <c r="D1234" s="586" t="s">
        <v>385</v>
      </c>
      <c r="E1234" s="586" t="s">
        <v>386</v>
      </c>
      <c r="F1234" s="586" t="s">
        <v>276</v>
      </c>
      <c r="G1234" s="586" t="s">
        <v>356</v>
      </c>
      <c r="H1234" s="586" t="s">
        <v>670</v>
      </c>
      <c r="I1234" s="586" t="s">
        <v>277</v>
      </c>
      <c r="J1234" s="586" t="s">
        <v>524</v>
      </c>
      <c r="K1234" s="586" t="s">
        <v>670</v>
      </c>
      <c r="L1234" s="586" t="s">
        <v>536</v>
      </c>
      <c r="M1234" s="586" t="s">
        <v>285</v>
      </c>
      <c r="N1234" s="586" t="s">
        <v>670</v>
      </c>
      <c r="O1234" s="586" t="s">
        <v>676</v>
      </c>
      <c r="P1234" s="586" t="s">
        <v>524</v>
      </c>
      <c r="Q1234" s="586" t="s">
        <v>400</v>
      </c>
      <c r="R1234" s="587">
        <v>45771</v>
      </c>
      <c r="S1234" s="586" t="s">
        <v>670</v>
      </c>
      <c r="T1234" s="587">
        <v>45777</v>
      </c>
      <c r="U1234" s="588">
        <v>0</v>
      </c>
      <c r="V1234" s="589">
        <v>5040</v>
      </c>
      <c r="W1234" s="260">
        <v>45748</v>
      </c>
    </row>
    <row r="1235" spans="1:23" hidden="1" x14ac:dyDescent="0.35">
      <c r="A1235" s="586" t="s">
        <v>526</v>
      </c>
      <c r="B1235" s="586" t="s">
        <v>53</v>
      </c>
      <c r="C1235" s="586" t="s">
        <v>521</v>
      </c>
      <c r="D1235" s="586" t="s">
        <v>681</v>
      </c>
      <c r="E1235" s="586" t="s">
        <v>682</v>
      </c>
      <c r="F1235" s="586" t="s">
        <v>276</v>
      </c>
      <c r="G1235" s="586" t="s">
        <v>356</v>
      </c>
      <c r="H1235" s="586" t="s">
        <v>670</v>
      </c>
      <c r="I1235" s="586" t="s">
        <v>277</v>
      </c>
      <c r="J1235" s="586" t="s">
        <v>524</v>
      </c>
      <c r="K1235" s="586" t="s">
        <v>683</v>
      </c>
      <c r="L1235" s="586" t="s">
        <v>536</v>
      </c>
      <c r="M1235" s="586" t="s">
        <v>285</v>
      </c>
      <c r="N1235" s="586" t="s">
        <v>670</v>
      </c>
      <c r="O1235" s="586" t="s">
        <v>670</v>
      </c>
      <c r="P1235" s="586" t="s">
        <v>524</v>
      </c>
      <c r="Q1235" s="586" t="s">
        <v>670</v>
      </c>
      <c r="R1235" s="587">
        <v>45778</v>
      </c>
      <c r="S1235" s="586" t="s">
        <v>670</v>
      </c>
      <c r="T1235" s="587">
        <v>45777</v>
      </c>
      <c r="U1235" s="588">
        <v>0</v>
      </c>
      <c r="V1235" s="589">
        <v>9898</v>
      </c>
      <c r="W1235" s="260">
        <v>45748</v>
      </c>
    </row>
    <row r="1236" spans="1:23" hidden="1" x14ac:dyDescent="0.35">
      <c r="A1236" s="586" t="s">
        <v>526</v>
      </c>
      <c r="B1236" s="586" t="s">
        <v>53</v>
      </c>
      <c r="C1236" s="586" t="s">
        <v>670</v>
      </c>
      <c r="D1236" s="586" t="s">
        <v>575</v>
      </c>
      <c r="E1236" s="586" t="s">
        <v>576</v>
      </c>
      <c r="F1236" s="586" t="s">
        <v>588</v>
      </c>
      <c r="G1236" s="586" t="s">
        <v>356</v>
      </c>
      <c r="H1236" s="586" t="s">
        <v>670</v>
      </c>
      <c r="I1236" s="586" t="s">
        <v>277</v>
      </c>
      <c r="J1236" s="586" t="s">
        <v>524</v>
      </c>
      <c r="K1236" s="586" t="s">
        <v>670</v>
      </c>
      <c r="L1236" s="586" t="s">
        <v>536</v>
      </c>
      <c r="M1236" s="586" t="s">
        <v>285</v>
      </c>
      <c r="N1236" s="586" t="s">
        <v>670</v>
      </c>
      <c r="O1236" s="586" t="s">
        <v>601</v>
      </c>
      <c r="P1236" s="586" t="s">
        <v>524</v>
      </c>
      <c r="Q1236" s="586" t="s">
        <v>589</v>
      </c>
      <c r="R1236" s="587">
        <v>45742</v>
      </c>
      <c r="S1236" s="586" t="s">
        <v>670</v>
      </c>
      <c r="T1236" s="587">
        <v>45748</v>
      </c>
      <c r="U1236" s="588">
        <v>0</v>
      </c>
      <c r="V1236" s="589">
        <v>-12750</v>
      </c>
      <c r="W1236" s="260">
        <v>45748</v>
      </c>
    </row>
    <row r="1237" spans="1:23" hidden="1" x14ac:dyDescent="0.35">
      <c r="A1237" s="586" t="s">
        <v>526</v>
      </c>
      <c r="B1237" s="586" t="s">
        <v>53</v>
      </c>
      <c r="C1237" s="586" t="s">
        <v>670</v>
      </c>
      <c r="D1237" s="586" t="s">
        <v>575</v>
      </c>
      <c r="E1237" s="586" t="s">
        <v>576</v>
      </c>
      <c r="F1237" s="586" t="s">
        <v>588</v>
      </c>
      <c r="G1237" s="586" t="s">
        <v>356</v>
      </c>
      <c r="H1237" s="586" t="s">
        <v>670</v>
      </c>
      <c r="I1237" s="586" t="s">
        <v>277</v>
      </c>
      <c r="J1237" s="586" t="s">
        <v>524</v>
      </c>
      <c r="K1237" s="586" t="s">
        <v>670</v>
      </c>
      <c r="L1237" s="586" t="s">
        <v>536</v>
      </c>
      <c r="M1237" s="586" t="s">
        <v>285</v>
      </c>
      <c r="N1237" s="586" t="s">
        <v>670</v>
      </c>
      <c r="O1237" s="586" t="s">
        <v>601</v>
      </c>
      <c r="P1237" s="586" t="s">
        <v>524</v>
      </c>
      <c r="Q1237" s="586" t="s">
        <v>589</v>
      </c>
      <c r="R1237" s="587">
        <v>45742</v>
      </c>
      <c r="S1237" s="586" t="s">
        <v>670</v>
      </c>
      <c r="T1237" s="587">
        <v>45748</v>
      </c>
      <c r="U1237" s="588">
        <v>0</v>
      </c>
      <c r="V1237" s="589">
        <v>-155892</v>
      </c>
      <c r="W1237" s="260">
        <v>45748</v>
      </c>
    </row>
    <row r="1238" spans="1:23" hidden="1" x14ac:dyDescent="0.35">
      <c r="A1238" s="586" t="s">
        <v>526</v>
      </c>
      <c r="B1238" s="586" t="s">
        <v>53</v>
      </c>
      <c r="C1238" s="586" t="s">
        <v>670</v>
      </c>
      <c r="D1238" s="586" t="s">
        <v>575</v>
      </c>
      <c r="E1238" s="586" t="s">
        <v>576</v>
      </c>
      <c r="F1238" s="586" t="s">
        <v>588</v>
      </c>
      <c r="G1238" s="586" t="s">
        <v>356</v>
      </c>
      <c r="H1238" s="586" t="s">
        <v>670</v>
      </c>
      <c r="I1238" s="586" t="s">
        <v>277</v>
      </c>
      <c r="J1238" s="586" t="s">
        <v>524</v>
      </c>
      <c r="K1238" s="586" t="s">
        <v>670</v>
      </c>
      <c r="L1238" s="586" t="s">
        <v>536</v>
      </c>
      <c r="M1238" s="586" t="s">
        <v>285</v>
      </c>
      <c r="N1238" s="586" t="s">
        <v>670</v>
      </c>
      <c r="O1238" s="586" t="s">
        <v>399</v>
      </c>
      <c r="P1238" s="586" t="s">
        <v>524</v>
      </c>
      <c r="Q1238" s="586" t="s">
        <v>589</v>
      </c>
      <c r="R1238" s="587">
        <v>45742</v>
      </c>
      <c r="S1238" s="586" t="s">
        <v>670</v>
      </c>
      <c r="T1238" s="587">
        <v>45748</v>
      </c>
      <c r="U1238" s="588">
        <v>0</v>
      </c>
      <c r="V1238" s="589">
        <v>-1500</v>
      </c>
      <c r="W1238" s="260">
        <v>45748</v>
      </c>
    </row>
    <row r="1239" spans="1:23" hidden="1" x14ac:dyDescent="0.35">
      <c r="A1239" s="586" t="s">
        <v>526</v>
      </c>
      <c r="B1239" s="586" t="s">
        <v>53</v>
      </c>
      <c r="C1239" s="586" t="s">
        <v>670</v>
      </c>
      <c r="D1239" s="586" t="s">
        <v>575</v>
      </c>
      <c r="E1239" s="586" t="s">
        <v>576</v>
      </c>
      <c r="F1239" s="586" t="s">
        <v>588</v>
      </c>
      <c r="G1239" s="586" t="s">
        <v>356</v>
      </c>
      <c r="H1239" s="586" t="s">
        <v>670</v>
      </c>
      <c r="I1239" s="586" t="s">
        <v>277</v>
      </c>
      <c r="J1239" s="586" t="s">
        <v>524</v>
      </c>
      <c r="K1239" s="586" t="s">
        <v>670</v>
      </c>
      <c r="L1239" s="586" t="s">
        <v>536</v>
      </c>
      <c r="M1239" s="586" t="s">
        <v>285</v>
      </c>
      <c r="N1239" s="586" t="s">
        <v>670</v>
      </c>
      <c r="O1239" s="586" t="s">
        <v>399</v>
      </c>
      <c r="P1239" s="586" t="s">
        <v>524</v>
      </c>
      <c r="Q1239" s="586" t="s">
        <v>589</v>
      </c>
      <c r="R1239" s="587">
        <v>45742</v>
      </c>
      <c r="S1239" s="586" t="s">
        <v>670</v>
      </c>
      <c r="T1239" s="587">
        <v>45748</v>
      </c>
      <c r="U1239" s="588">
        <v>0</v>
      </c>
      <c r="V1239" s="589">
        <v>-1500</v>
      </c>
      <c r="W1239" s="260">
        <v>45748</v>
      </c>
    </row>
    <row r="1240" spans="1:23" hidden="1" x14ac:dyDescent="0.35">
      <c r="A1240" s="586" t="s">
        <v>526</v>
      </c>
      <c r="B1240" s="586" t="s">
        <v>53</v>
      </c>
      <c r="C1240" s="586" t="s">
        <v>670</v>
      </c>
      <c r="D1240" s="586" t="s">
        <v>575</v>
      </c>
      <c r="E1240" s="586" t="s">
        <v>576</v>
      </c>
      <c r="F1240" s="586" t="s">
        <v>588</v>
      </c>
      <c r="G1240" s="586" t="s">
        <v>356</v>
      </c>
      <c r="H1240" s="586" t="s">
        <v>670</v>
      </c>
      <c r="I1240" s="586" t="s">
        <v>277</v>
      </c>
      <c r="J1240" s="586" t="s">
        <v>524</v>
      </c>
      <c r="K1240" s="586" t="s">
        <v>670</v>
      </c>
      <c r="L1240" s="586" t="s">
        <v>536</v>
      </c>
      <c r="M1240" s="586" t="s">
        <v>285</v>
      </c>
      <c r="N1240" s="586" t="s">
        <v>670</v>
      </c>
      <c r="O1240" s="586" t="s">
        <v>662</v>
      </c>
      <c r="P1240" s="586" t="s">
        <v>524</v>
      </c>
      <c r="Q1240" s="586" t="s">
        <v>589</v>
      </c>
      <c r="R1240" s="587">
        <v>45742</v>
      </c>
      <c r="S1240" s="586" t="s">
        <v>670</v>
      </c>
      <c r="T1240" s="587">
        <v>45748</v>
      </c>
      <c r="U1240" s="588">
        <v>0</v>
      </c>
      <c r="V1240" s="589">
        <v>-5108.8</v>
      </c>
      <c r="W1240" s="260">
        <v>45748</v>
      </c>
    </row>
    <row r="1241" spans="1:23" hidden="1" x14ac:dyDescent="0.35">
      <c r="A1241" s="586" t="s">
        <v>526</v>
      </c>
      <c r="B1241" s="586" t="s">
        <v>53</v>
      </c>
      <c r="C1241" s="586" t="s">
        <v>670</v>
      </c>
      <c r="D1241" s="586" t="s">
        <v>575</v>
      </c>
      <c r="E1241" s="586" t="s">
        <v>576</v>
      </c>
      <c r="F1241" s="586" t="s">
        <v>588</v>
      </c>
      <c r="G1241" s="586" t="s">
        <v>356</v>
      </c>
      <c r="H1241" s="586" t="s">
        <v>670</v>
      </c>
      <c r="I1241" s="586" t="s">
        <v>277</v>
      </c>
      <c r="J1241" s="586" t="s">
        <v>524</v>
      </c>
      <c r="K1241" s="586" t="s">
        <v>670</v>
      </c>
      <c r="L1241" s="586" t="s">
        <v>536</v>
      </c>
      <c r="M1241" s="586" t="s">
        <v>285</v>
      </c>
      <c r="N1241" s="586" t="s">
        <v>670</v>
      </c>
      <c r="O1241" s="586" t="s">
        <v>591</v>
      </c>
      <c r="P1241" s="586" t="s">
        <v>524</v>
      </c>
      <c r="Q1241" s="586" t="s">
        <v>589</v>
      </c>
      <c r="R1241" s="587">
        <v>45742</v>
      </c>
      <c r="S1241" s="586" t="s">
        <v>670</v>
      </c>
      <c r="T1241" s="587">
        <v>45748</v>
      </c>
      <c r="U1241" s="588">
        <v>0</v>
      </c>
      <c r="V1241" s="589">
        <v>-16500</v>
      </c>
      <c r="W1241" s="260">
        <v>45748</v>
      </c>
    </row>
    <row r="1242" spans="1:23" hidden="1" x14ac:dyDescent="0.35">
      <c r="A1242" s="586" t="s">
        <v>526</v>
      </c>
      <c r="B1242" s="586" t="s">
        <v>53</v>
      </c>
      <c r="C1242" s="586" t="s">
        <v>670</v>
      </c>
      <c r="D1242" s="586" t="s">
        <v>575</v>
      </c>
      <c r="E1242" s="586" t="s">
        <v>576</v>
      </c>
      <c r="F1242" s="586" t="s">
        <v>276</v>
      </c>
      <c r="G1242" s="586" t="s">
        <v>356</v>
      </c>
      <c r="H1242" s="586" t="s">
        <v>670</v>
      </c>
      <c r="I1242" s="586" t="s">
        <v>277</v>
      </c>
      <c r="J1242" s="586" t="s">
        <v>524</v>
      </c>
      <c r="K1242" s="586" t="s">
        <v>670</v>
      </c>
      <c r="L1242" s="586" t="s">
        <v>536</v>
      </c>
      <c r="M1242" s="586" t="s">
        <v>285</v>
      </c>
      <c r="N1242" s="586" t="s">
        <v>670</v>
      </c>
      <c r="O1242" s="586" t="s">
        <v>601</v>
      </c>
      <c r="P1242" s="586" t="s">
        <v>524</v>
      </c>
      <c r="Q1242" s="586" t="s">
        <v>400</v>
      </c>
      <c r="R1242" s="587">
        <v>45771</v>
      </c>
      <c r="S1242" s="586" t="s">
        <v>670</v>
      </c>
      <c r="T1242" s="587">
        <v>45777</v>
      </c>
      <c r="U1242" s="588">
        <v>0</v>
      </c>
      <c r="V1242" s="589">
        <v>12750</v>
      </c>
      <c r="W1242" s="260">
        <v>45748</v>
      </c>
    </row>
    <row r="1243" spans="1:23" hidden="1" x14ac:dyDescent="0.35">
      <c r="A1243" s="586" t="s">
        <v>526</v>
      </c>
      <c r="B1243" s="586" t="s">
        <v>53</v>
      </c>
      <c r="C1243" s="586" t="s">
        <v>670</v>
      </c>
      <c r="D1243" s="586" t="s">
        <v>575</v>
      </c>
      <c r="E1243" s="586" t="s">
        <v>576</v>
      </c>
      <c r="F1243" s="586" t="s">
        <v>276</v>
      </c>
      <c r="G1243" s="586" t="s">
        <v>356</v>
      </c>
      <c r="H1243" s="586" t="s">
        <v>670</v>
      </c>
      <c r="I1243" s="586" t="s">
        <v>277</v>
      </c>
      <c r="J1243" s="586" t="s">
        <v>524</v>
      </c>
      <c r="K1243" s="586" t="s">
        <v>670</v>
      </c>
      <c r="L1243" s="586" t="s">
        <v>536</v>
      </c>
      <c r="M1243" s="586" t="s">
        <v>285</v>
      </c>
      <c r="N1243" s="586" t="s">
        <v>670</v>
      </c>
      <c r="O1243" s="586" t="s">
        <v>601</v>
      </c>
      <c r="P1243" s="586" t="s">
        <v>524</v>
      </c>
      <c r="Q1243" s="586" t="s">
        <v>400</v>
      </c>
      <c r="R1243" s="587">
        <v>45771</v>
      </c>
      <c r="S1243" s="586" t="s">
        <v>670</v>
      </c>
      <c r="T1243" s="587">
        <v>45777</v>
      </c>
      <c r="U1243" s="588">
        <v>0</v>
      </c>
      <c r="V1243" s="589">
        <v>155892</v>
      </c>
      <c r="W1243" s="260">
        <v>45748</v>
      </c>
    </row>
    <row r="1244" spans="1:23" hidden="1" x14ac:dyDescent="0.35">
      <c r="A1244" s="586" t="s">
        <v>526</v>
      </c>
      <c r="B1244" s="586" t="s">
        <v>53</v>
      </c>
      <c r="C1244" s="586" t="s">
        <v>670</v>
      </c>
      <c r="D1244" s="586" t="s">
        <v>575</v>
      </c>
      <c r="E1244" s="586" t="s">
        <v>576</v>
      </c>
      <c r="F1244" s="586" t="s">
        <v>276</v>
      </c>
      <c r="G1244" s="586" t="s">
        <v>356</v>
      </c>
      <c r="H1244" s="586" t="s">
        <v>670</v>
      </c>
      <c r="I1244" s="586" t="s">
        <v>277</v>
      </c>
      <c r="J1244" s="586" t="s">
        <v>524</v>
      </c>
      <c r="K1244" s="586" t="s">
        <v>670</v>
      </c>
      <c r="L1244" s="586" t="s">
        <v>536</v>
      </c>
      <c r="M1244" s="586" t="s">
        <v>285</v>
      </c>
      <c r="N1244" s="586" t="s">
        <v>670</v>
      </c>
      <c r="O1244" s="586" t="s">
        <v>601</v>
      </c>
      <c r="P1244" s="586" t="s">
        <v>524</v>
      </c>
      <c r="Q1244" s="586" t="s">
        <v>400</v>
      </c>
      <c r="R1244" s="587">
        <v>45771</v>
      </c>
      <c r="S1244" s="586" t="s">
        <v>670</v>
      </c>
      <c r="T1244" s="587">
        <v>45777</v>
      </c>
      <c r="U1244" s="588">
        <v>0</v>
      </c>
      <c r="V1244" s="589">
        <v>163375</v>
      </c>
      <c r="W1244" s="260">
        <v>45748</v>
      </c>
    </row>
    <row r="1245" spans="1:23" hidden="1" x14ac:dyDescent="0.35">
      <c r="A1245" s="586" t="s">
        <v>526</v>
      </c>
      <c r="B1245" s="586" t="s">
        <v>53</v>
      </c>
      <c r="C1245" s="586" t="s">
        <v>670</v>
      </c>
      <c r="D1245" s="586" t="s">
        <v>575</v>
      </c>
      <c r="E1245" s="586" t="s">
        <v>576</v>
      </c>
      <c r="F1245" s="586" t="s">
        <v>276</v>
      </c>
      <c r="G1245" s="586" t="s">
        <v>356</v>
      </c>
      <c r="H1245" s="586" t="s">
        <v>670</v>
      </c>
      <c r="I1245" s="586" t="s">
        <v>277</v>
      </c>
      <c r="J1245" s="586" t="s">
        <v>524</v>
      </c>
      <c r="K1245" s="586" t="s">
        <v>670</v>
      </c>
      <c r="L1245" s="586" t="s">
        <v>536</v>
      </c>
      <c r="M1245" s="586" t="s">
        <v>285</v>
      </c>
      <c r="N1245" s="586" t="s">
        <v>670</v>
      </c>
      <c r="O1245" s="586" t="s">
        <v>399</v>
      </c>
      <c r="P1245" s="586" t="s">
        <v>524</v>
      </c>
      <c r="Q1245" s="586" t="s">
        <v>400</v>
      </c>
      <c r="R1245" s="587">
        <v>45771</v>
      </c>
      <c r="S1245" s="586" t="s">
        <v>670</v>
      </c>
      <c r="T1245" s="587">
        <v>45777</v>
      </c>
      <c r="U1245" s="588">
        <v>0</v>
      </c>
      <c r="V1245" s="589">
        <v>1500</v>
      </c>
      <c r="W1245" s="260">
        <v>45748</v>
      </c>
    </row>
    <row r="1246" spans="1:23" hidden="1" x14ac:dyDescent="0.35">
      <c r="A1246" s="586" t="s">
        <v>526</v>
      </c>
      <c r="B1246" s="586" t="s">
        <v>53</v>
      </c>
      <c r="C1246" s="586" t="s">
        <v>670</v>
      </c>
      <c r="D1246" s="586" t="s">
        <v>575</v>
      </c>
      <c r="E1246" s="586" t="s">
        <v>576</v>
      </c>
      <c r="F1246" s="586" t="s">
        <v>276</v>
      </c>
      <c r="G1246" s="586" t="s">
        <v>356</v>
      </c>
      <c r="H1246" s="586" t="s">
        <v>670</v>
      </c>
      <c r="I1246" s="586" t="s">
        <v>277</v>
      </c>
      <c r="J1246" s="586" t="s">
        <v>524</v>
      </c>
      <c r="K1246" s="586" t="s">
        <v>670</v>
      </c>
      <c r="L1246" s="586" t="s">
        <v>536</v>
      </c>
      <c r="M1246" s="586" t="s">
        <v>285</v>
      </c>
      <c r="N1246" s="586" t="s">
        <v>670</v>
      </c>
      <c r="O1246" s="586" t="s">
        <v>399</v>
      </c>
      <c r="P1246" s="586" t="s">
        <v>524</v>
      </c>
      <c r="Q1246" s="586" t="s">
        <v>400</v>
      </c>
      <c r="R1246" s="587">
        <v>45771</v>
      </c>
      <c r="S1246" s="586" t="s">
        <v>670</v>
      </c>
      <c r="T1246" s="587">
        <v>45777</v>
      </c>
      <c r="U1246" s="588">
        <v>0</v>
      </c>
      <c r="V1246" s="589">
        <v>1500</v>
      </c>
      <c r="W1246" s="260">
        <v>45748</v>
      </c>
    </row>
    <row r="1247" spans="1:23" hidden="1" x14ac:dyDescent="0.35">
      <c r="A1247" s="586" t="s">
        <v>526</v>
      </c>
      <c r="B1247" s="586" t="s">
        <v>53</v>
      </c>
      <c r="C1247" s="586" t="s">
        <v>670</v>
      </c>
      <c r="D1247" s="586" t="s">
        <v>575</v>
      </c>
      <c r="E1247" s="586" t="s">
        <v>576</v>
      </c>
      <c r="F1247" s="586" t="s">
        <v>276</v>
      </c>
      <c r="G1247" s="586" t="s">
        <v>356</v>
      </c>
      <c r="H1247" s="586" t="s">
        <v>670</v>
      </c>
      <c r="I1247" s="586" t="s">
        <v>277</v>
      </c>
      <c r="J1247" s="586" t="s">
        <v>524</v>
      </c>
      <c r="K1247" s="586" t="s">
        <v>670</v>
      </c>
      <c r="L1247" s="586" t="s">
        <v>536</v>
      </c>
      <c r="M1247" s="586" t="s">
        <v>285</v>
      </c>
      <c r="N1247" s="586" t="s">
        <v>670</v>
      </c>
      <c r="O1247" s="586" t="s">
        <v>662</v>
      </c>
      <c r="P1247" s="586" t="s">
        <v>524</v>
      </c>
      <c r="Q1247" s="586" t="s">
        <v>400</v>
      </c>
      <c r="R1247" s="587">
        <v>45771</v>
      </c>
      <c r="S1247" s="586" t="s">
        <v>670</v>
      </c>
      <c r="T1247" s="587">
        <v>45777</v>
      </c>
      <c r="U1247" s="588">
        <v>0</v>
      </c>
      <c r="V1247" s="589">
        <v>5109</v>
      </c>
      <c r="W1247" s="260">
        <v>45748</v>
      </c>
    </row>
    <row r="1248" spans="1:23" hidden="1" x14ac:dyDescent="0.35">
      <c r="A1248" s="586" t="s">
        <v>526</v>
      </c>
      <c r="B1248" s="586" t="s">
        <v>53</v>
      </c>
      <c r="C1248" s="586" t="s">
        <v>670</v>
      </c>
      <c r="D1248" s="586" t="s">
        <v>575</v>
      </c>
      <c r="E1248" s="586" t="s">
        <v>576</v>
      </c>
      <c r="F1248" s="586" t="s">
        <v>276</v>
      </c>
      <c r="G1248" s="586" t="s">
        <v>356</v>
      </c>
      <c r="H1248" s="586" t="s">
        <v>670</v>
      </c>
      <c r="I1248" s="586" t="s">
        <v>277</v>
      </c>
      <c r="J1248" s="586" t="s">
        <v>524</v>
      </c>
      <c r="K1248" s="586" t="s">
        <v>670</v>
      </c>
      <c r="L1248" s="586" t="s">
        <v>536</v>
      </c>
      <c r="M1248" s="586" t="s">
        <v>285</v>
      </c>
      <c r="N1248" s="586" t="s">
        <v>670</v>
      </c>
      <c r="O1248" s="586" t="s">
        <v>662</v>
      </c>
      <c r="P1248" s="586" t="s">
        <v>524</v>
      </c>
      <c r="Q1248" s="586" t="s">
        <v>400</v>
      </c>
      <c r="R1248" s="587">
        <v>45771</v>
      </c>
      <c r="S1248" s="586" t="s">
        <v>670</v>
      </c>
      <c r="T1248" s="587">
        <v>45777</v>
      </c>
      <c r="U1248" s="588">
        <v>0</v>
      </c>
      <c r="V1248" s="589">
        <v>659.2</v>
      </c>
      <c r="W1248" s="260">
        <v>45748</v>
      </c>
    </row>
    <row r="1249" spans="1:23" hidden="1" x14ac:dyDescent="0.35">
      <c r="A1249" s="586" t="s">
        <v>526</v>
      </c>
      <c r="B1249" s="586" t="s">
        <v>53</v>
      </c>
      <c r="C1249" s="586" t="s">
        <v>670</v>
      </c>
      <c r="D1249" s="586" t="s">
        <v>575</v>
      </c>
      <c r="E1249" s="586" t="s">
        <v>576</v>
      </c>
      <c r="F1249" s="586" t="s">
        <v>276</v>
      </c>
      <c r="G1249" s="586" t="s">
        <v>356</v>
      </c>
      <c r="H1249" s="586" t="s">
        <v>670</v>
      </c>
      <c r="I1249" s="586" t="s">
        <v>277</v>
      </c>
      <c r="J1249" s="586" t="s">
        <v>524</v>
      </c>
      <c r="K1249" s="586" t="s">
        <v>670</v>
      </c>
      <c r="L1249" s="586" t="s">
        <v>536</v>
      </c>
      <c r="M1249" s="586" t="s">
        <v>285</v>
      </c>
      <c r="N1249" s="586" t="s">
        <v>670</v>
      </c>
      <c r="O1249" s="586" t="s">
        <v>591</v>
      </c>
      <c r="P1249" s="586" t="s">
        <v>524</v>
      </c>
      <c r="Q1249" s="586" t="s">
        <v>400</v>
      </c>
      <c r="R1249" s="587">
        <v>45771</v>
      </c>
      <c r="S1249" s="586" t="s">
        <v>670</v>
      </c>
      <c r="T1249" s="587">
        <v>45777</v>
      </c>
      <c r="U1249" s="588">
        <v>0</v>
      </c>
      <c r="V1249" s="589">
        <v>16500</v>
      </c>
      <c r="W1249" s="260">
        <v>45748</v>
      </c>
    </row>
    <row r="1250" spans="1:23" hidden="1" x14ac:dyDescent="0.35">
      <c r="A1250" s="586" t="s">
        <v>526</v>
      </c>
      <c r="B1250" s="586" t="s">
        <v>53</v>
      </c>
      <c r="C1250" s="586" t="s">
        <v>670</v>
      </c>
      <c r="D1250" s="586" t="s">
        <v>575</v>
      </c>
      <c r="E1250" s="586" t="s">
        <v>576</v>
      </c>
      <c r="F1250" s="586" t="s">
        <v>276</v>
      </c>
      <c r="G1250" s="586" t="s">
        <v>356</v>
      </c>
      <c r="H1250" s="586" t="s">
        <v>670</v>
      </c>
      <c r="I1250" s="586" t="s">
        <v>277</v>
      </c>
      <c r="J1250" s="586" t="s">
        <v>524</v>
      </c>
      <c r="K1250" s="586" t="s">
        <v>670</v>
      </c>
      <c r="L1250" s="586" t="s">
        <v>536</v>
      </c>
      <c r="M1250" s="586" t="s">
        <v>285</v>
      </c>
      <c r="N1250" s="586" t="s">
        <v>670</v>
      </c>
      <c r="O1250" s="586" t="s">
        <v>591</v>
      </c>
      <c r="P1250" s="586" t="s">
        <v>524</v>
      </c>
      <c r="Q1250" s="586" t="s">
        <v>400</v>
      </c>
      <c r="R1250" s="587">
        <v>45771</v>
      </c>
      <c r="S1250" s="586" t="s">
        <v>670</v>
      </c>
      <c r="T1250" s="587">
        <v>45777</v>
      </c>
      <c r="U1250" s="588">
        <v>0</v>
      </c>
      <c r="V1250" s="589">
        <v>5500</v>
      </c>
      <c r="W1250" s="260">
        <v>45748</v>
      </c>
    </row>
    <row r="1251" spans="1:23" hidden="1" x14ac:dyDescent="0.35">
      <c r="A1251" s="586" t="s">
        <v>526</v>
      </c>
      <c r="B1251" s="586" t="s">
        <v>159</v>
      </c>
      <c r="C1251" s="586" t="s">
        <v>281</v>
      </c>
      <c r="D1251" s="586" t="s">
        <v>282</v>
      </c>
      <c r="E1251" s="586" t="s">
        <v>283</v>
      </c>
      <c r="F1251" s="586" t="s">
        <v>276</v>
      </c>
      <c r="G1251" s="586" t="s">
        <v>356</v>
      </c>
      <c r="H1251" s="586" t="s">
        <v>670</v>
      </c>
      <c r="I1251" s="586" t="s">
        <v>277</v>
      </c>
      <c r="J1251" s="586" t="s">
        <v>522</v>
      </c>
      <c r="K1251" s="586" t="s">
        <v>284</v>
      </c>
      <c r="L1251" s="586" t="s">
        <v>581</v>
      </c>
      <c r="M1251" s="586" t="s">
        <v>285</v>
      </c>
      <c r="N1251" s="586" t="s">
        <v>670</v>
      </c>
      <c r="O1251" s="586" t="s">
        <v>670</v>
      </c>
      <c r="P1251" s="586" t="s">
        <v>522</v>
      </c>
      <c r="Q1251" s="586" t="s">
        <v>670</v>
      </c>
      <c r="R1251" s="587">
        <v>45839</v>
      </c>
      <c r="S1251" s="586" t="s">
        <v>670</v>
      </c>
      <c r="T1251" s="587">
        <v>45838</v>
      </c>
      <c r="U1251" s="588">
        <v>0</v>
      </c>
      <c r="V1251" s="589">
        <v>149.82</v>
      </c>
      <c r="W1251" s="260">
        <v>45809</v>
      </c>
    </row>
    <row r="1252" spans="1:23" hidden="1" x14ac:dyDescent="0.35">
      <c r="A1252" s="586" t="s">
        <v>526</v>
      </c>
      <c r="B1252" s="586" t="s">
        <v>159</v>
      </c>
      <c r="C1252" s="586" t="s">
        <v>286</v>
      </c>
      <c r="D1252" s="586" t="s">
        <v>287</v>
      </c>
      <c r="E1252" s="586" t="s">
        <v>288</v>
      </c>
      <c r="F1252" s="586" t="s">
        <v>276</v>
      </c>
      <c r="G1252" s="586" t="s">
        <v>356</v>
      </c>
      <c r="H1252" s="586" t="s">
        <v>670</v>
      </c>
      <c r="I1252" s="586" t="s">
        <v>277</v>
      </c>
      <c r="J1252" s="586" t="s">
        <v>522</v>
      </c>
      <c r="K1252" s="586" t="s">
        <v>289</v>
      </c>
      <c r="L1252" s="586" t="s">
        <v>581</v>
      </c>
      <c r="M1252" s="586" t="s">
        <v>285</v>
      </c>
      <c r="N1252" s="586" t="s">
        <v>670</v>
      </c>
      <c r="O1252" s="586" t="s">
        <v>670</v>
      </c>
      <c r="P1252" s="586" t="s">
        <v>522</v>
      </c>
      <c r="Q1252" s="586" t="s">
        <v>670</v>
      </c>
      <c r="R1252" s="587">
        <v>45839</v>
      </c>
      <c r="S1252" s="586" t="s">
        <v>670</v>
      </c>
      <c r="T1252" s="587">
        <v>45838</v>
      </c>
      <c r="U1252" s="588">
        <v>0</v>
      </c>
      <c r="V1252" s="589">
        <v>420.26</v>
      </c>
      <c r="W1252" s="260">
        <v>45809</v>
      </c>
    </row>
    <row r="1253" spans="1:23" hidden="1" x14ac:dyDescent="0.35">
      <c r="A1253" s="586" t="s">
        <v>526</v>
      </c>
      <c r="B1253" s="586" t="s">
        <v>159</v>
      </c>
      <c r="C1253" s="586" t="s">
        <v>281</v>
      </c>
      <c r="D1253" s="586" t="s">
        <v>290</v>
      </c>
      <c r="E1253" s="586" t="s">
        <v>291</v>
      </c>
      <c r="F1253" s="586" t="s">
        <v>276</v>
      </c>
      <c r="G1253" s="586" t="s">
        <v>356</v>
      </c>
      <c r="H1253" s="586" t="s">
        <v>670</v>
      </c>
      <c r="I1253" s="586" t="s">
        <v>277</v>
      </c>
      <c r="J1253" s="586" t="s">
        <v>522</v>
      </c>
      <c r="K1253" s="586" t="s">
        <v>284</v>
      </c>
      <c r="L1253" s="586" t="s">
        <v>581</v>
      </c>
      <c r="M1253" s="586" t="s">
        <v>285</v>
      </c>
      <c r="N1253" s="586" t="s">
        <v>670</v>
      </c>
      <c r="O1253" s="586" t="s">
        <v>670</v>
      </c>
      <c r="P1253" s="586" t="s">
        <v>522</v>
      </c>
      <c r="Q1253" s="586" t="s">
        <v>670</v>
      </c>
      <c r="R1253" s="587">
        <v>45839</v>
      </c>
      <c r="S1253" s="586" t="s">
        <v>670</v>
      </c>
      <c r="T1253" s="587">
        <v>45838</v>
      </c>
      <c r="U1253" s="588">
        <v>0</v>
      </c>
      <c r="V1253" s="589">
        <v>96.82</v>
      </c>
      <c r="W1253" s="260">
        <v>45809</v>
      </c>
    </row>
    <row r="1254" spans="1:23" hidden="1" x14ac:dyDescent="0.35">
      <c r="A1254" s="586" t="s">
        <v>526</v>
      </c>
      <c r="B1254" s="586" t="s">
        <v>159</v>
      </c>
      <c r="C1254" s="586" t="s">
        <v>281</v>
      </c>
      <c r="D1254" s="586" t="s">
        <v>292</v>
      </c>
      <c r="E1254" s="586" t="s">
        <v>293</v>
      </c>
      <c r="F1254" s="586" t="s">
        <v>276</v>
      </c>
      <c r="G1254" s="586" t="s">
        <v>356</v>
      </c>
      <c r="H1254" s="586" t="s">
        <v>670</v>
      </c>
      <c r="I1254" s="586" t="s">
        <v>277</v>
      </c>
      <c r="J1254" s="586" t="s">
        <v>522</v>
      </c>
      <c r="K1254" s="586" t="s">
        <v>294</v>
      </c>
      <c r="L1254" s="586" t="s">
        <v>581</v>
      </c>
      <c r="M1254" s="586" t="s">
        <v>285</v>
      </c>
      <c r="N1254" s="586" t="s">
        <v>670</v>
      </c>
      <c r="O1254" s="586" t="s">
        <v>670</v>
      </c>
      <c r="P1254" s="586" t="s">
        <v>522</v>
      </c>
      <c r="Q1254" s="586" t="s">
        <v>670</v>
      </c>
      <c r="R1254" s="587">
        <v>45839</v>
      </c>
      <c r="S1254" s="586" t="s">
        <v>670</v>
      </c>
      <c r="T1254" s="587">
        <v>45838</v>
      </c>
      <c r="U1254" s="588">
        <v>0</v>
      </c>
      <c r="V1254" s="589">
        <v>107.05</v>
      </c>
      <c r="W1254" s="260">
        <v>45809</v>
      </c>
    </row>
    <row r="1255" spans="1:23" hidden="1" x14ac:dyDescent="0.35">
      <c r="A1255" s="586" t="s">
        <v>526</v>
      </c>
      <c r="B1255" s="586" t="s">
        <v>159</v>
      </c>
      <c r="C1255" s="586" t="s">
        <v>286</v>
      </c>
      <c r="D1255" s="586" t="s">
        <v>295</v>
      </c>
      <c r="E1255" s="586" t="s">
        <v>296</v>
      </c>
      <c r="F1255" s="586" t="s">
        <v>276</v>
      </c>
      <c r="G1255" s="586" t="s">
        <v>356</v>
      </c>
      <c r="H1255" s="586" t="s">
        <v>670</v>
      </c>
      <c r="I1255" s="586" t="s">
        <v>277</v>
      </c>
      <c r="J1255" s="586" t="s">
        <v>522</v>
      </c>
      <c r="K1255" s="586" t="s">
        <v>297</v>
      </c>
      <c r="L1255" s="586" t="s">
        <v>581</v>
      </c>
      <c r="M1255" s="586" t="s">
        <v>285</v>
      </c>
      <c r="N1255" s="586" t="s">
        <v>670</v>
      </c>
      <c r="O1255" s="586" t="s">
        <v>670</v>
      </c>
      <c r="P1255" s="586" t="s">
        <v>522</v>
      </c>
      <c r="Q1255" s="586" t="s">
        <v>670</v>
      </c>
      <c r="R1255" s="587">
        <v>45839</v>
      </c>
      <c r="S1255" s="586" t="s">
        <v>670</v>
      </c>
      <c r="T1255" s="587">
        <v>45838</v>
      </c>
      <c r="U1255" s="588">
        <v>0</v>
      </c>
      <c r="V1255" s="589">
        <v>229.12</v>
      </c>
      <c r="W1255" s="260">
        <v>45809</v>
      </c>
    </row>
    <row r="1256" spans="1:23" hidden="1" x14ac:dyDescent="0.35">
      <c r="A1256" s="586" t="s">
        <v>526</v>
      </c>
      <c r="B1256" s="586" t="s">
        <v>159</v>
      </c>
      <c r="C1256" s="586" t="s">
        <v>542</v>
      </c>
      <c r="D1256" s="586" t="s">
        <v>543</v>
      </c>
      <c r="E1256" s="586" t="s">
        <v>544</v>
      </c>
      <c r="F1256" s="586" t="s">
        <v>276</v>
      </c>
      <c r="G1256" s="586" t="s">
        <v>356</v>
      </c>
      <c r="H1256" s="586" t="s">
        <v>670</v>
      </c>
      <c r="I1256" s="586" t="s">
        <v>277</v>
      </c>
      <c r="J1256" s="586" t="s">
        <v>522</v>
      </c>
      <c r="K1256" s="586" t="s">
        <v>545</v>
      </c>
      <c r="L1256" s="586" t="s">
        <v>581</v>
      </c>
      <c r="M1256" s="586" t="s">
        <v>285</v>
      </c>
      <c r="N1256" s="586" t="s">
        <v>670</v>
      </c>
      <c r="O1256" s="586" t="s">
        <v>670</v>
      </c>
      <c r="P1256" s="586" t="s">
        <v>522</v>
      </c>
      <c r="Q1256" s="586" t="s">
        <v>670</v>
      </c>
      <c r="R1256" s="587">
        <v>45839</v>
      </c>
      <c r="S1256" s="586" t="s">
        <v>670</v>
      </c>
      <c r="T1256" s="587">
        <v>45838</v>
      </c>
      <c r="U1256" s="588">
        <v>0</v>
      </c>
      <c r="V1256" s="589">
        <v>23.91</v>
      </c>
      <c r="W1256" s="260">
        <v>45809</v>
      </c>
    </row>
    <row r="1257" spans="1:23" hidden="1" x14ac:dyDescent="0.35">
      <c r="A1257" s="586" t="s">
        <v>526</v>
      </c>
      <c r="B1257" s="586" t="s">
        <v>159</v>
      </c>
      <c r="C1257" s="586" t="s">
        <v>546</v>
      </c>
      <c r="D1257" s="586" t="s">
        <v>547</v>
      </c>
      <c r="E1257" s="586" t="s">
        <v>548</v>
      </c>
      <c r="F1257" s="586" t="s">
        <v>276</v>
      </c>
      <c r="G1257" s="586" t="s">
        <v>356</v>
      </c>
      <c r="H1257" s="586" t="s">
        <v>670</v>
      </c>
      <c r="I1257" s="586" t="s">
        <v>277</v>
      </c>
      <c r="J1257" s="586" t="s">
        <v>522</v>
      </c>
      <c r="K1257" s="586" t="s">
        <v>549</v>
      </c>
      <c r="L1257" s="586" t="s">
        <v>581</v>
      </c>
      <c r="M1257" s="586" t="s">
        <v>285</v>
      </c>
      <c r="N1257" s="586" t="s">
        <v>670</v>
      </c>
      <c r="O1257" s="586" t="s">
        <v>670</v>
      </c>
      <c r="P1257" s="586" t="s">
        <v>522</v>
      </c>
      <c r="Q1257" s="586" t="s">
        <v>670</v>
      </c>
      <c r="R1257" s="587">
        <v>45839</v>
      </c>
      <c r="S1257" s="586" t="s">
        <v>670</v>
      </c>
      <c r="T1257" s="587">
        <v>45838</v>
      </c>
      <c r="U1257" s="588">
        <v>0</v>
      </c>
      <c r="V1257" s="589">
        <v>67.069999999999993</v>
      </c>
      <c r="W1257" s="260">
        <v>45809</v>
      </c>
    </row>
    <row r="1258" spans="1:23" hidden="1" x14ac:dyDescent="0.35">
      <c r="A1258" s="586" t="s">
        <v>526</v>
      </c>
      <c r="B1258" s="586" t="s">
        <v>159</v>
      </c>
      <c r="C1258" s="586" t="s">
        <v>542</v>
      </c>
      <c r="D1258" s="586" t="s">
        <v>550</v>
      </c>
      <c r="E1258" s="586" t="s">
        <v>551</v>
      </c>
      <c r="F1258" s="586" t="s">
        <v>276</v>
      </c>
      <c r="G1258" s="586" t="s">
        <v>356</v>
      </c>
      <c r="H1258" s="586" t="s">
        <v>670</v>
      </c>
      <c r="I1258" s="586" t="s">
        <v>277</v>
      </c>
      <c r="J1258" s="586" t="s">
        <v>522</v>
      </c>
      <c r="K1258" s="586" t="s">
        <v>545</v>
      </c>
      <c r="L1258" s="586" t="s">
        <v>581</v>
      </c>
      <c r="M1258" s="586" t="s">
        <v>285</v>
      </c>
      <c r="N1258" s="586" t="s">
        <v>670</v>
      </c>
      <c r="O1258" s="586" t="s">
        <v>670</v>
      </c>
      <c r="P1258" s="586" t="s">
        <v>522</v>
      </c>
      <c r="Q1258" s="586" t="s">
        <v>670</v>
      </c>
      <c r="R1258" s="587">
        <v>45839</v>
      </c>
      <c r="S1258" s="586" t="s">
        <v>670</v>
      </c>
      <c r="T1258" s="587">
        <v>45838</v>
      </c>
      <c r="U1258" s="588">
        <v>0</v>
      </c>
      <c r="V1258" s="589">
        <v>15.45</v>
      </c>
      <c r="W1258" s="260">
        <v>45809</v>
      </c>
    </row>
    <row r="1259" spans="1:23" hidden="1" x14ac:dyDescent="0.35">
      <c r="A1259" s="586" t="s">
        <v>526</v>
      </c>
      <c r="B1259" s="586" t="s">
        <v>159</v>
      </c>
      <c r="C1259" s="586" t="s">
        <v>542</v>
      </c>
      <c r="D1259" s="586" t="s">
        <v>552</v>
      </c>
      <c r="E1259" s="586" t="s">
        <v>553</v>
      </c>
      <c r="F1259" s="586" t="s">
        <v>276</v>
      </c>
      <c r="G1259" s="586" t="s">
        <v>356</v>
      </c>
      <c r="H1259" s="586" t="s">
        <v>670</v>
      </c>
      <c r="I1259" s="586" t="s">
        <v>277</v>
      </c>
      <c r="J1259" s="586" t="s">
        <v>522</v>
      </c>
      <c r="K1259" s="586" t="s">
        <v>554</v>
      </c>
      <c r="L1259" s="586" t="s">
        <v>581</v>
      </c>
      <c r="M1259" s="586" t="s">
        <v>285</v>
      </c>
      <c r="N1259" s="586" t="s">
        <v>670</v>
      </c>
      <c r="O1259" s="586" t="s">
        <v>670</v>
      </c>
      <c r="P1259" s="586" t="s">
        <v>522</v>
      </c>
      <c r="Q1259" s="586" t="s">
        <v>670</v>
      </c>
      <c r="R1259" s="587">
        <v>45839</v>
      </c>
      <c r="S1259" s="586" t="s">
        <v>670</v>
      </c>
      <c r="T1259" s="587">
        <v>45838</v>
      </c>
      <c r="U1259" s="588">
        <v>0</v>
      </c>
      <c r="V1259" s="589">
        <v>17.079999999999998</v>
      </c>
      <c r="W1259" s="260">
        <v>45809</v>
      </c>
    </row>
    <row r="1260" spans="1:23" hidden="1" x14ac:dyDescent="0.35">
      <c r="A1260" s="586" t="s">
        <v>526</v>
      </c>
      <c r="B1260" s="586" t="s">
        <v>159</v>
      </c>
      <c r="C1260" s="586" t="s">
        <v>546</v>
      </c>
      <c r="D1260" s="586" t="s">
        <v>555</v>
      </c>
      <c r="E1260" s="586" t="s">
        <v>556</v>
      </c>
      <c r="F1260" s="586" t="s">
        <v>276</v>
      </c>
      <c r="G1260" s="586" t="s">
        <v>356</v>
      </c>
      <c r="H1260" s="586" t="s">
        <v>670</v>
      </c>
      <c r="I1260" s="586" t="s">
        <v>277</v>
      </c>
      <c r="J1260" s="586" t="s">
        <v>522</v>
      </c>
      <c r="K1260" s="586" t="s">
        <v>557</v>
      </c>
      <c r="L1260" s="586" t="s">
        <v>581</v>
      </c>
      <c r="M1260" s="586" t="s">
        <v>285</v>
      </c>
      <c r="N1260" s="586" t="s">
        <v>670</v>
      </c>
      <c r="O1260" s="586" t="s">
        <v>670</v>
      </c>
      <c r="P1260" s="586" t="s">
        <v>522</v>
      </c>
      <c r="Q1260" s="586" t="s">
        <v>670</v>
      </c>
      <c r="R1260" s="587">
        <v>45839</v>
      </c>
      <c r="S1260" s="586" t="s">
        <v>670</v>
      </c>
      <c r="T1260" s="587">
        <v>45838</v>
      </c>
      <c r="U1260" s="588">
        <v>0</v>
      </c>
      <c r="V1260" s="589">
        <v>36.57</v>
      </c>
      <c r="W1260" s="260">
        <v>45809</v>
      </c>
    </row>
    <row r="1261" spans="1:23" hidden="1" x14ac:dyDescent="0.35">
      <c r="A1261" s="586" t="s">
        <v>526</v>
      </c>
      <c r="B1261" s="586" t="s">
        <v>159</v>
      </c>
      <c r="C1261" s="586" t="s">
        <v>298</v>
      </c>
      <c r="D1261" s="586" t="s">
        <v>299</v>
      </c>
      <c r="E1261" s="586" t="s">
        <v>300</v>
      </c>
      <c r="F1261" s="586" t="s">
        <v>276</v>
      </c>
      <c r="G1261" s="586" t="s">
        <v>356</v>
      </c>
      <c r="H1261" s="586" t="s">
        <v>670</v>
      </c>
      <c r="I1261" s="586" t="s">
        <v>277</v>
      </c>
      <c r="J1261" s="586" t="s">
        <v>522</v>
      </c>
      <c r="K1261" s="586" t="s">
        <v>301</v>
      </c>
      <c r="L1261" s="586" t="s">
        <v>581</v>
      </c>
      <c r="M1261" s="586" t="s">
        <v>285</v>
      </c>
      <c r="N1261" s="586" t="s">
        <v>670</v>
      </c>
      <c r="O1261" s="586" t="s">
        <v>670</v>
      </c>
      <c r="P1261" s="586" t="s">
        <v>522</v>
      </c>
      <c r="Q1261" s="586" t="s">
        <v>670</v>
      </c>
      <c r="R1261" s="587">
        <v>45840</v>
      </c>
      <c r="S1261" s="586" t="s">
        <v>670</v>
      </c>
      <c r="T1261" s="587">
        <v>45838</v>
      </c>
      <c r="U1261" s="588">
        <v>0</v>
      </c>
      <c r="V1261" s="589">
        <v>0.14000000000000001</v>
      </c>
      <c r="W1261" s="260">
        <v>45809</v>
      </c>
    </row>
    <row r="1262" spans="1:23" hidden="1" x14ac:dyDescent="0.35">
      <c r="A1262" s="586" t="s">
        <v>526</v>
      </c>
      <c r="B1262" s="586" t="s">
        <v>159</v>
      </c>
      <c r="C1262" s="586" t="s">
        <v>298</v>
      </c>
      <c r="D1262" s="586" t="s">
        <v>304</v>
      </c>
      <c r="E1262" s="586" t="s">
        <v>305</v>
      </c>
      <c r="F1262" s="586" t="s">
        <v>276</v>
      </c>
      <c r="G1262" s="586" t="s">
        <v>356</v>
      </c>
      <c r="H1262" s="586" t="s">
        <v>670</v>
      </c>
      <c r="I1262" s="586" t="s">
        <v>277</v>
      </c>
      <c r="J1262" s="586" t="s">
        <v>522</v>
      </c>
      <c r="K1262" s="586" t="s">
        <v>301</v>
      </c>
      <c r="L1262" s="586" t="s">
        <v>581</v>
      </c>
      <c r="M1262" s="586" t="s">
        <v>285</v>
      </c>
      <c r="N1262" s="586" t="s">
        <v>670</v>
      </c>
      <c r="O1262" s="586" t="s">
        <v>670</v>
      </c>
      <c r="P1262" s="586" t="s">
        <v>522</v>
      </c>
      <c r="Q1262" s="586" t="s">
        <v>670</v>
      </c>
      <c r="R1262" s="587">
        <v>45840</v>
      </c>
      <c r="S1262" s="586" t="s">
        <v>670</v>
      </c>
      <c r="T1262" s="587">
        <v>45838</v>
      </c>
      <c r="U1262" s="588">
        <v>0</v>
      </c>
      <c r="V1262" s="589">
        <v>0.15</v>
      </c>
      <c r="W1262" s="260">
        <v>45809</v>
      </c>
    </row>
    <row r="1263" spans="1:23" hidden="1" x14ac:dyDescent="0.35">
      <c r="A1263" s="586" t="s">
        <v>526</v>
      </c>
      <c r="B1263" s="586" t="s">
        <v>159</v>
      </c>
      <c r="C1263" s="586" t="s">
        <v>298</v>
      </c>
      <c r="D1263" s="586" t="s">
        <v>306</v>
      </c>
      <c r="E1263" s="586" t="s">
        <v>307</v>
      </c>
      <c r="F1263" s="586" t="s">
        <v>276</v>
      </c>
      <c r="G1263" s="586" t="s">
        <v>356</v>
      </c>
      <c r="H1263" s="586" t="s">
        <v>670</v>
      </c>
      <c r="I1263" s="586" t="s">
        <v>277</v>
      </c>
      <c r="J1263" s="586" t="s">
        <v>522</v>
      </c>
      <c r="K1263" s="586" t="s">
        <v>301</v>
      </c>
      <c r="L1263" s="586" t="s">
        <v>581</v>
      </c>
      <c r="M1263" s="586" t="s">
        <v>285</v>
      </c>
      <c r="N1263" s="586" t="s">
        <v>670</v>
      </c>
      <c r="O1263" s="586" t="s">
        <v>670</v>
      </c>
      <c r="P1263" s="586" t="s">
        <v>522</v>
      </c>
      <c r="Q1263" s="586" t="s">
        <v>670</v>
      </c>
      <c r="R1263" s="587">
        <v>45840</v>
      </c>
      <c r="S1263" s="586" t="s">
        <v>670</v>
      </c>
      <c r="T1263" s="587">
        <v>45838</v>
      </c>
      <c r="U1263" s="588">
        <v>0</v>
      </c>
      <c r="V1263" s="589">
        <v>0.01</v>
      </c>
      <c r="W1263" s="260">
        <v>45809</v>
      </c>
    </row>
    <row r="1264" spans="1:23" hidden="1" x14ac:dyDescent="0.35">
      <c r="A1264" s="586" t="s">
        <v>526</v>
      </c>
      <c r="B1264" s="586" t="s">
        <v>159</v>
      </c>
      <c r="C1264" s="586" t="s">
        <v>298</v>
      </c>
      <c r="D1264" s="586" t="s">
        <v>306</v>
      </c>
      <c r="E1264" s="586" t="s">
        <v>307</v>
      </c>
      <c r="F1264" s="586" t="s">
        <v>276</v>
      </c>
      <c r="G1264" s="586" t="s">
        <v>356</v>
      </c>
      <c r="H1264" s="586" t="s">
        <v>670</v>
      </c>
      <c r="I1264" s="586" t="s">
        <v>277</v>
      </c>
      <c r="J1264" s="586" t="s">
        <v>522</v>
      </c>
      <c r="K1264" s="586" t="s">
        <v>301</v>
      </c>
      <c r="L1264" s="586" t="s">
        <v>581</v>
      </c>
      <c r="M1264" s="586" t="s">
        <v>285</v>
      </c>
      <c r="N1264" s="586" t="s">
        <v>670</v>
      </c>
      <c r="O1264" s="586" t="s">
        <v>670</v>
      </c>
      <c r="P1264" s="586" t="s">
        <v>522</v>
      </c>
      <c r="Q1264" s="586" t="s">
        <v>670</v>
      </c>
      <c r="R1264" s="587">
        <v>45840</v>
      </c>
      <c r="S1264" s="586" t="s">
        <v>670</v>
      </c>
      <c r="T1264" s="587">
        <v>45838</v>
      </c>
      <c r="U1264" s="588">
        <v>0</v>
      </c>
      <c r="V1264" s="589">
        <v>0.21</v>
      </c>
      <c r="W1264" s="260">
        <v>45809</v>
      </c>
    </row>
    <row r="1265" spans="1:23" hidden="1" x14ac:dyDescent="0.35">
      <c r="A1265" s="586" t="s">
        <v>526</v>
      </c>
      <c r="B1265" s="586" t="s">
        <v>159</v>
      </c>
      <c r="C1265" s="586" t="s">
        <v>298</v>
      </c>
      <c r="D1265" s="586" t="s">
        <v>308</v>
      </c>
      <c r="E1265" s="586" t="s">
        <v>309</v>
      </c>
      <c r="F1265" s="586" t="s">
        <v>276</v>
      </c>
      <c r="G1265" s="586" t="s">
        <v>356</v>
      </c>
      <c r="H1265" s="586" t="s">
        <v>670</v>
      </c>
      <c r="I1265" s="586" t="s">
        <v>277</v>
      </c>
      <c r="J1265" s="586" t="s">
        <v>522</v>
      </c>
      <c r="K1265" s="586" t="s">
        <v>301</v>
      </c>
      <c r="L1265" s="586" t="s">
        <v>581</v>
      </c>
      <c r="M1265" s="586" t="s">
        <v>285</v>
      </c>
      <c r="N1265" s="586" t="s">
        <v>670</v>
      </c>
      <c r="O1265" s="586" t="s">
        <v>670</v>
      </c>
      <c r="P1265" s="586" t="s">
        <v>522</v>
      </c>
      <c r="Q1265" s="586" t="s">
        <v>670</v>
      </c>
      <c r="R1265" s="587">
        <v>45840</v>
      </c>
      <c r="S1265" s="586" t="s">
        <v>670</v>
      </c>
      <c r="T1265" s="587">
        <v>45838</v>
      </c>
      <c r="U1265" s="588">
        <v>0</v>
      </c>
      <c r="V1265" s="589">
        <v>46.28</v>
      </c>
      <c r="W1265" s="260">
        <v>45809</v>
      </c>
    </row>
    <row r="1266" spans="1:23" hidden="1" x14ac:dyDescent="0.35">
      <c r="A1266" s="586" t="s">
        <v>526</v>
      </c>
      <c r="B1266" s="586" t="s">
        <v>159</v>
      </c>
      <c r="C1266" s="586" t="s">
        <v>302</v>
      </c>
      <c r="D1266" s="586" t="s">
        <v>308</v>
      </c>
      <c r="E1266" s="586" t="s">
        <v>309</v>
      </c>
      <c r="F1266" s="586" t="s">
        <v>276</v>
      </c>
      <c r="G1266" s="586" t="s">
        <v>356</v>
      </c>
      <c r="H1266" s="586" t="s">
        <v>670</v>
      </c>
      <c r="I1266" s="586" t="s">
        <v>277</v>
      </c>
      <c r="J1266" s="586" t="s">
        <v>522</v>
      </c>
      <c r="K1266" s="586" t="s">
        <v>303</v>
      </c>
      <c r="L1266" s="586" t="s">
        <v>581</v>
      </c>
      <c r="M1266" s="586" t="s">
        <v>285</v>
      </c>
      <c r="N1266" s="586" t="s">
        <v>670</v>
      </c>
      <c r="O1266" s="586" t="s">
        <v>670</v>
      </c>
      <c r="P1266" s="586" t="s">
        <v>522</v>
      </c>
      <c r="Q1266" s="586" t="s">
        <v>670</v>
      </c>
      <c r="R1266" s="587">
        <v>45840</v>
      </c>
      <c r="S1266" s="586" t="s">
        <v>670</v>
      </c>
      <c r="T1266" s="587">
        <v>45838</v>
      </c>
      <c r="U1266" s="588">
        <v>0</v>
      </c>
      <c r="V1266" s="589">
        <v>113.58</v>
      </c>
      <c r="W1266" s="260">
        <v>45809</v>
      </c>
    </row>
    <row r="1267" spans="1:23" hidden="1" x14ac:dyDescent="0.35">
      <c r="A1267" s="586" t="s">
        <v>526</v>
      </c>
      <c r="B1267" s="586" t="s">
        <v>159</v>
      </c>
      <c r="C1267" s="586" t="s">
        <v>302</v>
      </c>
      <c r="D1267" s="586" t="s">
        <v>310</v>
      </c>
      <c r="E1267" s="586" t="s">
        <v>311</v>
      </c>
      <c r="F1267" s="586" t="s">
        <v>276</v>
      </c>
      <c r="G1267" s="586" t="s">
        <v>356</v>
      </c>
      <c r="H1267" s="586" t="s">
        <v>670</v>
      </c>
      <c r="I1267" s="586" t="s">
        <v>277</v>
      </c>
      <c r="J1267" s="586" t="s">
        <v>522</v>
      </c>
      <c r="K1267" s="586" t="s">
        <v>303</v>
      </c>
      <c r="L1267" s="586" t="s">
        <v>581</v>
      </c>
      <c r="M1267" s="586" t="s">
        <v>285</v>
      </c>
      <c r="N1267" s="586" t="s">
        <v>670</v>
      </c>
      <c r="O1267" s="586" t="s">
        <v>670</v>
      </c>
      <c r="P1267" s="586" t="s">
        <v>522</v>
      </c>
      <c r="Q1267" s="586" t="s">
        <v>670</v>
      </c>
      <c r="R1267" s="587">
        <v>45840</v>
      </c>
      <c r="S1267" s="586" t="s">
        <v>670</v>
      </c>
      <c r="T1267" s="587">
        <v>45838</v>
      </c>
      <c r="U1267" s="588">
        <v>0</v>
      </c>
      <c r="V1267" s="589">
        <v>542.45000000000005</v>
      </c>
      <c r="W1267" s="260">
        <v>45809</v>
      </c>
    </row>
    <row r="1268" spans="1:23" hidden="1" x14ac:dyDescent="0.35">
      <c r="A1268" s="586" t="s">
        <v>526</v>
      </c>
      <c r="B1268" s="586" t="s">
        <v>159</v>
      </c>
      <c r="C1268" s="586" t="s">
        <v>298</v>
      </c>
      <c r="D1268" s="586" t="s">
        <v>312</v>
      </c>
      <c r="E1268" s="586" t="s">
        <v>313</v>
      </c>
      <c r="F1268" s="586" t="s">
        <v>276</v>
      </c>
      <c r="G1268" s="586" t="s">
        <v>356</v>
      </c>
      <c r="H1268" s="586" t="s">
        <v>670</v>
      </c>
      <c r="I1268" s="586" t="s">
        <v>277</v>
      </c>
      <c r="J1268" s="586" t="s">
        <v>522</v>
      </c>
      <c r="K1268" s="586" t="s">
        <v>301</v>
      </c>
      <c r="L1268" s="586" t="s">
        <v>581</v>
      </c>
      <c r="M1268" s="586" t="s">
        <v>285</v>
      </c>
      <c r="N1268" s="586" t="s">
        <v>670</v>
      </c>
      <c r="O1268" s="586" t="s">
        <v>670</v>
      </c>
      <c r="P1268" s="586" t="s">
        <v>522</v>
      </c>
      <c r="Q1268" s="586" t="s">
        <v>670</v>
      </c>
      <c r="R1268" s="587">
        <v>45840</v>
      </c>
      <c r="S1268" s="586" t="s">
        <v>670</v>
      </c>
      <c r="T1268" s="587">
        <v>45838</v>
      </c>
      <c r="U1268" s="588">
        <v>0</v>
      </c>
      <c r="V1268" s="589">
        <v>4.25</v>
      </c>
      <c r="W1268" s="260">
        <v>45809</v>
      </c>
    </row>
    <row r="1269" spans="1:23" hidden="1" x14ac:dyDescent="0.35">
      <c r="A1269" s="586" t="s">
        <v>526</v>
      </c>
      <c r="B1269" s="586" t="s">
        <v>159</v>
      </c>
      <c r="C1269" s="586" t="s">
        <v>298</v>
      </c>
      <c r="D1269" s="586" t="s">
        <v>314</v>
      </c>
      <c r="E1269" s="586" t="s">
        <v>315</v>
      </c>
      <c r="F1269" s="586" t="s">
        <v>276</v>
      </c>
      <c r="G1269" s="586" t="s">
        <v>356</v>
      </c>
      <c r="H1269" s="586" t="s">
        <v>670</v>
      </c>
      <c r="I1269" s="586" t="s">
        <v>277</v>
      </c>
      <c r="J1269" s="586" t="s">
        <v>522</v>
      </c>
      <c r="K1269" s="586" t="s">
        <v>301</v>
      </c>
      <c r="L1269" s="586" t="s">
        <v>581</v>
      </c>
      <c r="M1269" s="586" t="s">
        <v>285</v>
      </c>
      <c r="N1269" s="586" t="s">
        <v>670</v>
      </c>
      <c r="O1269" s="586" t="s">
        <v>670</v>
      </c>
      <c r="P1269" s="586" t="s">
        <v>522</v>
      </c>
      <c r="Q1269" s="586" t="s">
        <v>670</v>
      </c>
      <c r="R1269" s="587">
        <v>45840</v>
      </c>
      <c r="S1269" s="586" t="s">
        <v>670</v>
      </c>
      <c r="T1269" s="587">
        <v>45838</v>
      </c>
      <c r="U1269" s="588">
        <v>0</v>
      </c>
      <c r="V1269" s="589">
        <v>17.559999999999999</v>
      </c>
      <c r="W1269" s="260">
        <v>45809</v>
      </c>
    </row>
    <row r="1270" spans="1:23" hidden="1" x14ac:dyDescent="0.35">
      <c r="A1270" s="586" t="s">
        <v>526</v>
      </c>
      <c r="B1270" s="586" t="s">
        <v>159</v>
      </c>
      <c r="C1270" s="586" t="s">
        <v>298</v>
      </c>
      <c r="D1270" s="586" t="s">
        <v>316</v>
      </c>
      <c r="E1270" s="586" t="s">
        <v>317</v>
      </c>
      <c r="F1270" s="586" t="s">
        <v>276</v>
      </c>
      <c r="G1270" s="586" t="s">
        <v>356</v>
      </c>
      <c r="H1270" s="586" t="s">
        <v>670</v>
      </c>
      <c r="I1270" s="586" t="s">
        <v>277</v>
      </c>
      <c r="J1270" s="586" t="s">
        <v>522</v>
      </c>
      <c r="K1270" s="586" t="s">
        <v>301</v>
      </c>
      <c r="L1270" s="586" t="s">
        <v>581</v>
      </c>
      <c r="M1270" s="586" t="s">
        <v>285</v>
      </c>
      <c r="N1270" s="586" t="s">
        <v>670</v>
      </c>
      <c r="O1270" s="586" t="s">
        <v>670</v>
      </c>
      <c r="P1270" s="586" t="s">
        <v>522</v>
      </c>
      <c r="Q1270" s="586" t="s">
        <v>670</v>
      </c>
      <c r="R1270" s="587">
        <v>45840</v>
      </c>
      <c r="S1270" s="586" t="s">
        <v>670</v>
      </c>
      <c r="T1270" s="587">
        <v>45838</v>
      </c>
      <c r="U1270" s="588">
        <v>0</v>
      </c>
      <c r="V1270" s="589">
        <v>22.95</v>
      </c>
      <c r="W1270" s="260">
        <v>45809</v>
      </c>
    </row>
    <row r="1271" spans="1:23" hidden="1" x14ac:dyDescent="0.35">
      <c r="A1271" s="586" t="s">
        <v>526</v>
      </c>
      <c r="B1271" s="586" t="s">
        <v>159</v>
      </c>
      <c r="C1271" s="586" t="s">
        <v>298</v>
      </c>
      <c r="D1271" s="586" t="s">
        <v>318</v>
      </c>
      <c r="E1271" s="586" t="s">
        <v>319</v>
      </c>
      <c r="F1271" s="586" t="s">
        <v>276</v>
      </c>
      <c r="G1271" s="586" t="s">
        <v>356</v>
      </c>
      <c r="H1271" s="586" t="s">
        <v>670</v>
      </c>
      <c r="I1271" s="586" t="s">
        <v>277</v>
      </c>
      <c r="J1271" s="586" t="s">
        <v>522</v>
      </c>
      <c r="K1271" s="586" t="s">
        <v>301</v>
      </c>
      <c r="L1271" s="586" t="s">
        <v>581</v>
      </c>
      <c r="M1271" s="586" t="s">
        <v>285</v>
      </c>
      <c r="N1271" s="586" t="s">
        <v>670</v>
      </c>
      <c r="O1271" s="586" t="s">
        <v>670</v>
      </c>
      <c r="P1271" s="586" t="s">
        <v>522</v>
      </c>
      <c r="Q1271" s="586" t="s">
        <v>670</v>
      </c>
      <c r="R1271" s="587">
        <v>45840</v>
      </c>
      <c r="S1271" s="586" t="s">
        <v>670</v>
      </c>
      <c r="T1271" s="587">
        <v>45838</v>
      </c>
      <c r="U1271" s="588">
        <v>0</v>
      </c>
      <c r="V1271" s="589">
        <v>0.1</v>
      </c>
      <c r="W1271" s="260">
        <v>45809</v>
      </c>
    </row>
    <row r="1272" spans="1:23" hidden="1" x14ac:dyDescent="0.35">
      <c r="A1272" s="586" t="s">
        <v>526</v>
      </c>
      <c r="B1272" s="586" t="s">
        <v>159</v>
      </c>
      <c r="C1272" s="586" t="s">
        <v>298</v>
      </c>
      <c r="D1272" s="586" t="s">
        <v>318</v>
      </c>
      <c r="E1272" s="586" t="s">
        <v>319</v>
      </c>
      <c r="F1272" s="586" t="s">
        <v>276</v>
      </c>
      <c r="G1272" s="586" t="s">
        <v>356</v>
      </c>
      <c r="H1272" s="586" t="s">
        <v>670</v>
      </c>
      <c r="I1272" s="586" t="s">
        <v>277</v>
      </c>
      <c r="J1272" s="586" t="s">
        <v>522</v>
      </c>
      <c r="K1272" s="586" t="s">
        <v>301</v>
      </c>
      <c r="L1272" s="586" t="s">
        <v>581</v>
      </c>
      <c r="M1272" s="586" t="s">
        <v>285</v>
      </c>
      <c r="N1272" s="586" t="s">
        <v>670</v>
      </c>
      <c r="O1272" s="586" t="s">
        <v>670</v>
      </c>
      <c r="P1272" s="586" t="s">
        <v>522</v>
      </c>
      <c r="Q1272" s="586" t="s">
        <v>670</v>
      </c>
      <c r="R1272" s="587">
        <v>45840</v>
      </c>
      <c r="S1272" s="586" t="s">
        <v>670</v>
      </c>
      <c r="T1272" s="587">
        <v>45838</v>
      </c>
      <c r="U1272" s="588">
        <v>0</v>
      </c>
      <c r="V1272" s="589">
        <v>0.5</v>
      </c>
      <c r="W1272" s="260">
        <v>45809</v>
      </c>
    </row>
    <row r="1273" spans="1:23" hidden="1" x14ac:dyDescent="0.35">
      <c r="A1273" s="586" t="s">
        <v>526</v>
      </c>
      <c r="B1273" s="586" t="s">
        <v>159</v>
      </c>
      <c r="C1273" s="586" t="s">
        <v>298</v>
      </c>
      <c r="D1273" s="586" t="s">
        <v>391</v>
      </c>
      <c r="E1273" s="586" t="s">
        <v>392</v>
      </c>
      <c r="F1273" s="586" t="s">
        <v>276</v>
      </c>
      <c r="G1273" s="586" t="s">
        <v>356</v>
      </c>
      <c r="H1273" s="586" t="s">
        <v>670</v>
      </c>
      <c r="I1273" s="586" t="s">
        <v>277</v>
      </c>
      <c r="J1273" s="586" t="s">
        <v>522</v>
      </c>
      <c r="K1273" s="586" t="s">
        <v>301</v>
      </c>
      <c r="L1273" s="586" t="s">
        <v>581</v>
      </c>
      <c r="M1273" s="586" t="s">
        <v>285</v>
      </c>
      <c r="N1273" s="586" t="s">
        <v>670</v>
      </c>
      <c r="O1273" s="586" t="s">
        <v>670</v>
      </c>
      <c r="P1273" s="586" t="s">
        <v>522</v>
      </c>
      <c r="Q1273" s="586" t="s">
        <v>670</v>
      </c>
      <c r="R1273" s="587">
        <v>45840</v>
      </c>
      <c r="S1273" s="586" t="s">
        <v>670</v>
      </c>
      <c r="T1273" s="587">
        <v>45838</v>
      </c>
      <c r="U1273" s="588">
        <v>0</v>
      </c>
      <c r="V1273" s="589">
        <v>0.05</v>
      </c>
      <c r="W1273" s="260">
        <v>45809</v>
      </c>
    </row>
    <row r="1274" spans="1:23" hidden="1" x14ac:dyDescent="0.35">
      <c r="A1274" s="586" t="s">
        <v>526</v>
      </c>
      <c r="B1274" s="586" t="s">
        <v>159</v>
      </c>
      <c r="C1274" s="586" t="s">
        <v>298</v>
      </c>
      <c r="D1274" s="586" t="s">
        <v>320</v>
      </c>
      <c r="E1274" s="586" t="s">
        <v>321</v>
      </c>
      <c r="F1274" s="586" t="s">
        <v>276</v>
      </c>
      <c r="G1274" s="586" t="s">
        <v>356</v>
      </c>
      <c r="H1274" s="586" t="s">
        <v>670</v>
      </c>
      <c r="I1274" s="586" t="s">
        <v>277</v>
      </c>
      <c r="J1274" s="586" t="s">
        <v>522</v>
      </c>
      <c r="K1274" s="586" t="s">
        <v>301</v>
      </c>
      <c r="L1274" s="586" t="s">
        <v>581</v>
      </c>
      <c r="M1274" s="586" t="s">
        <v>285</v>
      </c>
      <c r="N1274" s="586" t="s">
        <v>670</v>
      </c>
      <c r="O1274" s="586" t="s">
        <v>670</v>
      </c>
      <c r="P1274" s="586" t="s">
        <v>522</v>
      </c>
      <c r="Q1274" s="586" t="s">
        <v>670</v>
      </c>
      <c r="R1274" s="587">
        <v>45840</v>
      </c>
      <c r="S1274" s="586" t="s">
        <v>670</v>
      </c>
      <c r="T1274" s="587">
        <v>45838</v>
      </c>
      <c r="U1274" s="588">
        <v>0</v>
      </c>
      <c r="V1274" s="589">
        <v>0.72</v>
      </c>
      <c r="W1274" s="260">
        <v>45809</v>
      </c>
    </row>
    <row r="1275" spans="1:23" hidden="1" x14ac:dyDescent="0.35">
      <c r="A1275" s="586" t="s">
        <v>526</v>
      </c>
      <c r="B1275" s="586" t="s">
        <v>159</v>
      </c>
      <c r="C1275" s="586" t="s">
        <v>298</v>
      </c>
      <c r="D1275" s="586" t="s">
        <v>322</v>
      </c>
      <c r="E1275" s="586" t="s">
        <v>323</v>
      </c>
      <c r="F1275" s="586" t="s">
        <v>276</v>
      </c>
      <c r="G1275" s="586" t="s">
        <v>356</v>
      </c>
      <c r="H1275" s="586" t="s">
        <v>670</v>
      </c>
      <c r="I1275" s="586" t="s">
        <v>277</v>
      </c>
      <c r="J1275" s="586" t="s">
        <v>522</v>
      </c>
      <c r="K1275" s="586" t="s">
        <v>301</v>
      </c>
      <c r="L1275" s="586" t="s">
        <v>581</v>
      </c>
      <c r="M1275" s="586" t="s">
        <v>285</v>
      </c>
      <c r="N1275" s="586" t="s">
        <v>670</v>
      </c>
      <c r="O1275" s="586" t="s">
        <v>670</v>
      </c>
      <c r="P1275" s="586" t="s">
        <v>522</v>
      </c>
      <c r="Q1275" s="586" t="s">
        <v>670</v>
      </c>
      <c r="R1275" s="587">
        <v>45840</v>
      </c>
      <c r="S1275" s="586" t="s">
        <v>670</v>
      </c>
      <c r="T1275" s="587">
        <v>45838</v>
      </c>
      <c r="U1275" s="588">
        <v>0</v>
      </c>
      <c r="V1275" s="589">
        <v>0.15</v>
      </c>
      <c r="W1275" s="260">
        <v>45809</v>
      </c>
    </row>
    <row r="1276" spans="1:23" hidden="1" x14ac:dyDescent="0.35">
      <c r="A1276" s="586" t="s">
        <v>526</v>
      </c>
      <c r="B1276" s="586" t="s">
        <v>159</v>
      </c>
      <c r="C1276" s="586" t="s">
        <v>298</v>
      </c>
      <c r="D1276" s="586" t="s">
        <v>322</v>
      </c>
      <c r="E1276" s="586" t="s">
        <v>323</v>
      </c>
      <c r="F1276" s="586" t="s">
        <v>276</v>
      </c>
      <c r="G1276" s="586" t="s">
        <v>356</v>
      </c>
      <c r="H1276" s="586" t="s">
        <v>670</v>
      </c>
      <c r="I1276" s="586" t="s">
        <v>277</v>
      </c>
      <c r="J1276" s="586" t="s">
        <v>522</v>
      </c>
      <c r="K1276" s="586" t="s">
        <v>301</v>
      </c>
      <c r="L1276" s="586" t="s">
        <v>581</v>
      </c>
      <c r="M1276" s="586" t="s">
        <v>285</v>
      </c>
      <c r="N1276" s="586" t="s">
        <v>670</v>
      </c>
      <c r="O1276" s="586" t="s">
        <v>670</v>
      </c>
      <c r="P1276" s="586" t="s">
        <v>522</v>
      </c>
      <c r="Q1276" s="586" t="s">
        <v>670</v>
      </c>
      <c r="R1276" s="587">
        <v>45840</v>
      </c>
      <c r="S1276" s="586" t="s">
        <v>670</v>
      </c>
      <c r="T1276" s="587">
        <v>45838</v>
      </c>
      <c r="U1276" s="588">
        <v>0</v>
      </c>
      <c r="V1276" s="589">
        <v>0.02</v>
      </c>
      <c r="W1276" s="260">
        <v>45809</v>
      </c>
    </row>
    <row r="1277" spans="1:23" hidden="1" x14ac:dyDescent="0.35">
      <c r="A1277" s="586" t="s">
        <v>526</v>
      </c>
      <c r="B1277" s="586" t="s">
        <v>159</v>
      </c>
      <c r="C1277" s="586" t="s">
        <v>298</v>
      </c>
      <c r="D1277" s="586" t="s">
        <v>324</v>
      </c>
      <c r="E1277" s="586" t="s">
        <v>325</v>
      </c>
      <c r="F1277" s="586" t="s">
        <v>276</v>
      </c>
      <c r="G1277" s="586" t="s">
        <v>356</v>
      </c>
      <c r="H1277" s="586" t="s">
        <v>670</v>
      </c>
      <c r="I1277" s="586" t="s">
        <v>277</v>
      </c>
      <c r="J1277" s="586" t="s">
        <v>522</v>
      </c>
      <c r="K1277" s="586" t="s">
        <v>301</v>
      </c>
      <c r="L1277" s="586" t="s">
        <v>581</v>
      </c>
      <c r="M1277" s="586" t="s">
        <v>285</v>
      </c>
      <c r="N1277" s="586" t="s">
        <v>670</v>
      </c>
      <c r="O1277" s="586" t="s">
        <v>670</v>
      </c>
      <c r="P1277" s="586" t="s">
        <v>522</v>
      </c>
      <c r="Q1277" s="586" t="s">
        <v>670</v>
      </c>
      <c r="R1277" s="587">
        <v>45840</v>
      </c>
      <c r="S1277" s="586" t="s">
        <v>670</v>
      </c>
      <c r="T1277" s="587">
        <v>45838</v>
      </c>
      <c r="U1277" s="588">
        <v>0</v>
      </c>
      <c r="V1277" s="589">
        <v>83.24</v>
      </c>
      <c r="W1277" s="260">
        <v>45809</v>
      </c>
    </row>
    <row r="1278" spans="1:23" hidden="1" x14ac:dyDescent="0.35">
      <c r="A1278" s="586" t="s">
        <v>526</v>
      </c>
      <c r="B1278" s="586" t="s">
        <v>159</v>
      </c>
      <c r="C1278" s="586" t="s">
        <v>298</v>
      </c>
      <c r="D1278" s="586" t="s">
        <v>326</v>
      </c>
      <c r="E1278" s="586" t="s">
        <v>327</v>
      </c>
      <c r="F1278" s="586" t="s">
        <v>276</v>
      </c>
      <c r="G1278" s="586" t="s">
        <v>356</v>
      </c>
      <c r="H1278" s="586" t="s">
        <v>670</v>
      </c>
      <c r="I1278" s="586" t="s">
        <v>277</v>
      </c>
      <c r="J1278" s="586" t="s">
        <v>522</v>
      </c>
      <c r="K1278" s="586" t="s">
        <v>301</v>
      </c>
      <c r="L1278" s="586" t="s">
        <v>581</v>
      </c>
      <c r="M1278" s="586" t="s">
        <v>285</v>
      </c>
      <c r="N1278" s="586" t="s">
        <v>670</v>
      </c>
      <c r="O1278" s="586" t="s">
        <v>670</v>
      </c>
      <c r="P1278" s="586" t="s">
        <v>522</v>
      </c>
      <c r="Q1278" s="586" t="s">
        <v>670</v>
      </c>
      <c r="R1278" s="587">
        <v>45840</v>
      </c>
      <c r="S1278" s="586" t="s">
        <v>670</v>
      </c>
      <c r="T1278" s="587">
        <v>45838</v>
      </c>
      <c r="U1278" s="588">
        <v>0</v>
      </c>
      <c r="V1278" s="589">
        <v>2.35</v>
      </c>
      <c r="W1278" s="260">
        <v>45809</v>
      </c>
    </row>
    <row r="1279" spans="1:23" hidden="1" x14ac:dyDescent="0.35">
      <c r="A1279" s="586" t="s">
        <v>526</v>
      </c>
      <c r="B1279" s="586" t="s">
        <v>159</v>
      </c>
      <c r="C1279" s="586" t="s">
        <v>298</v>
      </c>
      <c r="D1279" s="586" t="s">
        <v>393</v>
      </c>
      <c r="E1279" s="586" t="s">
        <v>394</v>
      </c>
      <c r="F1279" s="586" t="s">
        <v>276</v>
      </c>
      <c r="G1279" s="586" t="s">
        <v>356</v>
      </c>
      <c r="H1279" s="586" t="s">
        <v>670</v>
      </c>
      <c r="I1279" s="586" t="s">
        <v>277</v>
      </c>
      <c r="J1279" s="586" t="s">
        <v>522</v>
      </c>
      <c r="K1279" s="586" t="s">
        <v>301</v>
      </c>
      <c r="L1279" s="586" t="s">
        <v>581</v>
      </c>
      <c r="M1279" s="586" t="s">
        <v>285</v>
      </c>
      <c r="N1279" s="586" t="s">
        <v>670</v>
      </c>
      <c r="O1279" s="586" t="s">
        <v>670</v>
      </c>
      <c r="P1279" s="586" t="s">
        <v>522</v>
      </c>
      <c r="Q1279" s="586" t="s">
        <v>670</v>
      </c>
      <c r="R1279" s="587">
        <v>45840</v>
      </c>
      <c r="S1279" s="586" t="s">
        <v>670</v>
      </c>
      <c r="T1279" s="587">
        <v>45838</v>
      </c>
      <c r="U1279" s="588">
        <v>0</v>
      </c>
      <c r="V1279" s="589">
        <v>0.08</v>
      </c>
      <c r="W1279" s="260">
        <v>45809</v>
      </c>
    </row>
    <row r="1280" spans="1:23" hidden="1" x14ac:dyDescent="0.35">
      <c r="A1280" s="586" t="s">
        <v>526</v>
      </c>
      <c r="B1280" s="586" t="s">
        <v>159</v>
      </c>
      <c r="C1280" s="586" t="s">
        <v>298</v>
      </c>
      <c r="D1280" s="586" t="s">
        <v>673</v>
      </c>
      <c r="E1280" s="586" t="s">
        <v>674</v>
      </c>
      <c r="F1280" s="586" t="s">
        <v>276</v>
      </c>
      <c r="G1280" s="586" t="s">
        <v>356</v>
      </c>
      <c r="H1280" s="586" t="s">
        <v>670</v>
      </c>
      <c r="I1280" s="586" t="s">
        <v>277</v>
      </c>
      <c r="J1280" s="586" t="s">
        <v>522</v>
      </c>
      <c r="K1280" s="586" t="s">
        <v>301</v>
      </c>
      <c r="L1280" s="586" t="s">
        <v>581</v>
      </c>
      <c r="M1280" s="586" t="s">
        <v>285</v>
      </c>
      <c r="N1280" s="586" t="s">
        <v>670</v>
      </c>
      <c r="O1280" s="586" t="s">
        <v>670</v>
      </c>
      <c r="P1280" s="586" t="s">
        <v>522</v>
      </c>
      <c r="Q1280" s="586" t="s">
        <v>670</v>
      </c>
      <c r="R1280" s="587">
        <v>45840</v>
      </c>
      <c r="S1280" s="586" t="s">
        <v>670</v>
      </c>
      <c r="T1280" s="587">
        <v>45838</v>
      </c>
      <c r="U1280" s="588">
        <v>0</v>
      </c>
      <c r="V1280" s="589">
        <v>0.04</v>
      </c>
      <c r="W1280" s="260">
        <v>45809</v>
      </c>
    </row>
    <row r="1281" spans="1:23" hidden="1" x14ac:dyDescent="0.35">
      <c r="A1281" s="586" t="s">
        <v>526</v>
      </c>
      <c r="B1281" s="586" t="s">
        <v>159</v>
      </c>
      <c r="C1281" s="586" t="s">
        <v>298</v>
      </c>
      <c r="D1281" s="586" t="s">
        <v>328</v>
      </c>
      <c r="E1281" s="586" t="s">
        <v>329</v>
      </c>
      <c r="F1281" s="586" t="s">
        <v>276</v>
      </c>
      <c r="G1281" s="586" t="s">
        <v>356</v>
      </c>
      <c r="H1281" s="586" t="s">
        <v>670</v>
      </c>
      <c r="I1281" s="586" t="s">
        <v>277</v>
      </c>
      <c r="J1281" s="586" t="s">
        <v>522</v>
      </c>
      <c r="K1281" s="586" t="s">
        <v>301</v>
      </c>
      <c r="L1281" s="586" t="s">
        <v>581</v>
      </c>
      <c r="M1281" s="586" t="s">
        <v>285</v>
      </c>
      <c r="N1281" s="586" t="s">
        <v>670</v>
      </c>
      <c r="O1281" s="586" t="s">
        <v>670</v>
      </c>
      <c r="P1281" s="586" t="s">
        <v>522</v>
      </c>
      <c r="Q1281" s="586" t="s">
        <v>670</v>
      </c>
      <c r="R1281" s="587">
        <v>45840</v>
      </c>
      <c r="S1281" s="586" t="s">
        <v>670</v>
      </c>
      <c r="T1281" s="587">
        <v>45838</v>
      </c>
      <c r="U1281" s="588">
        <v>0</v>
      </c>
      <c r="V1281" s="589">
        <v>396.16</v>
      </c>
      <c r="W1281" s="260">
        <v>45809</v>
      </c>
    </row>
    <row r="1282" spans="1:23" hidden="1" x14ac:dyDescent="0.35">
      <c r="A1282" s="586" t="s">
        <v>526</v>
      </c>
      <c r="B1282" s="586" t="s">
        <v>159</v>
      </c>
      <c r="C1282" s="586" t="s">
        <v>298</v>
      </c>
      <c r="D1282" s="586" t="s">
        <v>330</v>
      </c>
      <c r="E1282" s="586" t="s">
        <v>331</v>
      </c>
      <c r="F1282" s="586" t="s">
        <v>276</v>
      </c>
      <c r="G1282" s="586" t="s">
        <v>356</v>
      </c>
      <c r="H1282" s="586" t="s">
        <v>670</v>
      </c>
      <c r="I1282" s="586" t="s">
        <v>277</v>
      </c>
      <c r="J1282" s="586" t="s">
        <v>522</v>
      </c>
      <c r="K1282" s="586" t="s">
        <v>301</v>
      </c>
      <c r="L1282" s="586" t="s">
        <v>581</v>
      </c>
      <c r="M1282" s="586" t="s">
        <v>285</v>
      </c>
      <c r="N1282" s="586" t="s">
        <v>670</v>
      </c>
      <c r="O1282" s="586" t="s">
        <v>670</v>
      </c>
      <c r="P1282" s="586" t="s">
        <v>522</v>
      </c>
      <c r="Q1282" s="586" t="s">
        <v>670</v>
      </c>
      <c r="R1282" s="587">
        <v>45840</v>
      </c>
      <c r="S1282" s="586" t="s">
        <v>670</v>
      </c>
      <c r="T1282" s="587">
        <v>45838</v>
      </c>
      <c r="U1282" s="588">
        <v>0</v>
      </c>
      <c r="V1282" s="589">
        <v>-2.2999999999999998</v>
      </c>
      <c r="W1282" s="260">
        <v>45809</v>
      </c>
    </row>
    <row r="1283" spans="1:23" hidden="1" x14ac:dyDescent="0.35">
      <c r="A1283" s="586" t="s">
        <v>526</v>
      </c>
      <c r="B1283" s="586" t="s">
        <v>159</v>
      </c>
      <c r="C1283" s="586" t="s">
        <v>298</v>
      </c>
      <c r="D1283" s="586" t="s">
        <v>332</v>
      </c>
      <c r="E1283" s="586" t="s">
        <v>333</v>
      </c>
      <c r="F1283" s="586" t="s">
        <v>276</v>
      </c>
      <c r="G1283" s="586" t="s">
        <v>356</v>
      </c>
      <c r="H1283" s="586" t="s">
        <v>670</v>
      </c>
      <c r="I1283" s="586" t="s">
        <v>277</v>
      </c>
      <c r="J1283" s="586" t="s">
        <v>522</v>
      </c>
      <c r="K1283" s="586" t="s">
        <v>301</v>
      </c>
      <c r="L1283" s="586" t="s">
        <v>581</v>
      </c>
      <c r="M1283" s="586" t="s">
        <v>285</v>
      </c>
      <c r="N1283" s="586" t="s">
        <v>670</v>
      </c>
      <c r="O1283" s="586" t="s">
        <v>670</v>
      </c>
      <c r="P1283" s="586" t="s">
        <v>522</v>
      </c>
      <c r="Q1283" s="586" t="s">
        <v>670</v>
      </c>
      <c r="R1283" s="587">
        <v>45840</v>
      </c>
      <c r="S1283" s="586" t="s">
        <v>670</v>
      </c>
      <c r="T1283" s="587">
        <v>45838</v>
      </c>
      <c r="U1283" s="588">
        <v>0</v>
      </c>
      <c r="V1283" s="589">
        <v>22.4</v>
      </c>
      <c r="W1283" s="260">
        <v>45809</v>
      </c>
    </row>
    <row r="1284" spans="1:23" hidden="1" x14ac:dyDescent="0.35">
      <c r="A1284" s="586" t="s">
        <v>526</v>
      </c>
      <c r="B1284" s="586" t="s">
        <v>159</v>
      </c>
      <c r="C1284" s="586" t="s">
        <v>298</v>
      </c>
      <c r="D1284" s="586" t="s">
        <v>334</v>
      </c>
      <c r="E1284" s="586" t="s">
        <v>335</v>
      </c>
      <c r="F1284" s="586" t="s">
        <v>276</v>
      </c>
      <c r="G1284" s="586" t="s">
        <v>356</v>
      </c>
      <c r="H1284" s="586" t="s">
        <v>670</v>
      </c>
      <c r="I1284" s="586" t="s">
        <v>277</v>
      </c>
      <c r="J1284" s="586" t="s">
        <v>522</v>
      </c>
      <c r="K1284" s="586" t="s">
        <v>301</v>
      </c>
      <c r="L1284" s="586" t="s">
        <v>581</v>
      </c>
      <c r="M1284" s="586" t="s">
        <v>285</v>
      </c>
      <c r="N1284" s="586" t="s">
        <v>670</v>
      </c>
      <c r="O1284" s="586" t="s">
        <v>670</v>
      </c>
      <c r="P1284" s="586" t="s">
        <v>522</v>
      </c>
      <c r="Q1284" s="586" t="s">
        <v>670</v>
      </c>
      <c r="R1284" s="587">
        <v>45840</v>
      </c>
      <c r="S1284" s="586" t="s">
        <v>670</v>
      </c>
      <c r="T1284" s="587">
        <v>45838</v>
      </c>
      <c r="U1284" s="588">
        <v>0</v>
      </c>
      <c r="V1284" s="589">
        <v>6.62</v>
      </c>
      <c r="W1284" s="260">
        <v>45809</v>
      </c>
    </row>
    <row r="1285" spans="1:23" hidden="1" x14ac:dyDescent="0.35">
      <c r="A1285" s="586" t="s">
        <v>526</v>
      </c>
      <c r="B1285" s="586" t="s">
        <v>159</v>
      </c>
      <c r="C1285" s="586" t="s">
        <v>298</v>
      </c>
      <c r="D1285" s="586" t="s">
        <v>336</v>
      </c>
      <c r="E1285" s="586" t="s">
        <v>337</v>
      </c>
      <c r="F1285" s="586" t="s">
        <v>276</v>
      </c>
      <c r="G1285" s="586" t="s">
        <v>356</v>
      </c>
      <c r="H1285" s="586" t="s">
        <v>670</v>
      </c>
      <c r="I1285" s="586" t="s">
        <v>277</v>
      </c>
      <c r="J1285" s="586" t="s">
        <v>522</v>
      </c>
      <c r="K1285" s="586" t="s">
        <v>301</v>
      </c>
      <c r="L1285" s="586" t="s">
        <v>581</v>
      </c>
      <c r="M1285" s="586" t="s">
        <v>285</v>
      </c>
      <c r="N1285" s="586" t="s">
        <v>670</v>
      </c>
      <c r="O1285" s="586" t="s">
        <v>670</v>
      </c>
      <c r="P1285" s="586" t="s">
        <v>522</v>
      </c>
      <c r="Q1285" s="586" t="s">
        <v>670</v>
      </c>
      <c r="R1285" s="587">
        <v>45840</v>
      </c>
      <c r="S1285" s="586" t="s">
        <v>670</v>
      </c>
      <c r="T1285" s="587">
        <v>45838</v>
      </c>
      <c r="U1285" s="588">
        <v>0</v>
      </c>
      <c r="V1285" s="589">
        <v>0.1</v>
      </c>
      <c r="W1285" s="260">
        <v>45809</v>
      </c>
    </row>
    <row r="1286" spans="1:23" hidden="1" x14ac:dyDescent="0.35">
      <c r="A1286" s="586" t="s">
        <v>526</v>
      </c>
      <c r="B1286" s="586" t="s">
        <v>159</v>
      </c>
      <c r="C1286" s="586" t="s">
        <v>298</v>
      </c>
      <c r="D1286" s="586" t="s">
        <v>397</v>
      </c>
      <c r="E1286" s="586" t="s">
        <v>398</v>
      </c>
      <c r="F1286" s="586" t="s">
        <v>276</v>
      </c>
      <c r="G1286" s="586" t="s">
        <v>356</v>
      </c>
      <c r="H1286" s="586" t="s">
        <v>670</v>
      </c>
      <c r="I1286" s="586" t="s">
        <v>277</v>
      </c>
      <c r="J1286" s="586" t="s">
        <v>522</v>
      </c>
      <c r="K1286" s="586" t="s">
        <v>301</v>
      </c>
      <c r="L1286" s="586" t="s">
        <v>581</v>
      </c>
      <c r="M1286" s="586" t="s">
        <v>285</v>
      </c>
      <c r="N1286" s="586" t="s">
        <v>670</v>
      </c>
      <c r="O1286" s="586" t="s">
        <v>670</v>
      </c>
      <c r="P1286" s="586" t="s">
        <v>522</v>
      </c>
      <c r="Q1286" s="586" t="s">
        <v>670</v>
      </c>
      <c r="R1286" s="587">
        <v>45840</v>
      </c>
      <c r="S1286" s="586" t="s">
        <v>670</v>
      </c>
      <c r="T1286" s="587">
        <v>45838</v>
      </c>
      <c r="U1286" s="588">
        <v>0</v>
      </c>
      <c r="V1286" s="589">
        <v>0.02</v>
      </c>
      <c r="W1286" s="260">
        <v>45809</v>
      </c>
    </row>
    <row r="1287" spans="1:23" hidden="1" x14ac:dyDescent="0.35">
      <c r="A1287" s="586" t="s">
        <v>526</v>
      </c>
      <c r="B1287" s="586" t="s">
        <v>159</v>
      </c>
      <c r="C1287" s="586" t="s">
        <v>298</v>
      </c>
      <c r="D1287" s="586" t="s">
        <v>338</v>
      </c>
      <c r="E1287" s="586" t="s">
        <v>339</v>
      </c>
      <c r="F1287" s="586" t="s">
        <v>276</v>
      </c>
      <c r="G1287" s="586" t="s">
        <v>356</v>
      </c>
      <c r="H1287" s="586" t="s">
        <v>670</v>
      </c>
      <c r="I1287" s="586" t="s">
        <v>277</v>
      </c>
      <c r="J1287" s="586" t="s">
        <v>522</v>
      </c>
      <c r="K1287" s="586" t="s">
        <v>301</v>
      </c>
      <c r="L1287" s="586" t="s">
        <v>581</v>
      </c>
      <c r="M1287" s="586" t="s">
        <v>285</v>
      </c>
      <c r="N1287" s="586" t="s">
        <v>670</v>
      </c>
      <c r="O1287" s="586" t="s">
        <v>670</v>
      </c>
      <c r="P1287" s="586" t="s">
        <v>522</v>
      </c>
      <c r="Q1287" s="586" t="s">
        <v>670</v>
      </c>
      <c r="R1287" s="587">
        <v>45840</v>
      </c>
      <c r="S1287" s="586" t="s">
        <v>670</v>
      </c>
      <c r="T1287" s="587">
        <v>45838</v>
      </c>
      <c r="U1287" s="588">
        <v>0</v>
      </c>
      <c r="V1287" s="589">
        <v>0.01</v>
      </c>
      <c r="W1287" s="260">
        <v>45809</v>
      </c>
    </row>
    <row r="1288" spans="1:23" hidden="1" x14ac:dyDescent="0.35">
      <c r="A1288" s="586" t="s">
        <v>526</v>
      </c>
      <c r="B1288" s="586" t="s">
        <v>159</v>
      </c>
      <c r="C1288" s="586" t="s">
        <v>281</v>
      </c>
      <c r="D1288" s="586" t="s">
        <v>340</v>
      </c>
      <c r="E1288" s="586" t="s">
        <v>283</v>
      </c>
      <c r="F1288" s="586" t="s">
        <v>276</v>
      </c>
      <c r="G1288" s="586" t="s">
        <v>356</v>
      </c>
      <c r="H1288" s="586" t="s">
        <v>670</v>
      </c>
      <c r="I1288" s="586" t="s">
        <v>277</v>
      </c>
      <c r="J1288" s="586" t="s">
        <v>522</v>
      </c>
      <c r="K1288" s="586" t="s">
        <v>284</v>
      </c>
      <c r="L1288" s="586" t="s">
        <v>581</v>
      </c>
      <c r="M1288" s="586" t="s">
        <v>285</v>
      </c>
      <c r="N1288" s="586" t="s">
        <v>670</v>
      </c>
      <c r="O1288" s="586" t="s">
        <v>670</v>
      </c>
      <c r="P1288" s="586" t="s">
        <v>522</v>
      </c>
      <c r="Q1288" s="586" t="s">
        <v>670</v>
      </c>
      <c r="R1288" s="587">
        <v>45839</v>
      </c>
      <c r="S1288" s="586" t="s">
        <v>670</v>
      </c>
      <c r="T1288" s="587">
        <v>45838</v>
      </c>
      <c r="U1288" s="588">
        <v>0</v>
      </c>
      <c r="V1288" s="589">
        <v>55.86</v>
      </c>
      <c r="W1288" s="260">
        <v>45809</v>
      </c>
    </row>
    <row r="1289" spans="1:23" hidden="1" x14ac:dyDescent="0.35">
      <c r="A1289" s="586" t="s">
        <v>526</v>
      </c>
      <c r="B1289" s="586" t="s">
        <v>159</v>
      </c>
      <c r="C1289" s="586" t="s">
        <v>302</v>
      </c>
      <c r="D1289" s="586" t="s">
        <v>340</v>
      </c>
      <c r="E1289" s="586" t="s">
        <v>283</v>
      </c>
      <c r="F1289" s="586" t="s">
        <v>276</v>
      </c>
      <c r="G1289" s="586" t="s">
        <v>356</v>
      </c>
      <c r="H1289" s="586" t="s">
        <v>670</v>
      </c>
      <c r="I1289" s="586" t="s">
        <v>277</v>
      </c>
      <c r="J1289" s="586" t="s">
        <v>522</v>
      </c>
      <c r="K1289" s="586" t="s">
        <v>303</v>
      </c>
      <c r="L1289" s="586" t="s">
        <v>581</v>
      </c>
      <c r="M1289" s="586" t="s">
        <v>285</v>
      </c>
      <c r="N1289" s="586" t="s">
        <v>670</v>
      </c>
      <c r="O1289" s="586" t="s">
        <v>670</v>
      </c>
      <c r="P1289" s="586" t="s">
        <v>522</v>
      </c>
      <c r="Q1289" s="586" t="s">
        <v>670</v>
      </c>
      <c r="R1289" s="587">
        <v>45840</v>
      </c>
      <c r="S1289" s="586" t="s">
        <v>670</v>
      </c>
      <c r="T1289" s="587">
        <v>45838</v>
      </c>
      <c r="U1289" s="588">
        <v>0</v>
      </c>
      <c r="V1289" s="589">
        <v>8.15</v>
      </c>
      <c r="W1289" s="260">
        <v>45809</v>
      </c>
    </row>
    <row r="1290" spans="1:23" hidden="1" x14ac:dyDescent="0.35">
      <c r="A1290" s="586" t="s">
        <v>526</v>
      </c>
      <c r="B1290" s="586" t="s">
        <v>159</v>
      </c>
      <c r="C1290" s="586" t="s">
        <v>302</v>
      </c>
      <c r="D1290" s="586" t="s">
        <v>340</v>
      </c>
      <c r="E1290" s="586" t="s">
        <v>283</v>
      </c>
      <c r="F1290" s="586" t="s">
        <v>276</v>
      </c>
      <c r="G1290" s="586" t="s">
        <v>356</v>
      </c>
      <c r="H1290" s="586" t="s">
        <v>670</v>
      </c>
      <c r="I1290" s="586" t="s">
        <v>277</v>
      </c>
      <c r="J1290" s="586" t="s">
        <v>522</v>
      </c>
      <c r="K1290" s="586" t="s">
        <v>303</v>
      </c>
      <c r="L1290" s="586" t="s">
        <v>581</v>
      </c>
      <c r="M1290" s="586" t="s">
        <v>285</v>
      </c>
      <c r="N1290" s="586" t="s">
        <v>670</v>
      </c>
      <c r="O1290" s="586" t="s">
        <v>670</v>
      </c>
      <c r="P1290" s="586" t="s">
        <v>522</v>
      </c>
      <c r="Q1290" s="586" t="s">
        <v>670</v>
      </c>
      <c r="R1290" s="587">
        <v>45840</v>
      </c>
      <c r="S1290" s="586" t="s">
        <v>670</v>
      </c>
      <c r="T1290" s="587">
        <v>45838</v>
      </c>
      <c r="U1290" s="588">
        <v>0</v>
      </c>
      <c r="V1290" s="589">
        <v>3.04</v>
      </c>
      <c r="W1290" s="260">
        <v>45809</v>
      </c>
    </row>
    <row r="1291" spans="1:23" hidden="1" x14ac:dyDescent="0.35">
      <c r="A1291" s="586" t="s">
        <v>526</v>
      </c>
      <c r="B1291" s="586" t="s">
        <v>159</v>
      </c>
      <c r="C1291" s="586" t="s">
        <v>286</v>
      </c>
      <c r="D1291" s="586" t="s">
        <v>341</v>
      </c>
      <c r="E1291" s="586" t="s">
        <v>288</v>
      </c>
      <c r="F1291" s="586" t="s">
        <v>276</v>
      </c>
      <c r="G1291" s="586" t="s">
        <v>356</v>
      </c>
      <c r="H1291" s="586" t="s">
        <v>670</v>
      </c>
      <c r="I1291" s="586" t="s">
        <v>277</v>
      </c>
      <c r="J1291" s="586" t="s">
        <v>522</v>
      </c>
      <c r="K1291" s="586" t="s">
        <v>289</v>
      </c>
      <c r="L1291" s="586" t="s">
        <v>581</v>
      </c>
      <c r="M1291" s="586" t="s">
        <v>285</v>
      </c>
      <c r="N1291" s="586" t="s">
        <v>670</v>
      </c>
      <c r="O1291" s="586" t="s">
        <v>670</v>
      </c>
      <c r="P1291" s="586" t="s">
        <v>522</v>
      </c>
      <c r="Q1291" s="586" t="s">
        <v>670</v>
      </c>
      <c r="R1291" s="587">
        <v>45839</v>
      </c>
      <c r="S1291" s="586" t="s">
        <v>670</v>
      </c>
      <c r="T1291" s="587">
        <v>45838</v>
      </c>
      <c r="U1291" s="588">
        <v>0</v>
      </c>
      <c r="V1291" s="589">
        <v>-92.84</v>
      </c>
      <c r="W1291" s="260">
        <v>45809</v>
      </c>
    </row>
    <row r="1292" spans="1:23" hidden="1" x14ac:dyDescent="0.35">
      <c r="A1292" s="586" t="s">
        <v>526</v>
      </c>
      <c r="B1292" s="586" t="s">
        <v>159</v>
      </c>
      <c r="C1292" s="586" t="s">
        <v>302</v>
      </c>
      <c r="D1292" s="586" t="s">
        <v>341</v>
      </c>
      <c r="E1292" s="586" t="s">
        <v>288</v>
      </c>
      <c r="F1292" s="586" t="s">
        <v>276</v>
      </c>
      <c r="G1292" s="586" t="s">
        <v>356</v>
      </c>
      <c r="H1292" s="586" t="s">
        <v>670</v>
      </c>
      <c r="I1292" s="586" t="s">
        <v>277</v>
      </c>
      <c r="J1292" s="586" t="s">
        <v>522</v>
      </c>
      <c r="K1292" s="586" t="s">
        <v>303</v>
      </c>
      <c r="L1292" s="586" t="s">
        <v>581</v>
      </c>
      <c r="M1292" s="586" t="s">
        <v>285</v>
      </c>
      <c r="N1292" s="586" t="s">
        <v>670</v>
      </c>
      <c r="O1292" s="586" t="s">
        <v>670</v>
      </c>
      <c r="P1292" s="586" t="s">
        <v>522</v>
      </c>
      <c r="Q1292" s="586" t="s">
        <v>670</v>
      </c>
      <c r="R1292" s="587">
        <v>45840</v>
      </c>
      <c r="S1292" s="586" t="s">
        <v>670</v>
      </c>
      <c r="T1292" s="587">
        <v>45838</v>
      </c>
      <c r="U1292" s="588">
        <v>0</v>
      </c>
      <c r="V1292" s="589">
        <v>22.87</v>
      </c>
      <c r="W1292" s="260">
        <v>45809</v>
      </c>
    </row>
    <row r="1293" spans="1:23" hidden="1" x14ac:dyDescent="0.35">
      <c r="A1293" s="586" t="s">
        <v>526</v>
      </c>
      <c r="B1293" s="586" t="s">
        <v>159</v>
      </c>
      <c r="C1293" s="586" t="s">
        <v>302</v>
      </c>
      <c r="D1293" s="586" t="s">
        <v>341</v>
      </c>
      <c r="E1293" s="586" t="s">
        <v>288</v>
      </c>
      <c r="F1293" s="586" t="s">
        <v>276</v>
      </c>
      <c r="G1293" s="586" t="s">
        <v>356</v>
      </c>
      <c r="H1293" s="586" t="s">
        <v>670</v>
      </c>
      <c r="I1293" s="586" t="s">
        <v>277</v>
      </c>
      <c r="J1293" s="586" t="s">
        <v>522</v>
      </c>
      <c r="K1293" s="586" t="s">
        <v>303</v>
      </c>
      <c r="L1293" s="586" t="s">
        <v>581</v>
      </c>
      <c r="M1293" s="586" t="s">
        <v>285</v>
      </c>
      <c r="N1293" s="586" t="s">
        <v>670</v>
      </c>
      <c r="O1293" s="586" t="s">
        <v>670</v>
      </c>
      <c r="P1293" s="586" t="s">
        <v>522</v>
      </c>
      <c r="Q1293" s="586" t="s">
        <v>670</v>
      </c>
      <c r="R1293" s="587">
        <v>45840</v>
      </c>
      <c r="S1293" s="586" t="s">
        <v>670</v>
      </c>
      <c r="T1293" s="587">
        <v>45838</v>
      </c>
      <c r="U1293" s="588">
        <v>0</v>
      </c>
      <c r="V1293" s="589">
        <v>-5.05</v>
      </c>
      <c r="W1293" s="260">
        <v>45809</v>
      </c>
    </row>
    <row r="1294" spans="1:23" hidden="1" x14ac:dyDescent="0.35">
      <c r="A1294" s="586" t="s">
        <v>526</v>
      </c>
      <c r="B1294" s="586" t="s">
        <v>159</v>
      </c>
      <c r="C1294" s="586" t="s">
        <v>281</v>
      </c>
      <c r="D1294" s="586" t="s">
        <v>342</v>
      </c>
      <c r="E1294" s="586" t="s">
        <v>291</v>
      </c>
      <c r="F1294" s="586" t="s">
        <v>276</v>
      </c>
      <c r="G1294" s="586" t="s">
        <v>356</v>
      </c>
      <c r="H1294" s="586" t="s">
        <v>670</v>
      </c>
      <c r="I1294" s="586" t="s">
        <v>277</v>
      </c>
      <c r="J1294" s="586" t="s">
        <v>522</v>
      </c>
      <c r="K1294" s="586" t="s">
        <v>284</v>
      </c>
      <c r="L1294" s="586" t="s">
        <v>581</v>
      </c>
      <c r="M1294" s="586" t="s">
        <v>285</v>
      </c>
      <c r="N1294" s="586" t="s">
        <v>670</v>
      </c>
      <c r="O1294" s="586" t="s">
        <v>670</v>
      </c>
      <c r="P1294" s="586" t="s">
        <v>522</v>
      </c>
      <c r="Q1294" s="586" t="s">
        <v>670</v>
      </c>
      <c r="R1294" s="587">
        <v>45839</v>
      </c>
      <c r="S1294" s="586" t="s">
        <v>670</v>
      </c>
      <c r="T1294" s="587">
        <v>45838</v>
      </c>
      <c r="U1294" s="588">
        <v>0</v>
      </c>
      <c r="V1294" s="589">
        <v>81.599999999999994</v>
      </c>
      <c r="W1294" s="260">
        <v>45809</v>
      </c>
    </row>
    <row r="1295" spans="1:23" hidden="1" x14ac:dyDescent="0.35">
      <c r="A1295" s="586" t="s">
        <v>526</v>
      </c>
      <c r="B1295" s="586" t="s">
        <v>159</v>
      </c>
      <c r="C1295" s="586" t="s">
        <v>302</v>
      </c>
      <c r="D1295" s="586" t="s">
        <v>342</v>
      </c>
      <c r="E1295" s="586" t="s">
        <v>291</v>
      </c>
      <c r="F1295" s="586" t="s">
        <v>276</v>
      </c>
      <c r="G1295" s="586" t="s">
        <v>356</v>
      </c>
      <c r="H1295" s="586" t="s">
        <v>670</v>
      </c>
      <c r="I1295" s="586" t="s">
        <v>277</v>
      </c>
      <c r="J1295" s="586" t="s">
        <v>522</v>
      </c>
      <c r="K1295" s="586" t="s">
        <v>303</v>
      </c>
      <c r="L1295" s="586" t="s">
        <v>581</v>
      </c>
      <c r="M1295" s="586" t="s">
        <v>285</v>
      </c>
      <c r="N1295" s="586" t="s">
        <v>670</v>
      </c>
      <c r="O1295" s="586" t="s">
        <v>670</v>
      </c>
      <c r="P1295" s="586" t="s">
        <v>522</v>
      </c>
      <c r="Q1295" s="586" t="s">
        <v>670</v>
      </c>
      <c r="R1295" s="587">
        <v>45840</v>
      </c>
      <c r="S1295" s="586" t="s">
        <v>670</v>
      </c>
      <c r="T1295" s="587">
        <v>45838</v>
      </c>
      <c r="U1295" s="588">
        <v>0</v>
      </c>
      <c r="V1295" s="589">
        <v>5.27</v>
      </c>
      <c r="W1295" s="260">
        <v>45809</v>
      </c>
    </row>
    <row r="1296" spans="1:23" hidden="1" x14ac:dyDescent="0.35">
      <c r="A1296" s="586" t="s">
        <v>526</v>
      </c>
      <c r="B1296" s="586" t="s">
        <v>159</v>
      </c>
      <c r="C1296" s="586" t="s">
        <v>302</v>
      </c>
      <c r="D1296" s="586" t="s">
        <v>342</v>
      </c>
      <c r="E1296" s="586" t="s">
        <v>291</v>
      </c>
      <c r="F1296" s="586" t="s">
        <v>276</v>
      </c>
      <c r="G1296" s="586" t="s">
        <v>356</v>
      </c>
      <c r="H1296" s="586" t="s">
        <v>670</v>
      </c>
      <c r="I1296" s="586" t="s">
        <v>277</v>
      </c>
      <c r="J1296" s="586" t="s">
        <v>522</v>
      </c>
      <c r="K1296" s="586" t="s">
        <v>303</v>
      </c>
      <c r="L1296" s="586" t="s">
        <v>581</v>
      </c>
      <c r="M1296" s="586" t="s">
        <v>285</v>
      </c>
      <c r="N1296" s="586" t="s">
        <v>670</v>
      </c>
      <c r="O1296" s="586" t="s">
        <v>670</v>
      </c>
      <c r="P1296" s="586" t="s">
        <v>522</v>
      </c>
      <c r="Q1296" s="586" t="s">
        <v>670</v>
      </c>
      <c r="R1296" s="587">
        <v>45840</v>
      </c>
      <c r="S1296" s="586" t="s">
        <v>670</v>
      </c>
      <c r="T1296" s="587">
        <v>45838</v>
      </c>
      <c r="U1296" s="588">
        <v>0</v>
      </c>
      <c r="V1296" s="589">
        <v>4.4400000000000004</v>
      </c>
      <c r="W1296" s="260">
        <v>45809</v>
      </c>
    </row>
    <row r="1297" spans="1:23" hidden="1" x14ac:dyDescent="0.35">
      <c r="A1297" s="586" t="s">
        <v>526</v>
      </c>
      <c r="B1297" s="586" t="s">
        <v>159</v>
      </c>
      <c r="C1297" s="586" t="s">
        <v>281</v>
      </c>
      <c r="D1297" s="586" t="s">
        <v>343</v>
      </c>
      <c r="E1297" s="586" t="s">
        <v>293</v>
      </c>
      <c r="F1297" s="586" t="s">
        <v>276</v>
      </c>
      <c r="G1297" s="586" t="s">
        <v>356</v>
      </c>
      <c r="H1297" s="586" t="s">
        <v>670</v>
      </c>
      <c r="I1297" s="586" t="s">
        <v>277</v>
      </c>
      <c r="J1297" s="586" t="s">
        <v>522</v>
      </c>
      <c r="K1297" s="586" t="s">
        <v>294</v>
      </c>
      <c r="L1297" s="586" t="s">
        <v>581</v>
      </c>
      <c r="M1297" s="586" t="s">
        <v>285</v>
      </c>
      <c r="N1297" s="586" t="s">
        <v>670</v>
      </c>
      <c r="O1297" s="586" t="s">
        <v>670</v>
      </c>
      <c r="P1297" s="586" t="s">
        <v>522</v>
      </c>
      <c r="Q1297" s="586" t="s">
        <v>670</v>
      </c>
      <c r="R1297" s="587">
        <v>45839</v>
      </c>
      <c r="S1297" s="586" t="s">
        <v>670</v>
      </c>
      <c r="T1297" s="587">
        <v>45838</v>
      </c>
      <c r="U1297" s="588">
        <v>0</v>
      </c>
      <c r="V1297" s="589">
        <v>16.16</v>
      </c>
      <c r="W1297" s="260">
        <v>45809</v>
      </c>
    </row>
    <row r="1298" spans="1:23" hidden="1" x14ac:dyDescent="0.35">
      <c r="A1298" s="586" t="s">
        <v>526</v>
      </c>
      <c r="B1298" s="586" t="s">
        <v>159</v>
      </c>
      <c r="C1298" s="586" t="s">
        <v>302</v>
      </c>
      <c r="D1298" s="586" t="s">
        <v>343</v>
      </c>
      <c r="E1298" s="586" t="s">
        <v>293</v>
      </c>
      <c r="F1298" s="586" t="s">
        <v>276</v>
      </c>
      <c r="G1298" s="586" t="s">
        <v>356</v>
      </c>
      <c r="H1298" s="586" t="s">
        <v>670</v>
      </c>
      <c r="I1298" s="586" t="s">
        <v>277</v>
      </c>
      <c r="J1298" s="586" t="s">
        <v>522</v>
      </c>
      <c r="K1298" s="586" t="s">
        <v>303</v>
      </c>
      <c r="L1298" s="586" t="s">
        <v>581</v>
      </c>
      <c r="M1298" s="586" t="s">
        <v>285</v>
      </c>
      <c r="N1298" s="586" t="s">
        <v>670</v>
      </c>
      <c r="O1298" s="586" t="s">
        <v>670</v>
      </c>
      <c r="P1298" s="586" t="s">
        <v>522</v>
      </c>
      <c r="Q1298" s="586" t="s">
        <v>670</v>
      </c>
      <c r="R1298" s="587">
        <v>45840</v>
      </c>
      <c r="S1298" s="586" t="s">
        <v>670</v>
      </c>
      <c r="T1298" s="587">
        <v>45838</v>
      </c>
      <c r="U1298" s="588">
        <v>0</v>
      </c>
      <c r="V1298" s="589">
        <v>5.83</v>
      </c>
      <c r="W1298" s="260">
        <v>45809</v>
      </c>
    </row>
    <row r="1299" spans="1:23" hidden="1" x14ac:dyDescent="0.35">
      <c r="A1299" s="586" t="s">
        <v>526</v>
      </c>
      <c r="B1299" s="586" t="s">
        <v>159</v>
      </c>
      <c r="C1299" s="586" t="s">
        <v>302</v>
      </c>
      <c r="D1299" s="586" t="s">
        <v>343</v>
      </c>
      <c r="E1299" s="586" t="s">
        <v>293</v>
      </c>
      <c r="F1299" s="586" t="s">
        <v>276</v>
      </c>
      <c r="G1299" s="586" t="s">
        <v>356</v>
      </c>
      <c r="H1299" s="586" t="s">
        <v>670</v>
      </c>
      <c r="I1299" s="586" t="s">
        <v>277</v>
      </c>
      <c r="J1299" s="586" t="s">
        <v>522</v>
      </c>
      <c r="K1299" s="586" t="s">
        <v>303</v>
      </c>
      <c r="L1299" s="586" t="s">
        <v>581</v>
      </c>
      <c r="M1299" s="586" t="s">
        <v>285</v>
      </c>
      <c r="N1299" s="586" t="s">
        <v>670</v>
      </c>
      <c r="O1299" s="586" t="s">
        <v>670</v>
      </c>
      <c r="P1299" s="586" t="s">
        <v>522</v>
      </c>
      <c r="Q1299" s="586" t="s">
        <v>670</v>
      </c>
      <c r="R1299" s="587">
        <v>45840</v>
      </c>
      <c r="S1299" s="586" t="s">
        <v>670</v>
      </c>
      <c r="T1299" s="587">
        <v>45838</v>
      </c>
      <c r="U1299" s="588">
        <v>0</v>
      </c>
      <c r="V1299" s="589">
        <v>0.88</v>
      </c>
      <c r="W1299" s="260">
        <v>45809</v>
      </c>
    </row>
    <row r="1300" spans="1:23" hidden="1" x14ac:dyDescent="0.35">
      <c r="A1300" s="586" t="s">
        <v>526</v>
      </c>
      <c r="B1300" s="586" t="s">
        <v>159</v>
      </c>
      <c r="C1300" s="586" t="s">
        <v>286</v>
      </c>
      <c r="D1300" s="586" t="s">
        <v>344</v>
      </c>
      <c r="E1300" s="586" t="s">
        <v>296</v>
      </c>
      <c r="F1300" s="586" t="s">
        <v>276</v>
      </c>
      <c r="G1300" s="586" t="s">
        <v>356</v>
      </c>
      <c r="H1300" s="586" t="s">
        <v>670</v>
      </c>
      <c r="I1300" s="586" t="s">
        <v>277</v>
      </c>
      <c r="J1300" s="586" t="s">
        <v>522</v>
      </c>
      <c r="K1300" s="586" t="s">
        <v>297</v>
      </c>
      <c r="L1300" s="586" t="s">
        <v>581</v>
      </c>
      <c r="M1300" s="586" t="s">
        <v>285</v>
      </c>
      <c r="N1300" s="586" t="s">
        <v>670</v>
      </c>
      <c r="O1300" s="586" t="s">
        <v>670</v>
      </c>
      <c r="P1300" s="586" t="s">
        <v>522</v>
      </c>
      <c r="Q1300" s="586" t="s">
        <v>670</v>
      </c>
      <c r="R1300" s="587">
        <v>45839</v>
      </c>
      <c r="S1300" s="586" t="s">
        <v>670</v>
      </c>
      <c r="T1300" s="587">
        <v>45838</v>
      </c>
      <c r="U1300" s="588">
        <v>0</v>
      </c>
      <c r="V1300" s="589">
        <v>56.91</v>
      </c>
      <c r="W1300" s="260">
        <v>45809</v>
      </c>
    </row>
    <row r="1301" spans="1:23" hidden="1" x14ac:dyDescent="0.35">
      <c r="A1301" s="586" t="s">
        <v>526</v>
      </c>
      <c r="B1301" s="586" t="s">
        <v>159</v>
      </c>
      <c r="C1301" s="586" t="s">
        <v>302</v>
      </c>
      <c r="D1301" s="586" t="s">
        <v>344</v>
      </c>
      <c r="E1301" s="586" t="s">
        <v>296</v>
      </c>
      <c r="F1301" s="586" t="s">
        <v>276</v>
      </c>
      <c r="G1301" s="586" t="s">
        <v>356</v>
      </c>
      <c r="H1301" s="586" t="s">
        <v>670</v>
      </c>
      <c r="I1301" s="586" t="s">
        <v>277</v>
      </c>
      <c r="J1301" s="586" t="s">
        <v>522</v>
      </c>
      <c r="K1301" s="586" t="s">
        <v>303</v>
      </c>
      <c r="L1301" s="586" t="s">
        <v>581</v>
      </c>
      <c r="M1301" s="586" t="s">
        <v>285</v>
      </c>
      <c r="N1301" s="586" t="s">
        <v>670</v>
      </c>
      <c r="O1301" s="586" t="s">
        <v>670</v>
      </c>
      <c r="P1301" s="586" t="s">
        <v>522</v>
      </c>
      <c r="Q1301" s="586" t="s">
        <v>670</v>
      </c>
      <c r="R1301" s="587">
        <v>45840</v>
      </c>
      <c r="S1301" s="586" t="s">
        <v>670</v>
      </c>
      <c r="T1301" s="587">
        <v>45838</v>
      </c>
      <c r="U1301" s="588">
        <v>0</v>
      </c>
      <c r="V1301" s="589">
        <v>12.47</v>
      </c>
      <c r="W1301" s="260">
        <v>45809</v>
      </c>
    </row>
    <row r="1302" spans="1:23" hidden="1" x14ac:dyDescent="0.35">
      <c r="A1302" s="586" t="s">
        <v>526</v>
      </c>
      <c r="B1302" s="586" t="s">
        <v>159</v>
      </c>
      <c r="C1302" s="586" t="s">
        <v>302</v>
      </c>
      <c r="D1302" s="586" t="s">
        <v>344</v>
      </c>
      <c r="E1302" s="586" t="s">
        <v>296</v>
      </c>
      <c r="F1302" s="586" t="s">
        <v>276</v>
      </c>
      <c r="G1302" s="586" t="s">
        <v>356</v>
      </c>
      <c r="H1302" s="586" t="s">
        <v>670</v>
      </c>
      <c r="I1302" s="586" t="s">
        <v>277</v>
      </c>
      <c r="J1302" s="586" t="s">
        <v>522</v>
      </c>
      <c r="K1302" s="586" t="s">
        <v>303</v>
      </c>
      <c r="L1302" s="586" t="s">
        <v>581</v>
      </c>
      <c r="M1302" s="586" t="s">
        <v>285</v>
      </c>
      <c r="N1302" s="586" t="s">
        <v>670</v>
      </c>
      <c r="O1302" s="586" t="s">
        <v>670</v>
      </c>
      <c r="P1302" s="586" t="s">
        <v>522</v>
      </c>
      <c r="Q1302" s="586" t="s">
        <v>670</v>
      </c>
      <c r="R1302" s="587">
        <v>45840</v>
      </c>
      <c r="S1302" s="586" t="s">
        <v>670</v>
      </c>
      <c r="T1302" s="587">
        <v>45838</v>
      </c>
      <c r="U1302" s="588">
        <v>0</v>
      </c>
      <c r="V1302" s="589">
        <v>3.1</v>
      </c>
      <c r="W1302" s="260">
        <v>45809</v>
      </c>
    </row>
    <row r="1303" spans="1:23" hidden="1" x14ac:dyDescent="0.35">
      <c r="A1303" s="586" t="s">
        <v>526</v>
      </c>
      <c r="B1303" s="586" t="s">
        <v>159</v>
      </c>
      <c r="C1303" s="586" t="s">
        <v>298</v>
      </c>
      <c r="D1303" s="586" t="s">
        <v>345</v>
      </c>
      <c r="E1303" s="586" t="s">
        <v>346</v>
      </c>
      <c r="F1303" s="586" t="s">
        <v>276</v>
      </c>
      <c r="G1303" s="586" t="s">
        <v>356</v>
      </c>
      <c r="H1303" s="586" t="s">
        <v>670</v>
      </c>
      <c r="I1303" s="586" t="s">
        <v>277</v>
      </c>
      <c r="J1303" s="586" t="s">
        <v>522</v>
      </c>
      <c r="K1303" s="586" t="s">
        <v>301</v>
      </c>
      <c r="L1303" s="586" t="s">
        <v>581</v>
      </c>
      <c r="M1303" s="586" t="s">
        <v>285</v>
      </c>
      <c r="N1303" s="586" t="s">
        <v>670</v>
      </c>
      <c r="O1303" s="586" t="s">
        <v>670</v>
      </c>
      <c r="P1303" s="586" t="s">
        <v>522</v>
      </c>
      <c r="Q1303" s="586" t="s">
        <v>670</v>
      </c>
      <c r="R1303" s="587">
        <v>45840</v>
      </c>
      <c r="S1303" s="586" t="s">
        <v>670</v>
      </c>
      <c r="T1303" s="587">
        <v>45838</v>
      </c>
      <c r="U1303" s="588">
        <v>0</v>
      </c>
      <c r="V1303" s="589">
        <v>0.08</v>
      </c>
      <c r="W1303" s="260">
        <v>45809</v>
      </c>
    </row>
    <row r="1304" spans="1:23" hidden="1" x14ac:dyDescent="0.35">
      <c r="A1304" s="586" t="s">
        <v>526</v>
      </c>
      <c r="B1304" s="586" t="s">
        <v>159</v>
      </c>
      <c r="C1304" s="586" t="s">
        <v>298</v>
      </c>
      <c r="D1304" s="586" t="s">
        <v>347</v>
      </c>
      <c r="E1304" s="586" t="s">
        <v>348</v>
      </c>
      <c r="F1304" s="586" t="s">
        <v>276</v>
      </c>
      <c r="G1304" s="586" t="s">
        <v>356</v>
      </c>
      <c r="H1304" s="586" t="s">
        <v>670</v>
      </c>
      <c r="I1304" s="586" t="s">
        <v>277</v>
      </c>
      <c r="J1304" s="586" t="s">
        <v>522</v>
      </c>
      <c r="K1304" s="586" t="s">
        <v>301</v>
      </c>
      <c r="L1304" s="586" t="s">
        <v>581</v>
      </c>
      <c r="M1304" s="586" t="s">
        <v>285</v>
      </c>
      <c r="N1304" s="586" t="s">
        <v>670</v>
      </c>
      <c r="O1304" s="586" t="s">
        <v>670</v>
      </c>
      <c r="P1304" s="586" t="s">
        <v>522</v>
      </c>
      <c r="Q1304" s="586" t="s">
        <v>670</v>
      </c>
      <c r="R1304" s="587">
        <v>45840</v>
      </c>
      <c r="S1304" s="586" t="s">
        <v>670</v>
      </c>
      <c r="T1304" s="587">
        <v>45838</v>
      </c>
      <c r="U1304" s="588">
        <v>0</v>
      </c>
      <c r="V1304" s="589">
        <v>0.56999999999999995</v>
      </c>
      <c r="W1304" s="260">
        <v>45809</v>
      </c>
    </row>
    <row r="1305" spans="1:23" hidden="1" x14ac:dyDescent="0.35">
      <c r="A1305" s="586" t="s">
        <v>526</v>
      </c>
      <c r="B1305" s="586" t="s">
        <v>159</v>
      </c>
      <c r="C1305" s="586" t="s">
        <v>298</v>
      </c>
      <c r="D1305" s="586" t="s">
        <v>347</v>
      </c>
      <c r="E1305" s="586" t="s">
        <v>348</v>
      </c>
      <c r="F1305" s="586" t="s">
        <v>276</v>
      </c>
      <c r="G1305" s="586" t="s">
        <v>356</v>
      </c>
      <c r="H1305" s="586" t="s">
        <v>670</v>
      </c>
      <c r="I1305" s="586" t="s">
        <v>277</v>
      </c>
      <c r="J1305" s="586" t="s">
        <v>522</v>
      </c>
      <c r="K1305" s="586" t="s">
        <v>301</v>
      </c>
      <c r="L1305" s="586" t="s">
        <v>581</v>
      </c>
      <c r="M1305" s="586" t="s">
        <v>285</v>
      </c>
      <c r="N1305" s="586" t="s">
        <v>670</v>
      </c>
      <c r="O1305" s="586" t="s">
        <v>670</v>
      </c>
      <c r="P1305" s="586" t="s">
        <v>522</v>
      </c>
      <c r="Q1305" s="586" t="s">
        <v>670</v>
      </c>
      <c r="R1305" s="587">
        <v>45840</v>
      </c>
      <c r="S1305" s="586" t="s">
        <v>670</v>
      </c>
      <c r="T1305" s="587">
        <v>45838</v>
      </c>
      <c r="U1305" s="588">
        <v>0</v>
      </c>
      <c r="V1305" s="589">
        <v>-0.22</v>
      </c>
      <c r="W1305" s="260">
        <v>45809</v>
      </c>
    </row>
    <row r="1306" spans="1:23" hidden="1" x14ac:dyDescent="0.35">
      <c r="A1306" s="586" t="s">
        <v>526</v>
      </c>
      <c r="B1306" s="586" t="s">
        <v>159</v>
      </c>
      <c r="C1306" s="586" t="s">
        <v>298</v>
      </c>
      <c r="D1306" s="586" t="s">
        <v>351</v>
      </c>
      <c r="E1306" s="586" t="s">
        <v>352</v>
      </c>
      <c r="F1306" s="586" t="s">
        <v>276</v>
      </c>
      <c r="G1306" s="586" t="s">
        <v>356</v>
      </c>
      <c r="H1306" s="586" t="s">
        <v>670</v>
      </c>
      <c r="I1306" s="586" t="s">
        <v>277</v>
      </c>
      <c r="J1306" s="586" t="s">
        <v>522</v>
      </c>
      <c r="K1306" s="586" t="s">
        <v>301</v>
      </c>
      <c r="L1306" s="586" t="s">
        <v>581</v>
      </c>
      <c r="M1306" s="586" t="s">
        <v>285</v>
      </c>
      <c r="N1306" s="586" t="s">
        <v>670</v>
      </c>
      <c r="O1306" s="586" t="s">
        <v>670</v>
      </c>
      <c r="P1306" s="586" t="s">
        <v>522</v>
      </c>
      <c r="Q1306" s="586" t="s">
        <v>670</v>
      </c>
      <c r="R1306" s="587">
        <v>45840</v>
      </c>
      <c r="S1306" s="586" t="s">
        <v>670</v>
      </c>
      <c r="T1306" s="587">
        <v>45838</v>
      </c>
      <c r="U1306" s="588">
        <v>0</v>
      </c>
      <c r="V1306" s="589">
        <v>0.31</v>
      </c>
      <c r="W1306" s="260">
        <v>45809</v>
      </c>
    </row>
    <row r="1307" spans="1:23" hidden="1" x14ac:dyDescent="0.35">
      <c r="A1307" s="586" t="s">
        <v>526</v>
      </c>
      <c r="B1307" s="586" t="s">
        <v>159</v>
      </c>
      <c r="C1307" s="586" t="s">
        <v>298</v>
      </c>
      <c r="D1307" s="586" t="s">
        <v>351</v>
      </c>
      <c r="E1307" s="586" t="s">
        <v>352</v>
      </c>
      <c r="F1307" s="586" t="s">
        <v>276</v>
      </c>
      <c r="G1307" s="586" t="s">
        <v>356</v>
      </c>
      <c r="H1307" s="586" t="s">
        <v>670</v>
      </c>
      <c r="I1307" s="586" t="s">
        <v>277</v>
      </c>
      <c r="J1307" s="586" t="s">
        <v>522</v>
      </c>
      <c r="K1307" s="586" t="s">
        <v>301</v>
      </c>
      <c r="L1307" s="586" t="s">
        <v>581</v>
      </c>
      <c r="M1307" s="586" t="s">
        <v>285</v>
      </c>
      <c r="N1307" s="586" t="s">
        <v>670</v>
      </c>
      <c r="O1307" s="586" t="s">
        <v>670</v>
      </c>
      <c r="P1307" s="586" t="s">
        <v>522</v>
      </c>
      <c r="Q1307" s="586" t="s">
        <v>670</v>
      </c>
      <c r="R1307" s="587">
        <v>45840</v>
      </c>
      <c r="S1307" s="586" t="s">
        <v>670</v>
      </c>
      <c r="T1307" s="587">
        <v>45838</v>
      </c>
      <c r="U1307" s="588">
        <v>0</v>
      </c>
      <c r="V1307" s="589">
        <v>0.02</v>
      </c>
      <c r="W1307" s="260">
        <v>45809</v>
      </c>
    </row>
    <row r="1308" spans="1:23" hidden="1" x14ac:dyDescent="0.35">
      <c r="A1308" s="586" t="s">
        <v>526</v>
      </c>
      <c r="B1308" s="586" t="s">
        <v>159</v>
      </c>
      <c r="C1308" s="586" t="s">
        <v>298</v>
      </c>
      <c r="D1308" s="586" t="s">
        <v>354</v>
      </c>
      <c r="E1308" s="586" t="s">
        <v>355</v>
      </c>
      <c r="F1308" s="586" t="s">
        <v>276</v>
      </c>
      <c r="G1308" s="586" t="s">
        <v>356</v>
      </c>
      <c r="H1308" s="586" t="s">
        <v>670</v>
      </c>
      <c r="I1308" s="586" t="s">
        <v>277</v>
      </c>
      <c r="J1308" s="586" t="s">
        <v>522</v>
      </c>
      <c r="K1308" s="586" t="s">
        <v>301</v>
      </c>
      <c r="L1308" s="586" t="s">
        <v>581</v>
      </c>
      <c r="M1308" s="586" t="s">
        <v>285</v>
      </c>
      <c r="N1308" s="586" t="s">
        <v>670</v>
      </c>
      <c r="O1308" s="586" t="s">
        <v>670</v>
      </c>
      <c r="P1308" s="586" t="s">
        <v>522</v>
      </c>
      <c r="Q1308" s="586" t="s">
        <v>670</v>
      </c>
      <c r="R1308" s="587">
        <v>45840</v>
      </c>
      <c r="S1308" s="586" t="s">
        <v>670</v>
      </c>
      <c r="T1308" s="587">
        <v>45838</v>
      </c>
      <c r="U1308" s="588">
        <v>0</v>
      </c>
      <c r="V1308" s="589">
        <v>0.04</v>
      </c>
      <c r="W1308" s="260">
        <v>45809</v>
      </c>
    </row>
    <row r="1309" spans="1:23" hidden="1" x14ac:dyDescent="0.35">
      <c r="A1309" s="586" t="s">
        <v>526</v>
      </c>
      <c r="B1309" s="586" t="s">
        <v>159</v>
      </c>
      <c r="C1309" s="586" t="s">
        <v>542</v>
      </c>
      <c r="D1309" s="586" t="s">
        <v>560</v>
      </c>
      <c r="E1309" s="586" t="s">
        <v>544</v>
      </c>
      <c r="F1309" s="586" t="s">
        <v>276</v>
      </c>
      <c r="G1309" s="586" t="s">
        <v>356</v>
      </c>
      <c r="H1309" s="586" t="s">
        <v>670</v>
      </c>
      <c r="I1309" s="586" t="s">
        <v>277</v>
      </c>
      <c r="J1309" s="586" t="s">
        <v>522</v>
      </c>
      <c r="K1309" s="586" t="s">
        <v>545</v>
      </c>
      <c r="L1309" s="586" t="s">
        <v>581</v>
      </c>
      <c r="M1309" s="586" t="s">
        <v>285</v>
      </c>
      <c r="N1309" s="586" t="s">
        <v>670</v>
      </c>
      <c r="O1309" s="586" t="s">
        <v>670</v>
      </c>
      <c r="P1309" s="586" t="s">
        <v>522</v>
      </c>
      <c r="Q1309" s="586" t="s">
        <v>670</v>
      </c>
      <c r="R1309" s="587">
        <v>45839</v>
      </c>
      <c r="S1309" s="586" t="s">
        <v>670</v>
      </c>
      <c r="T1309" s="587">
        <v>45838</v>
      </c>
      <c r="U1309" s="588">
        <v>0</v>
      </c>
      <c r="V1309" s="589">
        <v>3.5</v>
      </c>
      <c r="W1309" s="260">
        <v>45809</v>
      </c>
    </row>
    <row r="1310" spans="1:23" hidden="1" x14ac:dyDescent="0.35">
      <c r="A1310" s="586" t="s">
        <v>526</v>
      </c>
      <c r="B1310" s="586" t="s">
        <v>159</v>
      </c>
      <c r="C1310" s="586" t="s">
        <v>546</v>
      </c>
      <c r="D1310" s="586" t="s">
        <v>561</v>
      </c>
      <c r="E1310" s="586" t="s">
        <v>548</v>
      </c>
      <c r="F1310" s="586" t="s">
        <v>276</v>
      </c>
      <c r="G1310" s="586" t="s">
        <v>356</v>
      </c>
      <c r="H1310" s="586" t="s">
        <v>670</v>
      </c>
      <c r="I1310" s="586" t="s">
        <v>277</v>
      </c>
      <c r="J1310" s="586" t="s">
        <v>522</v>
      </c>
      <c r="K1310" s="586" t="s">
        <v>549</v>
      </c>
      <c r="L1310" s="586" t="s">
        <v>581</v>
      </c>
      <c r="M1310" s="586" t="s">
        <v>285</v>
      </c>
      <c r="N1310" s="586" t="s">
        <v>670</v>
      </c>
      <c r="O1310" s="586" t="s">
        <v>670</v>
      </c>
      <c r="P1310" s="586" t="s">
        <v>522</v>
      </c>
      <c r="Q1310" s="586" t="s">
        <v>670</v>
      </c>
      <c r="R1310" s="587">
        <v>45839</v>
      </c>
      <c r="S1310" s="586" t="s">
        <v>670</v>
      </c>
      <c r="T1310" s="587">
        <v>45838</v>
      </c>
      <c r="U1310" s="588">
        <v>0</v>
      </c>
      <c r="V1310" s="589">
        <v>-25.1</v>
      </c>
      <c r="W1310" s="260">
        <v>45809</v>
      </c>
    </row>
    <row r="1311" spans="1:23" hidden="1" x14ac:dyDescent="0.35">
      <c r="A1311" s="586" t="s">
        <v>526</v>
      </c>
      <c r="B1311" s="586" t="s">
        <v>159</v>
      </c>
      <c r="C1311" s="586" t="s">
        <v>542</v>
      </c>
      <c r="D1311" s="586" t="s">
        <v>562</v>
      </c>
      <c r="E1311" s="586" t="s">
        <v>551</v>
      </c>
      <c r="F1311" s="586" t="s">
        <v>276</v>
      </c>
      <c r="G1311" s="586" t="s">
        <v>356</v>
      </c>
      <c r="H1311" s="586" t="s">
        <v>670</v>
      </c>
      <c r="I1311" s="586" t="s">
        <v>277</v>
      </c>
      <c r="J1311" s="586" t="s">
        <v>522</v>
      </c>
      <c r="K1311" s="586" t="s">
        <v>545</v>
      </c>
      <c r="L1311" s="586" t="s">
        <v>581</v>
      </c>
      <c r="M1311" s="586" t="s">
        <v>285</v>
      </c>
      <c r="N1311" s="586" t="s">
        <v>670</v>
      </c>
      <c r="O1311" s="586" t="s">
        <v>670</v>
      </c>
      <c r="P1311" s="586" t="s">
        <v>522</v>
      </c>
      <c r="Q1311" s="586" t="s">
        <v>670</v>
      </c>
      <c r="R1311" s="587">
        <v>45839</v>
      </c>
      <c r="S1311" s="586" t="s">
        <v>670</v>
      </c>
      <c r="T1311" s="587">
        <v>45838</v>
      </c>
      <c r="U1311" s="588">
        <v>0</v>
      </c>
      <c r="V1311" s="589">
        <v>6.7</v>
      </c>
      <c r="W1311" s="260">
        <v>45809</v>
      </c>
    </row>
    <row r="1312" spans="1:23" hidden="1" x14ac:dyDescent="0.35">
      <c r="A1312" s="586" t="s">
        <v>526</v>
      </c>
      <c r="B1312" s="586" t="s">
        <v>159</v>
      </c>
      <c r="C1312" s="586" t="s">
        <v>542</v>
      </c>
      <c r="D1312" s="586" t="s">
        <v>563</v>
      </c>
      <c r="E1312" s="586" t="s">
        <v>553</v>
      </c>
      <c r="F1312" s="586" t="s">
        <v>276</v>
      </c>
      <c r="G1312" s="586" t="s">
        <v>356</v>
      </c>
      <c r="H1312" s="586" t="s">
        <v>670</v>
      </c>
      <c r="I1312" s="586" t="s">
        <v>277</v>
      </c>
      <c r="J1312" s="586" t="s">
        <v>522</v>
      </c>
      <c r="K1312" s="586" t="s">
        <v>554</v>
      </c>
      <c r="L1312" s="586" t="s">
        <v>581</v>
      </c>
      <c r="M1312" s="586" t="s">
        <v>285</v>
      </c>
      <c r="N1312" s="586" t="s">
        <v>670</v>
      </c>
      <c r="O1312" s="586" t="s">
        <v>670</v>
      </c>
      <c r="P1312" s="586" t="s">
        <v>522</v>
      </c>
      <c r="Q1312" s="586" t="s">
        <v>670</v>
      </c>
      <c r="R1312" s="587">
        <v>45839</v>
      </c>
      <c r="S1312" s="586" t="s">
        <v>670</v>
      </c>
      <c r="T1312" s="587">
        <v>45838</v>
      </c>
      <c r="U1312" s="588">
        <v>0</v>
      </c>
      <c r="V1312" s="589">
        <v>-1.75</v>
      </c>
      <c r="W1312" s="260">
        <v>45809</v>
      </c>
    </row>
    <row r="1313" spans="1:24" hidden="1" x14ac:dyDescent="0.35">
      <c r="A1313" s="586" t="s">
        <v>526</v>
      </c>
      <c r="B1313" s="586" t="s">
        <v>159</v>
      </c>
      <c r="C1313" s="586" t="s">
        <v>546</v>
      </c>
      <c r="D1313" s="586" t="s">
        <v>564</v>
      </c>
      <c r="E1313" s="586" t="s">
        <v>556</v>
      </c>
      <c r="F1313" s="586" t="s">
        <v>276</v>
      </c>
      <c r="G1313" s="586" t="s">
        <v>356</v>
      </c>
      <c r="H1313" s="586" t="s">
        <v>670</v>
      </c>
      <c r="I1313" s="586" t="s">
        <v>277</v>
      </c>
      <c r="J1313" s="586" t="s">
        <v>522</v>
      </c>
      <c r="K1313" s="586" t="s">
        <v>557</v>
      </c>
      <c r="L1313" s="586" t="s">
        <v>581</v>
      </c>
      <c r="M1313" s="586" t="s">
        <v>285</v>
      </c>
      <c r="N1313" s="586" t="s">
        <v>670</v>
      </c>
      <c r="O1313" s="586" t="s">
        <v>670</v>
      </c>
      <c r="P1313" s="586" t="s">
        <v>522</v>
      </c>
      <c r="Q1313" s="586" t="s">
        <v>670</v>
      </c>
      <c r="R1313" s="587">
        <v>45839</v>
      </c>
      <c r="S1313" s="586" t="s">
        <v>670</v>
      </c>
      <c r="T1313" s="587">
        <v>45838</v>
      </c>
      <c r="U1313" s="588">
        <v>0</v>
      </c>
      <c r="V1313" s="589">
        <v>1.0900000000000001</v>
      </c>
      <c r="W1313" s="260">
        <v>45809</v>
      </c>
    </row>
    <row r="1314" spans="1:24" hidden="1" x14ac:dyDescent="0.35">
      <c r="A1314" s="586" t="s">
        <v>526</v>
      </c>
      <c r="B1314" s="586" t="s">
        <v>159</v>
      </c>
      <c r="C1314" s="586" t="s">
        <v>615</v>
      </c>
      <c r="D1314" s="586" t="s">
        <v>616</v>
      </c>
      <c r="E1314" s="586" t="s">
        <v>617</v>
      </c>
      <c r="F1314" s="586" t="s">
        <v>276</v>
      </c>
      <c r="G1314" s="586" t="s">
        <v>356</v>
      </c>
      <c r="H1314" s="634" t="s">
        <v>688</v>
      </c>
      <c r="I1314" s="586" t="s">
        <v>277</v>
      </c>
      <c r="J1314" s="586" t="s">
        <v>522</v>
      </c>
      <c r="K1314" s="586" t="s">
        <v>619</v>
      </c>
      <c r="L1314" s="586" t="s">
        <v>581</v>
      </c>
      <c r="M1314" s="586" t="s">
        <v>689</v>
      </c>
      <c r="N1314" s="586" t="s">
        <v>670</v>
      </c>
      <c r="O1314" s="586" t="s">
        <v>670</v>
      </c>
      <c r="P1314" s="586" t="s">
        <v>522</v>
      </c>
      <c r="Q1314" s="586" t="s">
        <v>670</v>
      </c>
      <c r="R1314" s="587">
        <v>45818</v>
      </c>
      <c r="S1314" s="586" t="s">
        <v>278</v>
      </c>
      <c r="T1314" s="587">
        <v>45826</v>
      </c>
      <c r="U1314" s="588">
        <v>1</v>
      </c>
      <c r="V1314" s="589">
        <v>65.08</v>
      </c>
      <c r="W1314" s="260">
        <v>45809</v>
      </c>
      <c r="X1314" s="845"/>
    </row>
    <row r="1315" spans="1:24" hidden="1" x14ac:dyDescent="0.35">
      <c r="A1315" s="586" t="s">
        <v>526</v>
      </c>
      <c r="B1315" s="586" t="s">
        <v>159</v>
      </c>
      <c r="C1315" s="586" t="s">
        <v>615</v>
      </c>
      <c r="D1315" s="586" t="s">
        <v>616</v>
      </c>
      <c r="E1315" s="586" t="s">
        <v>617</v>
      </c>
      <c r="F1315" s="586" t="s">
        <v>276</v>
      </c>
      <c r="G1315" s="586" t="s">
        <v>356</v>
      </c>
      <c r="H1315" s="586" t="s">
        <v>688</v>
      </c>
      <c r="I1315" s="586" t="s">
        <v>277</v>
      </c>
      <c r="J1315" s="586" t="s">
        <v>522</v>
      </c>
      <c r="K1315" s="586" t="s">
        <v>619</v>
      </c>
      <c r="L1315" s="586" t="s">
        <v>581</v>
      </c>
      <c r="M1315" s="586" t="s">
        <v>689</v>
      </c>
      <c r="N1315" s="586" t="s">
        <v>670</v>
      </c>
      <c r="O1315" s="586" t="s">
        <v>670</v>
      </c>
      <c r="P1315" s="586" t="s">
        <v>522</v>
      </c>
      <c r="Q1315" s="586" t="s">
        <v>670</v>
      </c>
      <c r="R1315" s="587">
        <v>45820</v>
      </c>
      <c r="S1315" s="586" t="s">
        <v>278</v>
      </c>
      <c r="T1315" s="587">
        <v>45826</v>
      </c>
      <c r="U1315" s="588">
        <v>1</v>
      </c>
      <c r="V1315" s="589">
        <v>65.08</v>
      </c>
      <c r="W1315" s="260">
        <v>45809</v>
      </c>
      <c r="X1315" s="845"/>
    </row>
    <row r="1316" spans="1:24" hidden="1" x14ac:dyDescent="0.35">
      <c r="A1316" s="586" t="s">
        <v>526</v>
      </c>
      <c r="B1316" s="586" t="s">
        <v>159</v>
      </c>
      <c r="C1316" s="586" t="s">
        <v>655</v>
      </c>
      <c r="D1316" s="586" t="s">
        <v>656</v>
      </c>
      <c r="E1316" s="586" t="s">
        <v>657</v>
      </c>
      <c r="F1316" s="586" t="s">
        <v>276</v>
      </c>
      <c r="G1316" s="586" t="s">
        <v>356</v>
      </c>
      <c r="H1316" s="586" t="s">
        <v>567</v>
      </c>
      <c r="I1316" s="586" t="s">
        <v>277</v>
      </c>
      <c r="J1316" s="586" t="s">
        <v>522</v>
      </c>
      <c r="K1316" s="586" t="s">
        <v>658</v>
      </c>
      <c r="L1316" s="586" t="s">
        <v>581</v>
      </c>
      <c r="M1316" s="586" t="s">
        <v>568</v>
      </c>
      <c r="N1316" s="586" t="s">
        <v>670</v>
      </c>
      <c r="O1316" s="586" t="s">
        <v>670</v>
      </c>
      <c r="P1316" s="586" t="s">
        <v>522</v>
      </c>
      <c r="Q1316" s="586" t="s">
        <v>670</v>
      </c>
      <c r="R1316" s="587">
        <v>45811</v>
      </c>
      <c r="S1316" s="586" t="s">
        <v>278</v>
      </c>
      <c r="T1316" s="587">
        <v>45818</v>
      </c>
      <c r="U1316" s="588">
        <v>1</v>
      </c>
      <c r="V1316" s="589">
        <v>74.38</v>
      </c>
      <c r="W1316" s="260">
        <v>45809</v>
      </c>
      <c r="X1316" s="845"/>
    </row>
    <row r="1317" spans="1:24" hidden="1" x14ac:dyDescent="0.35">
      <c r="A1317" s="586" t="s">
        <v>526</v>
      </c>
      <c r="B1317" s="586" t="s">
        <v>159</v>
      </c>
      <c r="C1317" s="586" t="s">
        <v>530</v>
      </c>
      <c r="D1317" s="586" t="s">
        <v>531</v>
      </c>
      <c r="E1317" s="586" t="s">
        <v>532</v>
      </c>
      <c r="F1317" s="586" t="s">
        <v>276</v>
      </c>
      <c r="G1317" s="586" t="s">
        <v>356</v>
      </c>
      <c r="H1317" s="586" t="s">
        <v>567</v>
      </c>
      <c r="I1317" s="586" t="s">
        <v>277</v>
      </c>
      <c r="J1317" s="586" t="s">
        <v>522</v>
      </c>
      <c r="K1317" s="586" t="s">
        <v>534</v>
      </c>
      <c r="L1317" s="586" t="s">
        <v>581</v>
      </c>
      <c r="M1317" s="586" t="s">
        <v>568</v>
      </c>
      <c r="N1317" s="586" t="s">
        <v>670</v>
      </c>
      <c r="O1317" s="586" t="s">
        <v>670</v>
      </c>
      <c r="P1317" s="586" t="s">
        <v>522</v>
      </c>
      <c r="Q1317" s="586" t="s">
        <v>670</v>
      </c>
      <c r="R1317" s="587">
        <v>45819</v>
      </c>
      <c r="S1317" s="586" t="s">
        <v>278</v>
      </c>
      <c r="T1317" s="587">
        <v>45823</v>
      </c>
      <c r="U1317" s="588">
        <v>1</v>
      </c>
      <c r="V1317" s="589">
        <v>92.65</v>
      </c>
      <c r="W1317" s="260">
        <v>45809</v>
      </c>
      <c r="X1317" s="845"/>
    </row>
    <row r="1318" spans="1:24" hidden="1" x14ac:dyDescent="0.35">
      <c r="A1318" s="586" t="s">
        <v>526</v>
      </c>
      <c r="B1318" s="586" t="s">
        <v>159</v>
      </c>
      <c r="C1318" s="586" t="s">
        <v>530</v>
      </c>
      <c r="D1318" s="586" t="s">
        <v>531</v>
      </c>
      <c r="E1318" s="586" t="s">
        <v>532</v>
      </c>
      <c r="F1318" s="586" t="s">
        <v>276</v>
      </c>
      <c r="G1318" s="586" t="s">
        <v>356</v>
      </c>
      <c r="H1318" s="586" t="s">
        <v>567</v>
      </c>
      <c r="I1318" s="586" t="s">
        <v>277</v>
      </c>
      <c r="J1318" s="586" t="s">
        <v>522</v>
      </c>
      <c r="K1318" s="586" t="s">
        <v>534</v>
      </c>
      <c r="L1318" s="586" t="s">
        <v>581</v>
      </c>
      <c r="M1318" s="586" t="s">
        <v>568</v>
      </c>
      <c r="N1318" s="586" t="s">
        <v>670</v>
      </c>
      <c r="O1318" s="586" t="s">
        <v>670</v>
      </c>
      <c r="P1318" s="586" t="s">
        <v>522</v>
      </c>
      <c r="Q1318" s="586" t="s">
        <v>670</v>
      </c>
      <c r="R1318" s="587">
        <v>45818</v>
      </c>
      <c r="S1318" s="586" t="s">
        <v>278</v>
      </c>
      <c r="T1318" s="587">
        <v>45823</v>
      </c>
      <c r="U1318" s="588">
        <v>2</v>
      </c>
      <c r="V1318" s="589">
        <v>185.3</v>
      </c>
      <c r="W1318" s="260">
        <v>45809</v>
      </c>
      <c r="X1318" s="845"/>
    </row>
    <row r="1319" spans="1:24" hidden="1" x14ac:dyDescent="0.35">
      <c r="A1319" s="586" t="s">
        <v>526</v>
      </c>
      <c r="B1319" s="586" t="s">
        <v>159</v>
      </c>
      <c r="C1319" s="586" t="s">
        <v>569</v>
      </c>
      <c r="D1319" s="586" t="s">
        <v>570</v>
      </c>
      <c r="E1319" s="586" t="s">
        <v>571</v>
      </c>
      <c r="F1319" s="586" t="s">
        <v>276</v>
      </c>
      <c r="G1319" s="586" t="s">
        <v>356</v>
      </c>
      <c r="H1319" s="586" t="s">
        <v>582</v>
      </c>
      <c r="I1319" s="586" t="s">
        <v>277</v>
      </c>
      <c r="J1319" s="586" t="s">
        <v>522</v>
      </c>
      <c r="K1319" s="586" t="s">
        <v>573</v>
      </c>
      <c r="L1319" s="586" t="s">
        <v>581</v>
      </c>
      <c r="M1319" s="586" t="s">
        <v>583</v>
      </c>
      <c r="N1319" s="586" t="s">
        <v>670</v>
      </c>
      <c r="O1319" s="586" t="s">
        <v>670</v>
      </c>
      <c r="P1319" s="586" t="s">
        <v>522</v>
      </c>
      <c r="Q1319" s="586" t="s">
        <v>670</v>
      </c>
      <c r="R1319" s="587">
        <v>45814</v>
      </c>
      <c r="S1319" s="586" t="s">
        <v>278</v>
      </c>
      <c r="T1319" s="587">
        <v>45815</v>
      </c>
      <c r="U1319" s="588">
        <v>1</v>
      </c>
      <c r="V1319" s="589">
        <v>83.26</v>
      </c>
      <c r="W1319" s="260">
        <v>45809</v>
      </c>
      <c r="X1319" s="845"/>
    </row>
    <row r="1320" spans="1:24" hidden="1" x14ac:dyDescent="0.35">
      <c r="A1320" s="586" t="s">
        <v>526</v>
      </c>
      <c r="B1320" s="586" t="s">
        <v>159</v>
      </c>
      <c r="C1320" s="586" t="s">
        <v>569</v>
      </c>
      <c r="D1320" s="586" t="s">
        <v>570</v>
      </c>
      <c r="E1320" s="586" t="s">
        <v>571</v>
      </c>
      <c r="F1320" s="586" t="s">
        <v>276</v>
      </c>
      <c r="G1320" s="586" t="s">
        <v>356</v>
      </c>
      <c r="H1320" s="586" t="s">
        <v>582</v>
      </c>
      <c r="I1320" s="586" t="s">
        <v>277</v>
      </c>
      <c r="J1320" s="586" t="s">
        <v>522</v>
      </c>
      <c r="K1320" s="586" t="s">
        <v>573</v>
      </c>
      <c r="L1320" s="586" t="s">
        <v>581</v>
      </c>
      <c r="M1320" s="586" t="s">
        <v>583</v>
      </c>
      <c r="N1320" s="586" t="s">
        <v>670</v>
      </c>
      <c r="O1320" s="586" t="s">
        <v>670</v>
      </c>
      <c r="P1320" s="586" t="s">
        <v>522</v>
      </c>
      <c r="Q1320" s="586" t="s">
        <v>670</v>
      </c>
      <c r="R1320" s="587">
        <v>45812</v>
      </c>
      <c r="S1320" s="586" t="s">
        <v>278</v>
      </c>
      <c r="T1320" s="587">
        <v>45815</v>
      </c>
      <c r="U1320" s="588">
        <v>1</v>
      </c>
      <c r="V1320" s="589">
        <v>83.26</v>
      </c>
      <c r="W1320" s="260">
        <v>45809</v>
      </c>
      <c r="X1320" s="845"/>
    </row>
    <row r="1321" spans="1:24" hidden="1" x14ac:dyDescent="0.35">
      <c r="A1321" s="586" t="s">
        <v>526</v>
      </c>
      <c r="B1321" s="586" t="s">
        <v>159</v>
      </c>
      <c r="C1321" s="586" t="s">
        <v>569</v>
      </c>
      <c r="D1321" s="586" t="s">
        <v>570</v>
      </c>
      <c r="E1321" s="586" t="s">
        <v>571</v>
      </c>
      <c r="F1321" s="586" t="s">
        <v>276</v>
      </c>
      <c r="G1321" s="586" t="s">
        <v>356</v>
      </c>
      <c r="H1321" s="586" t="s">
        <v>582</v>
      </c>
      <c r="I1321" s="586" t="s">
        <v>277</v>
      </c>
      <c r="J1321" s="586" t="s">
        <v>522</v>
      </c>
      <c r="K1321" s="586" t="s">
        <v>573</v>
      </c>
      <c r="L1321" s="586" t="s">
        <v>581</v>
      </c>
      <c r="M1321" s="586" t="s">
        <v>583</v>
      </c>
      <c r="N1321" s="586" t="s">
        <v>670</v>
      </c>
      <c r="O1321" s="586" t="s">
        <v>670</v>
      </c>
      <c r="P1321" s="586" t="s">
        <v>522</v>
      </c>
      <c r="Q1321" s="586" t="s">
        <v>670</v>
      </c>
      <c r="R1321" s="587">
        <v>45817</v>
      </c>
      <c r="S1321" s="586" t="s">
        <v>278</v>
      </c>
      <c r="T1321" s="587">
        <v>45822</v>
      </c>
      <c r="U1321" s="588">
        <v>2</v>
      </c>
      <c r="V1321" s="589">
        <v>166.52</v>
      </c>
      <c r="W1321" s="260">
        <v>45809</v>
      </c>
      <c r="X1321" s="845"/>
    </row>
    <row r="1322" spans="1:24" hidden="1" x14ac:dyDescent="0.35">
      <c r="A1322" s="586" t="s">
        <v>526</v>
      </c>
      <c r="B1322" s="586" t="s">
        <v>159</v>
      </c>
      <c r="C1322" s="586" t="s">
        <v>584</v>
      </c>
      <c r="D1322" s="586" t="s">
        <v>585</v>
      </c>
      <c r="E1322" s="586" t="s">
        <v>586</v>
      </c>
      <c r="F1322" s="586" t="s">
        <v>276</v>
      </c>
      <c r="G1322" s="586" t="s">
        <v>356</v>
      </c>
      <c r="H1322" s="586" t="s">
        <v>533</v>
      </c>
      <c r="I1322" s="586" t="s">
        <v>277</v>
      </c>
      <c r="J1322" s="586" t="s">
        <v>522</v>
      </c>
      <c r="K1322" s="586" t="s">
        <v>587</v>
      </c>
      <c r="L1322" s="586" t="s">
        <v>581</v>
      </c>
      <c r="M1322" s="586" t="s">
        <v>535</v>
      </c>
      <c r="N1322" s="586" t="s">
        <v>670</v>
      </c>
      <c r="O1322" s="586" t="s">
        <v>670</v>
      </c>
      <c r="P1322" s="586" t="s">
        <v>522</v>
      </c>
      <c r="Q1322" s="586" t="s">
        <v>670</v>
      </c>
      <c r="R1322" s="587">
        <v>45804</v>
      </c>
      <c r="S1322" s="586" t="s">
        <v>278</v>
      </c>
      <c r="T1322" s="587">
        <v>45813</v>
      </c>
      <c r="U1322" s="588">
        <v>2</v>
      </c>
      <c r="V1322" s="589">
        <v>246.8</v>
      </c>
      <c r="W1322" s="260">
        <v>45809</v>
      </c>
      <c r="X1322" s="845"/>
    </row>
    <row r="1323" spans="1:24" hidden="1" x14ac:dyDescent="0.35">
      <c r="A1323" s="586" t="s">
        <v>526</v>
      </c>
      <c r="B1323" s="586" t="s">
        <v>159</v>
      </c>
      <c r="C1323" s="586" t="s">
        <v>584</v>
      </c>
      <c r="D1323" s="586" t="s">
        <v>585</v>
      </c>
      <c r="E1323" s="586" t="s">
        <v>586</v>
      </c>
      <c r="F1323" s="586" t="s">
        <v>276</v>
      </c>
      <c r="G1323" s="586" t="s">
        <v>356</v>
      </c>
      <c r="H1323" s="586" t="s">
        <v>533</v>
      </c>
      <c r="I1323" s="586" t="s">
        <v>277</v>
      </c>
      <c r="J1323" s="586" t="s">
        <v>522</v>
      </c>
      <c r="K1323" s="586" t="s">
        <v>587</v>
      </c>
      <c r="L1323" s="586" t="s">
        <v>581</v>
      </c>
      <c r="M1323" s="586" t="s">
        <v>535</v>
      </c>
      <c r="N1323" s="586" t="s">
        <v>670</v>
      </c>
      <c r="O1323" s="586" t="s">
        <v>670</v>
      </c>
      <c r="P1323" s="586" t="s">
        <v>522</v>
      </c>
      <c r="Q1323" s="586" t="s">
        <v>670</v>
      </c>
      <c r="R1323" s="587">
        <v>45805</v>
      </c>
      <c r="S1323" s="586" t="s">
        <v>278</v>
      </c>
      <c r="T1323" s="587">
        <v>45813</v>
      </c>
      <c r="U1323" s="588">
        <v>2</v>
      </c>
      <c r="V1323" s="589">
        <v>246.8</v>
      </c>
      <c r="W1323" s="260">
        <v>45809</v>
      </c>
      <c r="X1323" s="845"/>
    </row>
    <row r="1324" spans="1:24" hidden="1" x14ac:dyDescent="0.35">
      <c r="A1324" s="586" t="s">
        <v>526</v>
      </c>
      <c r="B1324" s="586" t="s">
        <v>159</v>
      </c>
      <c r="C1324" s="586" t="s">
        <v>584</v>
      </c>
      <c r="D1324" s="586" t="s">
        <v>585</v>
      </c>
      <c r="E1324" s="586" t="s">
        <v>586</v>
      </c>
      <c r="F1324" s="586" t="s">
        <v>276</v>
      </c>
      <c r="G1324" s="586" t="s">
        <v>356</v>
      </c>
      <c r="H1324" s="586" t="s">
        <v>533</v>
      </c>
      <c r="I1324" s="586" t="s">
        <v>277</v>
      </c>
      <c r="J1324" s="586" t="s">
        <v>522</v>
      </c>
      <c r="K1324" s="586" t="s">
        <v>587</v>
      </c>
      <c r="L1324" s="586" t="s">
        <v>581</v>
      </c>
      <c r="M1324" s="586" t="s">
        <v>535</v>
      </c>
      <c r="N1324" s="586" t="s">
        <v>670</v>
      </c>
      <c r="O1324" s="586" t="s">
        <v>670</v>
      </c>
      <c r="P1324" s="586" t="s">
        <v>522</v>
      </c>
      <c r="Q1324" s="586" t="s">
        <v>670</v>
      </c>
      <c r="R1324" s="587">
        <v>45806</v>
      </c>
      <c r="S1324" s="586" t="s">
        <v>278</v>
      </c>
      <c r="T1324" s="587">
        <v>45813</v>
      </c>
      <c r="U1324" s="588">
        <v>2</v>
      </c>
      <c r="V1324" s="589">
        <v>246.8</v>
      </c>
      <c r="W1324" s="260">
        <v>45809</v>
      </c>
      <c r="X1324" s="845"/>
    </row>
    <row r="1325" spans="1:24" hidden="1" x14ac:dyDescent="0.35">
      <c r="A1325" s="586" t="s">
        <v>526</v>
      </c>
      <c r="B1325" s="586" t="s">
        <v>159</v>
      </c>
      <c r="C1325" s="586" t="s">
        <v>584</v>
      </c>
      <c r="D1325" s="586" t="s">
        <v>585</v>
      </c>
      <c r="E1325" s="586" t="s">
        <v>586</v>
      </c>
      <c r="F1325" s="586" t="s">
        <v>276</v>
      </c>
      <c r="G1325" s="586" t="s">
        <v>356</v>
      </c>
      <c r="H1325" s="586" t="s">
        <v>533</v>
      </c>
      <c r="I1325" s="586" t="s">
        <v>277</v>
      </c>
      <c r="J1325" s="586" t="s">
        <v>522</v>
      </c>
      <c r="K1325" s="586" t="s">
        <v>587</v>
      </c>
      <c r="L1325" s="586" t="s">
        <v>581</v>
      </c>
      <c r="M1325" s="586" t="s">
        <v>535</v>
      </c>
      <c r="N1325" s="586" t="s">
        <v>670</v>
      </c>
      <c r="O1325" s="586" t="s">
        <v>670</v>
      </c>
      <c r="P1325" s="586" t="s">
        <v>522</v>
      </c>
      <c r="Q1325" s="586" t="s">
        <v>670</v>
      </c>
      <c r="R1325" s="587">
        <v>45807</v>
      </c>
      <c r="S1325" s="586" t="s">
        <v>278</v>
      </c>
      <c r="T1325" s="587">
        <v>45813</v>
      </c>
      <c r="U1325" s="588">
        <v>2</v>
      </c>
      <c r="V1325" s="589">
        <v>246.8</v>
      </c>
      <c r="W1325" s="260">
        <v>45809</v>
      </c>
      <c r="X1325" s="845"/>
    </row>
    <row r="1326" spans="1:24" hidden="1" x14ac:dyDescent="0.35">
      <c r="A1326" s="586" t="s">
        <v>526</v>
      </c>
      <c r="B1326" s="586" t="s">
        <v>159</v>
      </c>
      <c r="C1326" s="586" t="s">
        <v>584</v>
      </c>
      <c r="D1326" s="586" t="s">
        <v>585</v>
      </c>
      <c r="E1326" s="586" t="s">
        <v>586</v>
      </c>
      <c r="F1326" s="586" t="s">
        <v>276</v>
      </c>
      <c r="G1326" s="586" t="s">
        <v>356</v>
      </c>
      <c r="H1326" s="586" t="s">
        <v>533</v>
      </c>
      <c r="I1326" s="586" t="s">
        <v>277</v>
      </c>
      <c r="J1326" s="586" t="s">
        <v>522</v>
      </c>
      <c r="K1326" s="586" t="s">
        <v>587</v>
      </c>
      <c r="L1326" s="586" t="s">
        <v>581</v>
      </c>
      <c r="M1326" s="586" t="s">
        <v>535</v>
      </c>
      <c r="N1326" s="586" t="s">
        <v>670</v>
      </c>
      <c r="O1326" s="586" t="s">
        <v>670</v>
      </c>
      <c r="P1326" s="586" t="s">
        <v>522</v>
      </c>
      <c r="Q1326" s="586" t="s">
        <v>670</v>
      </c>
      <c r="R1326" s="587">
        <v>45810</v>
      </c>
      <c r="S1326" s="586" t="s">
        <v>278</v>
      </c>
      <c r="T1326" s="587">
        <v>45818</v>
      </c>
      <c r="U1326" s="588">
        <v>1</v>
      </c>
      <c r="V1326" s="589">
        <v>123.4</v>
      </c>
      <c r="W1326" s="260">
        <v>45809</v>
      </c>
      <c r="X1326" s="845"/>
    </row>
    <row r="1327" spans="1:24" hidden="1" x14ac:dyDescent="0.35">
      <c r="A1327" s="586" t="s">
        <v>526</v>
      </c>
      <c r="B1327" s="586" t="s">
        <v>159</v>
      </c>
      <c r="C1327" s="586" t="s">
        <v>584</v>
      </c>
      <c r="D1327" s="586" t="s">
        <v>585</v>
      </c>
      <c r="E1327" s="586" t="s">
        <v>586</v>
      </c>
      <c r="F1327" s="586" t="s">
        <v>276</v>
      </c>
      <c r="G1327" s="586" t="s">
        <v>356</v>
      </c>
      <c r="H1327" s="586" t="s">
        <v>533</v>
      </c>
      <c r="I1327" s="586" t="s">
        <v>277</v>
      </c>
      <c r="J1327" s="586" t="s">
        <v>522</v>
      </c>
      <c r="K1327" s="586" t="s">
        <v>587</v>
      </c>
      <c r="L1327" s="586" t="s">
        <v>581</v>
      </c>
      <c r="M1327" s="586" t="s">
        <v>535</v>
      </c>
      <c r="N1327" s="586" t="s">
        <v>670</v>
      </c>
      <c r="O1327" s="586" t="s">
        <v>670</v>
      </c>
      <c r="P1327" s="586" t="s">
        <v>522</v>
      </c>
      <c r="Q1327" s="586" t="s">
        <v>670</v>
      </c>
      <c r="R1327" s="587">
        <v>45811</v>
      </c>
      <c r="S1327" s="586" t="s">
        <v>278</v>
      </c>
      <c r="T1327" s="587">
        <v>45818</v>
      </c>
      <c r="U1327" s="588">
        <v>1</v>
      </c>
      <c r="V1327" s="589">
        <v>123.4</v>
      </c>
      <c r="W1327" s="260">
        <v>45809</v>
      </c>
      <c r="X1327" s="845"/>
    </row>
    <row r="1328" spans="1:24" hidden="1" x14ac:dyDescent="0.35">
      <c r="A1328" s="586" t="s">
        <v>526</v>
      </c>
      <c r="B1328" s="586" t="s">
        <v>159</v>
      </c>
      <c r="C1328" s="586" t="s">
        <v>584</v>
      </c>
      <c r="D1328" s="586" t="s">
        <v>585</v>
      </c>
      <c r="E1328" s="586" t="s">
        <v>586</v>
      </c>
      <c r="F1328" s="586" t="s">
        <v>276</v>
      </c>
      <c r="G1328" s="586" t="s">
        <v>356</v>
      </c>
      <c r="H1328" s="586" t="s">
        <v>533</v>
      </c>
      <c r="I1328" s="586" t="s">
        <v>277</v>
      </c>
      <c r="J1328" s="586" t="s">
        <v>522</v>
      </c>
      <c r="K1328" s="586" t="s">
        <v>587</v>
      </c>
      <c r="L1328" s="586" t="s">
        <v>581</v>
      </c>
      <c r="M1328" s="586" t="s">
        <v>535</v>
      </c>
      <c r="N1328" s="586" t="s">
        <v>670</v>
      </c>
      <c r="O1328" s="586" t="s">
        <v>670</v>
      </c>
      <c r="P1328" s="586" t="s">
        <v>522</v>
      </c>
      <c r="Q1328" s="586" t="s">
        <v>670</v>
      </c>
      <c r="R1328" s="587">
        <v>45812</v>
      </c>
      <c r="S1328" s="586" t="s">
        <v>278</v>
      </c>
      <c r="T1328" s="587">
        <v>45818</v>
      </c>
      <c r="U1328" s="588">
        <v>1</v>
      </c>
      <c r="V1328" s="589">
        <v>123.4</v>
      </c>
      <c r="W1328" s="260">
        <v>45809</v>
      </c>
      <c r="X1328" s="845"/>
    </row>
    <row r="1329" spans="1:24" hidden="1" x14ac:dyDescent="0.35">
      <c r="A1329" s="586" t="s">
        <v>526</v>
      </c>
      <c r="B1329" s="586" t="s">
        <v>159</v>
      </c>
      <c r="C1329" s="586" t="s">
        <v>584</v>
      </c>
      <c r="D1329" s="586" t="s">
        <v>585</v>
      </c>
      <c r="E1329" s="586" t="s">
        <v>586</v>
      </c>
      <c r="F1329" s="586" t="s">
        <v>276</v>
      </c>
      <c r="G1329" s="586" t="s">
        <v>356</v>
      </c>
      <c r="H1329" s="586" t="s">
        <v>533</v>
      </c>
      <c r="I1329" s="586" t="s">
        <v>277</v>
      </c>
      <c r="J1329" s="586" t="s">
        <v>522</v>
      </c>
      <c r="K1329" s="586" t="s">
        <v>587</v>
      </c>
      <c r="L1329" s="586" t="s">
        <v>581</v>
      </c>
      <c r="M1329" s="586" t="s">
        <v>535</v>
      </c>
      <c r="N1329" s="586" t="s">
        <v>670</v>
      </c>
      <c r="O1329" s="586" t="s">
        <v>670</v>
      </c>
      <c r="P1329" s="586" t="s">
        <v>522</v>
      </c>
      <c r="Q1329" s="586" t="s">
        <v>670</v>
      </c>
      <c r="R1329" s="587">
        <v>45813</v>
      </c>
      <c r="S1329" s="586" t="s">
        <v>278</v>
      </c>
      <c r="T1329" s="587">
        <v>45818</v>
      </c>
      <c r="U1329" s="588">
        <v>1</v>
      </c>
      <c r="V1329" s="589">
        <v>123.4</v>
      </c>
      <c r="W1329" s="260">
        <v>45809</v>
      </c>
      <c r="X1329" s="845"/>
    </row>
    <row r="1330" spans="1:24" hidden="1" x14ac:dyDescent="0.35">
      <c r="A1330" s="586" t="s">
        <v>526</v>
      </c>
      <c r="B1330" s="586" t="s">
        <v>159</v>
      </c>
      <c r="C1330" s="586" t="s">
        <v>584</v>
      </c>
      <c r="D1330" s="586" t="s">
        <v>585</v>
      </c>
      <c r="E1330" s="586" t="s">
        <v>586</v>
      </c>
      <c r="F1330" s="586" t="s">
        <v>276</v>
      </c>
      <c r="G1330" s="586" t="s">
        <v>356</v>
      </c>
      <c r="H1330" s="586" t="s">
        <v>533</v>
      </c>
      <c r="I1330" s="586" t="s">
        <v>277</v>
      </c>
      <c r="J1330" s="586" t="s">
        <v>522</v>
      </c>
      <c r="K1330" s="586" t="s">
        <v>587</v>
      </c>
      <c r="L1330" s="586" t="s">
        <v>581</v>
      </c>
      <c r="M1330" s="586" t="s">
        <v>535</v>
      </c>
      <c r="N1330" s="586" t="s">
        <v>670</v>
      </c>
      <c r="O1330" s="586" t="s">
        <v>670</v>
      </c>
      <c r="P1330" s="586" t="s">
        <v>522</v>
      </c>
      <c r="Q1330" s="586" t="s">
        <v>670</v>
      </c>
      <c r="R1330" s="587">
        <v>45814</v>
      </c>
      <c r="S1330" s="586" t="s">
        <v>278</v>
      </c>
      <c r="T1330" s="587">
        <v>45818</v>
      </c>
      <c r="U1330" s="588">
        <v>1</v>
      </c>
      <c r="V1330" s="589">
        <v>123.4</v>
      </c>
      <c r="W1330" s="260">
        <v>45809</v>
      </c>
      <c r="X1330" s="845"/>
    </row>
    <row r="1331" spans="1:24" hidden="1" x14ac:dyDescent="0.35">
      <c r="A1331" s="586" t="s">
        <v>526</v>
      </c>
      <c r="B1331" s="586" t="s">
        <v>160</v>
      </c>
      <c r="C1331" s="586" t="s">
        <v>670</v>
      </c>
      <c r="D1331" s="586" t="s">
        <v>603</v>
      </c>
      <c r="E1331" s="586" t="s">
        <v>604</v>
      </c>
      <c r="F1331" s="586" t="s">
        <v>588</v>
      </c>
      <c r="G1331" s="586" t="s">
        <v>356</v>
      </c>
      <c r="H1331" s="586" t="s">
        <v>670</v>
      </c>
      <c r="I1331" s="586" t="s">
        <v>277</v>
      </c>
      <c r="J1331" s="586" t="s">
        <v>523</v>
      </c>
      <c r="K1331" s="586" t="s">
        <v>670</v>
      </c>
      <c r="L1331" s="586" t="s">
        <v>581</v>
      </c>
      <c r="M1331" s="586" t="s">
        <v>285</v>
      </c>
      <c r="N1331" s="586" t="s">
        <v>670</v>
      </c>
      <c r="O1331" s="586">
        <v>7000001998</v>
      </c>
      <c r="P1331" s="586" t="s">
        <v>523</v>
      </c>
      <c r="Q1331" s="586" t="s">
        <v>589</v>
      </c>
      <c r="R1331" s="587">
        <v>45805</v>
      </c>
      <c r="S1331" s="586" t="s">
        <v>670</v>
      </c>
      <c r="T1331" s="587">
        <v>45809</v>
      </c>
      <c r="U1331" s="588">
        <v>0</v>
      </c>
      <c r="V1331" s="589">
        <v>-190575</v>
      </c>
      <c r="W1331" s="260">
        <v>45809</v>
      </c>
    </row>
    <row r="1332" spans="1:24" hidden="1" x14ac:dyDescent="0.35">
      <c r="A1332" s="586" t="s">
        <v>526</v>
      </c>
      <c r="B1332" s="586" t="s">
        <v>160</v>
      </c>
      <c r="C1332" s="586" t="s">
        <v>670</v>
      </c>
      <c r="D1332" s="586" t="s">
        <v>603</v>
      </c>
      <c r="E1332" s="586" t="s">
        <v>604</v>
      </c>
      <c r="F1332" s="586" t="s">
        <v>276</v>
      </c>
      <c r="G1332" s="586" t="s">
        <v>356</v>
      </c>
      <c r="H1332" s="586" t="s">
        <v>670</v>
      </c>
      <c r="I1332" s="586" t="s">
        <v>277</v>
      </c>
      <c r="J1332" s="586" t="s">
        <v>523</v>
      </c>
      <c r="K1332" s="586" t="s">
        <v>670</v>
      </c>
      <c r="L1332" s="586" t="s">
        <v>581</v>
      </c>
      <c r="M1332" s="586" t="s">
        <v>285</v>
      </c>
      <c r="N1332" s="586" t="s">
        <v>690</v>
      </c>
      <c r="O1332" s="586" t="s">
        <v>686</v>
      </c>
      <c r="P1332" s="586" t="s">
        <v>523</v>
      </c>
      <c r="Q1332" s="586" t="s">
        <v>387</v>
      </c>
      <c r="R1332" s="587">
        <v>45734</v>
      </c>
      <c r="S1332" s="586" t="s">
        <v>388</v>
      </c>
      <c r="T1332" s="587">
        <v>45832</v>
      </c>
      <c r="U1332" s="590">
        <v>1</v>
      </c>
      <c r="V1332" s="589">
        <v>142884</v>
      </c>
      <c r="W1332" s="260">
        <v>45809</v>
      </c>
    </row>
    <row r="1333" spans="1:24" hidden="1" x14ac:dyDescent="0.35">
      <c r="A1333" s="586" t="s">
        <v>526</v>
      </c>
      <c r="B1333" s="586" t="s">
        <v>160</v>
      </c>
      <c r="C1333" s="586" t="s">
        <v>670</v>
      </c>
      <c r="D1333" s="586" t="s">
        <v>603</v>
      </c>
      <c r="E1333" s="586" t="s">
        <v>604</v>
      </c>
      <c r="F1333" s="586" t="s">
        <v>276</v>
      </c>
      <c r="G1333" s="586" t="s">
        <v>356</v>
      </c>
      <c r="H1333" s="586" t="s">
        <v>670</v>
      </c>
      <c r="I1333" s="586" t="s">
        <v>277</v>
      </c>
      <c r="J1333" s="586" t="s">
        <v>523</v>
      </c>
      <c r="K1333" s="586" t="s">
        <v>670</v>
      </c>
      <c r="L1333" s="586" t="s">
        <v>581</v>
      </c>
      <c r="M1333" s="586" t="s">
        <v>285</v>
      </c>
      <c r="N1333" s="586" t="s">
        <v>635</v>
      </c>
      <c r="O1333" s="586" t="s">
        <v>686</v>
      </c>
      <c r="P1333" s="586" t="s">
        <v>523</v>
      </c>
      <c r="Q1333" s="586" t="s">
        <v>387</v>
      </c>
      <c r="R1333" s="587">
        <v>45734</v>
      </c>
      <c r="S1333" s="586" t="s">
        <v>388</v>
      </c>
      <c r="T1333" s="587">
        <v>45832</v>
      </c>
      <c r="U1333" s="590">
        <v>1</v>
      </c>
      <c r="V1333" s="589">
        <v>47691</v>
      </c>
      <c r="W1333" s="260">
        <v>45809</v>
      </c>
    </row>
    <row r="1334" spans="1:24" hidden="1" x14ac:dyDescent="0.35">
      <c r="A1334" s="586" t="s">
        <v>526</v>
      </c>
      <c r="B1334" s="586" t="s">
        <v>160</v>
      </c>
      <c r="C1334" s="586" t="s">
        <v>670</v>
      </c>
      <c r="D1334" s="586" t="s">
        <v>603</v>
      </c>
      <c r="E1334" s="586" t="s">
        <v>604</v>
      </c>
      <c r="F1334" s="586" t="s">
        <v>276</v>
      </c>
      <c r="G1334" s="586" t="s">
        <v>356</v>
      </c>
      <c r="H1334" s="586" t="s">
        <v>670</v>
      </c>
      <c r="I1334" s="586" t="s">
        <v>277</v>
      </c>
      <c r="J1334" s="586" t="s">
        <v>523</v>
      </c>
      <c r="K1334" s="586" t="s">
        <v>670</v>
      </c>
      <c r="L1334" s="586" t="s">
        <v>581</v>
      </c>
      <c r="M1334" s="586" t="s">
        <v>285</v>
      </c>
      <c r="N1334" s="586" t="s">
        <v>670</v>
      </c>
      <c r="O1334" s="586" t="s">
        <v>686</v>
      </c>
      <c r="P1334" s="586" t="s">
        <v>523</v>
      </c>
      <c r="Q1334" s="586" t="s">
        <v>400</v>
      </c>
      <c r="R1334" s="587">
        <v>45834</v>
      </c>
      <c r="S1334" s="586" t="s">
        <v>670</v>
      </c>
      <c r="T1334" s="587">
        <v>45838</v>
      </c>
      <c r="U1334" s="588">
        <v>0</v>
      </c>
      <c r="V1334" s="589">
        <v>190575</v>
      </c>
      <c r="W1334" s="260">
        <v>45809</v>
      </c>
    </row>
    <row r="1335" spans="1:24" hidden="1" x14ac:dyDescent="0.35">
      <c r="A1335" s="586" t="s">
        <v>526</v>
      </c>
      <c r="B1335" s="586" t="s">
        <v>160</v>
      </c>
      <c r="C1335" s="586" t="s">
        <v>670</v>
      </c>
      <c r="D1335" s="586" t="s">
        <v>603</v>
      </c>
      <c r="E1335" s="586" t="s">
        <v>604</v>
      </c>
      <c r="F1335" s="586" t="s">
        <v>276</v>
      </c>
      <c r="G1335" s="586" t="s">
        <v>356</v>
      </c>
      <c r="H1335" s="586" t="s">
        <v>670</v>
      </c>
      <c r="I1335" s="586" t="s">
        <v>277</v>
      </c>
      <c r="J1335" s="586" t="s">
        <v>523</v>
      </c>
      <c r="K1335" s="586" t="s">
        <v>670</v>
      </c>
      <c r="L1335" s="586" t="s">
        <v>581</v>
      </c>
      <c r="M1335" s="586" t="s">
        <v>285</v>
      </c>
      <c r="N1335" s="586" t="s">
        <v>670</v>
      </c>
      <c r="O1335" s="586" t="s">
        <v>691</v>
      </c>
      <c r="P1335" s="586" t="s">
        <v>523</v>
      </c>
      <c r="Q1335" s="586" t="s">
        <v>400</v>
      </c>
      <c r="R1335" s="587">
        <v>45834</v>
      </c>
      <c r="S1335" s="586" t="s">
        <v>670</v>
      </c>
      <c r="T1335" s="587">
        <v>45838</v>
      </c>
      <c r="U1335" s="588">
        <v>0</v>
      </c>
      <c r="V1335" s="589">
        <v>40954.5</v>
      </c>
      <c r="W1335" s="260">
        <v>45809</v>
      </c>
    </row>
    <row r="1336" spans="1:24" hidden="1" x14ac:dyDescent="0.35">
      <c r="A1336" s="586" t="s">
        <v>526</v>
      </c>
      <c r="B1336" s="586" t="s">
        <v>53</v>
      </c>
      <c r="C1336" s="586" t="s">
        <v>670</v>
      </c>
      <c r="D1336" s="586" t="s">
        <v>385</v>
      </c>
      <c r="E1336" s="586" t="s">
        <v>386</v>
      </c>
      <c r="F1336" s="586" t="s">
        <v>588</v>
      </c>
      <c r="G1336" s="586" t="s">
        <v>356</v>
      </c>
      <c r="H1336" s="586" t="s">
        <v>670</v>
      </c>
      <c r="I1336" s="586" t="s">
        <v>277</v>
      </c>
      <c r="J1336" s="586" t="s">
        <v>524</v>
      </c>
      <c r="K1336" s="586" t="s">
        <v>670</v>
      </c>
      <c r="L1336" s="586" t="s">
        <v>581</v>
      </c>
      <c r="M1336" s="586" t="s">
        <v>285</v>
      </c>
      <c r="N1336" s="586" t="s">
        <v>670</v>
      </c>
      <c r="O1336" s="586" t="s">
        <v>675</v>
      </c>
      <c r="P1336" s="586" t="s">
        <v>524</v>
      </c>
      <c r="Q1336" s="586" t="s">
        <v>589</v>
      </c>
      <c r="R1336" s="587">
        <v>45805</v>
      </c>
      <c r="S1336" s="586" t="s">
        <v>670</v>
      </c>
      <c r="T1336" s="587">
        <v>45809</v>
      </c>
      <c r="U1336" s="588">
        <v>0</v>
      </c>
      <c r="V1336" s="589">
        <v>-8295</v>
      </c>
      <c r="W1336" s="260">
        <v>45809</v>
      </c>
    </row>
    <row r="1337" spans="1:24" hidden="1" x14ac:dyDescent="0.35">
      <c r="A1337" s="586" t="s">
        <v>526</v>
      </c>
      <c r="B1337" s="586" t="s">
        <v>53</v>
      </c>
      <c r="C1337" s="586" t="s">
        <v>670</v>
      </c>
      <c r="D1337" s="586" t="s">
        <v>385</v>
      </c>
      <c r="E1337" s="586" t="s">
        <v>386</v>
      </c>
      <c r="F1337" s="586" t="s">
        <v>588</v>
      </c>
      <c r="G1337" s="586" t="s">
        <v>356</v>
      </c>
      <c r="H1337" s="586" t="s">
        <v>670</v>
      </c>
      <c r="I1337" s="586" t="s">
        <v>277</v>
      </c>
      <c r="J1337" s="586" t="s">
        <v>524</v>
      </c>
      <c r="K1337" s="586" t="s">
        <v>670</v>
      </c>
      <c r="L1337" s="586" t="s">
        <v>581</v>
      </c>
      <c r="M1337" s="586" t="s">
        <v>285</v>
      </c>
      <c r="N1337" s="586" t="s">
        <v>670</v>
      </c>
      <c r="O1337" s="586" t="s">
        <v>676</v>
      </c>
      <c r="P1337" s="586" t="s">
        <v>524</v>
      </c>
      <c r="Q1337" s="586" t="s">
        <v>589</v>
      </c>
      <c r="R1337" s="587">
        <v>45805</v>
      </c>
      <c r="S1337" s="586" t="s">
        <v>670</v>
      </c>
      <c r="T1337" s="587">
        <v>45809</v>
      </c>
      <c r="U1337" s="588">
        <v>0</v>
      </c>
      <c r="V1337" s="589">
        <v>-5040</v>
      </c>
      <c r="W1337" s="260">
        <v>45809</v>
      </c>
    </row>
    <row r="1338" spans="1:24" hidden="1" x14ac:dyDescent="0.35">
      <c r="A1338" s="586" t="s">
        <v>526</v>
      </c>
      <c r="B1338" s="586" t="s">
        <v>53</v>
      </c>
      <c r="C1338" s="586" t="s">
        <v>670</v>
      </c>
      <c r="D1338" s="586" t="s">
        <v>385</v>
      </c>
      <c r="E1338" s="586" t="s">
        <v>386</v>
      </c>
      <c r="F1338" s="586" t="s">
        <v>276</v>
      </c>
      <c r="G1338" s="586" t="s">
        <v>356</v>
      </c>
      <c r="H1338" s="586" t="s">
        <v>670</v>
      </c>
      <c r="I1338" s="586" t="s">
        <v>277</v>
      </c>
      <c r="J1338" s="586" t="s">
        <v>524</v>
      </c>
      <c r="K1338" s="586" t="s">
        <v>670</v>
      </c>
      <c r="L1338" s="586" t="s">
        <v>581</v>
      </c>
      <c r="M1338" s="586" t="s">
        <v>285</v>
      </c>
      <c r="N1338" s="586" t="s">
        <v>659</v>
      </c>
      <c r="O1338" s="586" t="s">
        <v>680</v>
      </c>
      <c r="P1338" s="586" t="s">
        <v>524</v>
      </c>
      <c r="Q1338" s="586" t="s">
        <v>387</v>
      </c>
      <c r="R1338" s="587">
        <v>45807</v>
      </c>
      <c r="S1338" s="586" t="s">
        <v>388</v>
      </c>
      <c r="T1338" s="587">
        <v>45829</v>
      </c>
      <c r="U1338" s="590">
        <v>1</v>
      </c>
      <c r="V1338" s="589">
        <v>89.33</v>
      </c>
      <c r="W1338" s="260">
        <v>45809</v>
      </c>
    </row>
    <row r="1339" spans="1:24" hidden="1" x14ac:dyDescent="0.35">
      <c r="A1339" s="586" t="s">
        <v>526</v>
      </c>
      <c r="B1339" s="586" t="s">
        <v>53</v>
      </c>
      <c r="C1339" s="586" t="s">
        <v>670</v>
      </c>
      <c r="D1339" s="586" t="s">
        <v>385</v>
      </c>
      <c r="E1339" s="586" t="s">
        <v>386</v>
      </c>
      <c r="F1339" s="586" t="s">
        <v>276</v>
      </c>
      <c r="G1339" s="586" t="s">
        <v>356</v>
      </c>
      <c r="H1339" s="586" t="s">
        <v>670</v>
      </c>
      <c r="I1339" s="586" t="s">
        <v>277</v>
      </c>
      <c r="J1339" s="586" t="s">
        <v>524</v>
      </c>
      <c r="K1339" s="586" t="s">
        <v>670</v>
      </c>
      <c r="L1339" s="586" t="s">
        <v>581</v>
      </c>
      <c r="M1339" s="586" t="s">
        <v>285</v>
      </c>
      <c r="N1339" s="586" t="s">
        <v>692</v>
      </c>
      <c r="O1339" s="586" t="s">
        <v>678</v>
      </c>
      <c r="P1339" s="586" t="s">
        <v>524</v>
      </c>
      <c r="Q1339" s="586" t="s">
        <v>387</v>
      </c>
      <c r="R1339" s="587">
        <v>45779</v>
      </c>
      <c r="S1339" s="586" t="s">
        <v>388</v>
      </c>
      <c r="T1339" s="587">
        <v>45829</v>
      </c>
      <c r="U1339" s="590">
        <v>1</v>
      </c>
      <c r="V1339" s="589">
        <v>419.73</v>
      </c>
      <c r="W1339" s="260">
        <v>45809</v>
      </c>
    </row>
    <row r="1340" spans="1:24" hidden="1" x14ac:dyDescent="0.35">
      <c r="A1340" s="586" t="s">
        <v>526</v>
      </c>
      <c r="B1340" s="586" t="s">
        <v>53</v>
      </c>
      <c r="C1340" s="586" t="s">
        <v>670</v>
      </c>
      <c r="D1340" s="586" t="s">
        <v>385</v>
      </c>
      <c r="E1340" s="586" t="s">
        <v>386</v>
      </c>
      <c r="F1340" s="586" t="s">
        <v>276</v>
      </c>
      <c r="G1340" s="586" t="s">
        <v>356</v>
      </c>
      <c r="H1340" s="586" t="s">
        <v>670</v>
      </c>
      <c r="I1340" s="586" t="s">
        <v>277</v>
      </c>
      <c r="J1340" s="586" t="s">
        <v>524</v>
      </c>
      <c r="K1340" s="586" t="s">
        <v>670</v>
      </c>
      <c r="L1340" s="586" t="s">
        <v>581</v>
      </c>
      <c r="M1340" s="586" t="s">
        <v>285</v>
      </c>
      <c r="N1340" s="586" t="s">
        <v>670</v>
      </c>
      <c r="O1340" s="586" t="s">
        <v>675</v>
      </c>
      <c r="P1340" s="586" t="s">
        <v>524</v>
      </c>
      <c r="Q1340" s="586" t="s">
        <v>400</v>
      </c>
      <c r="R1340" s="587">
        <v>45834</v>
      </c>
      <c r="S1340" s="586" t="s">
        <v>670</v>
      </c>
      <c r="T1340" s="587">
        <v>45838</v>
      </c>
      <c r="U1340" s="588">
        <v>0</v>
      </c>
      <c r="V1340" s="589">
        <v>5200</v>
      </c>
      <c r="W1340" s="260">
        <v>45809</v>
      </c>
    </row>
    <row r="1341" spans="1:24" hidden="1" x14ac:dyDescent="0.35">
      <c r="A1341" s="586" t="s">
        <v>526</v>
      </c>
      <c r="B1341" s="586" t="s">
        <v>53</v>
      </c>
      <c r="C1341" s="586" t="s">
        <v>670</v>
      </c>
      <c r="D1341" s="586" t="s">
        <v>385</v>
      </c>
      <c r="E1341" s="586" t="s">
        <v>386</v>
      </c>
      <c r="F1341" s="586" t="s">
        <v>276</v>
      </c>
      <c r="G1341" s="586" t="s">
        <v>356</v>
      </c>
      <c r="H1341" s="586" t="s">
        <v>670</v>
      </c>
      <c r="I1341" s="586" t="s">
        <v>277</v>
      </c>
      <c r="J1341" s="586" t="s">
        <v>524</v>
      </c>
      <c r="K1341" s="586" t="s">
        <v>670</v>
      </c>
      <c r="L1341" s="586" t="s">
        <v>581</v>
      </c>
      <c r="M1341" s="586" t="s">
        <v>285</v>
      </c>
      <c r="N1341" s="586" t="s">
        <v>670</v>
      </c>
      <c r="O1341" s="586" t="s">
        <v>676</v>
      </c>
      <c r="P1341" s="586" t="s">
        <v>524</v>
      </c>
      <c r="Q1341" s="586" t="s">
        <v>400</v>
      </c>
      <c r="R1341" s="587">
        <v>45834</v>
      </c>
      <c r="S1341" s="586" t="s">
        <v>670</v>
      </c>
      <c r="T1341" s="587">
        <v>45838</v>
      </c>
      <c r="U1341" s="588">
        <v>0</v>
      </c>
      <c r="V1341" s="589">
        <v>2604</v>
      </c>
      <c r="W1341" s="260">
        <v>45809</v>
      </c>
    </row>
    <row r="1342" spans="1:24" hidden="1" x14ac:dyDescent="0.35">
      <c r="A1342" s="586" t="s">
        <v>526</v>
      </c>
      <c r="B1342" s="586" t="s">
        <v>53</v>
      </c>
      <c r="C1342" s="586" t="s">
        <v>670</v>
      </c>
      <c r="D1342" s="586" t="s">
        <v>693</v>
      </c>
      <c r="E1342" s="586" t="s">
        <v>694</v>
      </c>
      <c r="F1342" s="586" t="s">
        <v>276</v>
      </c>
      <c r="G1342" s="586" t="s">
        <v>356</v>
      </c>
      <c r="H1342" s="586" t="s">
        <v>670</v>
      </c>
      <c r="I1342" s="586" t="s">
        <v>277</v>
      </c>
      <c r="J1342" s="586" t="s">
        <v>524</v>
      </c>
      <c r="K1342" s="586" t="s">
        <v>670</v>
      </c>
      <c r="L1342" s="586" t="s">
        <v>581</v>
      </c>
      <c r="M1342" s="586" t="s">
        <v>285</v>
      </c>
      <c r="N1342" s="634" t="s">
        <v>695</v>
      </c>
      <c r="O1342" s="586" t="s">
        <v>687</v>
      </c>
      <c r="P1342" s="586" t="s">
        <v>524</v>
      </c>
      <c r="Q1342" s="586" t="s">
        <v>387</v>
      </c>
      <c r="R1342" s="587">
        <v>45804</v>
      </c>
      <c r="S1342" s="586" t="s">
        <v>388</v>
      </c>
      <c r="T1342" s="587">
        <v>45832</v>
      </c>
      <c r="U1342" s="590">
        <v>1</v>
      </c>
      <c r="V1342" s="589">
        <v>5500</v>
      </c>
      <c r="W1342" s="260">
        <v>45809</v>
      </c>
    </row>
    <row r="1343" spans="1:24" hidden="1" x14ac:dyDescent="0.35">
      <c r="A1343" s="586" t="s">
        <v>526</v>
      </c>
      <c r="B1343" s="586" t="s">
        <v>53</v>
      </c>
      <c r="C1343" s="586" t="s">
        <v>670</v>
      </c>
      <c r="D1343" s="586" t="s">
        <v>693</v>
      </c>
      <c r="E1343" s="586" t="s">
        <v>694</v>
      </c>
      <c r="F1343" s="586" t="s">
        <v>276</v>
      </c>
      <c r="G1343" s="586" t="s">
        <v>356</v>
      </c>
      <c r="H1343" s="586" t="s">
        <v>670</v>
      </c>
      <c r="I1343" s="586" t="s">
        <v>277</v>
      </c>
      <c r="J1343" s="586" t="s">
        <v>524</v>
      </c>
      <c r="K1343" s="586" t="s">
        <v>670</v>
      </c>
      <c r="L1343" s="586" t="s">
        <v>581</v>
      </c>
      <c r="M1343" s="586" t="s">
        <v>285</v>
      </c>
      <c r="N1343" s="586" t="s">
        <v>696</v>
      </c>
      <c r="O1343" s="586" t="s">
        <v>684</v>
      </c>
      <c r="P1343" s="586" t="s">
        <v>524</v>
      </c>
      <c r="Q1343" s="586" t="s">
        <v>387</v>
      </c>
      <c r="R1343" s="587">
        <v>45806</v>
      </c>
      <c r="S1343" s="586" t="s">
        <v>388</v>
      </c>
      <c r="T1343" s="587">
        <v>45832</v>
      </c>
      <c r="U1343" s="590">
        <v>1</v>
      </c>
      <c r="V1343" s="589">
        <v>14750</v>
      </c>
      <c r="W1343" s="260">
        <v>45809</v>
      </c>
    </row>
    <row r="1344" spans="1:24" hidden="1" x14ac:dyDescent="0.35">
      <c r="A1344" s="586" t="s">
        <v>526</v>
      </c>
      <c r="B1344" s="586" t="s">
        <v>53</v>
      </c>
      <c r="C1344" s="586" t="s">
        <v>670</v>
      </c>
      <c r="D1344" s="586" t="s">
        <v>693</v>
      </c>
      <c r="E1344" s="586" t="s">
        <v>694</v>
      </c>
      <c r="F1344" s="586" t="s">
        <v>276</v>
      </c>
      <c r="G1344" s="586" t="s">
        <v>356</v>
      </c>
      <c r="H1344" s="586" t="s">
        <v>670</v>
      </c>
      <c r="I1344" s="586" t="s">
        <v>277</v>
      </c>
      <c r="J1344" s="586" t="s">
        <v>524</v>
      </c>
      <c r="K1344" s="586" t="s">
        <v>670</v>
      </c>
      <c r="L1344" s="586" t="s">
        <v>581</v>
      </c>
      <c r="M1344" s="586" t="s">
        <v>285</v>
      </c>
      <c r="N1344" s="586" t="s">
        <v>665</v>
      </c>
      <c r="O1344" s="586" t="s">
        <v>684</v>
      </c>
      <c r="P1344" s="586" t="s">
        <v>524</v>
      </c>
      <c r="Q1344" s="586" t="s">
        <v>387</v>
      </c>
      <c r="R1344" s="587">
        <v>45806</v>
      </c>
      <c r="S1344" s="586" t="s">
        <v>388</v>
      </c>
      <c r="T1344" s="587">
        <v>45832</v>
      </c>
      <c r="U1344" s="590">
        <v>1</v>
      </c>
      <c r="V1344" s="589">
        <v>15750</v>
      </c>
      <c r="W1344" s="260">
        <v>45809</v>
      </c>
    </row>
    <row r="1345" spans="1:23" hidden="1" x14ac:dyDescent="0.35">
      <c r="A1345" s="586" t="s">
        <v>526</v>
      </c>
      <c r="B1345" s="586" t="s">
        <v>53</v>
      </c>
      <c r="C1345" s="586" t="s">
        <v>670</v>
      </c>
      <c r="D1345" s="586" t="s">
        <v>693</v>
      </c>
      <c r="E1345" s="586" t="s">
        <v>694</v>
      </c>
      <c r="F1345" s="586" t="s">
        <v>276</v>
      </c>
      <c r="G1345" s="586" t="s">
        <v>356</v>
      </c>
      <c r="H1345" s="586" t="s">
        <v>670</v>
      </c>
      <c r="I1345" s="586" t="s">
        <v>277</v>
      </c>
      <c r="J1345" s="586" t="s">
        <v>524</v>
      </c>
      <c r="K1345" s="586" t="s">
        <v>670</v>
      </c>
      <c r="L1345" s="586" t="s">
        <v>581</v>
      </c>
      <c r="M1345" s="586" t="s">
        <v>285</v>
      </c>
      <c r="N1345" s="586" t="s">
        <v>695</v>
      </c>
      <c r="O1345" s="586">
        <v>7000001429</v>
      </c>
      <c r="P1345" s="586" t="s">
        <v>524</v>
      </c>
      <c r="Q1345" s="586" t="s">
        <v>387</v>
      </c>
      <c r="R1345" s="587">
        <v>45770</v>
      </c>
      <c r="S1345" s="586" t="s">
        <v>388</v>
      </c>
      <c r="T1345" s="587">
        <v>45832</v>
      </c>
      <c r="U1345" s="590">
        <v>1</v>
      </c>
      <c r="V1345" s="589">
        <v>16500</v>
      </c>
      <c r="W1345" s="260">
        <v>45809</v>
      </c>
    </row>
    <row r="1346" spans="1:23" hidden="1" x14ac:dyDescent="0.35">
      <c r="A1346" s="586" t="s">
        <v>526</v>
      </c>
      <c r="B1346" s="586" t="s">
        <v>53</v>
      </c>
      <c r="C1346" s="586" t="s">
        <v>670</v>
      </c>
      <c r="D1346" s="586" t="s">
        <v>575</v>
      </c>
      <c r="E1346" s="586" t="s">
        <v>576</v>
      </c>
      <c r="F1346" s="586" t="s">
        <v>588</v>
      </c>
      <c r="G1346" s="586" t="s">
        <v>356</v>
      </c>
      <c r="H1346" s="586" t="s">
        <v>670</v>
      </c>
      <c r="I1346" s="586" t="s">
        <v>277</v>
      </c>
      <c r="J1346" s="586" t="s">
        <v>524</v>
      </c>
      <c r="K1346" s="586" t="s">
        <v>670</v>
      </c>
      <c r="L1346" s="586" t="s">
        <v>581</v>
      </c>
      <c r="M1346" s="586" t="s">
        <v>285</v>
      </c>
      <c r="N1346" s="586" t="s">
        <v>670</v>
      </c>
      <c r="O1346" s="586" t="s">
        <v>684</v>
      </c>
      <c r="P1346" s="586" t="s">
        <v>524</v>
      </c>
      <c r="Q1346" s="586" t="s">
        <v>589</v>
      </c>
      <c r="R1346" s="587">
        <v>45805</v>
      </c>
      <c r="S1346" s="586" t="s">
        <v>670</v>
      </c>
      <c r="T1346" s="587">
        <v>45809</v>
      </c>
      <c r="U1346" s="588">
        <v>0</v>
      </c>
      <c r="V1346" s="589">
        <v>-12750</v>
      </c>
      <c r="W1346" s="260">
        <v>45809</v>
      </c>
    </row>
    <row r="1347" spans="1:23" hidden="1" x14ac:dyDescent="0.35">
      <c r="A1347" s="586" t="s">
        <v>526</v>
      </c>
      <c r="B1347" s="586" t="s">
        <v>53</v>
      </c>
      <c r="C1347" s="586" t="s">
        <v>670</v>
      </c>
      <c r="D1347" s="586" t="s">
        <v>575</v>
      </c>
      <c r="E1347" s="586" t="s">
        <v>576</v>
      </c>
      <c r="F1347" s="586" t="s">
        <v>588</v>
      </c>
      <c r="G1347" s="586" t="s">
        <v>356</v>
      </c>
      <c r="H1347" s="586" t="s">
        <v>670</v>
      </c>
      <c r="I1347" s="586" t="s">
        <v>277</v>
      </c>
      <c r="J1347" s="586" t="s">
        <v>524</v>
      </c>
      <c r="K1347" s="586" t="s">
        <v>670</v>
      </c>
      <c r="L1347" s="586" t="s">
        <v>581</v>
      </c>
      <c r="M1347" s="586" t="s">
        <v>285</v>
      </c>
      <c r="N1347" s="586" t="s">
        <v>670</v>
      </c>
      <c r="O1347" s="586" t="s">
        <v>684</v>
      </c>
      <c r="P1347" s="586" t="s">
        <v>524</v>
      </c>
      <c r="Q1347" s="586" t="s">
        <v>589</v>
      </c>
      <c r="R1347" s="587">
        <v>45805</v>
      </c>
      <c r="S1347" s="586" t="s">
        <v>670</v>
      </c>
      <c r="T1347" s="587">
        <v>45809</v>
      </c>
      <c r="U1347" s="588">
        <v>0</v>
      </c>
      <c r="V1347" s="589">
        <v>-139197</v>
      </c>
      <c r="W1347" s="260">
        <v>45809</v>
      </c>
    </row>
    <row r="1348" spans="1:23" hidden="1" x14ac:dyDescent="0.35">
      <c r="A1348" s="586" t="s">
        <v>526</v>
      </c>
      <c r="B1348" s="586" t="s">
        <v>53</v>
      </c>
      <c r="C1348" s="586" t="s">
        <v>670</v>
      </c>
      <c r="D1348" s="586" t="s">
        <v>575</v>
      </c>
      <c r="E1348" s="586" t="s">
        <v>576</v>
      </c>
      <c r="F1348" s="586" t="s">
        <v>588</v>
      </c>
      <c r="G1348" s="586" t="s">
        <v>356</v>
      </c>
      <c r="H1348" s="586" t="s">
        <v>670</v>
      </c>
      <c r="I1348" s="586" t="s">
        <v>277</v>
      </c>
      <c r="J1348" s="586" t="s">
        <v>524</v>
      </c>
      <c r="K1348" s="586" t="s">
        <v>670</v>
      </c>
      <c r="L1348" s="586" t="s">
        <v>581</v>
      </c>
      <c r="M1348" s="586" t="s">
        <v>285</v>
      </c>
      <c r="N1348" s="586" t="s">
        <v>670</v>
      </c>
      <c r="O1348" s="586" t="s">
        <v>684</v>
      </c>
      <c r="P1348" s="586" t="s">
        <v>524</v>
      </c>
      <c r="Q1348" s="586" t="s">
        <v>589</v>
      </c>
      <c r="R1348" s="587">
        <v>45805</v>
      </c>
      <c r="S1348" s="586" t="s">
        <v>670</v>
      </c>
      <c r="T1348" s="587">
        <v>45809</v>
      </c>
      <c r="U1348" s="588">
        <v>0</v>
      </c>
      <c r="V1348" s="589">
        <v>-124022</v>
      </c>
      <c r="W1348" s="260">
        <v>45809</v>
      </c>
    </row>
    <row r="1349" spans="1:23" hidden="1" x14ac:dyDescent="0.35">
      <c r="A1349" s="586" t="s">
        <v>526</v>
      </c>
      <c r="B1349" s="586" t="s">
        <v>53</v>
      </c>
      <c r="C1349" s="586" t="s">
        <v>670</v>
      </c>
      <c r="D1349" s="586" t="s">
        <v>575</v>
      </c>
      <c r="E1349" s="586" t="s">
        <v>576</v>
      </c>
      <c r="F1349" s="586" t="s">
        <v>588</v>
      </c>
      <c r="G1349" s="586" t="s">
        <v>356</v>
      </c>
      <c r="H1349" s="586" t="s">
        <v>670</v>
      </c>
      <c r="I1349" s="586" t="s">
        <v>277</v>
      </c>
      <c r="J1349" s="586" t="s">
        <v>524</v>
      </c>
      <c r="K1349" s="586" t="s">
        <v>670</v>
      </c>
      <c r="L1349" s="586" t="s">
        <v>581</v>
      </c>
      <c r="M1349" s="586" t="s">
        <v>285</v>
      </c>
      <c r="N1349" s="586" t="s">
        <v>670</v>
      </c>
      <c r="O1349" s="586" t="s">
        <v>684</v>
      </c>
      <c r="P1349" s="586" t="s">
        <v>524</v>
      </c>
      <c r="Q1349" s="586" t="s">
        <v>589</v>
      </c>
      <c r="R1349" s="587">
        <v>45805</v>
      </c>
      <c r="S1349" s="586" t="s">
        <v>670</v>
      </c>
      <c r="T1349" s="587">
        <v>45809</v>
      </c>
      <c r="U1349" s="588">
        <v>0</v>
      </c>
      <c r="V1349" s="589">
        <v>-78706</v>
      </c>
      <c r="W1349" s="260">
        <v>45809</v>
      </c>
    </row>
    <row r="1350" spans="1:23" hidden="1" x14ac:dyDescent="0.35">
      <c r="A1350" s="586" t="s">
        <v>526</v>
      </c>
      <c r="B1350" s="586" t="s">
        <v>53</v>
      </c>
      <c r="C1350" s="586" t="s">
        <v>670</v>
      </c>
      <c r="D1350" s="586" t="s">
        <v>575</v>
      </c>
      <c r="E1350" s="586" t="s">
        <v>576</v>
      </c>
      <c r="F1350" s="586" t="s">
        <v>588</v>
      </c>
      <c r="G1350" s="586" t="s">
        <v>356</v>
      </c>
      <c r="H1350" s="586" t="s">
        <v>670</v>
      </c>
      <c r="I1350" s="586" t="s">
        <v>277</v>
      </c>
      <c r="J1350" s="586" t="s">
        <v>524</v>
      </c>
      <c r="K1350" s="586" t="s">
        <v>670</v>
      </c>
      <c r="L1350" s="586" t="s">
        <v>581</v>
      </c>
      <c r="M1350" s="586" t="s">
        <v>285</v>
      </c>
      <c r="N1350" s="586" t="s">
        <v>670</v>
      </c>
      <c r="O1350" s="586" t="s">
        <v>677</v>
      </c>
      <c r="P1350" s="586" t="s">
        <v>524</v>
      </c>
      <c r="Q1350" s="586" t="s">
        <v>589</v>
      </c>
      <c r="R1350" s="587">
        <v>45805</v>
      </c>
      <c r="S1350" s="586" t="s">
        <v>670</v>
      </c>
      <c r="T1350" s="587">
        <v>45809</v>
      </c>
      <c r="U1350" s="588">
        <v>0</v>
      </c>
      <c r="V1350" s="589">
        <v>-1483.2</v>
      </c>
      <c r="W1350" s="260">
        <v>45809</v>
      </c>
    </row>
    <row r="1351" spans="1:23" hidden="1" x14ac:dyDescent="0.35">
      <c r="A1351" s="586" t="s">
        <v>526</v>
      </c>
      <c r="B1351" s="586" t="s">
        <v>53</v>
      </c>
      <c r="C1351" s="586" t="s">
        <v>670</v>
      </c>
      <c r="D1351" s="586" t="s">
        <v>575</v>
      </c>
      <c r="E1351" s="586" t="s">
        <v>576</v>
      </c>
      <c r="F1351" s="586" t="s">
        <v>588</v>
      </c>
      <c r="G1351" s="586" t="s">
        <v>356</v>
      </c>
      <c r="H1351" s="586" t="s">
        <v>670</v>
      </c>
      <c r="I1351" s="586" t="s">
        <v>277</v>
      </c>
      <c r="J1351" s="586" t="s">
        <v>524</v>
      </c>
      <c r="K1351" s="586" t="s">
        <v>670</v>
      </c>
      <c r="L1351" s="586" t="s">
        <v>581</v>
      </c>
      <c r="M1351" s="586" t="s">
        <v>285</v>
      </c>
      <c r="N1351" s="586" t="s">
        <v>670</v>
      </c>
      <c r="O1351" s="586" t="s">
        <v>677</v>
      </c>
      <c r="P1351" s="586" t="s">
        <v>524</v>
      </c>
      <c r="Q1351" s="586" t="s">
        <v>589</v>
      </c>
      <c r="R1351" s="587">
        <v>45805</v>
      </c>
      <c r="S1351" s="586" t="s">
        <v>670</v>
      </c>
      <c r="T1351" s="587">
        <v>45809</v>
      </c>
      <c r="U1351" s="588">
        <v>0</v>
      </c>
      <c r="V1351" s="589">
        <v>-659</v>
      </c>
      <c r="W1351" s="260">
        <v>45809</v>
      </c>
    </row>
    <row r="1352" spans="1:23" hidden="1" x14ac:dyDescent="0.35">
      <c r="A1352" s="586" t="s">
        <v>526</v>
      </c>
      <c r="B1352" s="586" t="s">
        <v>53</v>
      </c>
      <c r="C1352" s="586" t="s">
        <v>670</v>
      </c>
      <c r="D1352" s="586" t="s">
        <v>575</v>
      </c>
      <c r="E1352" s="586" t="s">
        <v>576</v>
      </c>
      <c r="F1352" s="586" t="s">
        <v>588</v>
      </c>
      <c r="G1352" s="586" t="s">
        <v>356</v>
      </c>
      <c r="H1352" s="586" t="s">
        <v>670</v>
      </c>
      <c r="I1352" s="586" t="s">
        <v>277</v>
      </c>
      <c r="J1352" s="586" t="s">
        <v>524</v>
      </c>
      <c r="K1352" s="586" t="s">
        <v>670</v>
      </c>
      <c r="L1352" s="586" t="s">
        <v>581</v>
      </c>
      <c r="M1352" s="586" t="s">
        <v>285</v>
      </c>
      <c r="N1352" s="586" t="s">
        <v>670</v>
      </c>
      <c r="O1352" s="586" t="s">
        <v>687</v>
      </c>
      <c r="P1352" s="586" t="s">
        <v>524</v>
      </c>
      <c r="Q1352" s="586" t="s">
        <v>589</v>
      </c>
      <c r="R1352" s="587">
        <v>45805</v>
      </c>
      <c r="S1352" s="586" t="s">
        <v>670</v>
      </c>
      <c r="T1352" s="587">
        <v>45809</v>
      </c>
      <c r="U1352" s="588">
        <v>0</v>
      </c>
      <c r="V1352" s="589">
        <v>-11000</v>
      </c>
      <c r="W1352" s="260">
        <v>45809</v>
      </c>
    </row>
    <row r="1353" spans="1:23" hidden="1" x14ac:dyDescent="0.35">
      <c r="A1353" s="586" t="s">
        <v>526</v>
      </c>
      <c r="B1353" s="586" t="s">
        <v>53</v>
      </c>
      <c r="C1353" s="586" t="s">
        <v>670</v>
      </c>
      <c r="D1353" s="586" t="s">
        <v>575</v>
      </c>
      <c r="E1353" s="586" t="s">
        <v>576</v>
      </c>
      <c r="F1353" s="586" t="s">
        <v>276</v>
      </c>
      <c r="G1353" s="586" t="s">
        <v>356</v>
      </c>
      <c r="H1353" s="586" t="s">
        <v>670</v>
      </c>
      <c r="I1353" s="586" t="s">
        <v>277</v>
      </c>
      <c r="J1353" s="586" t="s">
        <v>524</v>
      </c>
      <c r="K1353" s="586" t="s">
        <v>670</v>
      </c>
      <c r="L1353" s="586" t="s">
        <v>581</v>
      </c>
      <c r="M1353" s="586" t="s">
        <v>285</v>
      </c>
      <c r="N1353" s="586" t="s">
        <v>670</v>
      </c>
      <c r="O1353" s="586" t="s">
        <v>684</v>
      </c>
      <c r="P1353" s="586" t="s">
        <v>524</v>
      </c>
      <c r="Q1353" s="586" t="s">
        <v>400</v>
      </c>
      <c r="R1353" s="587">
        <v>45834</v>
      </c>
      <c r="S1353" s="586" t="s">
        <v>670</v>
      </c>
      <c r="T1353" s="587">
        <v>45838</v>
      </c>
      <c r="U1353" s="588">
        <v>0</v>
      </c>
      <c r="V1353" s="589">
        <v>12750</v>
      </c>
      <c r="W1353" s="260">
        <v>45809</v>
      </c>
    </row>
    <row r="1354" spans="1:23" hidden="1" x14ac:dyDescent="0.35">
      <c r="A1354" s="586" t="s">
        <v>526</v>
      </c>
      <c r="B1354" s="586" t="s">
        <v>53</v>
      </c>
      <c r="C1354" s="586" t="s">
        <v>670</v>
      </c>
      <c r="D1354" s="586" t="s">
        <v>575</v>
      </c>
      <c r="E1354" s="586" t="s">
        <v>576</v>
      </c>
      <c r="F1354" s="586" t="s">
        <v>276</v>
      </c>
      <c r="G1354" s="586" t="s">
        <v>356</v>
      </c>
      <c r="H1354" s="586" t="s">
        <v>670</v>
      </c>
      <c r="I1354" s="586" t="s">
        <v>277</v>
      </c>
      <c r="J1354" s="586" t="s">
        <v>524</v>
      </c>
      <c r="K1354" s="586" t="s">
        <v>670</v>
      </c>
      <c r="L1354" s="586" t="s">
        <v>581</v>
      </c>
      <c r="M1354" s="586" t="s">
        <v>285</v>
      </c>
      <c r="N1354" s="586" t="s">
        <v>670</v>
      </c>
      <c r="O1354" s="586" t="s">
        <v>684</v>
      </c>
      <c r="P1354" s="586" t="s">
        <v>524</v>
      </c>
      <c r="Q1354" s="586" t="s">
        <v>400</v>
      </c>
      <c r="R1354" s="587">
        <v>45834</v>
      </c>
      <c r="S1354" s="586" t="s">
        <v>670</v>
      </c>
      <c r="T1354" s="587">
        <v>45838</v>
      </c>
      <c r="U1354" s="588">
        <v>0</v>
      </c>
      <c r="V1354" s="589">
        <v>139197</v>
      </c>
      <c r="W1354" s="260">
        <v>45809</v>
      </c>
    </row>
    <row r="1355" spans="1:23" hidden="1" x14ac:dyDescent="0.35">
      <c r="A1355" s="586" t="s">
        <v>526</v>
      </c>
      <c r="B1355" s="586" t="s">
        <v>53</v>
      </c>
      <c r="C1355" s="586" t="s">
        <v>670</v>
      </c>
      <c r="D1355" s="586" t="s">
        <v>575</v>
      </c>
      <c r="E1355" s="586" t="s">
        <v>576</v>
      </c>
      <c r="F1355" s="586" t="s">
        <v>276</v>
      </c>
      <c r="G1355" s="586" t="s">
        <v>356</v>
      </c>
      <c r="H1355" s="586" t="s">
        <v>670</v>
      </c>
      <c r="I1355" s="586" t="s">
        <v>277</v>
      </c>
      <c r="J1355" s="586" t="s">
        <v>524</v>
      </c>
      <c r="K1355" s="586" t="s">
        <v>670</v>
      </c>
      <c r="L1355" s="586" t="s">
        <v>581</v>
      </c>
      <c r="M1355" s="586" t="s">
        <v>285</v>
      </c>
      <c r="N1355" s="586" t="s">
        <v>670</v>
      </c>
      <c r="O1355" s="586" t="s">
        <v>684</v>
      </c>
      <c r="P1355" s="586" t="s">
        <v>524</v>
      </c>
      <c r="Q1355" s="586" t="s">
        <v>400</v>
      </c>
      <c r="R1355" s="587">
        <v>45834</v>
      </c>
      <c r="S1355" s="586" t="s">
        <v>670</v>
      </c>
      <c r="T1355" s="587">
        <v>45838</v>
      </c>
      <c r="U1355" s="588">
        <v>0</v>
      </c>
      <c r="V1355" s="589">
        <v>30500</v>
      </c>
      <c r="W1355" s="260">
        <v>45809</v>
      </c>
    </row>
    <row r="1356" spans="1:23" hidden="1" x14ac:dyDescent="0.35">
      <c r="A1356" s="586" t="s">
        <v>526</v>
      </c>
      <c r="B1356" s="586" t="s">
        <v>53</v>
      </c>
      <c r="C1356" s="586" t="s">
        <v>670</v>
      </c>
      <c r="D1356" s="586" t="s">
        <v>575</v>
      </c>
      <c r="E1356" s="586" t="s">
        <v>576</v>
      </c>
      <c r="F1356" s="586" t="s">
        <v>276</v>
      </c>
      <c r="G1356" s="586" t="s">
        <v>356</v>
      </c>
      <c r="H1356" s="586" t="s">
        <v>670</v>
      </c>
      <c r="I1356" s="586" t="s">
        <v>277</v>
      </c>
      <c r="J1356" s="586" t="s">
        <v>524</v>
      </c>
      <c r="K1356" s="586" t="s">
        <v>670</v>
      </c>
      <c r="L1356" s="586" t="s">
        <v>581</v>
      </c>
      <c r="M1356" s="586" t="s">
        <v>285</v>
      </c>
      <c r="N1356" s="586" t="s">
        <v>670</v>
      </c>
      <c r="O1356" s="586" t="s">
        <v>684</v>
      </c>
      <c r="P1356" s="586" t="s">
        <v>524</v>
      </c>
      <c r="Q1356" s="586" t="s">
        <v>400</v>
      </c>
      <c r="R1356" s="587">
        <v>45834</v>
      </c>
      <c r="S1356" s="586" t="s">
        <v>670</v>
      </c>
      <c r="T1356" s="587">
        <v>45838</v>
      </c>
      <c r="U1356" s="588">
        <v>0</v>
      </c>
      <c r="V1356" s="589">
        <v>100170</v>
      </c>
      <c r="W1356" s="260">
        <v>45809</v>
      </c>
    </row>
    <row r="1357" spans="1:23" hidden="1" x14ac:dyDescent="0.35">
      <c r="A1357" s="586" t="s">
        <v>526</v>
      </c>
      <c r="B1357" s="586" t="s">
        <v>53</v>
      </c>
      <c r="C1357" s="586" t="s">
        <v>670</v>
      </c>
      <c r="D1357" s="586" t="s">
        <v>575</v>
      </c>
      <c r="E1357" s="586" t="s">
        <v>576</v>
      </c>
      <c r="F1357" s="586" t="s">
        <v>276</v>
      </c>
      <c r="G1357" s="586" t="s">
        <v>356</v>
      </c>
      <c r="H1357" s="586" t="s">
        <v>670</v>
      </c>
      <c r="I1357" s="586" t="s">
        <v>277</v>
      </c>
      <c r="J1357" s="586" t="s">
        <v>524</v>
      </c>
      <c r="K1357" s="586" t="s">
        <v>670</v>
      </c>
      <c r="L1357" s="586" t="s">
        <v>581</v>
      </c>
      <c r="M1357" s="586" t="s">
        <v>285</v>
      </c>
      <c r="N1357" s="586" t="s">
        <v>670</v>
      </c>
      <c r="O1357" s="586" t="s">
        <v>684</v>
      </c>
      <c r="P1357" s="586" t="s">
        <v>524</v>
      </c>
      <c r="Q1357" s="586" t="s">
        <v>400</v>
      </c>
      <c r="R1357" s="587">
        <v>45834</v>
      </c>
      <c r="S1357" s="586" t="s">
        <v>670</v>
      </c>
      <c r="T1357" s="587">
        <v>45838</v>
      </c>
      <c r="U1357" s="588">
        <v>0</v>
      </c>
      <c r="V1357" s="589">
        <v>195503</v>
      </c>
      <c r="W1357" s="260">
        <v>45809</v>
      </c>
    </row>
    <row r="1358" spans="1:23" hidden="1" x14ac:dyDescent="0.35">
      <c r="A1358" s="586" t="s">
        <v>526</v>
      </c>
      <c r="B1358" s="586" t="s">
        <v>53</v>
      </c>
      <c r="C1358" s="586" t="s">
        <v>670</v>
      </c>
      <c r="D1358" s="586" t="s">
        <v>575</v>
      </c>
      <c r="E1358" s="586" t="s">
        <v>576</v>
      </c>
      <c r="F1358" s="586" t="s">
        <v>276</v>
      </c>
      <c r="G1358" s="586" t="s">
        <v>356</v>
      </c>
      <c r="H1358" s="586" t="s">
        <v>670</v>
      </c>
      <c r="I1358" s="586" t="s">
        <v>277</v>
      </c>
      <c r="J1358" s="586" t="s">
        <v>524</v>
      </c>
      <c r="K1358" s="586" t="s">
        <v>670</v>
      </c>
      <c r="L1358" s="586" t="s">
        <v>581</v>
      </c>
      <c r="M1358" s="586" t="s">
        <v>285</v>
      </c>
      <c r="N1358" s="586" t="s">
        <v>670</v>
      </c>
      <c r="O1358" s="586" t="s">
        <v>684</v>
      </c>
      <c r="P1358" s="586" t="s">
        <v>524</v>
      </c>
      <c r="Q1358" s="586" t="s">
        <v>400</v>
      </c>
      <c r="R1358" s="587">
        <v>45834</v>
      </c>
      <c r="S1358" s="586" t="s">
        <v>670</v>
      </c>
      <c r="T1358" s="587">
        <v>45838</v>
      </c>
      <c r="U1358" s="588">
        <v>0</v>
      </c>
      <c r="V1358" s="589">
        <v>51250</v>
      </c>
      <c r="W1358" s="260">
        <v>45809</v>
      </c>
    </row>
    <row r="1359" spans="1:23" hidden="1" x14ac:dyDescent="0.35">
      <c r="A1359" s="586" t="s">
        <v>526</v>
      </c>
      <c r="B1359" s="586" t="s">
        <v>53</v>
      </c>
      <c r="C1359" s="586" t="s">
        <v>670</v>
      </c>
      <c r="D1359" s="586" t="s">
        <v>575</v>
      </c>
      <c r="E1359" s="586" t="s">
        <v>576</v>
      </c>
      <c r="F1359" s="586" t="s">
        <v>276</v>
      </c>
      <c r="G1359" s="586" t="s">
        <v>356</v>
      </c>
      <c r="H1359" s="586" t="s">
        <v>670</v>
      </c>
      <c r="I1359" s="586" t="s">
        <v>277</v>
      </c>
      <c r="J1359" s="586" t="s">
        <v>524</v>
      </c>
      <c r="K1359" s="586" t="s">
        <v>670</v>
      </c>
      <c r="L1359" s="586" t="s">
        <v>581</v>
      </c>
      <c r="M1359" s="586" t="s">
        <v>285</v>
      </c>
      <c r="N1359" s="586" t="s">
        <v>670</v>
      </c>
      <c r="O1359" s="586" t="s">
        <v>687</v>
      </c>
      <c r="P1359" s="586" t="s">
        <v>524</v>
      </c>
      <c r="Q1359" s="586" t="s">
        <v>400</v>
      </c>
      <c r="R1359" s="587">
        <v>45834</v>
      </c>
      <c r="S1359" s="586" t="s">
        <v>670</v>
      </c>
      <c r="T1359" s="587">
        <v>45838</v>
      </c>
      <c r="U1359" s="588">
        <v>0</v>
      </c>
      <c r="V1359" s="589">
        <v>11000</v>
      </c>
      <c r="W1359" s="260">
        <v>45809</v>
      </c>
    </row>
    <row r="1360" spans="1:23" hidden="1" x14ac:dyDescent="0.35">
      <c r="A1360" s="586" t="s">
        <v>526</v>
      </c>
      <c r="B1360" s="586" t="s">
        <v>53</v>
      </c>
      <c r="C1360" s="586" t="s">
        <v>670</v>
      </c>
      <c r="D1360" s="586" t="s">
        <v>575</v>
      </c>
      <c r="E1360" s="586" t="s">
        <v>576</v>
      </c>
      <c r="F1360" s="586" t="s">
        <v>276</v>
      </c>
      <c r="G1360" s="586" t="s">
        <v>356</v>
      </c>
      <c r="H1360" s="586" t="s">
        <v>670</v>
      </c>
      <c r="I1360" s="586" t="s">
        <v>277</v>
      </c>
      <c r="J1360" s="586" t="s">
        <v>524</v>
      </c>
      <c r="K1360" s="586" t="s">
        <v>670</v>
      </c>
      <c r="L1360" s="586" t="s">
        <v>581</v>
      </c>
      <c r="M1360" s="586" t="s">
        <v>285</v>
      </c>
      <c r="N1360" s="586" t="s">
        <v>670</v>
      </c>
      <c r="O1360" s="586" t="s">
        <v>687</v>
      </c>
      <c r="P1360" s="586" t="s">
        <v>524</v>
      </c>
      <c r="Q1360" s="586" t="s">
        <v>400</v>
      </c>
      <c r="R1360" s="587">
        <v>45834</v>
      </c>
      <c r="S1360" s="586" t="s">
        <v>670</v>
      </c>
      <c r="T1360" s="587">
        <v>45838</v>
      </c>
      <c r="U1360" s="588">
        <v>0</v>
      </c>
      <c r="V1360" s="589">
        <v>5500</v>
      </c>
      <c r="W1360" s="260">
        <v>45809</v>
      </c>
    </row>
    <row r="1361" spans="1:23" hidden="1" x14ac:dyDescent="0.35">
      <c r="A1361" s="586" t="s">
        <v>526</v>
      </c>
      <c r="B1361" s="586" t="s">
        <v>159</v>
      </c>
      <c r="C1361" s="586" t="s">
        <v>281</v>
      </c>
      <c r="D1361" s="586" t="s">
        <v>282</v>
      </c>
      <c r="E1361" s="586" t="s">
        <v>283</v>
      </c>
      <c r="F1361" s="586" t="s">
        <v>276</v>
      </c>
      <c r="G1361" s="586" t="s">
        <v>356</v>
      </c>
      <c r="H1361" s="586" t="s">
        <v>670</v>
      </c>
      <c r="I1361" s="586" t="s">
        <v>277</v>
      </c>
      <c r="J1361" s="586" t="s">
        <v>522</v>
      </c>
      <c r="K1361" s="586" t="s">
        <v>284</v>
      </c>
      <c r="L1361" s="586" t="s">
        <v>590</v>
      </c>
      <c r="M1361" s="586" t="s">
        <v>285</v>
      </c>
      <c r="N1361" s="586" t="s">
        <v>670</v>
      </c>
      <c r="O1361" s="586" t="s">
        <v>670</v>
      </c>
      <c r="P1361" s="586" t="s">
        <v>522</v>
      </c>
      <c r="Q1361" s="586" t="s">
        <v>670</v>
      </c>
      <c r="R1361" s="587">
        <v>45870</v>
      </c>
      <c r="S1361" s="586" t="s">
        <v>670</v>
      </c>
      <c r="T1361" s="587">
        <v>45869</v>
      </c>
      <c r="U1361" s="588">
        <v>0</v>
      </c>
      <c r="V1361" s="589">
        <v>153</v>
      </c>
      <c r="W1361" s="260">
        <v>45839</v>
      </c>
    </row>
    <row r="1362" spans="1:23" hidden="1" x14ac:dyDescent="0.35">
      <c r="A1362" s="586" t="s">
        <v>526</v>
      </c>
      <c r="B1362" s="586" t="s">
        <v>159</v>
      </c>
      <c r="C1362" s="586" t="s">
        <v>286</v>
      </c>
      <c r="D1362" s="586" t="s">
        <v>287</v>
      </c>
      <c r="E1362" s="586" t="s">
        <v>288</v>
      </c>
      <c r="F1362" s="586" t="s">
        <v>276</v>
      </c>
      <c r="G1362" s="586" t="s">
        <v>356</v>
      </c>
      <c r="H1362" s="586" t="s">
        <v>670</v>
      </c>
      <c r="I1362" s="586" t="s">
        <v>277</v>
      </c>
      <c r="J1362" s="586" t="s">
        <v>522</v>
      </c>
      <c r="K1362" s="586" t="s">
        <v>289</v>
      </c>
      <c r="L1362" s="586" t="s">
        <v>590</v>
      </c>
      <c r="M1362" s="586" t="s">
        <v>285</v>
      </c>
      <c r="N1362" s="586" t="s">
        <v>670</v>
      </c>
      <c r="O1362" s="586" t="s">
        <v>670</v>
      </c>
      <c r="P1362" s="586" t="s">
        <v>522</v>
      </c>
      <c r="Q1362" s="586" t="s">
        <v>670</v>
      </c>
      <c r="R1362" s="587">
        <v>45870</v>
      </c>
      <c r="S1362" s="586" t="s">
        <v>670</v>
      </c>
      <c r="T1362" s="587">
        <v>45869</v>
      </c>
      <c r="U1362" s="588">
        <v>0</v>
      </c>
      <c r="V1362" s="589">
        <v>429.17</v>
      </c>
      <c r="W1362" s="260">
        <v>45839</v>
      </c>
    </row>
    <row r="1363" spans="1:23" hidden="1" x14ac:dyDescent="0.35">
      <c r="A1363" s="586" t="s">
        <v>526</v>
      </c>
      <c r="B1363" s="586" t="s">
        <v>159</v>
      </c>
      <c r="C1363" s="586" t="s">
        <v>281</v>
      </c>
      <c r="D1363" s="586" t="s">
        <v>290</v>
      </c>
      <c r="E1363" s="586" t="s">
        <v>291</v>
      </c>
      <c r="F1363" s="586" t="s">
        <v>276</v>
      </c>
      <c r="G1363" s="586" t="s">
        <v>356</v>
      </c>
      <c r="H1363" s="586" t="s">
        <v>670</v>
      </c>
      <c r="I1363" s="586" t="s">
        <v>277</v>
      </c>
      <c r="J1363" s="586" t="s">
        <v>522</v>
      </c>
      <c r="K1363" s="586" t="s">
        <v>284</v>
      </c>
      <c r="L1363" s="586" t="s">
        <v>590</v>
      </c>
      <c r="M1363" s="586" t="s">
        <v>285</v>
      </c>
      <c r="N1363" s="586" t="s">
        <v>670</v>
      </c>
      <c r="O1363" s="586" t="s">
        <v>670</v>
      </c>
      <c r="P1363" s="586" t="s">
        <v>522</v>
      </c>
      <c r="Q1363" s="586" t="s">
        <v>670</v>
      </c>
      <c r="R1363" s="587">
        <v>45870</v>
      </c>
      <c r="S1363" s="586" t="s">
        <v>670</v>
      </c>
      <c r="T1363" s="587">
        <v>45869</v>
      </c>
      <c r="U1363" s="588">
        <v>0</v>
      </c>
      <c r="V1363" s="589">
        <v>98.88</v>
      </c>
      <c r="W1363" s="260">
        <v>45839</v>
      </c>
    </row>
    <row r="1364" spans="1:23" hidden="1" x14ac:dyDescent="0.35">
      <c r="A1364" s="586" t="s">
        <v>526</v>
      </c>
      <c r="B1364" s="586" t="s">
        <v>159</v>
      </c>
      <c r="C1364" s="586" t="s">
        <v>281</v>
      </c>
      <c r="D1364" s="586" t="s">
        <v>292</v>
      </c>
      <c r="E1364" s="586" t="s">
        <v>293</v>
      </c>
      <c r="F1364" s="586" t="s">
        <v>276</v>
      </c>
      <c r="G1364" s="586" t="s">
        <v>356</v>
      </c>
      <c r="H1364" s="586" t="s">
        <v>670</v>
      </c>
      <c r="I1364" s="586" t="s">
        <v>277</v>
      </c>
      <c r="J1364" s="586" t="s">
        <v>522</v>
      </c>
      <c r="K1364" s="586" t="s">
        <v>294</v>
      </c>
      <c r="L1364" s="586" t="s">
        <v>590</v>
      </c>
      <c r="M1364" s="586" t="s">
        <v>285</v>
      </c>
      <c r="N1364" s="586" t="s">
        <v>670</v>
      </c>
      <c r="O1364" s="586" t="s">
        <v>670</v>
      </c>
      <c r="P1364" s="586" t="s">
        <v>522</v>
      </c>
      <c r="Q1364" s="586" t="s">
        <v>670</v>
      </c>
      <c r="R1364" s="587">
        <v>45870</v>
      </c>
      <c r="S1364" s="586" t="s">
        <v>670</v>
      </c>
      <c r="T1364" s="587">
        <v>45869</v>
      </c>
      <c r="U1364" s="588">
        <v>0</v>
      </c>
      <c r="V1364" s="589">
        <v>109.32</v>
      </c>
      <c r="W1364" s="260">
        <v>45839</v>
      </c>
    </row>
    <row r="1365" spans="1:23" hidden="1" x14ac:dyDescent="0.35">
      <c r="A1365" s="586" t="s">
        <v>526</v>
      </c>
      <c r="B1365" s="586" t="s">
        <v>159</v>
      </c>
      <c r="C1365" s="586" t="s">
        <v>286</v>
      </c>
      <c r="D1365" s="586" t="s">
        <v>295</v>
      </c>
      <c r="E1365" s="586" t="s">
        <v>296</v>
      </c>
      <c r="F1365" s="586" t="s">
        <v>276</v>
      </c>
      <c r="G1365" s="586" t="s">
        <v>356</v>
      </c>
      <c r="H1365" s="586" t="s">
        <v>670</v>
      </c>
      <c r="I1365" s="586" t="s">
        <v>277</v>
      </c>
      <c r="J1365" s="586" t="s">
        <v>522</v>
      </c>
      <c r="K1365" s="586" t="s">
        <v>297</v>
      </c>
      <c r="L1365" s="586" t="s">
        <v>590</v>
      </c>
      <c r="M1365" s="586" t="s">
        <v>285</v>
      </c>
      <c r="N1365" s="586" t="s">
        <v>670</v>
      </c>
      <c r="O1365" s="586" t="s">
        <v>670</v>
      </c>
      <c r="P1365" s="586" t="s">
        <v>522</v>
      </c>
      <c r="Q1365" s="586" t="s">
        <v>670</v>
      </c>
      <c r="R1365" s="587">
        <v>45870</v>
      </c>
      <c r="S1365" s="586" t="s">
        <v>670</v>
      </c>
      <c r="T1365" s="587">
        <v>45869</v>
      </c>
      <c r="U1365" s="588">
        <v>0</v>
      </c>
      <c r="V1365" s="589">
        <v>233.98</v>
      </c>
      <c r="W1365" s="260">
        <v>45839</v>
      </c>
    </row>
    <row r="1366" spans="1:23" hidden="1" x14ac:dyDescent="0.35">
      <c r="A1366" s="586" t="s">
        <v>526</v>
      </c>
      <c r="B1366" s="586" t="s">
        <v>159</v>
      </c>
      <c r="C1366" s="586" t="s">
        <v>542</v>
      </c>
      <c r="D1366" s="586" t="s">
        <v>543</v>
      </c>
      <c r="E1366" s="586" t="s">
        <v>544</v>
      </c>
      <c r="F1366" s="586" t="s">
        <v>276</v>
      </c>
      <c r="G1366" s="586" t="s">
        <v>356</v>
      </c>
      <c r="H1366" s="586" t="s">
        <v>670</v>
      </c>
      <c r="I1366" s="586" t="s">
        <v>277</v>
      </c>
      <c r="J1366" s="586" t="s">
        <v>522</v>
      </c>
      <c r="K1366" s="586" t="s">
        <v>545</v>
      </c>
      <c r="L1366" s="586" t="s">
        <v>590</v>
      </c>
      <c r="M1366" s="586" t="s">
        <v>285</v>
      </c>
      <c r="N1366" s="586" t="s">
        <v>670</v>
      </c>
      <c r="O1366" s="586" t="s">
        <v>670</v>
      </c>
      <c r="P1366" s="586" t="s">
        <v>522</v>
      </c>
      <c r="Q1366" s="586" t="s">
        <v>670</v>
      </c>
      <c r="R1366" s="587">
        <v>45870</v>
      </c>
      <c r="S1366" s="586" t="s">
        <v>670</v>
      </c>
      <c r="T1366" s="587">
        <v>45869</v>
      </c>
      <c r="U1366" s="588">
        <v>0</v>
      </c>
      <c r="V1366" s="589">
        <v>23.91</v>
      </c>
      <c r="W1366" s="260">
        <v>45839</v>
      </c>
    </row>
    <row r="1367" spans="1:23" hidden="1" x14ac:dyDescent="0.35">
      <c r="A1367" s="586" t="s">
        <v>526</v>
      </c>
      <c r="B1367" s="586" t="s">
        <v>159</v>
      </c>
      <c r="C1367" s="586" t="s">
        <v>546</v>
      </c>
      <c r="D1367" s="586" t="s">
        <v>547</v>
      </c>
      <c r="E1367" s="586" t="s">
        <v>548</v>
      </c>
      <c r="F1367" s="586" t="s">
        <v>276</v>
      </c>
      <c r="G1367" s="586" t="s">
        <v>356</v>
      </c>
      <c r="H1367" s="586" t="s">
        <v>670</v>
      </c>
      <c r="I1367" s="586" t="s">
        <v>277</v>
      </c>
      <c r="J1367" s="586" t="s">
        <v>522</v>
      </c>
      <c r="K1367" s="586" t="s">
        <v>549</v>
      </c>
      <c r="L1367" s="586" t="s">
        <v>590</v>
      </c>
      <c r="M1367" s="586" t="s">
        <v>285</v>
      </c>
      <c r="N1367" s="586" t="s">
        <v>670</v>
      </c>
      <c r="O1367" s="586" t="s">
        <v>670</v>
      </c>
      <c r="P1367" s="586" t="s">
        <v>522</v>
      </c>
      <c r="Q1367" s="586" t="s">
        <v>670</v>
      </c>
      <c r="R1367" s="587">
        <v>45870</v>
      </c>
      <c r="S1367" s="586" t="s">
        <v>670</v>
      </c>
      <c r="T1367" s="587">
        <v>45869</v>
      </c>
      <c r="U1367" s="588">
        <v>0</v>
      </c>
      <c r="V1367" s="589">
        <v>67.069999999999993</v>
      </c>
      <c r="W1367" s="260">
        <v>45839</v>
      </c>
    </row>
    <row r="1368" spans="1:23" hidden="1" x14ac:dyDescent="0.35">
      <c r="A1368" s="586" t="s">
        <v>526</v>
      </c>
      <c r="B1368" s="586" t="s">
        <v>159</v>
      </c>
      <c r="C1368" s="586" t="s">
        <v>542</v>
      </c>
      <c r="D1368" s="586" t="s">
        <v>550</v>
      </c>
      <c r="E1368" s="586" t="s">
        <v>551</v>
      </c>
      <c r="F1368" s="586" t="s">
        <v>276</v>
      </c>
      <c r="G1368" s="586" t="s">
        <v>356</v>
      </c>
      <c r="H1368" s="586" t="s">
        <v>670</v>
      </c>
      <c r="I1368" s="586" t="s">
        <v>277</v>
      </c>
      <c r="J1368" s="586" t="s">
        <v>522</v>
      </c>
      <c r="K1368" s="586" t="s">
        <v>545</v>
      </c>
      <c r="L1368" s="586" t="s">
        <v>590</v>
      </c>
      <c r="M1368" s="586" t="s">
        <v>285</v>
      </c>
      <c r="N1368" s="586" t="s">
        <v>670</v>
      </c>
      <c r="O1368" s="586" t="s">
        <v>670</v>
      </c>
      <c r="P1368" s="586" t="s">
        <v>522</v>
      </c>
      <c r="Q1368" s="586" t="s">
        <v>670</v>
      </c>
      <c r="R1368" s="587">
        <v>45870</v>
      </c>
      <c r="S1368" s="586" t="s">
        <v>670</v>
      </c>
      <c r="T1368" s="587">
        <v>45869</v>
      </c>
      <c r="U1368" s="588">
        <v>0</v>
      </c>
      <c r="V1368" s="589">
        <v>15.45</v>
      </c>
      <c r="W1368" s="260">
        <v>45839</v>
      </c>
    </row>
    <row r="1369" spans="1:23" hidden="1" x14ac:dyDescent="0.35">
      <c r="A1369" s="586" t="s">
        <v>526</v>
      </c>
      <c r="B1369" s="586" t="s">
        <v>159</v>
      </c>
      <c r="C1369" s="586" t="s">
        <v>542</v>
      </c>
      <c r="D1369" s="586" t="s">
        <v>552</v>
      </c>
      <c r="E1369" s="586" t="s">
        <v>553</v>
      </c>
      <c r="F1369" s="586" t="s">
        <v>276</v>
      </c>
      <c r="G1369" s="586" t="s">
        <v>356</v>
      </c>
      <c r="H1369" s="586" t="s">
        <v>670</v>
      </c>
      <c r="I1369" s="586" t="s">
        <v>277</v>
      </c>
      <c r="J1369" s="586" t="s">
        <v>522</v>
      </c>
      <c r="K1369" s="586" t="s">
        <v>554</v>
      </c>
      <c r="L1369" s="586" t="s">
        <v>590</v>
      </c>
      <c r="M1369" s="586" t="s">
        <v>285</v>
      </c>
      <c r="N1369" s="586" t="s">
        <v>670</v>
      </c>
      <c r="O1369" s="586" t="s">
        <v>670</v>
      </c>
      <c r="P1369" s="586" t="s">
        <v>522</v>
      </c>
      <c r="Q1369" s="586" t="s">
        <v>670</v>
      </c>
      <c r="R1369" s="587">
        <v>45870</v>
      </c>
      <c r="S1369" s="586" t="s">
        <v>670</v>
      </c>
      <c r="T1369" s="587">
        <v>45869</v>
      </c>
      <c r="U1369" s="588">
        <v>0</v>
      </c>
      <c r="V1369" s="589">
        <v>17.079999999999998</v>
      </c>
      <c r="W1369" s="260">
        <v>45839</v>
      </c>
    </row>
    <row r="1370" spans="1:23" hidden="1" x14ac:dyDescent="0.35">
      <c r="A1370" s="586" t="s">
        <v>526</v>
      </c>
      <c r="B1370" s="586" t="s">
        <v>159</v>
      </c>
      <c r="C1370" s="586" t="s">
        <v>546</v>
      </c>
      <c r="D1370" s="586" t="s">
        <v>555</v>
      </c>
      <c r="E1370" s="586" t="s">
        <v>556</v>
      </c>
      <c r="F1370" s="586" t="s">
        <v>276</v>
      </c>
      <c r="G1370" s="586" t="s">
        <v>356</v>
      </c>
      <c r="H1370" s="586" t="s">
        <v>670</v>
      </c>
      <c r="I1370" s="586" t="s">
        <v>277</v>
      </c>
      <c r="J1370" s="586" t="s">
        <v>522</v>
      </c>
      <c r="K1370" s="586" t="s">
        <v>557</v>
      </c>
      <c r="L1370" s="586" t="s">
        <v>590</v>
      </c>
      <c r="M1370" s="586" t="s">
        <v>285</v>
      </c>
      <c r="N1370" s="586" t="s">
        <v>670</v>
      </c>
      <c r="O1370" s="586" t="s">
        <v>670</v>
      </c>
      <c r="P1370" s="586" t="s">
        <v>522</v>
      </c>
      <c r="Q1370" s="586" t="s">
        <v>670</v>
      </c>
      <c r="R1370" s="587">
        <v>45870</v>
      </c>
      <c r="S1370" s="586" t="s">
        <v>670</v>
      </c>
      <c r="T1370" s="587">
        <v>45869</v>
      </c>
      <c r="U1370" s="588">
        <v>0</v>
      </c>
      <c r="V1370" s="589">
        <v>36.57</v>
      </c>
      <c r="W1370" s="260">
        <v>45839</v>
      </c>
    </row>
    <row r="1371" spans="1:23" hidden="1" x14ac:dyDescent="0.35">
      <c r="A1371" s="586" t="s">
        <v>526</v>
      </c>
      <c r="B1371" s="586" t="s">
        <v>159</v>
      </c>
      <c r="C1371" s="586" t="s">
        <v>298</v>
      </c>
      <c r="D1371" s="586" t="s">
        <v>299</v>
      </c>
      <c r="E1371" s="586" t="s">
        <v>300</v>
      </c>
      <c r="F1371" s="586" t="s">
        <v>276</v>
      </c>
      <c r="G1371" s="586" t="s">
        <v>356</v>
      </c>
      <c r="H1371" s="586" t="s">
        <v>670</v>
      </c>
      <c r="I1371" s="586" t="s">
        <v>277</v>
      </c>
      <c r="J1371" s="586" t="s">
        <v>522</v>
      </c>
      <c r="K1371" s="586" t="s">
        <v>301</v>
      </c>
      <c r="L1371" s="586" t="s">
        <v>590</v>
      </c>
      <c r="M1371" s="586" t="s">
        <v>285</v>
      </c>
      <c r="N1371" s="586" t="s">
        <v>670</v>
      </c>
      <c r="O1371" s="586" t="s">
        <v>670</v>
      </c>
      <c r="P1371" s="586" t="s">
        <v>522</v>
      </c>
      <c r="Q1371" s="586" t="s">
        <v>670</v>
      </c>
      <c r="R1371" s="587">
        <v>45870</v>
      </c>
      <c r="S1371" s="586" t="s">
        <v>670</v>
      </c>
      <c r="T1371" s="587">
        <v>45869</v>
      </c>
      <c r="U1371" s="588">
        <v>0</v>
      </c>
      <c r="V1371" s="589">
        <v>0.15</v>
      </c>
      <c r="W1371" s="260">
        <v>45839</v>
      </c>
    </row>
    <row r="1372" spans="1:23" hidden="1" x14ac:dyDescent="0.35">
      <c r="A1372" s="586" t="s">
        <v>526</v>
      </c>
      <c r="B1372" s="586" t="s">
        <v>159</v>
      </c>
      <c r="C1372" s="586" t="s">
        <v>298</v>
      </c>
      <c r="D1372" s="586" t="s">
        <v>304</v>
      </c>
      <c r="E1372" s="586" t="s">
        <v>305</v>
      </c>
      <c r="F1372" s="586" t="s">
        <v>276</v>
      </c>
      <c r="G1372" s="586" t="s">
        <v>356</v>
      </c>
      <c r="H1372" s="586" t="s">
        <v>670</v>
      </c>
      <c r="I1372" s="586" t="s">
        <v>277</v>
      </c>
      <c r="J1372" s="586" t="s">
        <v>522</v>
      </c>
      <c r="K1372" s="586" t="s">
        <v>301</v>
      </c>
      <c r="L1372" s="586" t="s">
        <v>590</v>
      </c>
      <c r="M1372" s="586" t="s">
        <v>285</v>
      </c>
      <c r="N1372" s="586" t="s">
        <v>670</v>
      </c>
      <c r="O1372" s="586" t="s">
        <v>670</v>
      </c>
      <c r="P1372" s="586" t="s">
        <v>522</v>
      </c>
      <c r="Q1372" s="586" t="s">
        <v>670</v>
      </c>
      <c r="R1372" s="587">
        <v>45870</v>
      </c>
      <c r="S1372" s="586" t="s">
        <v>670</v>
      </c>
      <c r="T1372" s="587">
        <v>45869</v>
      </c>
      <c r="U1372" s="588">
        <v>0</v>
      </c>
      <c r="V1372" s="589">
        <v>0.17</v>
      </c>
      <c r="W1372" s="260">
        <v>45839</v>
      </c>
    </row>
    <row r="1373" spans="1:23" hidden="1" x14ac:dyDescent="0.35">
      <c r="A1373" s="586" t="s">
        <v>526</v>
      </c>
      <c r="B1373" s="586" t="s">
        <v>159</v>
      </c>
      <c r="C1373" s="586" t="s">
        <v>298</v>
      </c>
      <c r="D1373" s="586" t="s">
        <v>306</v>
      </c>
      <c r="E1373" s="586" t="s">
        <v>307</v>
      </c>
      <c r="F1373" s="586" t="s">
        <v>276</v>
      </c>
      <c r="G1373" s="586" t="s">
        <v>356</v>
      </c>
      <c r="H1373" s="586" t="s">
        <v>670</v>
      </c>
      <c r="I1373" s="586" t="s">
        <v>277</v>
      </c>
      <c r="J1373" s="586" t="s">
        <v>522</v>
      </c>
      <c r="K1373" s="586" t="s">
        <v>301</v>
      </c>
      <c r="L1373" s="586" t="s">
        <v>590</v>
      </c>
      <c r="M1373" s="586" t="s">
        <v>285</v>
      </c>
      <c r="N1373" s="586" t="s">
        <v>670</v>
      </c>
      <c r="O1373" s="586" t="s">
        <v>670</v>
      </c>
      <c r="P1373" s="586" t="s">
        <v>522</v>
      </c>
      <c r="Q1373" s="586" t="s">
        <v>670</v>
      </c>
      <c r="R1373" s="587">
        <v>45870</v>
      </c>
      <c r="S1373" s="586" t="s">
        <v>670</v>
      </c>
      <c r="T1373" s="587">
        <v>45869</v>
      </c>
      <c r="U1373" s="588">
        <v>0</v>
      </c>
      <c r="V1373" s="589">
        <v>0.01</v>
      </c>
      <c r="W1373" s="260">
        <v>45839</v>
      </c>
    </row>
    <row r="1374" spans="1:23" hidden="1" x14ac:dyDescent="0.35">
      <c r="A1374" s="586" t="s">
        <v>526</v>
      </c>
      <c r="B1374" s="586" t="s">
        <v>159</v>
      </c>
      <c r="C1374" s="586" t="s">
        <v>298</v>
      </c>
      <c r="D1374" s="586" t="s">
        <v>306</v>
      </c>
      <c r="E1374" s="586" t="s">
        <v>307</v>
      </c>
      <c r="F1374" s="586" t="s">
        <v>276</v>
      </c>
      <c r="G1374" s="586" t="s">
        <v>356</v>
      </c>
      <c r="H1374" s="586" t="s">
        <v>670</v>
      </c>
      <c r="I1374" s="586" t="s">
        <v>277</v>
      </c>
      <c r="J1374" s="586" t="s">
        <v>522</v>
      </c>
      <c r="K1374" s="586" t="s">
        <v>301</v>
      </c>
      <c r="L1374" s="586" t="s">
        <v>590</v>
      </c>
      <c r="M1374" s="586" t="s">
        <v>285</v>
      </c>
      <c r="N1374" s="586" t="s">
        <v>670</v>
      </c>
      <c r="O1374" s="586" t="s">
        <v>670</v>
      </c>
      <c r="P1374" s="586" t="s">
        <v>522</v>
      </c>
      <c r="Q1374" s="586" t="s">
        <v>670</v>
      </c>
      <c r="R1374" s="587">
        <v>45870</v>
      </c>
      <c r="S1374" s="586" t="s">
        <v>670</v>
      </c>
      <c r="T1374" s="587">
        <v>45869</v>
      </c>
      <c r="U1374" s="588">
        <v>0</v>
      </c>
      <c r="V1374" s="589">
        <v>0.23</v>
      </c>
      <c r="W1374" s="260">
        <v>45839</v>
      </c>
    </row>
    <row r="1375" spans="1:23" hidden="1" x14ac:dyDescent="0.35">
      <c r="A1375" s="586" t="s">
        <v>526</v>
      </c>
      <c r="B1375" s="586" t="s">
        <v>159</v>
      </c>
      <c r="C1375" s="586" t="s">
        <v>298</v>
      </c>
      <c r="D1375" s="586" t="s">
        <v>308</v>
      </c>
      <c r="E1375" s="586" t="s">
        <v>309</v>
      </c>
      <c r="F1375" s="586" t="s">
        <v>276</v>
      </c>
      <c r="G1375" s="586" t="s">
        <v>356</v>
      </c>
      <c r="H1375" s="586" t="s">
        <v>670</v>
      </c>
      <c r="I1375" s="586" t="s">
        <v>277</v>
      </c>
      <c r="J1375" s="586" t="s">
        <v>522</v>
      </c>
      <c r="K1375" s="586" t="s">
        <v>301</v>
      </c>
      <c r="L1375" s="586" t="s">
        <v>590</v>
      </c>
      <c r="M1375" s="586" t="s">
        <v>285</v>
      </c>
      <c r="N1375" s="586" t="s">
        <v>670</v>
      </c>
      <c r="O1375" s="586" t="s">
        <v>670</v>
      </c>
      <c r="P1375" s="586" t="s">
        <v>522</v>
      </c>
      <c r="Q1375" s="586" t="s">
        <v>670</v>
      </c>
      <c r="R1375" s="587">
        <v>45870</v>
      </c>
      <c r="S1375" s="586" t="s">
        <v>670</v>
      </c>
      <c r="T1375" s="587">
        <v>45869</v>
      </c>
      <c r="U1375" s="588">
        <v>0</v>
      </c>
      <c r="V1375" s="589">
        <v>45.09</v>
      </c>
      <c r="W1375" s="260">
        <v>45839</v>
      </c>
    </row>
    <row r="1376" spans="1:23" hidden="1" x14ac:dyDescent="0.35">
      <c r="A1376" s="586" t="s">
        <v>526</v>
      </c>
      <c r="B1376" s="586" t="s">
        <v>159</v>
      </c>
      <c r="C1376" s="586" t="s">
        <v>302</v>
      </c>
      <c r="D1376" s="586" t="s">
        <v>308</v>
      </c>
      <c r="E1376" s="586" t="s">
        <v>309</v>
      </c>
      <c r="F1376" s="586" t="s">
        <v>276</v>
      </c>
      <c r="G1376" s="586" t="s">
        <v>356</v>
      </c>
      <c r="H1376" s="586" t="s">
        <v>670</v>
      </c>
      <c r="I1376" s="586" t="s">
        <v>277</v>
      </c>
      <c r="J1376" s="586" t="s">
        <v>522</v>
      </c>
      <c r="K1376" s="586" t="s">
        <v>303</v>
      </c>
      <c r="L1376" s="586" t="s">
        <v>590</v>
      </c>
      <c r="M1376" s="586" t="s">
        <v>285</v>
      </c>
      <c r="N1376" s="586" t="s">
        <v>670</v>
      </c>
      <c r="O1376" s="586" t="s">
        <v>670</v>
      </c>
      <c r="P1376" s="586" t="s">
        <v>522</v>
      </c>
      <c r="Q1376" s="586" t="s">
        <v>670</v>
      </c>
      <c r="R1376" s="587">
        <v>45870</v>
      </c>
      <c r="S1376" s="586" t="s">
        <v>670</v>
      </c>
      <c r="T1376" s="587">
        <v>45869</v>
      </c>
      <c r="U1376" s="588">
        <v>0</v>
      </c>
      <c r="V1376" s="589">
        <v>98.45</v>
      </c>
      <c r="W1376" s="260">
        <v>45839</v>
      </c>
    </row>
    <row r="1377" spans="1:23" hidden="1" x14ac:dyDescent="0.35">
      <c r="A1377" s="586" t="s">
        <v>526</v>
      </c>
      <c r="B1377" s="586" t="s">
        <v>159</v>
      </c>
      <c r="C1377" s="586" t="s">
        <v>302</v>
      </c>
      <c r="D1377" s="586" t="s">
        <v>310</v>
      </c>
      <c r="E1377" s="586" t="s">
        <v>311</v>
      </c>
      <c r="F1377" s="586" t="s">
        <v>276</v>
      </c>
      <c r="G1377" s="586" t="s">
        <v>356</v>
      </c>
      <c r="H1377" s="586" t="s">
        <v>670</v>
      </c>
      <c r="I1377" s="586" t="s">
        <v>277</v>
      </c>
      <c r="J1377" s="586" t="s">
        <v>522</v>
      </c>
      <c r="K1377" s="586" t="s">
        <v>303</v>
      </c>
      <c r="L1377" s="586" t="s">
        <v>590</v>
      </c>
      <c r="M1377" s="586" t="s">
        <v>285</v>
      </c>
      <c r="N1377" s="586" t="s">
        <v>670</v>
      </c>
      <c r="O1377" s="586" t="s">
        <v>670</v>
      </c>
      <c r="P1377" s="586" t="s">
        <v>522</v>
      </c>
      <c r="Q1377" s="586" t="s">
        <v>670</v>
      </c>
      <c r="R1377" s="587">
        <v>45870</v>
      </c>
      <c r="S1377" s="586" t="s">
        <v>670</v>
      </c>
      <c r="T1377" s="587">
        <v>45869</v>
      </c>
      <c r="U1377" s="588">
        <v>0</v>
      </c>
      <c r="V1377" s="589">
        <v>310.39999999999998</v>
      </c>
      <c r="W1377" s="260">
        <v>45839</v>
      </c>
    </row>
    <row r="1378" spans="1:23" hidden="1" x14ac:dyDescent="0.35">
      <c r="A1378" s="586" t="s">
        <v>526</v>
      </c>
      <c r="B1378" s="586" t="s">
        <v>159</v>
      </c>
      <c r="C1378" s="586" t="s">
        <v>298</v>
      </c>
      <c r="D1378" s="586" t="s">
        <v>312</v>
      </c>
      <c r="E1378" s="586" t="s">
        <v>313</v>
      </c>
      <c r="F1378" s="586" t="s">
        <v>276</v>
      </c>
      <c r="G1378" s="586" t="s">
        <v>356</v>
      </c>
      <c r="H1378" s="586" t="s">
        <v>670</v>
      </c>
      <c r="I1378" s="586" t="s">
        <v>277</v>
      </c>
      <c r="J1378" s="586" t="s">
        <v>522</v>
      </c>
      <c r="K1378" s="586" t="s">
        <v>301</v>
      </c>
      <c r="L1378" s="586" t="s">
        <v>590</v>
      </c>
      <c r="M1378" s="586" t="s">
        <v>285</v>
      </c>
      <c r="N1378" s="586" t="s">
        <v>670</v>
      </c>
      <c r="O1378" s="586" t="s">
        <v>670</v>
      </c>
      <c r="P1378" s="586" t="s">
        <v>522</v>
      </c>
      <c r="Q1378" s="586" t="s">
        <v>670</v>
      </c>
      <c r="R1378" s="587">
        <v>45870</v>
      </c>
      <c r="S1378" s="586" t="s">
        <v>670</v>
      </c>
      <c r="T1378" s="587">
        <v>45869</v>
      </c>
      <c r="U1378" s="588">
        <v>0</v>
      </c>
      <c r="V1378" s="589">
        <v>9.94</v>
      </c>
      <c r="W1378" s="260">
        <v>45839</v>
      </c>
    </row>
    <row r="1379" spans="1:23" hidden="1" x14ac:dyDescent="0.35">
      <c r="A1379" s="586" t="s">
        <v>526</v>
      </c>
      <c r="B1379" s="586" t="s">
        <v>159</v>
      </c>
      <c r="C1379" s="586" t="s">
        <v>298</v>
      </c>
      <c r="D1379" s="586" t="s">
        <v>314</v>
      </c>
      <c r="E1379" s="586" t="s">
        <v>315</v>
      </c>
      <c r="F1379" s="586" t="s">
        <v>276</v>
      </c>
      <c r="G1379" s="586" t="s">
        <v>356</v>
      </c>
      <c r="H1379" s="586" t="s">
        <v>670</v>
      </c>
      <c r="I1379" s="586" t="s">
        <v>277</v>
      </c>
      <c r="J1379" s="586" t="s">
        <v>522</v>
      </c>
      <c r="K1379" s="586" t="s">
        <v>301</v>
      </c>
      <c r="L1379" s="586" t="s">
        <v>590</v>
      </c>
      <c r="M1379" s="586" t="s">
        <v>285</v>
      </c>
      <c r="N1379" s="586" t="s">
        <v>670</v>
      </c>
      <c r="O1379" s="586" t="s">
        <v>670</v>
      </c>
      <c r="P1379" s="586" t="s">
        <v>522</v>
      </c>
      <c r="Q1379" s="586" t="s">
        <v>670</v>
      </c>
      <c r="R1379" s="587">
        <v>45870</v>
      </c>
      <c r="S1379" s="586" t="s">
        <v>670</v>
      </c>
      <c r="T1379" s="587">
        <v>45869</v>
      </c>
      <c r="U1379" s="588">
        <v>0</v>
      </c>
      <c r="V1379" s="589">
        <v>17.11</v>
      </c>
      <c r="W1379" s="260">
        <v>45839</v>
      </c>
    </row>
    <row r="1380" spans="1:23" hidden="1" x14ac:dyDescent="0.35">
      <c r="A1380" s="586" t="s">
        <v>526</v>
      </c>
      <c r="B1380" s="586" t="s">
        <v>159</v>
      </c>
      <c r="C1380" s="586" t="s">
        <v>298</v>
      </c>
      <c r="D1380" s="586" t="s">
        <v>316</v>
      </c>
      <c r="E1380" s="586" t="s">
        <v>317</v>
      </c>
      <c r="F1380" s="586" t="s">
        <v>276</v>
      </c>
      <c r="G1380" s="586" t="s">
        <v>356</v>
      </c>
      <c r="H1380" s="586" t="s">
        <v>670</v>
      </c>
      <c r="I1380" s="586" t="s">
        <v>277</v>
      </c>
      <c r="J1380" s="586" t="s">
        <v>522</v>
      </c>
      <c r="K1380" s="586" t="s">
        <v>301</v>
      </c>
      <c r="L1380" s="586" t="s">
        <v>590</v>
      </c>
      <c r="M1380" s="586" t="s">
        <v>285</v>
      </c>
      <c r="N1380" s="586" t="s">
        <v>670</v>
      </c>
      <c r="O1380" s="586" t="s">
        <v>670</v>
      </c>
      <c r="P1380" s="586" t="s">
        <v>522</v>
      </c>
      <c r="Q1380" s="586" t="s">
        <v>670</v>
      </c>
      <c r="R1380" s="587">
        <v>45870</v>
      </c>
      <c r="S1380" s="586" t="s">
        <v>670</v>
      </c>
      <c r="T1380" s="587">
        <v>45869</v>
      </c>
      <c r="U1380" s="588">
        <v>0</v>
      </c>
      <c r="V1380" s="589">
        <v>22.36</v>
      </c>
      <c r="W1380" s="260">
        <v>45839</v>
      </c>
    </row>
    <row r="1381" spans="1:23" hidden="1" x14ac:dyDescent="0.35">
      <c r="A1381" s="586" t="s">
        <v>526</v>
      </c>
      <c r="B1381" s="586" t="s">
        <v>159</v>
      </c>
      <c r="C1381" s="586" t="s">
        <v>298</v>
      </c>
      <c r="D1381" s="586" t="s">
        <v>318</v>
      </c>
      <c r="E1381" s="586" t="s">
        <v>319</v>
      </c>
      <c r="F1381" s="586" t="s">
        <v>276</v>
      </c>
      <c r="G1381" s="586" t="s">
        <v>356</v>
      </c>
      <c r="H1381" s="586" t="s">
        <v>670</v>
      </c>
      <c r="I1381" s="586" t="s">
        <v>277</v>
      </c>
      <c r="J1381" s="586" t="s">
        <v>522</v>
      </c>
      <c r="K1381" s="586" t="s">
        <v>301</v>
      </c>
      <c r="L1381" s="586" t="s">
        <v>590</v>
      </c>
      <c r="M1381" s="586" t="s">
        <v>285</v>
      </c>
      <c r="N1381" s="586" t="s">
        <v>670</v>
      </c>
      <c r="O1381" s="586" t="s">
        <v>670</v>
      </c>
      <c r="P1381" s="586" t="s">
        <v>522</v>
      </c>
      <c r="Q1381" s="586" t="s">
        <v>670</v>
      </c>
      <c r="R1381" s="587">
        <v>45870</v>
      </c>
      <c r="S1381" s="586" t="s">
        <v>670</v>
      </c>
      <c r="T1381" s="587">
        <v>45869</v>
      </c>
      <c r="U1381" s="588">
        <v>0</v>
      </c>
      <c r="V1381" s="589">
        <v>7.0000000000000007E-2</v>
      </c>
      <c r="W1381" s="260">
        <v>45839</v>
      </c>
    </row>
    <row r="1382" spans="1:23" hidden="1" x14ac:dyDescent="0.35">
      <c r="A1382" s="586" t="s">
        <v>526</v>
      </c>
      <c r="B1382" s="586" t="s">
        <v>159</v>
      </c>
      <c r="C1382" s="586" t="s">
        <v>298</v>
      </c>
      <c r="D1382" s="586" t="s">
        <v>318</v>
      </c>
      <c r="E1382" s="586" t="s">
        <v>319</v>
      </c>
      <c r="F1382" s="586" t="s">
        <v>276</v>
      </c>
      <c r="G1382" s="586" t="s">
        <v>356</v>
      </c>
      <c r="H1382" s="586" t="s">
        <v>670</v>
      </c>
      <c r="I1382" s="586" t="s">
        <v>277</v>
      </c>
      <c r="J1382" s="586" t="s">
        <v>522</v>
      </c>
      <c r="K1382" s="586" t="s">
        <v>301</v>
      </c>
      <c r="L1382" s="586" t="s">
        <v>590</v>
      </c>
      <c r="M1382" s="586" t="s">
        <v>285</v>
      </c>
      <c r="N1382" s="586" t="s">
        <v>670</v>
      </c>
      <c r="O1382" s="586" t="s">
        <v>670</v>
      </c>
      <c r="P1382" s="586" t="s">
        <v>522</v>
      </c>
      <c r="Q1382" s="586" t="s">
        <v>670</v>
      </c>
      <c r="R1382" s="587">
        <v>45870</v>
      </c>
      <c r="S1382" s="586" t="s">
        <v>670</v>
      </c>
      <c r="T1382" s="587">
        <v>45869</v>
      </c>
      <c r="U1382" s="588">
        <v>0</v>
      </c>
      <c r="V1382" s="589">
        <v>0.83</v>
      </c>
      <c r="W1382" s="260">
        <v>45839</v>
      </c>
    </row>
    <row r="1383" spans="1:23" hidden="1" x14ac:dyDescent="0.35">
      <c r="A1383" s="586" t="s">
        <v>526</v>
      </c>
      <c r="B1383" s="586" t="s">
        <v>159</v>
      </c>
      <c r="C1383" s="586" t="s">
        <v>298</v>
      </c>
      <c r="D1383" s="586" t="s">
        <v>391</v>
      </c>
      <c r="E1383" s="586" t="s">
        <v>392</v>
      </c>
      <c r="F1383" s="586" t="s">
        <v>276</v>
      </c>
      <c r="G1383" s="586" t="s">
        <v>356</v>
      </c>
      <c r="H1383" s="586" t="s">
        <v>670</v>
      </c>
      <c r="I1383" s="586" t="s">
        <v>277</v>
      </c>
      <c r="J1383" s="586" t="s">
        <v>522</v>
      </c>
      <c r="K1383" s="586" t="s">
        <v>301</v>
      </c>
      <c r="L1383" s="586" t="s">
        <v>590</v>
      </c>
      <c r="M1383" s="586" t="s">
        <v>285</v>
      </c>
      <c r="N1383" s="586" t="s">
        <v>670</v>
      </c>
      <c r="O1383" s="586" t="s">
        <v>670</v>
      </c>
      <c r="P1383" s="586" t="s">
        <v>522</v>
      </c>
      <c r="Q1383" s="586" t="s">
        <v>670</v>
      </c>
      <c r="R1383" s="587">
        <v>45870</v>
      </c>
      <c r="S1383" s="586" t="s">
        <v>670</v>
      </c>
      <c r="T1383" s="587">
        <v>45869</v>
      </c>
      <c r="U1383" s="588">
        <v>0</v>
      </c>
      <c r="V1383" s="589">
        <v>0.17</v>
      </c>
      <c r="W1383" s="260">
        <v>45839</v>
      </c>
    </row>
    <row r="1384" spans="1:23" hidden="1" x14ac:dyDescent="0.35">
      <c r="A1384" s="586" t="s">
        <v>526</v>
      </c>
      <c r="B1384" s="586" t="s">
        <v>159</v>
      </c>
      <c r="C1384" s="586" t="s">
        <v>298</v>
      </c>
      <c r="D1384" s="586" t="s">
        <v>320</v>
      </c>
      <c r="E1384" s="586" t="s">
        <v>321</v>
      </c>
      <c r="F1384" s="586" t="s">
        <v>276</v>
      </c>
      <c r="G1384" s="586" t="s">
        <v>356</v>
      </c>
      <c r="H1384" s="586" t="s">
        <v>670</v>
      </c>
      <c r="I1384" s="586" t="s">
        <v>277</v>
      </c>
      <c r="J1384" s="586" t="s">
        <v>522</v>
      </c>
      <c r="K1384" s="586" t="s">
        <v>301</v>
      </c>
      <c r="L1384" s="586" t="s">
        <v>590</v>
      </c>
      <c r="M1384" s="586" t="s">
        <v>285</v>
      </c>
      <c r="N1384" s="586" t="s">
        <v>670</v>
      </c>
      <c r="O1384" s="586" t="s">
        <v>670</v>
      </c>
      <c r="P1384" s="586" t="s">
        <v>522</v>
      </c>
      <c r="Q1384" s="586" t="s">
        <v>670</v>
      </c>
      <c r="R1384" s="587">
        <v>45870</v>
      </c>
      <c r="S1384" s="586" t="s">
        <v>670</v>
      </c>
      <c r="T1384" s="587">
        <v>45869</v>
      </c>
      <c r="U1384" s="588">
        <v>0</v>
      </c>
      <c r="V1384" s="589">
        <v>11.35</v>
      </c>
      <c r="W1384" s="260">
        <v>45839</v>
      </c>
    </row>
    <row r="1385" spans="1:23" hidden="1" x14ac:dyDescent="0.35">
      <c r="A1385" s="586" t="s">
        <v>526</v>
      </c>
      <c r="B1385" s="586" t="s">
        <v>159</v>
      </c>
      <c r="C1385" s="586" t="s">
        <v>298</v>
      </c>
      <c r="D1385" s="586" t="s">
        <v>322</v>
      </c>
      <c r="E1385" s="586" t="s">
        <v>323</v>
      </c>
      <c r="F1385" s="586" t="s">
        <v>276</v>
      </c>
      <c r="G1385" s="586" t="s">
        <v>356</v>
      </c>
      <c r="H1385" s="586" t="s">
        <v>670</v>
      </c>
      <c r="I1385" s="586" t="s">
        <v>277</v>
      </c>
      <c r="J1385" s="586" t="s">
        <v>522</v>
      </c>
      <c r="K1385" s="586" t="s">
        <v>301</v>
      </c>
      <c r="L1385" s="586" t="s">
        <v>590</v>
      </c>
      <c r="M1385" s="586" t="s">
        <v>285</v>
      </c>
      <c r="N1385" s="586" t="s">
        <v>670</v>
      </c>
      <c r="O1385" s="586" t="s">
        <v>670</v>
      </c>
      <c r="P1385" s="586" t="s">
        <v>522</v>
      </c>
      <c r="Q1385" s="586" t="s">
        <v>670</v>
      </c>
      <c r="R1385" s="587">
        <v>45870</v>
      </c>
      <c r="S1385" s="586" t="s">
        <v>670</v>
      </c>
      <c r="T1385" s="587">
        <v>45869</v>
      </c>
      <c r="U1385" s="588">
        <v>0</v>
      </c>
      <c r="V1385" s="589">
        <v>0.38</v>
      </c>
      <c r="W1385" s="260">
        <v>45839</v>
      </c>
    </row>
    <row r="1386" spans="1:23" hidden="1" x14ac:dyDescent="0.35">
      <c r="A1386" s="586" t="s">
        <v>526</v>
      </c>
      <c r="B1386" s="586" t="s">
        <v>159</v>
      </c>
      <c r="C1386" s="586" t="s">
        <v>298</v>
      </c>
      <c r="D1386" s="586" t="s">
        <v>322</v>
      </c>
      <c r="E1386" s="586" t="s">
        <v>323</v>
      </c>
      <c r="F1386" s="586" t="s">
        <v>276</v>
      </c>
      <c r="G1386" s="586" t="s">
        <v>356</v>
      </c>
      <c r="H1386" s="586" t="s">
        <v>670</v>
      </c>
      <c r="I1386" s="586" t="s">
        <v>277</v>
      </c>
      <c r="J1386" s="586" t="s">
        <v>522</v>
      </c>
      <c r="K1386" s="586" t="s">
        <v>301</v>
      </c>
      <c r="L1386" s="586" t="s">
        <v>590</v>
      </c>
      <c r="M1386" s="586" t="s">
        <v>285</v>
      </c>
      <c r="N1386" s="586" t="s">
        <v>670</v>
      </c>
      <c r="O1386" s="586" t="s">
        <v>670</v>
      </c>
      <c r="P1386" s="586" t="s">
        <v>522</v>
      </c>
      <c r="Q1386" s="586" t="s">
        <v>670</v>
      </c>
      <c r="R1386" s="587">
        <v>45870</v>
      </c>
      <c r="S1386" s="586" t="s">
        <v>670</v>
      </c>
      <c r="T1386" s="587">
        <v>45869</v>
      </c>
      <c r="U1386" s="588">
        <v>0</v>
      </c>
      <c r="V1386" s="589">
        <v>0.01</v>
      </c>
      <c r="W1386" s="260">
        <v>45839</v>
      </c>
    </row>
    <row r="1387" spans="1:23" hidden="1" x14ac:dyDescent="0.35">
      <c r="A1387" s="586" t="s">
        <v>526</v>
      </c>
      <c r="B1387" s="586" t="s">
        <v>159</v>
      </c>
      <c r="C1387" s="586" t="s">
        <v>298</v>
      </c>
      <c r="D1387" s="586" t="s">
        <v>324</v>
      </c>
      <c r="E1387" s="586" t="s">
        <v>325</v>
      </c>
      <c r="F1387" s="586" t="s">
        <v>276</v>
      </c>
      <c r="G1387" s="586" t="s">
        <v>356</v>
      </c>
      <c r="H1387" s="586" t="s">
        <v>670</v>
      </c>
      <c r="I1387" s="586" t="s">
        <v>277</v>
      </c>
      <c r="J1387" s="586" t="s">
        <v>522</v>
      </c>
      <c r="K1387" s="586" t="s">
        <v>301</v>
      </c>
      <c r="L1387" s="586" t="s">
        <v>590</v>
      </c>
      <c r="M1387" s="586" t="s">
        <v>285</v>
      </c>
      <c r="N1387" s="586" t="s">
        <v>670</v>
      </c>
      <c r="O1387" s="586" t="s">
        <v>670</v>
      </c>
      <c r="P1387" s="586" t="s">
        <v>522</v>
      </c>
      <c r="Q1387" s="586" t="s">
        <v>670</v>
      </c>
      <c r="R1387" s="587">
        <v>45870</v>
      </c>
      <c r="S1387" s="586" t="s">
        <v>670</v>
      </c>
      <c r="T1387" s="587">
        <v>45869</v>
      </c>
      <c r="U1387" s="588">
        <v>0</v>
      </c>
      <c r="V1387" s="589">
        <v>113.96</v>
      </c>
      <c r="W1387" s="260">
        <v>45839</v>
      </c>
    </row>
    <row r="1388" spans="1:23" hidden="1" x14ac:dyDescent="0.35">
      <c r="A1388" s="586" t="s">
        <v>526</v>
      </c>
      <c r="B1388" s="586" t="s">
        <v>159</v>
      </c>
      <c r="C1388" s="586" t="s">
        <v>298</v>
      </c>
      <c r="D1388" s="586" t="s">
        <v>326</v>
      </c>
      <c r="E1388" s="586" t="s">
        <v>327</v>
      </c>
      <c r="F1388" s="586" t="s">
        <v>276</v>
      </c>
      <c r="G1388" s="586" t="s">
        <v>356</v>
      </c>
      <c r="H1388" s="586" t="s">
        <v>670</v>
      </c>
      <c r="I1388" s="586" t="s">
        <v>277</v>
      </c>
      <c r="J1388" s="586" t="s">
        <v>522</v>
      </c>
      <c r="K1388" s="586" t="s">
        <v>301</v>
      </c>
      <c r="L1388" s="586" t="s">
        <v>590</v>
      </c>
      <c r="M1388" s="586" t="s">
        <v>285</v>
      </c>
      <c r="N1388" s="586" t="s">
        <v>670</v>
      </c>
      <c r="O1388" s="586" t="s">
        <v>670</v>
      </c>
      <c r="P1388" s="586" t="s">
        <v>522</v>
      </c>
      <c r="Q1388" s="586" t="s">
        <v>670</v>
      </c>
      <c r="R1388" s="587">
        <v>45870</v>
      </c>
      <c r="S1388" s="586" t="s">
        <v>670</v>
      </c>
      <c r="T1388" s="587">
        <v>45869</v>
      </c>
      <c r="U1388" s="588">
        <v>0</v>
      </c>
      <c r="V1388" s="589">
        <v>0.05</v>
      </c>
      <c r="W1388" s="260">
        <v>45839</v>
      </c>
    </row>
    <row r="1389" spans="1:23" hidden="1" x14ac:dyDescent="0.35">
      <c r="A1389" s="586" t="s">
        <v>526</v>
      </c>
      <c r="B1389" s="586" t="s">
        <v>159</v>
      </c>
      <c r="C1389" s="586" t="s">
        <v>298</v>
      </c>
      <c r="D1389" s="586" t="s">
        <v>326</v>
      </c>
      <c r="E1389" s="586" t="s">
        <v>327</v>
      </c>
      <c r="F1389" s="586" t="s">
        <v>276</v>
      </c>
      <c r="G1389" s="586" t="s">
        <v>356</v>
      </c>
      <c r="H1389" s="586" t="s">
        <v>670</v>
      </c>
      <c r="I1389" s="586" t="s">
        <v>277</v>
      </c>
      <c r="J1389" s="586" t="s">
        <v>522</v>
      </c>
      <c r="K1389" s="586" t="s">
        <v>301</v>
      </c>
      <c r="L1389" s="586" t="s">
        <v>590</v>
      </c>
      <c r="M1389" s="586" t="s">
        <v>285</v>
      </c>
      <c r="N1389" s="586" t="s">
        <v>670</v>
      </c>
      <c r="O1389" s="586" t="s">
        <v>670</v>
      </c>
      <c r="P1389" s="586" t="s">
        <v>522</v>
      </c>
      <c r="Q1389" s="586" t="s">
        <v>670</v>
      </c>
      <c r="R1389" s="587">
        <v>45870</v>
      </c>
      <c r="S1389" s="586" t="s">
        <v>670</v>
      </c>
      <c r="T1389" s="587">
        <v>45869</v>
      </c>
      <c r="U1389" s="588">
        <v>0</v>
      </c>
      <c r="V1389" s="589">
        <v>2.1800000000000002</v>
      </c>
      <c r="W1389" s="260">
        <v>45839</v>
      </c>
    </row>
    <row r="1390" spans="1:23" hidden="1" x14ac:dyDescent="0.35">
      <c r="A1390" s="586" t="s">
        <v>526</v>
      </c>
      <c r="B1390" s="586" t="s">
        <v>159</v>
      </c>
      <c r="C1390" s="586" t="s">
        <v>298</v>
      </c>
      <c r="D1390" s="586" t="s">
        <v>393</v>
      </c>
      <c r="E1390" s="586" t="s">
        <v>394</v>
      </c>
      <c r="F1390" s="586" t="s">
        <v>276</v>
      </c>
      <c r="G1390" s="586" t="s">
        <v>356</v>
      </c>
      <c r="H1390" s="586" t="s">
        <v>670</v>
      </c>
      <c r="I1390" s="586" t="s">
        <v>277</v>
      </c>
      <c r="J1390" s="586" t="s">
        <v>522</v>
      </c>
      <c r="K1390" s="586" t="s">
        <v>301</v>
      </c>
      <c r="L1390" s="586" t="s">
        <v>590</v>
      </c>
      <c r="M1390" s="586" t="s">
        <v>285</v>
      </c>
      <c r="N1390" s="586" t="s">
        <v>670</v>
      </c>
      <c r="O1390" s="586" t="s">
        <v>670</v>
      </c>
      <c r="P1390" s="586" t="s">
        <v>522</v>
      </c>
      <c r="Q1390" s="586" t="s">
        <v>670</v>
      </c>
      <c r="R1390" s="587">
        <v>45870</v>
      </c>
      <c r="S1390" s="586" t="s">
        <v>670</v>
      </c>
      <c r="T1390" s="587">
        <v>45869</v>
      </c>
      <c r="U1390" s="588">
        <v>0</v>
      </c>
      <c r="V1390" s="589">
        <v>0.21</v>
      </c>
      <c r="W1390" s="260">
        <v>45839</v>
      </c>
    </row>
    <row r="1391" spans="1:23" hidden="1" x14ac:dyDescent="0.35">
      <c r="A1391" s="586" t="s">
        <v>526</v>
      </c>
      <c r="B1391" s="586" t="s">
        <v>159</v>
      </c>
      <c r="C1391" s="586" t="s">
        <v>298</v>
      </c>
      <c r="D1391" s="586" t="s">
        <v>328</v>
      </c>
      <c r="E1391" s="586" t="s">
        <v>329</v>
      </c>
      <c r="F1391" s="586" t="s">
        <v>276</v>
      </c>
      <c r="G1391" s="586" t="s">
        <v>356</v>
      </c>
      <c r="H1391" s="586" t="s">
        <v>670</v>
      </c>
      <c r="I1391" s="586" t="s">
        <v>277</v>
      </c>
      <c r="J1391" s="586" t="s">
        <v>522</v>
      </c>
      <c r="K1391" s="586" t="s">
        <v>301</v>
      </c>
      <c r="L1391" s="586" t="s">
        <v>590</v>
      </c>
      <c r="M1391" s="586" t="s">
        <v>285</v>
      </c>
      <c r="N1391" s="586" t="s">
        <v>670</v>
      </c>
      <c r="O1391" s="586" t="s">
        <v>670</v>
      </c>
      <c r="P1391" s="586" t="s">
        <v>522</v>
      </c>
      <c r="Q1391" s="586" t="s">
        <v>670</v>
      </c>
      <c r="R1391" s="587">
        <v>45870</v>
      </c>
      <c r="S1391" s="586" t="s">
        <v>670</v>
      </c>
      <c r="T1391" s="587">
        <v>45869</v>
      </c>
      <c r="U1391" s="588">
        <v>0</v>
      </c>
      <c r="V1391" s="589">
        <v>249.79</v>
      </c>
      <c r="W1391" s="260">
        <v>45839</v>
      </c>
    </row>
    <row r="1392" spans="1:23" hidden="1" x14ac:dyDescent="0.35">
      <c r="A1392" s="586" t="s">
        <v>526</v>
      </c>
      <c r="B1392" s="586" t="s">
        <v>159</v>
      </c>
      <c r="C1392" s="586" t="s">
        <v>298</v>
      </c>
      <c r="D1392" s="586" t="s">
        <v>330</v>
      </c>
      <c r="E1392" s="586" t="s">
        <v>331</v>
      </c>
      <c r="F1392" s="586" t="s">
        <v>276</v>
      </c>
      <c r="G1392" s="586" t="s">
        <v>356</v>
      </c>
      <c r="H1392" s="586" t="s">
        <v>670</v>
      </c>
      <c r="I1392" s="586" t="s">
        <v>277</v>
      </c>
      <c r="J1392" s="586" t="s">
        <v>522</v>
      </c>
      <c r="K1392" s="586" t="s">
        <v>301</v>
      </c>
      <c r="L1392" s="586" t="s">
        <v>590</v>
      </c>
      <c r="M1392" s="586" t="s">
        <v>285</v>
      </c>
      <c r="N1392" s="586" t="s">
        <v>670</v>
      </c>
      <c r="O1392" s="586" t="s">
        <v>670</v>
      </c>
      <c r="P1392" s="586" t="s">
        <v>522</v>
      </c>
      <c r="Q1392" s="586" t="s">
        <v>670</v>
      </c>
      <c r="R1392" s="587">
        <v>45870</v>
      </c>
      <c r="S1392" s="586" t="s">
        <v>670</v>
      </c>
      <c r="T1392" s="587">
        <v>45869</v>
      </c>
      <c r="U1392" s="588">
        <v>0</v>
      </c>
      <c r="V1392" s="589">
        <v>5.76</v>
      </c>
      <c r="W1392" s="260">
        <v>45839</v>
      </c>
    </row>
    <row r="1393" spans="1:23" hidden="1" x14ac:dyDescent="0.35">
      <c r="A1393" s="586" t="s">
        <v>526</v>
      </c>
      <c r="B1393" s="586" t="s">
        <v>159</v>
      </c>
      <c r="C1393" s="586" t="s">
        <v>298</v>
      </c>
      <c r="D1393" s="586" t="s">
        <v>332</v>
      </c>
      <c r="E1393" s="586" t="s">
        <v>333</v>
      </c>
      <c r="F1393" s="586" t="s">
        <v>276</v>
      </c>
      <c r="G1393" s="586" t="s">
        <v>356</v>
      </c>
      <c r="H1393" s="586" t="s">
        <v>670</v>
      </c>
      <c r="I1393" s="586" t="s">
        <v>277</v>
      </c>
      <c r="J1393" s="586" t="s">
        <v>522</v>
      </c>
      <c r="K1393" s="586" t="s">
        <v>301</v>
      </c>
      <c r="L1393" s="586" t="s">
        <v>590</v>
      </c>
      <c r="M1393" s="586" t="s">
        <v>285</v>
      </c>
      <c r="N1393" s="586" t="s">
        <v>670</v>
      </c>
      <c r="O1393" s="586" t="s">
        <v>670</v>
      </c>
      <c r="P1393" s="586" t="s">
        <v>522</v>
      </c>
      <c r="Q1393" s="586" t="s">
        <v>670</v>
      </c>
      <c r="R1393" s="587">
        <v>45870</v>
      </c>
      <c r="S1393" s="586" t="s">
        <v>670</v>
      </c>
      <c r="T1393" s="587">
        <v>45869</v>
      </c>
      <c r="U1393" s="588">
        <v>0</v>
      </c>
      <c r="V1393" s="589">
        <v>60.64</v>
      </c>
      <c r="W1393" s="260">
        <v>45839</v>
      </c>
    </row>
    <row r="1394" spans="1:23" hidden="1" x14ac:dyDescent="0.35">
      <c r="A1394" s="586" t="s">
        <v>526</v>
      </c>
      <c r="B1394" s="586" t="s">
        <v>159</v>
      </c>
      <c r="C1394" s="586" t="s">
        <v>298</v>
      </c>
      <c r="D1394" s="586" t="s">
        <v>334</v>
      </c>
      <c r="E1394" s="586" t="s">
        <v>335</v>
      </c>
      <c r="F1394" s="586" t="s">
        <v>276</v>
      </c>
      <c r="G1394" s="586" t="s">
        <v>356</v>
      </c>
      <c r="H1394" s="586" t="s">
        <v>670</v>
      </c>
      <c r="I1394" s="586" t="s">
        <v>277</v>
      </c>
      <c r="J1394" s="586" t="s">
        <v>522</v>
      </c>
      <c r="K1394" s="586" t="s">
        <v>301</v>
      </c>
      <c r="L1394" s="586" t="s">
        <v>590</v>
      </c>
      <c r="M1394" s="586" t="s">
        <v>285</v>
      </c>
      <c r="N1394" s="586" t="s">
        <v>670</v>
      </c>
      <c r="O1394" s="586" t="s">
        <v>670</v>
      </c>
      <c r="P1394" s="586" t="s">
        <v>522</v>
      </c>
      <c r="Q1394" s="586" t="s">
        <v>670</v>
      </c>
      <c r="R1394" s="587">
        <v>45870</v>
      </c>
      <c r="S1394" s="586" t="s">
        <v>670</v>
      </c>
      <c r="T1394" s="587">
        <v>45869</v>
      </c>
      <c r="U1394" s="588">
        <v>0</v>
      </c>
      <c r="V1394" s="589">
        <v>-5.76</v>
      </c>
      <c r="W1394" s="260">
        <v>45839</v>
      </c>
    </row>
    <row r="1395" spans="1:23" hidden="1" x14ac:dyDescent="0.35">
      <c r="A1395" s="586" t="s">
        <v>526</v>
      </c>
      <c r="B1395" s="586" t="s">
        <v>159</v>
      </c>
      <c r="C1395" s="586" t="s">
        <v>298</v>
      </c>
      <c r="D1395" s="586" t="s">
        <v>336</v>
      </c>
      <c r="E1395" s="586" t="s">
        <v>337</v>
      </c>
      <c r="F1395" s="586" t="s">
        <v>276</v>
      </c>
      <c r="G1395" s="586" t="s">
        <v>356</v>
      </c>
      <c r="H1395" s="586" t="s">
        <v>670</v>
      </c>
      <c r="I1395" s="586" t="s">
        <v>277</v>
      </c>
      <c r="J1395" s="586" t="s">
        <v>522</v>
      </c>
      <c r="K1395" s="586" t="s">
        <v>301</v>
      </c>
      <c r="L1395" s="586" t="s">
        <v>590</v>
      </c>
      <c r="M1395" s="586" t="s">
        <v>285</v>
      </c>
      <c r="N1395" s="586" t="s">
        <v>670</v>
      </c>
      <c r="O1395" s="586" t="s">
        <v>670</v>
      </c>
      <c r="P1395" s="586" t="s">
        <v>522</v>
      </c>
      <c r="Q1395" s="586" t="s">
        <v>670</v>
      </c>
      <c r="R1395" s="587">
        <v>45870</v>
      </c>
      <c r="S1395" s="586" t="s">
        <v>670</v>
      </c>
      <c r="T1395" s="587">
        <v>45869</v>
      </c>
      <c r="U1395" s="588">
        <v>0</v>
      </c>
      <c r="V1395" s="589">
        <v>-0.12</v>
      </c>
      <c r="W1395" s="260">
        <v>45839</v>
      </c>
    </row>
    <row r="1396" spans="1:23" hidden="1" x14ac:dyDescent="0.35">
      <c r="A1396" s="586" t="s">
        <v>526</v>
      </c>
      <c r="B1396" s="586" t="s">
        <v>159</v>
      </c>
      <c r="C1396" s="586" t="s">
        <v>298</v>
      </c>
      <c r="D1396" s="586" t="s">
        <v>397</v>
      </c>
      <c r="E1396" s="586" t="s">
        <v>398</v>
      </c>
      <c r="F1396" s="586" t="s">
        <v>276</v>
      </c>
      <c r="G1396" s="586" t="s">
        <v>356</v>
      </c>
      <c r="H1396" s="586" t="s">
        <v>670</v>
      </c>
      <c r="I1396" s="586" t="s">
        <v>277</v>
      </c>
      <c r="J1396" s="586" t="s">
        <v>522</v>
      </c>
      <c r="K1396" s="586" t="s">
        <v>301</v>
      </c>
      <c r="L1396" s="586" t="s">
        <v>590</v>
      </c>
      <c r="M1396" s="586" t="s">
        <v>285</v>
      </c>
      <c r="N1396" s="586" t="s">
        <v>670</v>
      </c>
      <c r="O1396" s="586" t="s">
        <v>670</v>
      </c>
      <c r="P1396" s="586" t="s">
        <v>522</v>
      </c>
      <c r="Q1396" s="586" t="s">
        <v>670</v>
      </c>
      <c r="R1396" s="587">
        <v>45870</v>
      </c>
      <c r="S1396" s="586" t="s">
        <v>670</v>
      </c>
      <c r="T1396" s="587">
        <v>45869</v>
      </c>
      <c r="U1396" s="588">
        <v>0</v>
      </c>
      <c r="V1396" s="589">
        <v>-0.05</v>
      </c>
      <c r="W1396" s="260">
        <v>45839</v>
      </c>
    </row>
    <row r="1397" spans="1:23" hidden="1" x14ac:dyDescent="0.35">
      <c r="A1397" s="586" t="s">
        <v>526</v>
      </c>
      <c r="B1397" s="586" t="s">
        <v>159</v>
      </c>
      <c r="C1397" s="586" t="s">
        <v>298</v>
      </c>
      <c r="D1397" s="586" t="s">
        <v>338</v>
      </c>
      <c r="E1397" s="586" t="s">
        <v>339</v>
      </c>
      <c r="F1397" s="586" t="s">
        <v>276</v>
      </c>
      <c r="G1397" s="586" t="s">
        <v>356</v>
      </c>
      <c r="H1397" s="586" t="s">
        <v>670</v>
      </c>
      <c r="I1397" s="586" t="s">
        <v>277</v>
      </c>
      <c r="J1397" s="586" t="s">
        <v>522</v>
      </c>
      <c r="K1397" s="586" t="s">
        <v>301</v>
      </c>
      <c r="L1397" s="586" t="s">
        <v>590</v>
      </c>
      <c r="M1397" s="586" t="s">
        <v>285</v>
      </c>
      <c r="N1397" s="586" t="s">
        <v>670</v>
      </c>
      <c r="O1397" s="586" t="s">
        <v>670</v>
      </c>
      <c r="P1397" s="586" t="s">
        <v>522</v>
      </c>
      <c r="Q1397" s="586" t="s">
        <v>670</v>
      </c>
      <c r="R1397" s="587">
        <v>45870</v>
      </c>
      <c r="S1397" s="586" t="s">
        <v>670</v>
      </c>
      <c r="T1397" s="587">
        <v>45869</v>
      </c>
      <c r="U1397" s="588">
        <v>0</v>
      </c>
      <c r="V1397" s="589">
        <v>-0.01</v>
      </c>
      <c r="W1397" s="260">
        <v>45839</v>
      </c>
    </row>
    <row r="1398" spans="1:23" hidden="1" x14ac:dyDescent="0.35">
      <c r="A1398" s="586" t="s">
        <v>526</v>
      </c>
      <c r="B1398" s="586" t="s">
        <v>159</v>
      </c>
      <c r="C1398" s="586" t="s">
        <v>281</v>
      </c>
      <c r="D1398" s="586" t="s">
        <v>340</v>
      </c>
      <c r="E1398" s="586" t="s">
        <v>283</v>
      </c>
      <c r="F1398" s="586" t="s">
        <v>276</v>
      </c>
      <c r="G1398" s="586" t="s">
        <v>356</v>
      </c>
      <c r="H1398" s="586" t="s">
        <v>670</v>
      </c>
      <c r="I1398" s="586" t="s">
        <v>277</v>
      </c>
      <c r="J1398" s="586" t="s">
        <v>522</v>
      </c>
      <c r="K1398" s="586" t="s">
        <v>284</v>
      </c>
      <c r="L1398" s="586" t="s">
        <v>590</v>
      </c>
      <c r="M1398" s="586" t="s">
        <v>285</v>
      </c>
      <c r="N1398" s="586" t="s">
        <v>670</v>
      </c>
      <c r="O1398" s="586" t="s">
        <v>670</v>
      </c>
      <c r="P1398" s="586" t="s">
        <v>522</v>
      </c>
      <c r="Q1398" s="586" t="s">
        <v>670</v>
      </c>
      <c r="R1398" s="587">
        <v>45870</v>
      </c>
      <c r="S1398" s="586" t="s">
        <v>670</v>
      </c>
      <c r="T1398" s="587">
        <v>45869</v>
      </c>
      <c r="U1398" s="588">
        <v>0</v>
      </c>
      <c r="V1398" s="589">
        <v>32.869999999999997</v>
      </c>
      <c r="W1398" s="260">
        <v>45839</v>
      </c>
    </row>
    <row r="1399" spans="1:23" hidden="1" x14ac:dyDescent="0.35">
      <c r="A1399" s="586" t="s">
        <v>526</v>
      </c>
      <c r="B1399" s="586" t="s">
        <v>159</v>
      </c>
      <c r="C1399" s="586" t="s">
        <v>302</v>
      </c>
      <c r="D1399" s="586" t="s">
        <v>340</v>
      </c>
      <c r="E1399" s="586" t="s">
        <v>283</v>
      </c>
      <c r="F1399" s="586" t="s">
        <v>276</v>
      </c>
      <c r="G1399" s="586" t="s">
        <v>356</v>
      </c>
      <c r="H1399" s="586" t="s">
        <v>670</v>
      </c>
      <c r="I1399" s="586" t="s">
        <v>277</v>
      </c>
      <c r="J1399" s="586" t="s">
        <v>522</v>
      </c>
      <c r="K1399" s="586" t="s">
        <v>303</v>
      </c>
      <c r="L1399" s="586" t="s">
        <v>590</v>
      </c>
      <c r="M1399" s="586" t="s">
        <v>285</v>
      </c>
      <c r="N1399" s="586" t="s">
        <v>670</v>
      </c>
      <c r="O1399" s="586" t="s">
        <v>670</v>
      </c>
      <c r="P1399" s="586" t="s">
        <v>522</v>
      </c>
      <c r="Q1399" s="586" t="s">
        <v>670</v>
      </c>
      <c r="R1399" s="587">
        <v>45870</v>
      </c>
      <c r="S1399" s="586" t="s">
        <v>670</v>
      </c>
      <c r="T1399" s="587">
        <v>45869</v>
      </c>
      <c r="U1399" s="588">
        <v>0</v>
      </c>
      <c r="V1399" s="589">
        <v>7.07</v>
      </c>
      <c r="W1399" s="260">
        <v>45839</v>
      </c>
    </row>
    <row r="1400" spans="1:23" hidden="1" x14ac:dyDescent="0.35">
      <c r="A1400" s="586" t="s">
        <v>526</v>
      </c>
      <c r="B1400" s="586" t="s">
        <v>159</v>
      </c>
      <c r="C1400" s="586" t="s">
        <v>302</v>
      </c>
      <c r="D1400" s="586" t="s">
        <v>340</v>
      </c>
      <c r="E1400" s="586" t="s">
        <v>283</v>
      </c>
      <c r="F1400" s="586" t="s">
        <v>276</v>
      </c>
      <c r="G1400" s="586" t="s">
        <v>356</v>
      </c>
      <c r="H1400" s="586" t="s">
        <v>670</v>
      </c>
      <c r="I1400" s="586" t="s">
        <v>277</v>
      </c>
      <c r="J1400" s="586" t="s">
        <v>522</v>
      </c>
      <c r="K1400" s="586" t="s">
        <v>303</v>
      </c>
      <c r="L1400" s="586" t="s">
        <v>590</v>
      </c>
      <c r="M1400" s="586" t="s">
        <v>285</v>
      </c>
      <c r="N1400" s="586" t="s">
        <v>670</v>
      </c>
      <c r="O1400" s="586" t="s">
        <v>670</v>
      </c>
      <c r="P1400" s="586" t="s">
        <v>522</v>
      </c>
      <c r="Q1400" s="586" t="s">
        <v>670</v>
      </c>
      <c r="R1400" s="587">
        <v>45870</v>
      </c>
      <c r="S1400" s="586" t="s">
        <v>670</v>
      </c>
      <c r="T1400" s="587">
        <v>45869</v>
      </c>
      <c r="U1400" s="588">
        <v>0</v>
      </c>
      <c r="V1400" s="589">
        <v>1.52</v>
      </c>
      <c r="W1400" s="260">
        <v>45839</v>
      </c>
    </row>
    <row r="1401" spans="1:23" hidden="1" x14ac:dyDescent="0.35">
      <c r="A1401" s="586" t="s">
        <v>526</v>
      </c>
      <c r="B1401" s="586" t="s">
        <v>159</v>
      </c>
      <c r="C1401" s="586" t="s">
        <v>286</v>
      </c>
      <c r="D1401" s="586" t="s">
        <v>341</v>
      </c>
      <c r="E1401" s="586" t="s">
        <v>288</v>
      </c>
      <c r="F1401" s="586" t="s">
        <v>276</v>
      </c>
      <c r="G1401" s="586" t="s">
        <v>356</v>
      </c>
      <c r="H1401" s="586" t="s">
        <v>670</v>
      </c>
      <c r="I1401" s="586" t="s">
        <v>277</v>
      </c>
      <c r="J1401" s="586" t="s">
        <v>522</v>
      </c>
      <c r="K1401" s="586" t="s">
        <v>289</v>
      </c>
      <c r="L1401" s="586" t="s">
        <v>590</v>
      </c>
      <c r="M1401" s="586" t="s">
        <v>285</v>
      </c>
      <c r="N1401" s="586" t="s">
        <v>670</v>
      </c>
      <c r="O1401" s="586" t="s">
        <v>670</v>
      </c>
      <c r="P1401" s="586" t="s">
        <v>522</v>
      </c>
      <c r="Q1401" s="586" t="s">
        <v>670</v>
      </c>
      <c r="R1401" s="587">
        <v>45870</v>
      </c>
      <c r="S1401" s="586" t="s">
        <v>670</v>
      </c>
      <c r="T1401" s="587">
        <v>45869</v>
      </c>
      <c r="U1401" s="588">
        <v>0</v>
      </c>
      <c r="V1401" s="589">
        <v>408.44</v>
      </c>
      <c r="W1401" s="260">
        <v>45839</v>
      </c>
    </row>
    <row r="1402" spans="1:23" hidden="1" x14ac:dyDescent="0.35">
      <c r="A1402" s="586" t="s">
        <v>526</v>
      </c>
      <c r="B1402" s="586" t="s">
        <v>159</v>
      </c>
      <c r="C1402" s="586" t="s">
        <v>302</v>
      </c>
      <c r="D1402" s="586" t="s">
        <v>341</v>
      </c>
      <c r="E1402" s="586" t="s">
        <v>288</v>
      </c>
      <c r="F1402" s="586" t="s">
        <v>276</v>
      </c>
      <c r="G1402" s="586" t="s">
        <v>356</v>
      </c>
      <c r="H1402" s="586" t="s">
        <v>670</v>
      </c>
      <c r="I1402" s="586" t="s">
        <v>277</v>
      </c>
      <c r="J1402" s="586" t="s">
        <v>522</v>
      </c>
      <c r="K1402" s="586" t="s">
        <v>303</v>
      </c>
      <c r="L1402" s="586" t="s">
        <v>590</v>
      </c>
      <c r="M1402" s="586" t="s">
        <v>285</v>
      </c>
      <c r="N1402" s="586" t="s">
        <v>670</v>
      </c>
      <c r="O1402" s="586" t="s">
        <v>670</v>
      </c>
      <c r="P1402" s="586" t="s">
        <v>522</v>
      </c>
      <c r="Q1402" s="586" t="s">
        <v>670</v>
      </c>
      <c r="R1402" s="587">
        <v>45870</v>
      </c>
      <c r="S1402" s="586" t="s">
        <v>670</v>
      </c>
      <c r="T1402" s="587">
        <v>45869</v>
      </c>
      <c r="U1402" s="588">
        <v>0</v>
      </c>
      <c r="V1402" s="589">
        <v>19.829999999999998</v>
      </c>
      <c r="W1402" s="260">
        <v>45839</v>
      </c>
    </row>
    <row r="1403" spans="1:23" hidden="1" x14ac:dyDescent="0.35">
      <c r="A1403" s="586" t="s">
        <v>526</v>
      </c>
      <c r="B1403" s="586" t="s">
        <v>159</v>
      </c>
      <c r="C1403" s="586" t="s">
        <v>302</v>
      </c>
      <c r="D1403" s="586" t="s">
        <v>341</v>
      </c>
      <c r="E1403" s="586" t="s">
        <v>288</v>
      </c>
      <c r="F1403" s="586" t="s">
        <v>276</v>
      </c>
      <c r="G1403" s="586" t="s">
        <v>356</v>
      </c>
      <c r="H1403" s="586" t="s">
        <v>670</v>
      </c>
      <c r="I1403" s="586" t="s">
        <v>277</v>
      </c>
      <c r="J1403" s="586" t="s">
        <v>522</v>
      </c>
      <c r="K1403" s="586" t="s">
        <v>303</v>
      </c>
      <c r="L1403" s="586" t="s">
        <v>590</v>
      </c>
      <c r="M1403" s="586" t="s">
        <v>285</v>
      </c>
      <c r="N1403" s="586" t="s">
        <v>670</v>
      </c>
      <c r="O1403" s="586" t="s">
        <v>670</v>
      </c>
      <c r="P1403" s="586" t="s">
        <v>522</v>
      </c>
      <c r="Q1403" s="586" t="s">
        <v>670</v>
      </c>
      <c r="R1403" s="587">
        <v>45870</v>
      </c>
      <c r="S1403" s="586" t="s">
        <v>670</v>
      </c>
      <c r="T1403" s="587">
        <v>45869</v>
      </c>
      <c r="U1403" s="588">
        <v>0</v>
      </c>
      <c r="V1403" s="589">
        <v>18.87</v>
      </c>
      <c r="W1403" s="260">
        <v>45839</v>
      </c>
    </row>
    <row r="1404" spans="1:23" hidden="1" x14ac:dyDescent="0.35">
      <c r="A1404" s="586" t="s">
        <v>526</v>
      </c>
      <c r="B1404" s="586" t="s">
        <v>159</v>
      </c>
      <c r="C1404" s="586" t="s">
        <v>281</v>
      </c>
      <c r="D1404" s="586" t="s">
        <v>342</v>
      </c>
      <c r="E1404" s="586" t="s">
        <v>291</v>
      </c>
      <c r="F1404" s="586" t="s">
        <v>276</v>
      </c>
      <c r="G1404" s="586" t="s">
        <v>356</v>
      </c>
      <c r="H1404" s="586" t="s">
        <v>670</v>
      </c>
      <c r="I1404" s="586" t="s">
        <v>277</v>
      </c>
      <c r="J1404" s="586" t="s">
        <v>522</v>
      </c>
      <c r="K1404" s="586" t="s">
        <v>284</v>
      </c>
      <c r="L1404" s="586" t="s">
        <v>590</v>
      </c>
      <c r="M1404" s="586" t="s">
        <v>285</v>
      </c>
      <c r="N1404" s="586" t="s">
        <v>670</v>
      </c>
      <c r="O1404" s="586" t="s">
        <v>670</v>
      </c>
      <c r="P1404" s="586" t="s">
        <v>522</v>
      </c>
      <c r="Q1404" s="586" t="s">
        <v>670</v>
      </c>
      <c r="R1404" s="587">
        <v>45870</v>
      </c>
      <c r="S1404" s="586" t="s">
        <v>670</v>
      </c>
      <c r="T1404" s="587">
        <v>45869</v>
      </c>
      <c r="U1404" s="588">
        <v>0</v>
      </c>
      <c r="V1404" s="589">
        <v>-38.11</v>
      </c>
      <c r="W1404" s="260">
        <v>45839</v>
      </c>
    </row>
    <row r="1405" spans="1:23" hidden="1" x14ac:dyDescent="0.35">
      <c r="A1405" s="586" t="s">
        <v>526</v>
      </c>
      <c r="B1405" s="586" t="s">
        <v>159</v>
      </c>
      <c r="C1405" s="586" t="s">
        <v>302</v>
      </c>
      <c r="D1405" s="586" t="s">
        <v>342</v>
      </c>
      <c r="E1405" s="586" t="s">
        <v>291</v>
      </c>
      <c r="F1405" s="586" t="s">
        <v>276</v>
      </c>
      <c r="G1405" s="586" t="s">
        <v>356</v>
      </c>
      <c r="H1405" s="586" t="s">
        <v>670</v>
      </c>
      <c r="I1405" s="586" t="s">
        <v>277</v>
      </c>
      <c r="J1405" s="586" t="s">
        <v>522</v>
      </c>
      <c r="K1405" s="586" t="s">
        <v>303</v>
      </c>
      <c r="L1405" s="586" t="s">
        <v>590</v>
      </c>
      <c r="M1405" s="586" t="s">
        <v>285</v>
      </c>
      <c r="N1405" s="586" t="s">
        <v>670</v>
      </c>
      <c r="O1405" s="586" t="s">
        <v>670</v>
      </c>
      <c r="P1405" s="586" t="s">
        <v>522</v>
      </c>
      <c r="Q1405" s="586" t="s">
        <v>670</v>
      </c>
      <c r="R1405" s="587">
        <v>45870</v>
      </c>
      <c r="S1405" s="586" t="s">
        <v>670</v>
      </c>
      <c r="T1405" s="587">
        <v>45869</v>
      </c>
      <c r="U1405" s="588">
        <v>0</v>
      </c>
      <c r="V1405" s="589">
        <v>4.57</v>
      </c>
      <c r="W1405" s="260">
        <v>45839</v>
      </c>
    </row>
    <row r="1406" spans="1:23" hidden="1" x14ac:dyDescent="0.35">
      <c r="A1406" s="586" t="s">
        <v>526</v>
      </c>
      <c r="B1406" s="586" t="s">
        <v>159</v>
      </c>
      <c r="C1406" s="586" t="s">
        <v>302</v>
      </c>
      <c r="D1406" s="586" t="s">
        <v>342</v>
      </c>
      <c r="E1406" s="586" t="s">
        <v>291</v>
      </c>
      <c r="F1406" s="586" t="s">
        <v>276</v>
      </c>
      <c r="G1406" s="586" t="s">
        <v>356</v>
      </c>
      <c r="H1406" s="586" t="s">
        <v>670</v>
      </c>
      <c r="I1406" s="586" t="s">
        <v>277</v>
      </c>
      <c r="J1406" s="586" t="s">
        <v>522</v>
      </c>
      <c r="K1406" s="586" t="s">
        <v>303</v>
      </c>
      <c r="L1406" s="586" t="s">
        <v>590</v>
      </c>
      <c r="M1406" s="586" t="s">
        <v>285</v>
      </c>
      <c r="N1406" s="586" t="s">
        <v>670</v>
      </c>
      <c r="O1406" s="586" t="s">
        <v>670</v>
      </c>
      <c r="P1406" s="586" t="s">
        <v>522</v>
      </c>
      <c r="Q1406" s="586" t="s">
        <v>670</v>
      </c>
      <c r="R1406" s="587">
        <v>45870</v>
      </c>
      <c r="S1406" s="586" t="s">
        <v>670</v>
      </c>
      <c r="T1406" s="587">
        <v>45869</v>
      </c>
      <c r="U1406" s="588">
        <v>0</v>
      </c>
      <c r="V1406" s="589">
        <v>-1.76</v>
      </c>
      <c r="W1406" s="260">
        <v>45839</v>
      </c>
    </row>
    <row r="1407" spans="1:23" hidden="1" x14ac:dyDescent="0.35">
      <c r="A1407" s="586" t="s">
        <v>526</v>
      </c>
      <c r="B1407" s="586" t="s">
        <v>159</v>
      </c>
      <c r="C1407" s="586" t="s">
        <v>281</v>
      </c>
      <c r="D1407" s="586" t="s">
        <v>343</v>
      </c>
      <c r="E1407" s="586" t="s">
        <v>293</v>
      </c>
      <c r="F1407" s="586" t="s">
        <v>276</v>
      </c>
      <c r="G1407" s="586" t="s">
        <v>356</v>
      </c>
      <c r="H1407" s="586" t="s">
        <v>670</v>
      </c>
      <c r="I1407" s="586" t="s">
        <v>277</v>
      </c>
      <c r="J1407" s="586" t="s">
        <v>522</v>
      </c>
      <c r="K1407" s="586" t="s">
        <v>294</v>
      </c>
      <c r="L1407" s="586" t="s">
        <v>590</v>
      </c>
      <c r="M1407" s="586" t="s">
        <v>285</v>
      </c>
      <c r="N1407" s="586" t="s">
        <v>670</v>
      </c>
      <c r="O1407" s="586" t="s">
        <v>670</v>
      </c>
      <c r="P1407" s="586" t="s">
        <v>522</v>
      </c>
      <c r="Q1407" s="586" t="s">
        <v>670</v>
      </c>
      <c r="R1407" s="587">
        <v>45870</v>
      </c>
      <c r="S1407" s="586" t="s">
        <v>670</v>
      </c>
      <c r="T1407" s="587">
        <v>45869</v>
      </c>
      <c r="U1407" s="588">
        <v>0</v>
      </c>
      <c r="V1407" s="589">
        <v>-4.91</v>
      </c>
      <c r="W1407" s="260">
        <v>45839</v>
      </c>
    </row>
    <row r="1408" spans="1:23" hidden="1" x14ac:dyDescent="0.35">
      <c r="A1408" s="586" t="s">
        <v>526</v>
      </c>
      <c r="B1408" s="586" t="s">
        <v>159</v>
      </c>
      <c r="C1408" s="586" t="s">
        <v>302</v>
      </c>
      <c r="D1408" s="586" t="s">
        <v>343</v>
      </c>
      <c r="E1408" s="586" t="s">
        <v>293</v>
      </c>
      <c r="F1408" s="586" t="s">
        <v>276</v>
      </c>
      <c r="G1408" s="586" t="s">
        <v>356</v>
      </c>
      <c r="H1408" s="586" t="s">
        <v>670</v>
      </c>
      <c r="I1408" s="586" t="s">
        <v>277</v>
      </c>
      <c r="J1408" s="586" t="s">
        <v>522</v>
      </c>
      <c r="K1408" s="586" t="s">
        <v>303</v>
      </c>
      <c r="L1408" s="586" t="s">
        <v>590</v>
      </c>
      <c r="M1408" s="586" t="s">
        <v>285</v>
      </c>
      <c r="N1408" s="586" t="s">
        <v>670</v>
      </c>
      <c r="O1408" s="586" t="s">
        <v>670</v>
      </c>
      <c r="P1408" s="586" t="s">
        <v>522</v>
      </c>
      <c r="Q1408" s="586" t="s">
        <v>670</v>
      </c>
      <c r="R1408" s="587">
        <v>45870</v>
      </c>
      <c r="S1408" s="586" t="s">
        <v>670</v>
      </c>
      <c r="T1408" s="587">
        <v>45869</v>
      </c>
      <c r="U1408" s="588">
        <v>0</v>
      </c>
      <c r="V1408" s="589">
        <v>5.05</v>
      </c>
      <c r="W1408" s="260">
        <v>45839</v>
      </c>
    </row>
    <row r="1409" spans="1:23" hidden="1" x14ac:dyDescent="0.35">
      <c r="A1409" s="586" t="s">
        <v>526</v>
      </c>
      <c r="B1409" s="586" t="s">
        <v>159</v>
      </c>
      <c r="C1409" s="586" t="s">
        <v>302</v>
      </c>
      <c r="D1409" s="586" t="s">
        <v>343</v>
      </c>
      <c r="E1409" s="586" t="s">
        <v>293</v>
      </c>
      <c r="F1409" s="586" t="s">
        <v>276</v>
      </c>
      <c r="G1409" s="586" t="s">
        <v>356</v>
      </c>
      <c r="H1409" s="586" t="s">
        <v>670</v>
      </c>
      <c r="I1409" s="586" t="s">
        <v>277</v>
      </c>
      <c r="J1409" s="586" t="s">
        <v>522</v>
      </c>
      <c r="K1409" s="586" t="s">
        <v>303</v>
      </c>
      <c r="L1409" s="586" t="s">
        <v>590</v>
      </c>
      <c r="M1409" s="586" t="s">
        <v>285</v>
      </c>
      <c r="N1409" s="586" t="s">
        <v>670</v>
      </c>
      <c r="O1409" s="586" t="s">
        <v>670</v>
      </c>
      <c r="P1409" s="586" t="s">
        <v>522</v>
      </c>
      <c r="Q1409" s="586" t="s">
        <v>670</v>
      </c>
      <c r="R1409" s="587">
        <v>45870</v>
      </c>
      <c r="S1409" s="586" t="s">
        <v>670</v>
      </c>
      <c r="T1409" s="587">
        <v>45869</v>
      </c>
      <c r="U1409" s="588">
        <v>0</v>
      </c>
      <c r="V1409" s="589">
        <v>-0.23</v>
      </c>
      <c r="W1409" s="260">
        <v>45839</v>
      </c>
    </row>
    <row r="1410" spans="1:23" hidden="1" x14ac:dyDescent="0.35">
      <c r="A1410" s="586" t="s">
        <v>526</v>
      </c>
      <c r="B1410" s="586" t="s">
        <v>159</v>
      </c>
      <c r="C1410" s="586" t="s">
        <v>286</v>
      </c>
      <c r="D1410" s="586" t="s">
        <v>344</v>
      </c>
      <c r="E1410" s="586" t="s">
        <v>296</v>
      </c>
      <c r="F1410" s="586" t="s">
        <v>276</v>
      </c>
      <c r="G1410" s="586" t="s">
        <v>356</v>
      </c>
      <c r="H1410" s="586" t="s">
        <v>670</v>
      </c>
      <c r="I1410" s="586" t="s">
        <v>277</v>
      </c>
      <c r="J1410" s="586" t="s">
        <v>522</v>
      </c>
      <c r="K1410" s="586" t="s">
        <v>297</v>
      </c>
      <c r="L1410" s="586" t="s">
        <v>590</v>
      </c>
      <c r="M1410" s="586" t="s">
        <v>285</v>
      </c>
      <c r="N1410" s="586" t="s">
        <v>670</v>
      </c>
      <c r="O1410" s="586" t="s">
        <v>670</v>
      </c>
      <c r="P1410" s="586" t="s">
        <v>522</v>
      </c>
      <c r="Q1410" s="586" t="s">
        <v>670</v>
      </c>
      <c r="R1410" s="587">
        <v>45870</v>
      </c>
      <c r="S1410" s="586" t="s">
        <v>670</v>
      </c>
      <c r="T1410" s="587">
        <v>45869</v>
      </c>
      <c r="U1410" s="588">
        <v>0</v>
      </c>
      <c r="V1410" s="589">
        <v>7.31</v>
      </c>
      <c r="W1410" s="260">
        <v>45839</v>
      </c>
    </row>
    <row r="1411" spans="1:23" hidden="1" x14ac:dyDescent="0.35">
      <c r="A1411" s="586" t="s">
        <v>526</v>
      </c>
      <c r="B1411" s="586" t="s">
        <v>159</v>
      </c>
      <c r="C1411" s="586" t="s">
        <v>302</v>
      </c>
      <c r="D1411" s="586" t="s">
        <v>344</v>
      </c>
      <c r="E1411" s="586" t="s">
        <v>296</v>
      </c>
      <c r="F1411" s="586" t="s">
        <v>276</v>
      </c>
      <c r="G1411" s="586" t="s">
        <v>356</v>
      </c>
      <c r="H1411" s="586" t="s">
        <v>670</v>
      </c>
      <c r="I1411" s="586" t="s">
        <v>277</v>
      </c>
      <c r="J1411" s="586" t="s">
        <v>522</v>
      </c>
      <c r="K1411" s="586" t="s">
        <v>303</v>
      </c>
      <c r="L1411" s="586" t="s">
        <v>590</v>
      </c>
      <c r="M1411" s="586" t="s">
        <v>285</v>
      </c>
      <c r="N1411" s="586" t="s">
        <v>670</v>
      </c>
      <c r="O1411" s="586" t="s">
        <v>670</v>
      </c>
      <c r="P1411" s="586" t="s">
        <v>522</v>
      </c>
      <c r="Q1411" s="586" t="s">
        <v>670</v>
      </c>
      <c r="R1411" s="587">
        <v>45870</v>
      </c>
      <c r="S1411" s="586" t="s">
        <v>670</v>
      </c>
      <c r="T1411" s="587">
        <v>45869</v>
      </c>
      <c r="U1411" s="588">
        <v>0</v>
      </c>
      <c r="V1411" s="589">
        <v>10.81</v>
      </c>
      <c r="W1411" s="260">
        <v>45839</v>
      </c>
    </row>
    <row r="1412" spans="1:23" hidden="1" x14ac:dyDescent="0.35">
      <c r="A1412" s="586" t="s">
        <v>526</v>
      </c>
      <c r="B1412" s="586" t="s">
        <v>159</v>
      </c>
      <c r="C1412" s="586" t="s">
        <v>302</v>
      </c>
      <c r="D1412" s="586" t="s">
        <v>344</v>
      </c>
      <c r="E1412" s="586" t="s">
        <v>296</v>
      </c>
      <c r="F1412" s="586" t="s">
        <v>276</v>
      </c>
      <c r="G1412" s="586" t="s">
        <v>356</v>
      </c>
      <c r="H1412" s="586" t="s">
        <v>670</v>
      </c>
      <c r="I1412" s="586" t="s">
        <v>277</v>
      </c>
      <c r="J1412" s="586" t="s">
        <v>522</v>
      </c>
      <c r="K1412" s="586" t="s">
        <v>303</v>
      </c>
      <c r="L1412" s="586" t="s">
        <v>590</v>
      </c>
      <c r="M1412" s="586" t="s">
        <v>285</v>
      </c>
      <c r="N1412" s="586" t="s">
        <v>670</v>
      </c>
      <c r="O1412" s="586" t="s">
        <v>670</v>
      </c>
      <c r="P1412" s="586" t="s">
        <v>522</v>
      </c>
      <c r="Q1412" s="586" t="s">
        <v>670</v>
      </c>
      <c r="R1412" s="587">
        <v>45870</v>
      </c>
      <c r="S1412" s="586" t="s">
        <v>670</v>
      </c>
      <c r="T1412" s="587">
        <v>45869</v>
      </c>
      <c r="U1412" s="588">
        <v>0</v>
      </c>
      <c r="V1412" s="589">
        <v>0.34</v>
      </c>
      <c r="W1412" s="260">
        <v>45839</v>
      </c>
    </row>
    <row r="1413" spans="1:23" hidden="1" x14ac:dyDescent="0.35">
      <c r="A1413" s="586" t="s">
        <v>526</v>
      </c>
      <c r="B1413" s="586" t="s">
        <v>159</v>
      </c>
      <c r="C1413" s="586" t="s">
        <v>298</v>
      </c>
      <c r="D1413" s="586" t="s">
        <v>345</v>
      </c>
      <c r="E1413" s="586" t="s">
        <v>346</v>
      </c>
      <c r="F1413" s="586" t="s">
        <v>276</v>
      </c>
      <c r="G1413" s="586" t="s">
        <v>356</v>
      </c>
      <c r="H1413" s="586" t="s">
        <v>670</v>
      </c>
      <c r="I1413" s="586" t="s">
        <v>277</v>
      </c>
      <c r="J1413" s="586" t="s">
        <v>522</v>
      </c>
      <c r="K1413" s="586" t="s">
        <v>301</v>
      </c>
      <c r="L1413" s="586" t="s">
        <v>590</v>
      </c>
      <c r="M1413" s="586" t="s">
        <v>285</v>
      </c>
      <c r="N1413" s="586" t="s">
        <v>670</v>
      </c>
      <c r="O1413" s="586" t="s">
        <v>670</v>
      </c>
      <c r="P1413" s="586" t="s">
        <v>522</v>
      </c>
      <c r="Q1413" s="586" t="s">
        <v>670</v>
      </c>
      <c r="R1413" s="587">
        <v>45870</v>
      </c>
      <c r="S1413" s="586" t="s">
        <v>670</v>
      </c>
      <c r="T1413" s="587">
        <v>45869</v>
      </c>
      <c r="U1413" s="588">
        <v>0</v>
      </c>
      <c r="V1413" s="589">
        <v>-0.08</v>
      </c>
      <c r="W1413" s="260">
        <v>45839</v>
      </c>
    </row>
    <row r="1414" spans="1:23" hidden="1" x14ac:dyDescent="0.35">
      <c r="A1414" s="586" t="s">
        <v>526</v>
      </c>
      <c r="B1414" s="586" t="s">
        <v>159</v>
      </c>
      <c r="C1414" s="586" t="s">
        <v>298</v>
      </c>
      <c r="D1414" s="586" t="s">
        <v>347</v>
      </c>
      <c r="E1414" s="586" t="s">
        <v>348</v>
      </c>
      <c r="F1414" s="586" t="s">
        <v>276</v>
      </c>
      <c r="G1414" s="586" t="s">
        <v>356</v>
      </c>
      <c r="H1414" s="586" t="s">
        <v>670</v>
      </c>
      <c r="I1414" s="586" t="s">
        <v>277</v>
      </c>
      <c r="J1414" s="586" t="s">
        <v>522</v>
      </c>
      <c r="K1414" s="586" t="s">
        <v>301</v>
      </c>
      <c r="L1414" s="586" t="s">
        <v>590</v>
      </c>
      <c r="M1414" s="586" t="s">
        <v>285</v>
      </c>
      <c r="N1414" s="586" t="s">
        <v>670</v>
      </c>
      <c r="O1414" s="586" t="s">
        <v>670</v>
      </c>
      <c r="P1414" s="586" t="s">
        <v>522</v>
      </c>
      <c r="Q1414" s="586" t="s">
        <v>670</v>
      </c>
      <c r="R1414" s="587">
        <v>45870</v>
      </c>
      <c r="S1414" s="586" t="s">
        <v>670</v>
      </c>
      <c r="T1414" s="587">
        <v>45869</v>
      </c>
      <c r="U1414" s="588">
        <v>0</v>
      </c>
      <c r="V1414" s="589">
        <v>0.61</v>
      </c>
      <c r="W1414" s="260">
        <v>45839</v>
      </c>
    </row>
    <row r="1415" spans="1:23" hidden="1" x14ac:dyDescent="0.35">
      <c r="A1415" s="586" t="s">
        <v>526</v>
      </c>
      <c r="B1415" s="586" t="s">
        <v>159</v>
      </c>
      <c r="C1415" s="586" t="s">
        <v>298</v>
      </c>
      <c r="D1415" s="586" t="s">
        <v>347</v>
      </c>
      <c r="E1415" s="586" t="s">
        <v>348</v>
      </c>
      <c r="F1415" s="586" t="s">
        <v>276</v>
      </c>
      <c r="G1415" s="586" t="s">
        <v>356</v>
      </c>
      <c r="H1415" s="586" t="s">
        <v>670</v>
      </c>
      <c r="I1415" s="586" t="s">
        <v>277</v>
      </c>
      <c r="J1415" s="586" t="s">
        <v>522</v>
      </c>
      <c r="K1415" s="586" t="s">
        <v>301</v>
      </c>
      <c r="L1415" s="586" t="s">
        <v>590</v>
      </c>
      <c r="M1415" s="586" t="s">
        <v>285</v>
      </c>
      <c r="N1415" s="586" t="s">
        <v>670</v>
      </c>
      <c r="O1415" s="586" t="s">
        <v>670</v>
      </c>
      <c r="P1415" s="586" t="s">
        <v>522</v>
      </c>
      <c r="Q1415" s="586" t="s">
        <v>670</v>
      </c>
      <c r="R1415" s="587">
        <v>45870</v>
      </c>
      <c r="S1415" s="586" t="s">
        <v>670</v>
      </c>
      <c r="T1415" s="587">
        <v>45869</v>
      </c>
      <c r="U1415" s="588">
        <v>0</v>
      </c>
      <c r="V1415" s="589">
        <v>0.47</v>
      </c>
      <c r="W1415" s="260">
        <v>45839</v>
      </c>
    </row>
    <row r="1416" spans="1:23" hidden="1" x14ac:dyDescent="0.35">
      <c r="A1416" s="586" t="s">
        <v>526</v>
      </c>
      <c r="B1416" s="586" t="s">
        <v>159</v>
      </c>
      <c r="C1416" s="586" t="s">
        <v>298</v>
      </c>
      <c r="D1416" s="586" t="s">
        <v>349</v>
      </c>
      <c r="E1416" s="586" t="s">
        <v>350</v>
      </c>
      <c r="F1416" s="586" t="s">
        <v>276</v>
      </c>
      <c r="G1416" s="586" t="s">
        <v>356</v>
      </c>
      <c r="H1416" s="586" t="s">
        <v>670</v>
      </c>
      <c r="I1416" s="586" t="s">
        <v>277</v>
      </c>
      <c r="J1416" s="586" t="s">
        <v>522</v>
      </c>
      <c r="K1416" s="586" t="s">
        <v>301</v>
      </c>
      <c r="L1416" s="586" t="s">
        <v>590</v>
      </c>
      <c r="M1416" s="586" t="s">
        <v>285</v>
      </c>
      <c r="N1416" s="586" t="s">
        <v>670</v>
      </c>
      <c r="O1416" s="586" t="s">
        <v>670</v>
      </c>
      <c r="P1416" s="586" t="s">
        <v>522</v>
      </c>
      <c r="Q1416" s="586" t="s">
        <v>670</v>
      </c>
      <c r="R1416" s="587">
        <v>45870</v>
      </c>
      <c r="S1416" s="586" t="s">
        <v>670</v>
      </c>
      <c r="T1416" s="587">
        <v>45869</v>
      </c>
      <c r="U1416" s="588">
        <v>0</v>
      </c>
      <c r="V1416" s="589">
        <v>-0.03</v>
      </c>
      <c r="W1416" s="260">
        <v>45839</v>
      </c>
    </row>
    <row r="1417" spans="1:23" hidden="1" x14ac:dyDescent="0.35">
      <c r="A1417" s="586" t="s">
        <v>526</v>
      </c>
      <c r="B1417" s="586" t="s">
        <v>159</v>
      </c>
      <c r="C1417" s="586" t="s">
        <v>298</v>
      </c>
      <c r="D1417" s="586" t="s">
        <v>351</v>
      </c>
      <c r="E1417" s="586" t="s">
        <v>352</v>
      </c>
      <c r="F1417" s="586" t="s">
        <v>276</v>
      </c>
      <c r="G1417" s="586" t="s">
        <v>356</v>
      </c>
      <c r="H1417" s="586" t="s">
        <v>670</v>
      </c>
      <c r="I1417" s="586" t="s">
        <v>277</v>
      </c>
      <c r="J1417" s="586" t="s">
        <v>522</v>
      </c>
      <c r="K1417" s="586" t="s">
        <v>301</v>
      </c>
      <c r="L1417" s="586" t="s">
        <v>590</v>
      </c>
      <c r="M1417" s="586" t="s">
        <v>285</v>
      </c>
      <c r="N1417" s="586" t="s">
        <v>670</v>
      </c>
      <c r="O1417" s="586" t="s">
        <v>670</v>
      </c>
      <c r="P1417" s="586" t="s">
        <v>522</v>
      </c>
      <c r="Q1417" s="586" t="s">
        <v>670</v>
      </c>
      <c r="R1417" s="587">
        <v>45870</v>
      </c>
      <c r="S1417" s="586" t="s">
        <v>670</v>
      </c>
      <c r="T1417" s="587">
        <v>45869</v>
      </c>
      <c r="U1417" s="588">
        <v>0</v>
      </c>
      <c r="V1417" s="589">
        <v>0.33</v>
      </c>
      <c r="W1417" s="260">
        <v>45839</v>
      </c>
    </row>
    <row r="1418" spans="1:23" hidden="1" x14ac:dyDescent="0.35">
      <c r="A1418" s="586" t="s">
        <v>526</v>
      </c>
      <c r="B1418" s="586" t="s">
        <v>159</v>
      </c>
      <c r="C1418" s="586" t="s">
        <v>298</v>
      </c>
      <c r="D1418" s="586" t="s">
        <v>351</v>
      </c>
      <c r="E1418" s="586" t="s">
        <v>352</v>
      </c>
      <c r="F1418" s="586" t="s">
        <v>276</v>
      </c>
      <c r="G1418" s="586" t="s">
        <v>356</v>
      </c>
      <c r="H1418" s="586" t="s">
        <v>670</v>
      </c>
      <c r="I1418" s="586" t="s">
        <v>277</v>
      </c>
      <c r="J1418" s="586" t="s">
        <v>522</v>
      </c>
      <c r="K1418" s="586" t="s">
        <v>301</v>
      </c>
      <c r="L1418" s="586" t="s">
        <v>590</v>
      </c>
      <c r="M1418" s="586" t="s">
        <v>285</v>
      </c>
      <c r="N1418" s="586" t="s">
        <v>670</v>
      </c>
      <c r="O1418" s="586" t="s">
        <v>670</v>
      </c>
      <c r="P1418" s="586" t="s">
        <v>522</v>
      </c>
      <c r="Q1418" s="586" t="s">
        <v>670</v>
      </c>
      <c r="R1418" s="587">
        <v>45870</v>
      </c>
      <c r="S1418" s="586" t="s">
        <v>670</v>
      </c>
      <c r="T1418" s="587">
        <v>45869</v>
      </c>
      <c r="U1418" s="588">
        <v>0</v>
      </c>
      <c r="V1418" s="589">
        <v>-0.03</v>
      </c>
      <c r="W1418" s="260">
        <v>45839</v>
      </c>
    </row>
    <row r="1419" spans="1:23" hidden="1" x14ac:dyDescent="0.35">
      <c r="A1419" s="586" t="s">
        <v>526</v>
      </c>
      <c r="B1419" s="586" t="s">
        <v>159</v>
      </c>
      <c r="C1419" s="586" t="s">
        <v>298</v>
      </c>
      <c r="D1419" s="586" t="s">
        <v>354</v>
      </c>
      <c r="E1419" s="586" t="s">
        <v>355</v>
      </c>
      <c r="F1419" s="586" t="s">
        <v>276</v>
      </c>
      <c r="G1419" s="586" t="s">
        <v>356</v>
      </c>
      <c r="H1419" s="586" t="s">
        <v>670</v>
      </c>
      <c r="I1419" s="586" t="s">
        <v>277</v>
      </c>
      <c r="J1419" s="586" t="s">
        <v>522</v>
      </c>
      <c r="K1419" s="586" t="s">
        <v>301</v>
      </c>
      <c r="L1419" s="586" t="s">
        <v>590</v>
      </c>
      <c r="M1419" s="586" t="s">
        <v>285</v>
      </c>
      <c r="N1419" s="586" t="s">
        <v>670</v>
      </c>
      <c r="O1419" s="586" t="s">
        <v>670</v>
      </c>
      <c r="P1419" s="586" t="s">
        <v>522</v>
      </c>
      <c r="Q1419" s="586" t="s">
        <v>670</v>
      </c>
      <c r="R1419" s="587">
        <v>45870</v>
      </c>
      <c r="S1419" s="586" t="s">
        <v>670</v>
      </c>
      <c r="T1419" s="587">
        <v>45869</v>
      </c>
      <c r="U1419" s="588">
        <v>0</v>
      </c>
      <c r="V1419" s="589">
        <v>0.03</v>
      </c>
      <c r="W1419" s="260">
        <v>45839</v>
      </c>
    </row>
    <row r="1420" spans="1:23" hidden="1" x14ac:dyDescent="0.35">
      <c r="A1420" s="586" t="s">
        <v>526</v>
      </c>
      <c r="B1420" s="586" t="s">
        <v>159</v>
      </c>
      <c r="C1420" s="586" t="s">
        <v>542</v>
      </c>
      <c r="D1420" s="586" t="s">
        <v>560</v>
      </c>
      <c r="E1420" s="586" t="s">
        <v>544</v>
      </c>
      <c r="F1420" s="586" t="s">
        <v>276</v>
      </c>
      <c r="G1420" s="586" t="s">
        <v>356</v>
      </c>
      <c r="H1420" s="586" t="s">
        <v>670</v>
      </c>
      <c r="I1420" s="586" t="s">
        <v>277</v>
      </c>
      <c r="J1420" s="586" t="s">
        <v>522</v>
      </c>
      <c r="K1420" s="586" t="s">
        <v>545</v>
      </c>
      <c r="L1420" s="586" t="s">
        <v>590</v>
      </c>
      <c r="M1420" s="586" t="s">
        <v>285</v>
      </c>
      <c r="N1420" s="586" t="s">
        <v>670</v>
      </c>
      <c r="O1420" s="586" t="s">
        <v>670</v>
      </c>
      <c r="P1420" s="586" t="s">
        <v>522</v>
      </c>
      <c r="Q1420" s="586" t="s">
        <v>670</v>
      </c>
      <c r="R1420" s="587">
        <v>45870</v>
      </c>
      <c r="S1420" s="586" t="s">
        <v>670</v>
      </c>
      <c r="T1420" s="587">
        <v>45869</v>
      </c>
      <c r="U1420" s="588">
        <v>0</v>
      </c>
      <c r="V1420" s="589">
        <v>1.86</v>
      </c>
      <c r="W1420" s="260">
        <v>45839</v>
      </c>
    </row>
    <row r="1421" spans="1:23" hidden="1" x14ac:dyDescent="0.35">
      <c r="A1421" s="586" t="s">
        <v>526</v>
      </c>
      <c r="B1421" s="586" t="s">
        <v>159</v>
      </c>
      <c r="C1421" s="586" t="s">
        <v>546</v>
      </c>
      <c r="D1421" s="586" t="s">
        <v>561</v>
      </c>
      <c r="E1421" s="586" t="s">
        <v>548</v>
      </c>
      <c r="F1421" s="586" t="s">
        <v>276</v>
      </c>
      <c r="G1421" s="586" t="s">
        <v>356</v>
      </c>
      <c r="H1421" s="586" t="s">
        <v>670</v>
      </c>
      <c r="I1421" s="586" t="s">
        <v>277</v>
      </c>
      <c r="J1421" s="586" t="s">
        <v>522</v>
      </c>
      <c r="K1421" s="586" t="s">
        <v>549</v>
      </c>
      <c r="L1421" s="586" t="s">
        <v>590</v>
      </c>
      <c r="M1421" s="586" t="s">
        <v>285</v>
      </c>
      <c r="N1421" s="586" t="s">
        <v>670</v>
      </c>
      <c r="O1421" s="586" t="s">
        <v>670</v>
      </c>
      <c r="P1421" s="586" t="s">
        <v>522</v>
      </c>
      <c r="Q1421" s="586" t="s">
        <v>670</v>
      </c>
      <c r="R1421" s="587">
        <v>45870</v>
      </c>
      <c r="S1421" s="586" t="s">
        <v>670</v>
      </c>
      <c r="T1421" s="587">
        <v>45869</v>
      </c>
      <c r="U1421" s="588">
        <v>0</v>
      </c>
      <c r="V1421" s="589">
        <v>45.23</v>
      </c>
      <c r="W1421" s="260">
        <v>45839</v>
      </c>
    </row>
    <row r="1422" spans="1:23" hidden="1" x14ac:dyDescent="0.35">
      <c r="A1422" s="586" t="s">
        <v>526</v>
      </c>
      <c r="B1422" s="586" t="s">
        <v>159</v>
      </c>
      <c r="C1422" s="586" t="s">
        <v>542</v>
      </c>
      <c r="D1422" s="586" t="s">
        <v>562</v>
      </c>
      <c r="E1422" s="586" t="s">
        <v>551</v>
      </c>
      <c r="F1422" s="586" t="s">
        <v>276</v>
      </c>
      <c r="G1422" s="586" t="s">
        <v>356</v>
      </c>
      <c r="H1422" s="586" t="s">
        <v>670</v>
      </c>
      <c r="I1422" s="586" t="s">
        <v>277</v>
      </c>
      <c r="J1422" s="586" t="s">
        <v>522</v>
      </c>
      <c r="K1422" s="586" t="s">
        <v>545</v>
      </c>
      <c r="L1422" s="586" t="s">
        <v>590</v>
      </c>
      <c r="M1422" s="586" t="s">
        <v>285</v>
      </c>
      <c r="N1422" s="586" t="s">
        <v>670</v>
      </c>
      <c r="O1422" s="586" t="s">
        <v>670</v>
      </c>
      <c r="P1422" s="586" t="s">
        <v>522</v>
      </c>
      <c r="Q1422" s="586" t="s">
        <v>670</v>
      </c>
      <c r="R1422" s="587">
        <v>45870</v>
      </c>
      <c r="S1422" s="586" t="s">
        <v>670</v>
      </c>
      <c r="T1422" s="587">
        <v>45869</v>
      </c>
      <c r="U1422" s="588">
        <v>0</v>
      </c>
      <c r="V1422" s="589">
        <v>-8.1</v>
      </c>
      <c r="W1422" s="260">
        <v>45839</v>
      </c>
    </row>
    <row r="1423" spans="1:23" hidden="1" x14ac:dyDescent="0.35">
      <c r="A1423" s="586" t="s">
        <v>526</v>
      </c>
      <c r="B1423" s="586" t="s">
        <v>159</v>
      </c>
      <c r="C1423" s="586" t="s">
        <v>542</v>
      </c>
      <c r="D1423" s="586" t="s">
        <v>563</v>
      </c>
      <c r="E1423" s="586" t="s">
        <v>553</v>
      </c>
      <c r="F1423" s="586" t="s">
        <v>276</v>
      </c>
      <c r="G1423" s="586" t="s">
        <v>356</v>
      </c>
      <c r="H1423" s="586" t="s">
        <v>670</v>
      </c>
      <c r="I1423" s="586" t="s">
        <v>277</v>
      </c>
      <c r="J1423" s="586" t="s">
        <v>522</v>
      </c>
      <c r="K1423" s="586" t="s">
        <v>554</v>
      </c>
      <c r="L1423" s="586" t="s">
        <v>590</v>
      </c>
      <c r="M1423" s="586" t="s">
        <v>285</v>
      </c>
      <c r="N1423" s="586" t="s">
        <v>670</v>
      </c>
      <c r="O1423" s="586" t="s">
        <v>670</v>
      </c>
      <c r="P1423" s="586" t="s">
        <v>522</v>
      </c>
      <c r="Q1423" s="586" t="s">
        <v>670</v>
      </c>
      <c r="R1423" s="587">
        <v>45870</v>
      </c>
      <c r="S1423" s="586" t="s">
        <v>670</v>
      </c>
      <c r="T1423" s="587">
        <v>45869</v>
      </c>
      <c r="U1423" s="588">
        <v>0</v>
      </c>
      <c r="V1423" s="589">
        <v>-4.5199999999999996</v>
      </c>
      <c r="W1423" s="260">
        <v>45839</v>
      </c>
    </row>
    <row r="1424" spans="1:23" hidden="1" x14ac:dyDescent="0.35">
      <c r="A1424" s="586" t="s">
        <v>526</v>
      </c>
      <c r="B1424" s="586" t="s">
        <v>159</v>
      </c>
      <c r="C1424" s="586" t="s">
        <v>546</v>
      </c>
      <c r="D1424" s="586" t="s">
        <v>564</v>
      </c>
      <c r="E1424" s="586" t="s">
        <v>556</v>
      </c>
      <c r="F1424" s="586" t="s">
        <v>276</v>
      </c>
      <c r="G1424" s="586" t="s">
        <v>356</v>
      </c>
      <c r="H1424" s="586" t="s">
        <v>670</v>
      </c>
      <c r="I1424" s="586" t="s">
        <v>277</v>
      </c>
      <c r="J1424" s="586" t="s">
        <v>522</v>
      </c>
      <c r="K1424" s="586" t="s">
        <v>557</v>
      </c>
      <c r="L1424" s="586" t="s">
        <v>590</v>
      </c>
      <c r="M1424" s="586" t="s">
        <v>285</v>
      </c>
      <c r="N1424" s="586" t="s">
        <v>670</v>
      </c>
      <c r="O1424" s="586" t="s">
        <v>670</v>
      </c>
      <c r="P1424" s="586" t="s">
        <v>522</v>
      </c>
      <c r="Q1424" s="586" t="s">
        <v>670</v>
      </c>
      <c r="R1424" s="587">
        <v>45870</v>
      </c>
      <c r="S1424" s="586" t="s">
        <v>670</v>
      </c>
      <c r="T1424" s="587">
        <v>45869</v>
      </c>
      <c r="U1424" s="588">
        <v>0</v>
      </c>
      <c r="V1424" s="589">
        <v>-5.0599999999999996</v>
      </c>
      <c r="W1424" s="260">
        <v>45839</v>
      </c>
    </row>
    <row r="1425" spans="1:24" hidden="1" x14ac:dyDescent="0.35">
      <c r="A1425" s="586" t="s">
        <v>526</v>
      </c>
      <c r="B1425" s="586" t="s">
        <v>159</v>
      </c>
      <c r="C1425" s="586" t="s">
        <v>530</v>
      </c>
      <c r="D1425" s="586" t="s">
        <v>531</v>
      </c>
      <c r="E1425" s="586" t="s">
        <v>532</v>
      </c>
      <c r="F1425" s="586" t="s">
        <v>276</v>
      </c>
      <c r="G1425" s="586" t="s">
        <v>356</v>
      </c>
      <c r="H1425" s="586" t="s">
        <v>565</v>
      </c>
      <c r="I1425" s="586" t="s">
        <v>277</v>
      </c>
      <c r="J1425" s="586" t="s">
        <v>522</v>
      </c>
      <c r="K1425" s="586" t="s">
        <v>534</v>
      </c>
      <c r="L1425" s="586" t="s">
        <v>590</v>
      </c>
      <c r="M1425" s="586" t="s">
        <v>566</v>
      </c>
      <c r="N1425" s="586" t="s">
        <v>670</v>
      </c>
      <c r="O1425" s="586" t="s">
        <v>670</v>
      </c>
      <c r="P1425" s="586" t="s">
        <v>522</v>
      </c>
      <c r="Q1425" s="586" t="s">
        <v>670</v>
      </c>
      <c r="R1425" s="587">
        <v>45839</v>
      </c>
      <c r="S1425" s="586" t="s">
        <v>278</v>
      </c>
      <c r="T1425" s="587">
        <v>45846</v>
      </c>
      <c r="U1425" s="588">
        <v>1</v>
      </c>
      <c r="V1425" s="589">
        <v>92.65</v>
      </c>
      <c r="W1425" s="260">
        <v>45839</v>
      </c>
      <c r="X1425" s="845"/>
    </row>
    <row r="1426" spans="1:24" hidden="1" x14ac:dyDescent="0.35">
      <c r="A1426" s="586" t="s">
        <v>526</v>
      </c>
      <c r="B1426" s="586" t="s">
        <v>159</v>
      </c>
      <c r="C1426" s="586" t="s">
        <v>530</v>
      </c>
      <c r="D1426" s="586" t="s">
        <v>531</v>
      </c>
      <c r="E1426" s="586" t="s">
        <v>532</v>
      </c>
      <c r="F1426" s="586" t="s">
        <v>276</v>
      </c>
      <c r="G1426" s="586" t="s">
        <v>356</v>
      </c>
      <c r="H1426" s="586" t="s">
        <v>565</v>
      </c>
      <c r="I1426" s="586" t="s">
        <v>277</v>
      </c>
      <c r="J1426" s="586" t="s">
        <v>522</v>
      </c>
      <c r="K1426" s="586" t="s">
        <v>534</v>
      </c>
      <c r="L1426" s="586" t="s">
        <v>590</v>
      </c>
      <c r="M1426" s="586" t="s">
        <v>566</v>
      </c>
      <c r="N1426" s="586" t="s">
        <v>670</v>
      </c>
      <c r="O1426" s="586" t="s">
        <v>670</v>
      </c>
      <c r="P1426" s="586" t="s">
        <v>522</v>
      </c>
      <c r="Q1426" s="586" t="s">
        <v>670</v>
      </c>
      <c r="R1426" s="587">
        <v>45838</v>
      </c>
      <c r="S1426" s="586" t="s">
        <v>278</v>
      </c>
      <c r="T1426" s="587">
        <v>45846</v>
      </c>
      <c r="U1426" s="588">
        <v>4</v>
      </c>
      <c r="V1426" s="589">
        <v>370.6</v>
      </c>
      <c r="W1426" s="260">
        <v>45839</v>
      </c>
      <c r="X1426" s="845"/>
    </row>
    <row r="1427" spans="1:24" hidden="1" x14ac:dyDescent="0.35">
      <c r="A1427" s="586" t="s">
        <v>526</v>
      </c>
      <c r="B1427" s="586" t="s">
        <v>159</v>
      </c>
      <c r="C1427" s="586" t="s">
        <v>530</v>
      </c>
      <c r="D1427" s="586" t="s">
        <v>531</v>
      </c>
      <c r="E1427" s="586" t="s">
        <v>532</v>
      </c>
      <c r="F1427" s="586" t="s">
        <v>276</v>
      </c>
      <c r="G1427" s="586" t="s">
        <v>356</v>
      </c>
      <c r="H1427" s="586" t="s">
        <v>567</v>
      </c>
      <c r="I1427" s="586" t="s">
        <v>277</v>
      </c>
      <c r="J1427" s="586" t="s">
        <v>522</v>
      </c>
      <c r="K1427" s="586" t="s">
        <v>534</v>
      </c>
      <c r="L1427" s="586" t="s">
        <v>590</v>
      </c>
      <c r="M1427" s="586" t="s">
        <v>568</v>
      </c>
      <c r="N1427" s="586" t="s">
        <v>670</v>
      </c>
      <c r="O1427" s="586" t="s">
        <v>670</v>
      </c>
      <c r="P1427" s="586" t="s">
        <v>522</v>
      </c>
      <c r="Q1427" s="586" t="s">
        <v>670</v>
      </c>
      <c r="R1427" s="587">
        <v>45839</v>
      </c>
      <c r="S1427" s="586" t="s">
        <v>278</v>
      </c>
      <c r="T1427" s="587">
        <v>45846</v>
      </c>
      <c r="U1427" s="588">
        <v>1</v>
      </c>
      <c r="V1427" s="589">
        <v>92.65</v>
      </c>
      <c r="W1427" s="260">
        <v>45839</v>
      </c>
      <c r="X1427" s="845"/>
    </row>
    <row r="1428" spans="1:24" hidden="1" x14ac:dyDescent="0.35">
      <c r="A1428" s="586" t="s">
        <v>526</v>
      </c>
      <c r="B1428" s="586" t="s">
        <v>159</v>
      </c>
      <c r="C1428" s="586" t="s">
        <v>530</v>
      </c>
      <c r="D1428" s="586" t="s">
        <v>531</v>
      </c>
      <c r="E1428" s="586" t="s">
        <v>532</v>
      </c>
      <c r="F1428" s="586" t="s">
        <v>276</v>
      </c>
      <c r="G1428" s="586" t="s">
        <v>356</v>
      </c>
      <c r="H1428" s="586" t="s">
        <v>567</v>
      </c>
      <c r="I1428" s="586" t="s">
        <v>277</v>
      </c>
      <c r="J1428" s="586" t="s">
        <v>522</v>
      </c>
      <c r="K1428" s="586" t="s">
        <v>534</v>
      </c>
      <c r="L1428" s="586" t="s">
        <v>590</v>
      </c>
      <c r="M1428" s="586" t="s">
        <v>568</v>
      </c>
      <c r="N1428" s="586" t="s">
        <v>670</v>
      </c>
      <c r="O1428" s="586" t="s">
        <v>670</v>
      </c>
      <c r="P1428" s="586" t="s">
        <v>522</v>
      </c>
      <c r="Q1428" s="586" t="s">
        <v>670</v>
      </c>
      <c r="R1428" s="587">
        <v>45838</v>
      </c>
      <c r="S1428" s="586" t="s">
        <v>278</v>
      </c>
      <c r="T1428" s="587">
        <v>45846</v>
      </c>
      <c r="U1428" s="588">
        <v>3</v>
      </c>
      <c r="V1428" s="589">
        <v>277.95</v>
      </c>
      <c r="W1428" s="260">
        <v>45839</v>
      </c>
      <c r="X1428" s="845"/>
    </row>
    <row r="1429" spans="1:24" hidden="1" x14ac:dyDescent="0.35">
      <c r="A1429" s="586" t="s">
        <v>526</v>
      </c>
      <c r="B1429" s="586" t="s">
        <v>159</v>
      </c>
      <c r="C1429" s="586" t="s">
        <v>530</v>
      </c>
      <c r="D1429" s="586" t="s">
        <v>531</v>
      </c>
      <c r="E1429" s="586" t="s">
        <v>532</v>
      </c>
      <c r="F1429" s="586" t="s">
        <v>276</v>
      </c>
      <c r="G1429" s="586" t="s">
        <v>356</v>
      </c>
      <c r="H1429" s="586" t="s">
        <v>565</v>
      </c>
      <c r="I1429" s="586" t="s">
        <v>277</v>
      </c>
      <c r="J1429" s="586" t="s">
        <v>522</v>
      </c>
      <c r="K1429" s="586" t="s">
        <v>534</v>
      </c>
      <c r="L1429" s="586" t="s">
        <v>590</v>
      </c>
      <c r="M1429" s="586" t="s">
        <v>566</v>
      </c>
      <c r="N1429" s="586" t="s">
        <v>670</v>
      </c>
      <c r="O1429" s="586" t="s">
        <v>670</v>
      </c>
      <c r="P1429" s="586" t="s">
        <v>522</v>
      </c>
      <c r="Q1429" s="586" t="s">
        <v>670</v>
      </c>
      <c r="R1429" s="587">
        <v>45840</v>
      </c>
      <c r="S1429" s="586" t="s">
        <v>278</v>
      </c>
      <c r="T1429" s="587">
        <v>45846</v>
      </c>
      <c r="U1429" s="588">
        <v>2</v>
      </c>
      <c r="V1429" s="589">
        <v>185.3</v>
      </c>
      <c r="W1429" s="260">
        <v>45839</v>
      </c>
      <c r="X1429" s="845"/>
    </row>
    <row r="1430" spans="1:24" hidden="1" x14ac:dyDescent="0.35">
      <c r="A1430" s="586" t="s">
        <v>526</v>
      </c>
      <c r="B1430" s="586" t="s">
        <v>159</v>
      </c>
      <c r="C1430" s="586" t="s">
        <v>530</v>
      </c>
      <c r="D1430" s="586" t="s">
        <v>531</v>
      </c>
      <c r="E1430" s="586" t="s">
        <v>532</v>
      </c>
      <c r="F1430" s="586" t="s">
        <v>276</v>
      </c>
      <c r="G1430" s="586" t="s">
        <v>356</v>
      </c>
      <c r="H1430" s="586" t="s">
        <v>565</v>
      </c>
      <c r="I1430" s="586" t="s">
        <v>277</v>
      </c>
      <c r="J1430" s="586" t="s">
        <v>522</v>
      </c>
      <c r="K1430" s="586" t="s">
        <v>534</v>
      </c>
      <c r="L1430" s="586" t="s">
        <v>590</v>
      </c>
      <c r="M1430" s="586" t="s">
        <v>566</v>
      </c>
      <c r="N1430" s="586" t="s">
        <v>670</v>
      </c>
      <c r="O1430" s="586" t="s">
        <v>670</v>
      </c>
      <c r="P1430" s="586" t="s">
        <v>522</v>
      </c>
      <c r="Q1430" s="586" t="s">
        <v>670</v>
      </c>
      <c r="R1430" s="587">
        <v>45841</v>
      </c>
      <c r="S1430" s="586" t="s">
        <v>278</v>
      </c>
      <c r="T1430" s="587">
        <v>45846</v>
      </c>
      <c r="U1430" s="588">
        <v>1</v>
      </c>
      <c r="V1430" s="589">
        <v>92.65</v>
      </c>
      <c r="W1430" s="260">
        <v>45839</v>
      </c>
      <c r="X1430" s="845"/>
    </row>
    <row r="1431" spans="1:24" hidden="1" x14ac:dyDescent="0.35">
      <c r="A1431" s="586" t="s">
        <v>526</v>
      </c>
      <c r="B1431" s="586" t="s">
        <v>159</v>
      </c>
      <c r="C1431" s="586" t="s">
        <v>530</v>
      </c>
      <c r="D1431" s="586" t="s">
        <v>531</v>
      </c>
      <c r="E1431" s="586" t="s">
        <v>532</v>
      </c>
      <c r="F1431" s="586" t="s">
        <v>276</v>
      </c>
      <c r="G1431" s="586" t="s">
        <v>356</v>
      </c>
      <c r="H1431" s="586" t="s">
        <v>565</v>
      </c>
      <c r="I1431" s="586" t="s">
        <v>277</v>
      </c>
      <c r="J1431" s="586" t="s">
        <v>522</v>
      </c>
      <c r="K1431" s="586" t="s">
        <v>534</v>
      </c>
      <c r="L1431" s="586" t="s">
        <v>590</v>
      </c>
      <c r="M1431" s="586" t="s">
        <v>566</v>
      </c>
      <c r="N1431" s="586" t="s">
        <v>670</v>
      </c>
      <c r="O1431" s="586" t="s">
        <v>670</v>
      </c>
      <c r="P1431" s="586" t="s">
        <v>522</v>
      </c>
      <c r="Q1431" s="586" t="s">
        <v>670</v>
      </c>
      <c r="R1431" s="587">
        <v>45848</v>
      </c>
      <c r="S1431" s="586" t="s">
        <v>278</v>
      </c>
      <c r="T1431" s="587">
        <v>45853</v>
      </c>
      <c r="U1431" s="588">
        <v>1</v>
      </c>
      <c r="V1431" s="589">
        <v>92.65</v>
      </c>
      <c r="W1431" s="260">
        <v>45839</v>
      </c>
      <c r="X1431" s="845"/>
    </row>
    <row r="1432" spans="1:24" hidden="1" x14ac:dyDescent="0.35">
      <c r="A1432" s="586" t="s">
        <v>526</v>
      </c>
      <c r="B1432" s="586" t="s">
        <v>159</v>
      </c>
      <c r="C1432" s="586" t="s">
        <v>530</v>
      </c>
      <c r="D1432" s="586" t="s">
        <v>531</v>
      </c>
      <c r="E1432" s="586" t="s">
        <v>532</v>
      </c>
      <c r="F1432" s="586" t="s">
        <v>276</v>
      </c>
      <c r="G1432" s="586" t="s">
        <v>356</v>
      </c>
      <c r="H1432" s="586" t="s">
        <v>565</v>
      </c>
      <c r="I1432" s="586" t="s">
        <v>277</v>
      </c>
      <c r="J1432" s="586" t="s">
        <v>522</v>
      </c>
      <c r="K1432" s="586" t="s">
        <v>534</v>
      </c>
      <c r="L1432" s="586" t="s">
        <v>590</v>
      </c>
      <c r="M1432" s="586" t="s">
        <v>566</v>
      </c>
      <c r="N1432" s="586" t="s">
        <v>670</v>
      </c>
      <c r="O1432" s="586" t="s">
        <v>670</v>
      </c>
      <c r="P1432" s="586" t="s">
        <v>522</v>
      </c>
      <c r="Q1432" s="586" t="s">
        <v>670</v>
      </c>
      <c r="R1432" s="587">
        <v>45847</v>
      </c>
      <c r="S1432" s="586" t="s">
        <v>278</v>
      </c>
      <c r="T1432" s="587">
        <v>45853</v>
      </c>
      <c r="U1432" s="588">
        <v>1</v>
      </c>
      <c r="V1432" s="589">
        <v>92.65</v>
      </c>
      <c r="W1432" s="260">
        <v>45839</v>
      </c>
      <c r="X1432" s="845"/>
    </row>
    <row r="1433" spans="1:24" hidden="1" x14ac:dyDescent="0.35">
      <c r="A1433" s="586" t="s">
        <v>526</v>
      </c>
      <c r="B1433" s="586" t="s">
        <v>159</v>
      </c>
      <c r="C1433" s="586" t="s">
        <v>530</v>
      </c>
      <c r="D1433" s="586" t="s">
        <v>531</v>
      </c>
      <c r="E1433" s="586" t="s">
        <v>532</v>
      </c>
      <c r="F1433" s="586" t="s">
        <v>276</v>
      </c>
      <c r="G1433" s="586" t="s">
        <v>356</v>
      </c>
      <c r="H1433" s="634" t="s">
        <v>565</v>
      </c>
      <c r="I1433" s="586" t="s">
        <v>277</v>
      </c>
      <c r="J1433" s="586" t="s">
        <v>522</v>
      </c>
      <c r="K1433" s="586" t="s">
        <v>534</v>
      </c>
      <c r="L1433" s="586" t="s">
        <v>590</v>
      </c>
      <c r="M1433" s="586" t="s">
        <v>566</v>
      </c>
      <c r="N1433" s="586" t="s">
        <v>670</v>
      </c>
      <c r="O1433" s="586" t="s">
        <v>670</v>
      </c>
      <c r="P1433" s="586" t="s">
        <v>522</v>
      </c>
      <c r="Q1433" s="586" t="s">
        <v>670</v>
      </c>
      <c r="R1433" s="587">
        <v>45846</v>
      </c>
      <c r="S1433" s="586" t="s">
        <v>278</v>
      </c>
      <c r="T1433" s="587">
        <v>45853</v>
      </c>
      <c r="U1433" s="588">
        <v>1</v>
      </c>
      <c r="V1433" s="589">
        <v>92.65</v>
      </c>
      <c r="W1433" s="260">
        <v>45839</v>
      </c>
      <c r="X1433" s="845"/>
    </row>
    <row r="1434" spans="1:24" hidden="1" x14ac:dyDescent="0.35">
      <c r="A1434" s="586" t="s">
        <v>526</v>
      </c>
      <c r="B1434" s="586" t="s">
        <v>159</v>
      </c>
      <c r="C1434" s="586" t="s">
        <v>530</v>
      </c>
      <c r="D1434" s="586" t="s">
        <v>531</v>
      </c>
      <c r="E1434" s="586" t="s">
        <v>532</v>
      </c>
      <c r="F1434" s="586" t="s">
        <v>276</v>
      </c>
      <c r="G1434" s="586" t="s">
        <v>356</v>
      </c>
      <c r="H1434" s="586" t="s">
        <v>567</v>
      </c>
      <c r="I1434" s="586" t="s">
        <v>277</v>
      </c>
      <c r="J1434" s="586" t="s">
        <v>522</v>
      </c>
      <c r="K1434" s="586" t="s">
        <v>534</v>
      </c>
      <c r="L1434" s="586" t="s">
        <v>590</v>
      </c>
      <c r="M1434" s="586" t="s">
        <v>568</v>
      </c>
      <c r="N1434" s="586" t="s">
        <v>670</v>
      </c>
      <c r="O1434" s="586" t="s">
        <v>670</v>
      </c>
      <c r="P1434" s="586" t="s">
        <v>522</v>
      </c>
      <c r="Q1434" s="586" t="s">
        <v>670</v>
      </c>
      <c r="R1434" s="587">
        <v>45846</v>
      </c>
      <c r="S1434" s="586" t="s">
        <v>278</v>
      </c>
      <c r="T1434" s="587">
        <v>45853</v>
      </c>
      <c r="U1434" s="588">
        <v>1</v>
      </c>
      <c r="V1434" s="589">
        <v>92.65</v>
      </c>
      <c r="W1434" s="260">
        <v>45839</v>
      </c>
      <c r="X1434" s="845"/>
    </row>
    <row r="1435" spans="1:24" hidden="1" x14ac:dyDescent="0.35">
      <c r="A1435" s="586" t="s">
        <v>526</v>
      </c>
      <c r="B1435" s="586" t="s">
        <v>159</v>
      </c>
      <c r="C1435" s="586" t="s">
        <v>530</v>
      </c>
      <c r="D1435" s="586" t="s">
        <v>531</v>
      </c>
      <c r="E1435" s="586" t="s">
        <v>532</v>
      </c>
      <c r="F1435" s="586" t="s">
        <v>276</v>
      </c>
      <c r="G1435" s="586" t="s">
        <v>356</v>
      </c>
      <c r="H1435" s="586" t="s">
        <v>565</v>
      </c>
      <c r="I1435" s="586" t="s">
        <v>277</v>
      </c>
      <c r="J1435" s="586" t="s">
        <v>522</v>
      </c>
      <c r="K1435" s="586" t="s">
        <v>534</v>
      </c>
      <c r="L1435" s="586" t="s">
        <v>590</v>
      </c>
      <c r="M1435" s="586" t="s">
        <v>566</v>
      </c>
      <c r="N1435" s="586" t="s">
        <v>670</v>
      </c>
      <c r="O1435" s="586" t="s">
        <v>670</v>
      </c>
      <c r="P1435" s="586" t="s">
        <v>522</v>
      </c>
      <c r="Q1435" s="586" t="s">
        <v>670</v>
      </c>
      <c r="R1435" s="587">
        <v>45855</v>
      </c>
      <c r="S1435" s="586" t="s">
        <v>278</v>
      </c>
      <c r="T1435" s="587">
        <v>45860</v>
      </c>
      <c r="U1435" s="588">
        <v>1</v>
      </c>
      <c r="V1435" s="589">
        <v>92.65</v>
      </c>
      <c r="W1435" s="260">
        <v>45839</v>
      </c>
      <c r="X1435" s="845"/>
    </row>
    <row r="1436" spans="1:24" hidden="1" x14ac:dyDescent="0.35">
      <c r="A1436" s="586" t="s">
        <v>526</v>
      </c>
      <c r="B1436" s="586" t="s">
        <v>159</v>
      </c>
      <c r="C1436" s="586" t="s">
        <v>530</v>
      </c>
      <c r="D1436" s="586" t="s">
        <v>531</v>
      </c>
      <c r="E1436" s="586" t="s">
        <v>532</v>
      </c>
      <c r="F1436" s="586" t="s">
        <v>276</v>
      </c>
      <c r="G1436" s="586" t="s">
        <v>356</v>
      </c>
      <c r="H1436" s="586" t="s">
        <v>567</v>
      </c>
      <c r="I1436" s="586" t="s">
        <v>277</v>
      </c>
      <c r="J1436" s="586" t="s">
        <v>522</v>
      </c>
      <c r="K1436" s="586" t="s">
        <v>534</v>
      </c>
      <c r="L1436" s="586" t="s">
        <v>590</v>
      </c>
      <c r="M1436" s="586" t="s">
        <v>568</v>
      </c>
      <c r="N1436" s="586" t="s">
        <v>670</v>
      </c>
      <c r="O1436" s="586" t="s">
        <v>670</v>
      </c>
      <c r="P1436" s="586" t="s">
        <v>522</v>
      </c>
      <c r="Q1436" s="586" t="s">
        <v>670</v>
      </c>
      <c r="R1436" s="587">
        <v>45853</v>
      </c>
      <c r="S1436" s="586" t="s">
        <v>278</v>
      </c>
      <c r="T1436" s="587">
        <v>45867</v>
      </c>
      <c r="U1436" s="588">
        <v>1</v>
      </c>
      <c r="V1436" s="589">
        <v>92.65</v>
      </c>
      <c r="W1436" s="260">
        <v>45839</v>
      </c>
      <c r="X1436" s="845"/>
    </row>
    <row r="1437" spans="1:24" hidden="1" x14ac:dyDescent="0.35">
      <c r="A1437" s="586" t="s">
        <v>526</v>
      </c>
      <c r="B1437" s="586" t="s">
        <v>159</v>
      </c>
      <c r="C1437" s="586" t="s">
        <v>530</v>
      </c>
      <c r="D1437" s="586" t="s">
        <v>531</v>
      </c>
      <c r="E1437" s="586" t="s">
        <v>532</v>
      </c>
      <c r="F1437" s="586" t="s">
        <v>276</v>
      </c>
      <c r="G1437" s="586" t="s">
        <v>356</v>
      </c>
      <c r="H1437" s="586" t="s">
        <v>567</v>
      </c>
      <c r="I1437" s="586" t="s">
        <v>277</v>
      </c>
      <c r="J1437" s="586" t="s">
        <v>522</v>
      </c>
      <c r="K1437" s="586" t="s">
        <v>534</v>
      </c>
      <c r="L1437" s="586" t="s">
        <v>590</v>
      </c>
      <c r="M1437" s="586" t="s">
        <v>568</v>
      </c>
      <c r="N1437" s="586" t="s">
        <v>670</v>
      </c>
      <c r="O1437" s="586" t="s">
        <v>670</v>
      </c>
      <c r="P1437" s="586" t="s">
        <v>522</v>
      </c>
      <c r="Q1437" s="586" t="s">
        <v>670</v>
      </c>
      <c r="R1437" s="587">
        <v>45860</v>
      </c>
      <c r="S1437" s="586" t="s">
        <v>278</v>
      </c>
      <c r="T1437" s="587">
        <v>45867</v>
      </c>
      <c r="U1437" s="588">
        <v>1</v>
      </c>
      <c r="V1437" s="589">
        <v>92.65</v>
      </c>
      <c r="W1437" s="260">
        <v>45839</v>
      </c>
      <c r="X1437" s="845"/>
    </row>
    <row r="1438" spans="1:24" hidden="1" x14ac:dyDescent="0.35">
      <c r="A1438" s="586" t="s">
        <v>526</v>
      </c>
      <c r="B1438" s="586" t="s">
        <v>159</v>
      </c>
      <c r="C1438" s="586" t="s">
        <v>530</v>
      </c>
      <c r="D1438" s="586" t="s">
        <v>531</v>
      </c>
      <c r="E1438" s="586" t="s">
        <v>532</v>
      </c>
      <c r="F1438" s="586" t="s">
        <v>276</v>
      </c>
      <c r="G1438" s="586" t="s">
        <v>356</v>
      </c>
      <c r="H1438" s="586" t="s">
        <v>565</v>
      </c>
      <c r="I1438" s="586" t="s">
        <v>277</v>
      </c>
      <c r="J1438" s="586" t="s">
        <v>522</v>
      </c>
      <c r="K1438" s="586" t="s">
        <v>534</v>
      </c>
      <c r="L1438" s="586" t="s">
        <v>590</v>
      </c>
      <c r="M1438" s="586" t="s">
        <v>566</v>
      </c>
      <c r="N1438" s="586" t="s">
        <v>670</v>
      </c>
      <c r="O1438" s="586" t="s">
        <v>670</v>
      </c>
      <c r="P1438" s="586" t="s">
        <v>522</v>
      </c>
      <c r="Q1438" s="586" t="s">
        <v>670</v>
      </c>
      <c r="R1438" s="587">
        <v>45863</v>
      </c>
      <c r="S1438" s="586" t="s">
        <v>278</v>
      </c>
      <c r="T1438" s="587">
        <v>45867</v>
      </c>
      <c r="U1438" s="588">
        <v>3</v>
      </c>
      <c r="V1438" s="589">
        <v>277.95</v>
      </c>
      <c r="W1438" s="260">
        <v>45839</v>
      </c>
      <c r="X1438" s="845"/>
    </row>
    <row r="1439" spans="1:24" hidden="1" x14ac:dyDescent="0.35">
      <c r="A1439" s="586" t="s">
        <v>526</v>
      </c>
      <c r="B1439" s="586" t="s">
        <v>159</v>
      </c>
      <c r="C1439" s="586" t="s">
        <v>530</v>
      </c>
      <c r="D1439" s="586" t="s">
        <v>531</v>
      </c>
      <c r="E1439" s="586" t="s">
        <v>532</v>
      </c>
      <c r="F1439" s="586" t="s">
        <v>276</v>
      </c>
      <c r="G1439" s="586" t="s">
        <v>356</v>
      </c>
      <c r="H1439" s="586" t="s">
        <v>565</v>
      </c>
      <c r="I1439" s="586" t="s">
        <v>277</v>
      </c>
      <c r="J1439" s="586" t="s">
        <v>522</v>
      </c>
      <c r="K1439" s="586" t="s">
        <v>534</v>
      </c>
      <c r="L1439" s="586" t="s">
        <v>590</v>
      </c>
      <c r="M1439" s="586" t="s">
        <v>566</v>
      </c>
      <c r="N1439" s="586" t="s">
        <v>670</v>
      </c>
      <c r="O1439" s="586" t="s">
        <v>670</v>
      </c>
      <c r="P1439" s="586" t="s">
        <v>522</v>
      </c>
      <c r="Q1439" s="586" t="s">
        <v>670</v>
      </c>
      <c r="R1439" s="587">
        <v>45860</v>
      </c>
      <c r="S1439" s="586" t="s">
        <v>278</v>
      </c>
      <c r="T1439" s="587">
        <v>45867</v>
      </c>
      <c r="U1439" s="588">
        <v>1</v>
      </c>
      <c r="V1439" s="589">
        <v>92.65</v>
      </c>
      <c r="W1439" s="260">
        <v>45839</v>
      </c>
      <c r="X1439" s="845"/>
    </row>
    <row r="1440" spans="1:24" hidden="1" x14ac:dyDescent="0.35">
      <c r="A1440" s="586" t="s">
        <v>526</v>
      </c>
      <c r="B1440" s="586" t="s">
        <v>159</v>
      </c>
      <c r="C1440" s="586" t="s">
        <v>569</v>
      </c>
      <c r="D1440" s="586" t="s">
        <v>570</v>
      </c>
      <c r="E1440" s="586" t="s">
        <v>571</v>
      </c>
      <c r="F1440" s="586" t="s">
        <v>276</v>
      </c>
      <c r="G1440" s="586" t="s">
        <v>356</v>
      </c>
      <c r="H1440" s="586" t="s">
        <v>582</v>
      </c>
      <c r="I1440" s="586" t="s">
        <v>277</v>
      </c>
      <c r="J1440" s="586" t="s">
        <v>522</v>
      </c>
      <c r="K1440" s="586" t="s">
        <v>573</v>
      </c>
      <c r="L1440" s="586" t="s">
        <v>590</v>
      </c>
      <c r="M1440" s="586" t="s">
        <v>583</v>
      </c>
      <c r="N1440" s="586" t="s">
        <v>670</v>
      </c>
      <c r="O1440" s="586" t="s">
        <v>670</v>
      </c>
      <c r="P1440" s="586" t="s">
        <v>522</v>
      </c>
      <c r="Q1440" s="586" t="s">
        <v>670</v>
      </c>
      <c r="R1440" s="587">
        <v>45841</v>
      </c>
      <c r="S1440" s="586" t="s">
        <v>278</v>
      </c>
      <c r="T1440" s="587">
        <v>45846</v>
      </c>
      <c r="U1440" s="588">
        <v>1</v>
      </c>
      <c r="V1440" s="589">
        <v>83.26</v>
      </c>
      <c r="W1440" s="260">
        <v>45839</v>
      </c>
      <c r="X1440" s="845"/>
    </row>
    <row r="1441" spans="1:24" hidden="1" x14ac:dyDescent="0.35">
      <c r="A1441" s="586" t="s">
        <v>526</v>
      </c>
      <c r="B1441" s="586" t="s">
        <v>159</v>
      </c>
      <c r="C1441" s="586" t="s">
        <v>569</v>
      </c>
      <c r="D1441" s="586" t="s">
        <v>570</v>
      </c>
      <c r="E1441" s="586" t="s">
        <v>571</v>
      </c>
      <c r="F1441" s="586" t="s">
        <v>276</v>
      </c>
      <c r="G1441" s="586" t="s">
        <v>356</v>
      </c>
      <c r="H1441" s="586" t="s">
        <v>582</v>
      </c>
      <c r="I1441" s="586" t="s">
        <v>277</v>
      </c>
      <c r="J1441" s="586" t="s">
        <v>522</v>
      </c>
      <c r="K1441" s="586" t="s">
        <v>573</v>
      </c>
      <c r="L1441" s="586" t="s">
        <v>590</v>
      </c>
      <c r="M1441" s="586" t="s">
        <v>583</v>
      </c>
      <c r="N1441" s="586" t="s">
        <v>670</v>
      </c>
      <c r="O1441" s="586" t="s">
        <v>670</v>
      </c>
      <c r="P1441" s="586" t="s">
        <v>522</v>
      </c>
      <c r="Q1441" s="586" t="s">
        <v>670</v>
      </c>
      <c r="R1441" s="587">
        <v>45840</v>
      </c>
      <c r="S1441" s="586" t="s">
        <v>278</v>
      </c>
      <c r="T1441" s="587">
        <v>45846</v>
      </c>
      <c r="U1441" s="588">
        <v>1</v>
      </c>
      <c r="V1441" s="589">
        <v>83.26</v>
      </c>
      <c r="W1441" s="260">
        <v>45839</v>
      </c>
      <c r="X1441" s="845"/>
    </row>
    <row r="1442" spans="1:24" hidden="1" x14ac:dyDescent="0.35">
      <c r="A1442" s="586" t="s">
        <v>526</v>
      </c>
      <c r="B1442" s="586" t="s">
        <v>159</v>
      </c>
      <c r="C1442" s="586" t="s">
        <v>569</v>
      </c>
      <c r="D1442" s="586" t="s">
        <v>570</v>
      </c>
      <c r="E1442" s="586" t="s">
        <v>571</v>
      </c>
      <c r="F1442" s="586" t="s">
        <v>276</v>
      </c>
      <c r="G1442" s="586" t="s">
        <v>356</v>
      </c>
      <c r="H1442" s="586" t="s">
        <v>582</v>
      </c>
      <c r="I1442" s="586" t="s">
        <v>277</v>
      </c>
      <c r="J1442" s="586" t="s">
        <v>522</v>
      </c>
      <c r="K1442" s="586" t="s">
        <v>573</v>
      </c>
      <c r="L1442" s="586" t="s">
        <v>590</v>
      </c>
      <c r="M1442" s="586" t="s">
        <v>583</v>
      </c>
      <c r="N1442" s="586" t="s">
        <v>670</v>
      </c>
      <c r="O1442" s="586" t="s">
        <v>670</v>
      </c>
      <c r="P1442" s="586" t="s">
        <v>522</v>
      </c>
      <c r="Q1442" s="586" t="s">
        <v>670</v>
      </c>
      <c r="R1442" s="587">
        <v>45860</v>
      </c>
      <c r="S1442" s="586" t="s">
        <v>278</v>
      </c>
      <c r="T1442" s="587">
        <v>45864</v>
      </c>
      <c r="U1442" s="588">
        <v>2</v>
      </c>
      <c r="V1442" s="589">
        <v>166.52</v>
      </c>
      <c r="W1442" s="260">
        <v>45839</v>
      </c>
      <c r="X1442" s="845"/>
    </row>
    <row r="1443" spans="1:24" hidden="1" x14ac:dyDescent="0.35">
      <c r="A1443" s="586" t="s">
        <v>526</v>
      </c>
      <c r="B1443" s="586" t="s">
        <v>160</v>
      </c>
      <c r="C1443" s="586" t="s">
        <v>670</v>
      </c>
      <c r="D1443" s="586" t="s">
        <v>603</v>
      </c>
      <c r="E1443" s="586" t="s">
        <v>604</v>
      </c>
      <c r="F1443" s="586" t="s">
        <v>588</v>
      </c>
      <c r="G1443" s="586" t="s">
        <v>356</v>
      </c>
      <c r="H1443" s="586" t="s">
        <v>670</v>
      </c>
      <c r="I1443" s="586" t="s">
        <v>277</v>
      </c>
      <c r="J1443" s="586" t="s">
        <v>523</v>
      </c>
      <c r="K1443" s="586" t="s">
        <v>670</v>
      </c>
      <c r="L1443" s="586" t="s">
        <v>590</v>
      </c>
      <c r="M1443" s="586" t="s">
        <v>285</v>
      </c>
      <c r="N1443" s="586" t="s">
        <v>670</v>
      </c>
      <c r="O1443" s="586" t="s">
        <v>686</v>
      </c>
      <c r="P1443" s="586" t="s">
        <v>523</v>
      </c>
      <c r="Q1443" s="586" t="s">
        <v>589</v>
      </c>
      <c r="R1443" s="587">
        <v>45834</v>
      </c>
      <c r="S1443" s="586" t="s">
        <v>670</v>
      </c>
      <c r="T1443" s="587">
        <v>45839</v>
      </c>
      <c r="U1443" s="588">
        <v>0</v>
      </c>
      <c r="V1443" s="589">
        <v>-190575</v>
      </c>
      <c r="W1443" s="260">
        <v>45839</v>
      </c>
    </row>
    <row r="1444" spans="1:24" hidden="1" x14ac:dyDescent="0.35">
      <c r="A1444" s="586" t="s">
        <v>526</v>
      </c>
      <c r="B1444" s="586" t="s">
        <v>160</v>
      </c>
      <c r="C1444" s="586" t="s">
        <v>670</v>
      </c>
      <c r="D1444" s="586" t="s">
        <v>603</v>
      </c>
      <c r="E1444" s="586" t="s">
        <v>604</v>
      </c>
      <c r="F1444" s="586" t="s">
        <v>588</v>
      </c>
      <c r="G1444" s="586" t="s">
        <v>356</v>
      </c>
      <c r="H1444" s="586" t="s">
        <v>670</v>
      </c>
      <c r="I1444" s="586" t="s">
        <v>277</v>
      </c>
      <c r="J1444" s="586" t="s">
        <v>523</v>
      </c>
      <c r="K1444" s="586" t="s">
        <v>670</v>
      </c>
      <c r="L1444" s="586" t="s">
        <v>590</v>
      </c>
      <c r="M1444" s="586" t="s">
        <v>285</v>
      </c>
      <c r="N1444" s="586" t="s">
        <v>670</v>
      </c>
      <c r="O1444" s="586" t="s">
        <v>691</v>
      </c>
      <c r="P1444" s="586" t="s">
        <v>523</v>
      </c>
      <c r="Q1444" s="586" t="s">
        <v>589</v>
      </c>
      <c r="R1444" s="587">
        <v>45834</v>
      </c>
      <c r="S1444" s="586" t="s">
        <v>670</v>
      </c>
      <c r="T1444" s="587">
        <v>45839</v>
      </c>
      <c r="U1444" s="588">
        <v>0</v>
      </c>
      <c r="V1444" s="589">
        <v>-40954.5</v>
      </c>
      <c r="W1444" s="260">
        <v>45839</v>
      </c>
    </row>
    <row r="1445" spans="1:24" hidden="1" x14ac:dyDescent="0.35">
      <c r="A1445" s="586" t="s">
        <v>526</v>
      </c>
      <c r="B1445" s="586" t="s">
        <v>160</v>
      </c>
      <c r="C1445" s="586" t="s">
        <v>670</v>
      </c>
      <c r="D1445" s="586" t="s">
        <v>603</v>
      </c>
      <c r="E1445" s="586" t="s">
        <v>604</v>
      </c>
      <c r="F1445" s="586" t="s">
        <v>276</v>
      </c>
      <c r="G1445" s="586" t="s">
        <v>356</v>
      </c>
      <c r="H1445" s="586" t="s">
        <v>670</v>
      </c>
      <c r="I1445" s="586" t="s">
        <v>277</v>
      </c>
      <c r="J1445" s="586" t="s">
        <v>523</v>
      </c>
      <c r="K1445" s="586" t="s">
        <v>670</v>
      </c>
      <c r="L1445" s="586" t="s">
        <v>590</v>
      </c>
      <c r="M1445" s="586" t="s">
        <v>285</v>
      </c>
      <c r="N1445" s="586" t="s">
        <v>670</v>
      </c>
      <c r="O1445" s="586" t="s">
        <v>686</v>
      </c>
      <c r="P1445" s="586" t="s">
        <v>523</v>
      </c>
      <c r="Q1445" s="586" t="s">
        <v>400</v>
      </c>
      <c r="R1445" s="587">
        <v>45868</v>
      </c>
      <c r="S1445" s="586" t="s">
        <v>670</v>
      </c>
      <c r="T1445" s="587">
        <v>45869</v>
      </c>
      <c r="U1445" s="588">
        <v>0</v>
      </c>
      <c r="V1445" s="589">
        <v>190575</v>
      </c>
      <c r="W1445" s="260">
        <v>45839</v>
      </c>
    </row>
    <row r="1446" spans="1:24" hidden="1" x14ac:dyDescent="0.35">
      <c r="A1446" s="586" t="s">
        <v>526</v>
      </c>
      <c r="B1446" s="586" t="s">
        <v>160</v>
      </c>
      <c r="C1446" s="586" t="s">
        <v>670</v>
      </c>
      <c r="D1446" s="586" t="s">
        <v>575</v>
      </c>
      <c r="E1446" s="586" t="s">
        <v>576</v>
      </c>
      <c r="F1446" s="586" t="s">
        <v>276</v>
      </c>
      <c r="G1446" s="586" t="s">
        <v>356</v>
      </c>
      <c r="H1446" s="586" t="s">
        <v>670</v>
      </c>
      <c r="I1446" s="586" t="s">
        <v>277</v>
      </c>
      <c r="J1446" s="586" t="s">
        <v>523</v>
      </c>
      <c r="K1446" s="586" t="s">
        <v>670</v>
      </c>
      <c r="L1446" s="586" t="s">
        <v>590</v>
      </c>
      <c r="M1446" s="586" t="s">
        <v>285</v>
      </c>
      <c r="N1446" s="586" t="s">
        <v>670</v>
      </c>
      <c r="O1446" s="586" t="s">
        <v>697</v>
      </c>
      <c r="P1446" s="586" t="s">
        <v>523</v>
      </c>
      <c r="Q1446" s="586" t="s">
        <v>400</v>
      </c>
      <c r="R1446" s="587">
        <v>45868</v>
      </c>
      <c r="S1446" s="586" t="s">
        <v>670</v>
      </c>
      <c r="T1446" s="587">
        <v>45869</v>
      </c>
      <c r="U1446" s="588">
        <v>0</v>
      </c>
      <c r="V1446" s="589">
        <v>190575</v>
      </c>
      <c r="W1446" s="260">
        <v>45839</v>
      </c>
    </row>
    <row r="1447" spans="1:24" hidden="1" x14ac:dyDescent="0.35">
      <c r="A1447" s="586" t="s">
        <v>526</v>
      </c>
      <c r="B1447" s="586" t="s">
        <v>53</v>
      </c>
      <c r="C1447" s="586" t="s">
        <v>670</v>
      </c>
      <c r="D1447" s="586" t="s">
        <v>385</v>
      </c>
      <c r="E1447" s="586" t="s">
        <v>386</v>
      </c>
      <c r="F1447" s="586" t="s">
        <v>588</v>
      </c>
      <c r="G1447" s="586" t="s">
        <v>356</v>
      </c>
      <c r="H1447" s="586" t="s">
        <v>670</v>
      </c>
      <c r="I1447" s="586" t="s">
        <v>277</v>
      </c>
      <c r="J1447" s="586" t="s">
        <v>524</v>
      </c>
      <c r="K1447" s="586" t="s">
        <v>670</v>
      </c>
      <c r="L1447" s="586" t="s">
        <v>590</v>
      </c>
      <c r="M1447" s="586" t="s">
        <v>285</v>
      </c>
      <c r="N1447" s="586" t="s">
        <v>670</v>
      </c>
      <c r="O1447" s="586" t="s">
        <v>675</v>
      </c>
      <c r="P1447" s="586" t="s">
        <v>524</v>
      </c>
      <c r="Q1447" s="586" t="s">
        <v>589</v>
      </c>
      <c r="R1447" s="587">
        <v>45834</v>
      </c>
      <c r="S1447" s="586" t="s">
        <v>670</v>
      </c>
      <c r="T1447" s="587">
        <v>45839</v>
      </c>
      <c r="U1447" s="588">
        <v>0</v>
      </c>
      <c r="V1447" s="589">
        <v>-5200</v>
      </c>
      <c r="W1447" s="260">
        <v>45839</v>
      </c>
    </row>
    <row r="1448" spans="1:24" hidden="1" x14ac:dyDescent="0.35">
      <c r="A1448" s="586" t="s">
        <v>526</v>
      </c>
      <c r="B1448" s="586" t="s">
        <v>53</v>
      </c>
      <c r="C1448" s="586" t="s">
        <v>670</v>
      </c>
      <c r="D1448" s="586" t="s">
        <v>385</v>
      </c>
      <c r="E1448" s="586" t="s">
        <v>386</v>
      </c>
      <c r="F1448" s="586" t="s">
        <v>588</v>
      </c>
      <c r="G1448" s="586" t="s">
        <v>356</v>
      </c>
      <c r="H1448" s="586" t="s">
        <v>670</v>
      </c>
      <c r="I1448" s="586" t="s">
        <v>277</v>
      </c>
      <c r="J1448" s="586" t="s">
        <v>524</v>
      </c>
      <c r="K1448" s="586" t="s">
        <v>670</v>
      </c>
      <c r="L1448" s="586" t="s">
        <v>590</v>
      </c>
      <c r="M1448" s="586" t="s">
        <v>285</v>
      </c>
      <c r="N1448" s="586" t="s">
        <v>670</v>
      </c>
      <c r="O1448" s="586" t="s">
        <v>676</v>
      </c>
      <c r="P1448" s="586" t="s">
        <v>524</v>
      </c>
      <c r="Q1448" s="586" t="s">
        <v>589</v>
      </c>
      <c r="R1448" s="587">
        <v>45834</v>
      </c>
      <c r="S1448" s="586" t="s">
        <v>670</v>
      </c>
      <c r="T1448" s="587">
        <v>45839</v>
      </c>
      <c r="U1448" s="588">
        <v>0</v>
      </c>
      <c r="V1448" s="589">
        <v>-2604</v>
      </c>
      <c r="W1448" s="260">
        <v>45839</v>
      </c>
    </row>
    <row r="1449" spans="1:24" hidden="1" x14ac:dyDescent="0.35">
      <c r="A1449" s="586" t="s">
        <v>526</v>
      </c>
      <c r="B1449" s="586" t="s">
        <v>53</v>
      </c>
      <c r="C1449" s="586" t="s">
        <v>670</v>
      </c>
      <c r="D1449" s="586" t="s">
        <v>385</v>
      </c>
      <c r="E1449" s="586" t="s">
        <v>386</v>
      </c>
      <c r="F1449" s="586" t="s">
        <v>276</v>
      </c>
      <c r="G1449" s="586" t="s">
        <v>356</v>
      </c>
      <c r="H1449" s="586" t="s">
        <v>670</v>
      </c>
      <c r="I1449" s="586" t="s">
        <v>277</v>
      </c>
      <c r="J1449" s="586" t="s">
        <v>524</v>
      </c>
      <c r="K1449" s="586" t="s">
        <v>670</v>
      </c>
      <c r="L1449" s="586" t="s">
        <v>590</v>
      </c>
      <c r="M1449" s="586" t="s">
        <v>285</v>
      </c>
      <c r="N1449" s="586" t="s">
        <v>637</v>
      </c>
      <c r="O1449" s="586" t="s">
        <v>677</v>
      </c>
      <c r="P1449" s="586" t="s">
        <v>524</v>
      </c>
      <c r="Q1449" s="586" t="s">
        <v>387</v>
      </c>
      <c r="R1449" s="587">
        <v>45847</v>
      </c>
      <c r="S1449" s="586" t="s">
        <v>388</v>
      </c>
      <c r="T1449" s="587">
        <v>45866</v>
      </c>
      <c r="U1449" s="590">
        <v>1</v>
      </c>
      <c r="V1449" s="589">
        <v>329.6</v>
      </c>
      <c r="W1449" s="260">
        <v>45839</v>
      </c>
    </row>
    <row r="1450" spans="1:24" hidden="1" x14ac:dyDescent="0.35">
      <c r="A1450" s="586" t="s">
        <v>526</v>
      </c>
      <c r="B1450" s="586" t="s">
        <v>53</v>
      </c>
      <c r="C1450" s="586" t="s">
        <v>670</v>
      </c>
      <c r="D1450" s="586" t="s">
        <v>385</v>
      </c>
      <c r="E1450" s="586" t="s">
        <v>386</v>
      </c>
      <c r="F1450" s="586" t="s">
        <v>276</v>
      </c>
      <c r="G1450" s="586" t="s">
        <v>356</v>
      </c>
      <c r="H1450" s="586" t="s">
        <v>670</v>
      </c>
      <c r="I1450" s="586" t="s">
        <v>277</v>
      </c>
      <c r="J1450" s="586" t="s">
        <v>524</v>
      </c>
      <c r="K1450" s="586" t="s">
        <v>670</v>
      </c>
      <c r="L1450" s="586" t="s">
        <v>590</v>
      </c>
      <c r="M1450" s="586" t="s">
        <v>285</v>
      </c>
      <c r="N1450" s="586" t="s">
        <v>670</v>
      </c>
      <c r="O1450" s="586" t="s">
        <v>676</v>
      </c>
      <c r="P1450" s="586" t="s">
        <v>524</v>
      </c>
      <c r="Q1450" s="586" t="s">
        <v>400</v>
      </c>
      <c r="R1450" s="587">
        <v>45868</v>
      </c>
      <c r="S1450" s="586" t="s">
        <v>670</v>
      </c>
      <c r="T1450" s="587">
        <v>45869</v>
      </c>
      <c r="U1450" s="588">
        <v>0</v>
      </c>
      <c r="V1450" s="589">
        <v>2604</v>
      </c>
      <c r="W1450" s="260">
        <v>45839</v>
      </c>
    </row>
    <row r="1451" spans="1:24" hidden="1" x14ac:dyDescent="0.35">
      <c r="A1451" s="586" t="s">
        <v>526</v>
      </c>
      <c r="B1451" s="586" t="s">
        <v>53</v>
      </c>
      <c r="C1451" s="586" t="s">
        <v>670</v>
      </c>
      <c r="D1451" s="586" t="s">
        <v>385</v>
      </c>
      <c r="E1451" s="586" t="s">
        <v>386</v>
      </c>
      <c r="F1451" s="586" t="s">
        <v>276</v>
      </c>
      <c r="G1451" s="586" t="s">
        <v>356</v>
      </c>
      <c r="H1451" s="586" t="s">
        <v>670</v>
      </c>
      <c r="I1451" s="586" t="s">
        <v>277</v>
      </c>
      <c r="J1451" s="586" t="s">
        <v>524</v>
      </c>
      <c r="K1451" s="586" t="s">
        <v>670</v>
      </c>
      <c r="L1451" s="586" t="s">
        <v>590</v>
      </c>
      <c r="M1451" s="586" t="s">
        <v>285</v>
      </c>
      <c r="N1451" s="586" t="s">
        <v>670</v>
      </c>
      <c r="O1451" s="586" t="s">
        <v>675</v>
      </c>
      <c r="P1451" s="586" t="s">
        <v>524</v>
      </c>
      <c r="Q1451" s="586" t="s">
        <v>400</v>
      </c>
      <c r="R1451" s="587">
        <v>45868</v>
      </c>
      <c r="S1451" s="586" t="s">
        <v>670</v>
      </c>
      <c r="T1451" s="587">
        <v>45869</v>
      </c>
      <c r="U1451" s="588">
        <v>0</v>
      </c>
      <c r="V1451" s="589">
        <v>5200</v>
      </c>
      <c r="W1451" s="260">
        <v>45839</v>
      </c>
    </row>
    <row r="1452" spans="1:24" hidden="1" x14ac:dyDescent="0.35">
      <c r="A1452" s="586" t="s">
        <v>526</v>
      </c>
      <c r="B1452" s="586" t="s">
        <v>53</v>
      </c>
      <c r="C1452" s="586" t="s">
        <v>521</v>
      </c>
      <c r="D1452" s="586" t="s">
        <v>681</v>
      </c>
      <c r="E1452" s="586" t="s">
        <v>682</v>
      </c>
      <c r="F1452" s="586" t="s">
        <v>276</v>
      </c>
      <c r="G1452" s="586" t="s">
        <v>356</v>
      </c>
      <c r="H1452" s="586" t="s">
        <v>670</v>
      </c>
      <c r="I1452" s="586" t="s">
        <v>277</v>
      </c>
      <c r="J1452" s="586" t="s">
        <v>524</v>
      </c>
      <c r="K1452" s="586" t="s">
        <v>683</v>
      </c>
      <c r="L1452" s="586" t="s">
        <v>590</v>
      </c>
      <c r="M1452" s="586" t="s">
        <v>285</v>
      </c>
      <c r="N1452" s="586" t="s">
        <v>670</v>
      </c>
      <c r="O1452" s="586" t="s">
        <v>670</v>
      </c>
      <c r="P1452" s="586" t="s">
        <v>524</v>
      </c>
      <c r="Q1452" s="586" t="s">
        <v>670</v>
      </c>
      <c r="R1452" s="587">
        <v>45870</v>
      </c>
      <c r="S1452" s="586" t="s">
        <v>670</v>
      </c>
      <c r="T1452" s="587">
        <v>45869</v>
      </c>
      <c r="U1452" s="588">
        <v>0</v>
      </c>
      <c r="V1452" s="589">
        <v>11760</v>
      </c>
      <c r="W1452" s="260">
        <v>45839</v>
      </c>
    </row>
    <row r="1453" spans="1:24" hidden="1" x14ac:dyDescent="0.35">
      <c r="A1453" s="586" t="s">
        <v>526</v>
      </c>
      <c r="B1453" s="586" t="s">
        <v>53</v>
      </c>
      <c r="C1453" s="586" t="s">
        <v>670</v>
      </c>
      <c r="D1453" s="586" t="s">
        <v>575</v>
      </c>
      <c r="E1453" s="586" t="s">
        <v>576</v>
      </c>
      <c r="F1453" s="586" t="s">
        <v>588</v>
      </c>
      <c r="G1453" s="586" t="s">
        <v>356</v>
      </c>
      <c r="H1453" s="586" t="s">
        <v>670</v>
      </c>
      <c r="I1453" s="586" t="s">
        <v>277</v>
      </c>
      <c r="J1453" s="586" t="s">
        <v>524</v>
      </c>
      <c r="K1453" s="586" t="s">
        <v>670</v>
      </c>
      <c r="L1453" s="586" t="s">
        <v>590</v>
      </c>
      <c r="M1453" s="586" t="s">
        <v>285</v>
      </c>
      <c r="N1453" s="586" t="s">
        <v>670</v>
      </c>
      <c r="O1453" s="586" t="s">
        <v>684</v>
      </c>
      <c r="P1453" s="586" t="s">
        <v>524</v>
      </c>
      <c r="Q1453" s="586" t="s">
        <v>589</v>
      </c>
      <c r="R1453" s="587">
        <v>45834</v>
      </c>
      <c r="S1453" s="586" t="s">
        <v>670</v>
      </c>
      <c r="T1453" s="587">
        <v>45839</v>
      </c>
      <c r="U1453" s="588">
        <v>0</v>
      </c>
      <c r="V1453" s="589">
        <v>-12750</v>
      </c>
      <c r="W1453" s="260">
        <v>45839</v>
      </c>
    </row>
    <row r="1454" spans="1:24" hidden="1" x14ac:dyDescent="0.35">
      <c r="A1454" s="586" t="s">
        <v>526</v>
      </c>
      <c r="B1454" s="586" t="s">
        <v>53</v>
      </c>
      <c r="C1454" s="586" t="s">
        <v>670</v>
      </c>
      <c r="D1454" s="586" t="s">
        <v>575</v>
      </c>
      <c r="E1454" s="586" t="s">
        <v>576</v>
      </c>
      <c r="F1454" s="586" t="s">
        <v>588</v>
      </c>
      <c r="G1454" s="586" t="s">
        <v>356</v>
      </c>
      <c r="H1454" s="586" t="s">
        <v>670</v>
      </c>
      <c r="I1454" s="586" t="s">
        <v>277</v>
      </c>
      <c r="J1454" s="586" t="s">
        <v>524</v>
      </c>
      <c r="K1454" s="586" t="s">
        <v>670</v>
      </c>
      <c r="L1454" s="586" t="s">
        <v>590</v>
      </c>
      <c r="M1454" s="586" t="s">
        <v>285</v>
      </c>
      <c r="N1454" s="586" t="s">
        <v>670</v>
      </c>
      <c r="O1454" s="586" t="s">
        <v>684</v>
      </c>
      <c r="P1454" s="586" t="s">
        <v>524</v>
      </c>
      <c r="Q1454" s="586" t="s">
        <v>589</v>
      </c>
      <c r="R1454" s="587">
        <v>45834</v>
      </c>
      <c r="S1454" s="586" t="s">
        <v>670</v>
      </c>
      <c r="T1454" s="587">
        <v>45839</v>
      </c>
      <c r="U1454" s="588">
        <v>0</v>
      </c>
      <c r="V1454" s="589">
        <v>-139197</v>
      </c>
      <c r="W1454" s="260">
        <v>45839</v>
      </c>
    </row>
    <row r="1455" spans="1:24" hidden="1" x14ac:dyDescent="0.35">
      <c r="A1455" s="586" t="s">
        <v>526</v>
      </c>
      <c r="B1455" s="586" t="s">
        <v>53</v>
      </c>
      <c r="C1455" s="586" t="s">
        <v>670</v>
      </c>
      <c r="D1455" s="586" t="s">
        <v>575</v>
      </c>
      <c r="E1455" s="586" t="s">
        <v>576</v>
      </c>
      <c r="F1455" s="586" t="s">
        <v>588</v>
      </c>
      <c r="G1455" s="586" t="s">
        <v>356</v>
      </c>
      <c r="H1455" s="586" t="s">
        <v>670</v>
      </c>
      <c r="I1455" s="586" t="s">
        <v>277</v>
      </c>
      <c r="J1455" s="586" t="s">
        <v>524</v>
      </c>
      <c r="K1455" s="586" t="s">
        <v>670</v>
      </c>
      <c r="L1455" s="586" t="s">
        <v>590</v>
      </c>
      <c r="M1455" s="586" t="s">
        <v>285</v>
      </c>
      <c r="N1455" s="586" t="s">
        <v>670</v>
      </c>
      <c r="O1455" s="586" t="s">
        <v>684</v>
      </c>
      <c r="P1455" s="586" t="s">
        <v>524</v>
      </c>
      <c r="Q1455" s="586" t="s">
        <v>589</v>
      </c>
      <c r="R1455" s="587">
        <v>45834</v>
      </c>
      <c r="S1455" s="586" t="s">
        <v>670</v>
      </c>
      <c r="T1455" s="587">
        <v>45839</v>
      </c>
      <c r="U1455" s="588">
        <v>0</v>
      </c>
      <c r="V1455" s="589">
        <v>-30500</v>
      </c>
      <c r="W1455" s="260">
        <v>45839</v>
      </c>
    </row>
    <row r="1456" spans="1:24" hidden="1" x14ac:dyDescent="0.35">
      <c r="A1456" s="586" t="s">
        <v>526</v>
      </c>
      <c r="B1456" s="586" t="s">
        <v>53</v>
      </c>
      <c r="C1456" s="586" t="s">
        <v>670</v>
      </c>
      <c r="D1456" s="586" t="s">
        <v>575</v>
      </c>
      <c r="E1456" s="586" t="s">
        <v>576</v>
      </c>
      <c r="F1456" s="586" t="s">
        <v>588</v>
      </c>
      <c r="G1456" s="586" t="s">
        <v>356</v>
      </c>
      <c r="H1456" s="586" t="s">
        <v>670</v>
      </c>
      <c r="I1456" s="586" t="s">
        <v>277</v>
      </c>
      <c r="J1456" s="586" t="s">
        <v>524</v>
      </c>
      <c r="K1456" s="586" t="s">
        <v>670</v>
      </c>
      <c r="L1456" s="586" t="s">
        <v>590</v>
      </c>
      <c r="M1456" s="586" t="s">
        <v>285</v>
      </c>
      <c r="N1456" s="586" t="s">
        <v>670</v>
      </c>
      <c r="O1456" s="586" t="s">
        <v>684</v>
      </c>
      <c r="P1456" s="586" t="s">
        <v>524</v>
      </c>
      <c r="Q1456" s="586" t="s">
        <v>589</v>
      </c>
      <c r="R1456" s="587">
        <v>45834</v>
      </c>
      <c r="S1456" s="586" t="s">
        <v>670</v>
      </c>
      <c r="T1456" s="587">
        <v>45839</v>
      </c>
      <c r="U1456" s="588">
        <v>0</v>
      </c>
      <c r="V1456" s="589">
        <v>-100170</v>
      </c>
      <c r="W1456" s="260">
        <v>45839</v>
      </c>
    </row>
    <row r="1457" spans="1:23" hidden="1" x14ac:dyDescent="0.35">
      <c r="A1457" s="586" t="s">
        <v>526</v>
      </c>
      <c r="B1457" s="586" t="s">
        <v>53</v>
      </c>
      <c r="C1457" s="586" t="s">
        <v>670</v>
      </c>
      <c r="D1457" s="586" t="s">
        <v>575</v>
      </c>
      <c r="E1457" s="586" t="s">
        <v>576</v>
      </c>
      <c r="F1457" s="586" t="s">
        <v>588</v>
      </c>
      <c r="G1457" s="586" t="s">
        <v>356</v>
      </c>
      <c r="H1457" s="586" t="s">
        <v>670</v>
      </c>
      <c r="I1457" s="586" t="s">
        <v>277</v>
      </c>
      <c r="J1457" s="586" t="s">
        <v>524</v>
      </c>
      <c r="K1457" s="586" t="s">
        <v>670</v>
      </c>
      <c r="L1457" s="586" t="s">
        <v>590</v>
      </c>
      <c r="M1457" s="586" t="s">
        <v>285</v>
      </c>
      <c r="N1457" s="586" t="s">
        <v>670</v>
      </c>
      <c r="O1457" s="586" t="s">
        <v>684</v>
      </c>
      <c r="P1457" s="586" t="s">
        <v>524</v>
      </c>
      <c r="Q1457" s="586" t="s">
        <v>589</v>
      </c>
      <c r="R1457" s="587">
        <v>45834</v>
      </c>
      <c r="S1457" s="586" t="s">
        <v>670</v>
      </c>
      <c r="T1457" s="587">
        <v>45839</v>
      </c>
      <c r="U1457" s="588">
        <v>0</v>
      </c>
      <c r="V1457" s="589">
        <v>-195503</v>
      </c>
      <c r="W1457" s="260">
        <v>45839</v>
      </c>
    </row>
    <row r="1458" spans="1:23" hidden="1" x14ac:dyDescent="0.35">
      <c r="A1458" s="586" t="s">
        <v>526</v>
      </c>
      <c r="B1458" s="586" t="s">
        <v>53</v>
      </c>
      <c r="C1458" s="586" t="s">
        <v>670</v>
      </c>
      <c r="D1458" s="586" t="s">
        <v>575</v>
      </c>
      <c r="E1458" s="586" t="s">
        <v>576</v>
      </c>
      <c r="F1458" s="586" t="s">
        <v>588</v>
      </c>
      <c r="G1458" s="586" t="s">
        <v>356</v>
      </c>
      <c r="H1458" s="586" t="s">
        <v>670</v>
      </c>
      <c r="I1458" s="586" t="s">
        <v>277</v>
      </c>
      <c r="J1458" s="586" t="s">
        <v>524</v>
      </c>
      <c r="K1458" s="586" t="s">
        <v>670</v>
      </c>
      <c r="L1458" s="586" t="s">
        <v>590</v>
      </c>
      <c r="M1458" s="586" t="s">
        <v>285</v>
      </c>
      <c r="N1458" s="586" t="s">
        <v>670</v>
      </c>
      <c r="O1458" s="586" t="s">
        <v>684</v>
      </c>
      <c r="P1458" s="586" t="s">
        <v>524</v>
      </c>
      <c r="Q1458" s="586" t="s">
        <v>589</v>
      </c>
      <c r="R1458" s="587">
        <v>45834</v>
      </c>
      <c r="S1458" s="586" t="s">
        <v>670</v>
      </c>
      <c r="T1458" s="587">
        <v>45839</v>
      </c>
      <c r="U1458" s="588">
        <v>0</v>
      </c>
      <c r="V1458" s="589">
        <v>-51250</v>
      </c>
      <c r="W1458" s="260">
        <v>45839</v>
      </c>
    </row>
    <row r="1459" spans="1:23" hidden="1" x14ac:dyDescent="0.35">
      <c r="A1459" s="586" t="s">
        <v>526</v>
      </c>
      <c r="B1459" s="586" t="s">
        <v>53</v>
      </c>
      <c r="C1459" s="586" t="s">
        <v>670</v>
      </c>
      <c r="D1459" s="586" t="s">
        <v>575</v>
      </c>
      <c r="E1459" s="586" t="s">
        <v>576</v>
      </c>
      <c r="F1459" s="586" t="s">
        <v>588</v>
      </c>
      <c r="G1459" s="586" t="s">
        <v>356</v>
      </c>
      <c r="H1459" s="586" t="s">
        <v>670</v>
      </c>
      <c r="I1459" s="586" t="s">
        <v>277</v>
      </c>
      <c r="J1459" s="586" t="s">
        <v>524</v>
      </c>
      <c r="K1459" s="586" t="s">
        <v>670</v>
      </c>
      <c r="L1459" s="586" t="s">
        <v>590</v>
      </c>
      <c r="M1459" s="586" t="s">
        <v>285</v>
      </c>
      <c r="N1459" s="586">
        <f>N1460*4</f>
        <v>485600</v>
      </c>
      <c r="O1459" s="586" t="s">
        <v>687</v>
      </c>
      <c r="P1459" s="586" t="s">
        <v>524</v>
      </c>
      <c r="Q1459" s="586" t="s">
        <v>589</v>
      </c>
      <c r="R1459" s="587">
        <v>45834</v>
      </c>
      <c r="S1459" s="586" t="s">
        <v>670</v>
      </c>
      <c r="T1459" s="587">
        <v>45839</v>
      </c>
      <c r="U1459" s="588">
        <v>0</v>
      </c>
      <c r="V1459" s="589">
        <v>-11000</v>
      </c>
      <c r="W1459" s="260">
        <v>45839</v>
      </c>
    </row>
    <row r="1460" spans="1:23" hidden="1" x14ac:dyDescent="0.35">
      <c r="A1460" s="586" t="s">
        <v>526</v>
      </c>
      <c r="B1460" s="586" t="s">
        <v>53</v>
      </c>
      <c r="C1460" s="586" t="s">
        <v>670</v>
      </c>
      <c r="D1460" s="586" t="s">
        <v>575</v>
      </c>
      <c r="E1460" s="586" t="s">
        <v>576</v>
      </c>
      <c r="F1460" s="586" t="s">
        <v>588</v>
      </c>
      <c r="G1460" s="586" t="s">
        <v>356</v>
      </c>
      <c r="H1460" s="586" t="s">
        <v>670</v>
      </c>
      <c r="I1460" s="586" t="s">
        <v>277</v>
      </c>
      <c r="J1460" s="586" t="s">
        <v>524</v>
      </c>
      <c r="K1460" s="586" t="s">
        <v>670</v>
      </c>
      <c r="L1460" s="586" t="s">
        <v>590</v>
      </c>
      <c r="M1460" s="586" t="s">
        <v>285</v>
      </c>
      <c r="N1460" s="586">
        <v>121400</v>
      </c>
      <c r="O1460" s="586" t="s">
        <v>687</v>
      </c>
      <c r="P1460" s="586" t="s">
        <v>524</v>
      </c>
      <c r="Q1460" s="586" t="s">
        <v>589</v>
      </c>
      <c r="R1460" s="587">
        <v>45834</v>
      </c>
      <c r="S1460" s="586" t="s">
        <v>670</v>
      </c>
      <c r="T1460" s="587">
        <v>45839</v>
      </c>
      <c r="U1460" s="588">
        <v>0</v>
      </c>
      <c r="V1460" s="589">
        <v>-5500</v>
      </c>
      <c r="W1460" s="260">
        <v>45839</v>
      </c>
    </row>
    <row r="1461" spans="1:23" hidden="1" x14ac:dyDescent="0.35">
      <c r="A1461" s="586" t="s">
        <v>526</v>
      </c>
      <c r="B1461" s="586" t="s">
        <v>53</v>
      </c>
      <c r="C1461" s="586" t="s">
        <v>670</v>
      </c>
      <c r="D1461" s="586" t="s">
        <v>575</v>
      </c>
      <c r="E1461" s="586" t="s">
        <v>576</v>
      </c>
      <c r="F1461" s="586" t="s">
        <v>276</v>
      </c>
      <c r="G1461" s="586" t="s">
        <v>356</v>
      </c>
      <c r="H1461" s="586" t="s">
        <v>670</v>
      </c>
      <c r="I1461" s="586" t="s">
        <v>277</v>
      </c>
      <c r="J1461" s="586" t="s">
        <v>524</v>
      </c>
      <c r="K1461" s="586" t="s">
        <v>670</v>
      </c>
      <c r="L1461" s="586" t="s">
        <v>590</v>
      </c>
      <c r="M1461" s="586" t="s">
        <v>285</v>
      </c>
      <c r="N1461" s="586" t="s">
        <v>670</v>
      </c>
      <c r="O1461" s="586" t="s">
        <v>687</v>
      </c>
      <c r="P1461" s="586" t="s">
        <v>524</v>
      </c>
      <c r="Q1461" s="586" t="s">
        <v>400</v>
      </c>
      <c r="R1461" s="587">
        <v>45868</v>
      </c>
      <c r="S1461" s="586" t="s">
        <v>670</v>
      </c>
      <c r="T1461" s="587">
        <v>45869</v>
      </c>
      <c r="U1461" s="588">
        <v>0</v>
      </c>
      <c r="V1461" s="589">
        <v>22000</v>
      </c>
      <c r="W1461" s="260">
        <v>45839</v>
      </c>
    </row>
    <row r="1462" spans="1:23" hidden="1" x14ac:dyDescent="0.35">
      <c r="A1462" s="586" t="s">
        <v>526</v>
      </c>
      <c r="B1462" s="586" t="s">
        <v>53</v>
      </c>
      <c r="C1462" s="586" t="s">
        <v>670</v>
      </c>
      <c r="D1462" s="586" t="s">
        <v>575</v>
      </c>
      <c r="E1462" s="586" t="s">
        <v>576</v>
      </c>
      <c r="F1462" s="586" t="s">
        <v>276</v>
      </c>
      <c r="G1462" s="586" t="s">
        <v>356</v>
      </c>
      <c r="H1462" s="586" t="s">
        <v>670</v>
      </c>
      <c r="I1462" s="586" t="s">
        <v>277</v>
      </c>
      <c r="J1462" s="586" t="s">
        <v>524</v>
      </c>
      <c r="K1462" s="586" t="s">
        <v>670</v>
      </c>
      <c r="L1462" s="586" t="s">
        <v>590</v>
      </c>
      <c r="M1462" s="586" t="s">
        <v>285</v>
      </c>
      <c r="N1462" s="586" t="s">
        <v>670</v>
      </c>
      <c r="O1462" s="586" t="s">
        <v>684</v>
      </c>
      <c r="P1462" s="586" t="s">
        <v>524</v>
      </c>
      <c r="Q1462" s="586" t="s">
        <v>400</v>
      </c>
      <c r="R1462" s="587">
        <v>45868</v>
      </c>
      <c r="S1462" s="586" t="s">
        <v>670</v>
      </c>
      <c r="T1462" s="587">
        <v>45869</v>
      </c>
      <c r="U1462" s="588">
        <v>0</v>
      </c>
      <c r="V1462" s="589">
        <v>614074</v>
      </c>
      <c r="W1462" s="260">
        <v>45839</v>
      </c>
    </row>
    <row r="1463" spans="1:23" hidden="1" x14ac:dyDescent="0.35">
      <c r="A1463" s="586" t="s">
        <v>526</v>
      </c>
      <c r="B1463" s="586" t="s">
        <v>53</v>
      </c>
      <c r="C1463" s="586" t="s">
        <v>670</v>
      </c>
      <c r="D1463" s="586" t="s">
        <v>575</v>
      </c>
      <c r="E1463" s="586" t="s">
        <v>576</v>
      </c>
      <c r="F1463" s="586" t="s">
        <v>276</v>
      </c>
      <c r="G1463" s="586" t="s">
        <v>356</v>
      </c>
      <c r="H1463" s="586" t="s">
        <v>670</v>
      </c>
      <c r="I1463" s="586" t="s">
        <v>277</v>
      </c>
      <c r="J1463" s="586" t="s">
        <v>524</v>
      </c>
      <c r="K1463" s="586" t="s">
        <v>670</v>
      </c>
      <c r="L1463" s="586" t="s">
        <v>590</v>
      </c>
      <c r="M1463" s="586" t="s">
        <v>285</v>
      </c>
      <c r="N1463" s="586" t="s">
        <v>670</v>
      </c>
      <c r="O1463" s="586" t="s">
        <v>678</v>
      </c>
      <c r="P1463" s="586" t="s">
        <v>524</v>
      </c>
      <c r="Q1463" s="586" t="s">
        <v>400</v>
      </c>
      <c r="R1463" s="587">
        <v>45868</v>
      </c>
      <c r="S1463" s="586" t="s">
        <v>670</v>
      </c>
      <c r="T1463" s="587">
        <v>45869</v>
      </c>
      <c r="U1463" s="588">
        <v>0</v>
      </c>
      <c r="V1463" s="589">
        <v>2000</v>
      </c>
      <c r="W1463" s="260">
        <v>45839</v>
      </c>
    </row>
    <row r="1464" spans="1:23" hidden="1" x14ac:dyDescent="0.35">
      <c r="A1464" s="586" t="s">
        <v>526</v>
      </c>
      <c r="B1464" s="586" t="s">
        <v>53</v>
      </c>
      <c r="C1464" s="586" t="s">
        <v>670</v>
      </c>
      <c r="D1464" s="586" t="s">
        <v>575</v>
      </c>
      <c r="E1464" s="586" t="s">
        <v>576</v>
      </c>
      <c r="F1464" s="586" t="s">
        <v>276</v>
      </c>
      <c r="G1464" s="586" t="s">
        <v>356</v>
      </c>
      <c r="H1464" s="586" t="s">
        <v>670</v>
      </c>
      <c r="I1464" s="586" t="s">
        <v>277</v>
      </c>
      <c r="J1464" s="586" t="s">
        <v>524</v>
      </c>
      <c r="K1464" s="586" t="s">
        <v>670</v>
      </c>
      <c r="L1464" s="586" t="s">
        <v>590</v>
      </c>
      <c r="M1464" s="586" t="s">
        <v>285</v>
      </c>
      <c r="N1464" s="586" t="s">
        <v>670</v>
      </c>
      <c r="O1464" s="586" t="s">
        <v>676</v>
      </c>
      <c r="P1464" s="586" t="s">
        <v>524</v>
      </c>
      <c r="Q1464" s="586" t="s">
        <v>400</v>
      </c>
      <c r="R1464" s="587">
        <v>45868</v>
      </c>
      <c r="S1464" s="586" t="s">
        <v>670</v>
      </c>
      <c r="T1464" s="587">
        <v>45869</v>
      </c>
      <c r="U1464" s="588">
        <v>0</v>
      </c>
      <c r="V1464" s="589">
        <v>2604</v>
      </c>
      <c r="W1464" s="260">
        <v>45839</v>
      </c>
    </row>
    <row r="1465" spans="1:23" hidden="1" x14ac:dyDescent="0.35">
      <c r="A1465" s="586" t="s">
        <v>526</v>
      </c>
      <c r="B1465" s="586" t="s">
        <v>53</v>
      </c>
      <c r="C1465" s="586" t="s">
        <v>670</v>
      </c>
      <c r="D1465" s="586" t="s">
        <v>575</v>
      </c>
      <c r="E1465" s="586" t="s">
        <v>576</v>
      </c>
      <c r="F1465" s="586" t="s">
        <v>276</v>
      </c>
      <c r="G1465" s="586" t="s">
        <v>356</v>
      </c>
      <c r="H1465" s="586" t="s">
        <v>670</v>
      </c>
      <c r="I1465" s="586" t="s">
        <v>277</v>
      </c>
      <c r="J1465" s="586" t="s">
        <v>524</v>
      </c>
      <c r="K1465" s="586" t="s">
        <v>670</v>
      </c>
      <c r="L1465" s="586" t="s">
        <v>590</v>
      </c>
      <c r="M1465" s="586" t="s">
        <v>285</v>
      </c>
      <c r="N1465" s="586" t="s">
        <v>670</v>
      </c>
      <c r="O1465" s="586" t="s">
        <v>698</v>
      </c>
      <c r="P1465" s="634" t="s">
        <v>524</v>
      </c>
      <c r="Q1465" s="586" t="s">
        <v>400</v>
      </c>
      <c r="R1465" s="587">
        <v>45868</v>
      </c>
      <c r="S1465" s="586" t="s">
        <v>670</v>
      </c>
      <c r="T1465" s="587">
        <v>45869</v>
      </c>
      <c r="U1465" s="588">
        <v>0</v>
      </c>
      <c r="V1465" s="589">
        <v>2604</v>
      </c>
      <c r="W1465" s="260">
        <v>45839</v>
      </c>
    </row>
    <row r="1466" spans="1:23" hidden="1" x14ac:dyDescent="0.35">
      <c r="A1466" s="586" t="s">
        <v>526</v>
      </c>
      <c r="B1466" s="586" t="s">
        <v>53</v>
      </c>
      <c r="C1466" s="586" t="s">
        <v>670</v>
      </c>
      <c r="D1466" s="586" t="s">
        <v>575</v>
      </c>
      <c r="E1466" s="586" t="s">
        <v>576</v>
      </c>
      <c r="F1466" s="586" t="s">
        <v>276</v>
      </c>
      <c r="G1466" s="586" t="s">
        <v>356</v>
      </c>
      <c r="H1466" s="586" t="s">
        <v>670</v>
      </c>
      <c r="I1466" s="586" t="s">
        <v>277</v>
      </c>
      <c r="J1466" s="586" t="s">
        <v>524</v>
      </c>
      <c r="K1466" s="586" t="s">
        <v>670</v>
      </c>
      <c r="L1466" s="586" t="s">
        <v>590</v>
      </c>
      <c r="M1466" s="586" t="s">
        <v>285</v>
      </c>
      <c r="N1466" s="586" t="s">
        <v>670</v>
      </c>
      <c r="O1466" s="586" t="s">
        <v>675</v>
      </c>
      <c r="P1466" s="586" t="s">
        <v>524</v>
      </c>
      <c r="Q1466" s="586" t="s">
        <v>400</v>
      </c>
      <c r="R1466" s="587">
        <v>45868</v>
      </c>
      <c r="S1466" s="586" t="s">
        <v>670</v>
      </c>
      <c r="T1466" s="587">
        <v>45869</v>
      </c>
      <c r="U1466" s="588">
        <v>0</v>
      </c>
      <c r="V1466" s="589">
        <v>4200</v>
      </c>
      <c r="W1466" s="260">
        <v>45839</v>
      </c>
    </row>
    <row r="1467" spans="1:23" hidden="1" x14ac:dyDescent="0.35">
      <c r="A1467" s="586" t="s">
        <v>526</v>
      </c>
      <c r="B1467" s="586" t="s">
        <v>53</v>
      </c>
      <c r="C1467" s="586" t="s">
        <v>670</v>
      </c>
      <c r="D1467" s="586" t="s">
        <v>575</v>
      </c>
      <c r="E1467" s="586" t="s">
        <v>576</v>
      </c>
      <c r="F1467" s="586" t="s">
        <v>276</v>
      </c>
      <c r="G1467" s="586" t="s">
        <v>356</v>
      </c>
      <c r="H1467" s="586" t="s">
        <v>670</v>
      </c>
      <c r="I1467" s="586" t="s">
        <v>277</v>
      </c>
      <c r="J1467" s="586" t="s">
        <v>524</v>
      </c>
      <c r="K1467" s="586" t="s">
        <v>670</v>
      </c>
      <c r="L1467" s="586" t="s">
        <v>590</v>
      </c>
      <c r="M1467" s="586" t="s">
        <v>285</v>
      </c>
      <c r="N1467" s="586" t="s">
        <v>670</v>
      </c>
      <c r="O1467" s="586" t="s">
        <v>680</v>
      </c>
      <c r="P1467" s="586" t="s">
        <v>524</v>
      </c>
      <c r="Q1467" s="586" t="s">
        <v>400</v>
      </c>
      <c r="R1467" s="587">
        <v>45868</v>
      </c>
      <c r="S1467" s="586" t="s">
        <v>670</v>
      </c>
      <c r="T1467" s="587">
        <v>45869</v>
      </c>
      <c r="U1467" s="588">
        <v>0</v>
      </c>
      <c r="V1467" s="589">
        <v>587</v>
      </c>
      <c r="W1467" s="260">
        <v>45839</v>
      </c>
    </row>
    <row r="1468" spans="1:23" hidden="1" x14ac:dyDescent="0.35">
      <c r="A1468" s="586" t="s">
        <v>526</v>
      </c>
      <c r="B1468" s="586" t="s">
        <v>53</v>
      </c>
      <c r="C1468" s="586" t="s">
        <v>281</v>
      </c>
      <c r="D1468" s="586" t="s">
        <v>282</v>
      </c>
      <c r="E1468" s="586" t="s">
        <v>283</v>
      </c>
      <c r="F1468" s="586" t="s">
        <v>276</v>
      </c>
      <c r="G1468" s="586" t="s">
        <v>356</v>
      </c>
      <c r="H1468" s="586" t="s">
        <v>670</v>
      </c>
      <c r="I1468" s="586" t="s">
        <v>277</v>
      </c>
      <c r="J1468" s="586" t="s">
        <v>524</v>
      </c>
      <c r="K1468" s="586" t="s">
        <v>284</v>
      </c>
      <c r="L1468" s="586" t="s">
        <v>590</v>
      </c>
      <c r="M1468" s="586" t="s">
        <v>285</v>
      </c>
      <c r="N1468" s="586" t="s">
        <v>670</v>
      </c>
      <c r="O1468" s="586" t="s">
        <v>670</v>
      </c>
      <c r="P1468" s="586" t="s">
        <v>524</v>
      </c>
      <c r="Q1468" s="586" t="s">
        <v>670</v>
      </c>
      <c r="R1468" s="587">
        <v>45870</v>
      </c>
      <c r="S1468" s="586" t="s">
        <v>670</v>
      </c>
      <c r="T1468" s="587">
        <v>45869</v>
      </c>
      <c r="U1468" s="588">
        <v>0</v>
      </c>
      <c r="V1468" s="589">
        <v>239.48</v>
      </c>
      <c r="W1468" s="260">
        <v>45839</v>
      </c>
    </row>
    <row r="1469" spans="1:23" hidden="1" x14ac:dyDescent="0.35">
      <c r="A1469" s="586" t="s">
        <v>526</v>
      </c>
      <c r="B1469" s="586" t="s">
        <v>53</v>
      </c>
      <c r="C1469" s="586" t="s">
        <v>286</v>
      </c>
      <c r="D1469" s="586" t="s">
        <v>287</v>
      </c>
      <c r="E1469" s="586" t="s">
        <v>288</v>
      </c>
      <c r="F1469" s="586" t="s">
        <v>276</v>
      </c>
      <c r="G1469" s="586" t="s">
        <v>356</v>
      </c>
      <c r="H1469" s="586" t="s">
        <v>670</v>
      </c>
      <c r="I1469" s="586" t="s">
        <v>277</v>
      </c>
      <c r="J1469" s="586" t="s">
        <v>524</v>
      </c>
      <c r="K1469" s="586" t="s">
        <v>289</v>
      </c>
      <c r="L1469" s="586" t="s">
        <v>590</v>
      </c>
      <c r="M1469" s="586" t="s">
        <v>285</v>
      </c>
      <c r="N1469" s="586" t="s">
        <v>670</v>
      </c>
      <c r="O1469" s="586" t="s">
        <v>670</v>
      </c>
      <c r="P1469" s="586" t="s">
        <v>524</v>
      </c>
      <c r="Q1469" s="586" t="s">
        <v>670</v>
      </c>
      <c r="R1469" s="587">
        <v>45870</v>
      </c>
      <c r="S1469" s="586" t="s">
        <v>670</v>
      </c>
      <c r="T1469" s="587">
        <v>45869</v>
      </c>
      <c r="U1469" s="588">
        <v>0</v>
      </c>
      <c r="V1469" s="589">
        <v>671.75</v>
      </c>
      <c r="W1469" s="260">
        <v>45839</v>
      </c>
    </row>
    <row r="1470" spans="1:23" hidden="1" x14ac:dyDescent="0.35">
      <c r="A1470" s="586" t="s">
        <v>526</v>
      </c>
      <c r="B1470" s="586" t="s">
        <v>53</v>
      </c>
      <c r="C1470" s="586" t="s">
        <v>281</v>
      </c>
      <c r="D1470" s="586" t="s">
        <v>290</v>
      </c>
      <c r="E1470" s="586" t="s">
        <v>291</v>
      </c>
      <c r="F1470" s="586" t="s">
        <v>276</v>
      </c>
      <c r="G1470" s="586" t="s">
        <v>356</v>
      </c>
      <c r="H1470" s="586" t="s">
        <v>670</v>
      </c>
      <c r="I1470" s="586" t="s">
        <v>277</v>
      </c>
      <c r="J1470" s="586" t="s">
        <v>524</v>
      </c>
      <c r="K1470" s="586" t="s">
        <v>284</v>
      </c>
      <c r="L1470" s="586" t="s">
        <v>590</v>
      </c>
      <c r="M1470" s="586" t="s">
        <v>285</v>
      </c>
      <c r="N1470" s="586" t="s">
        <v>670</v>
      </c>
      <c r="O1470" s="586" t="s">
        <v>670</v>
      </c>
      <c r="P1470" s="586" t="s">
        <v>524</v>
      </c>
      <c r="Q1470" s="586" t="s">
        <v>670</v>
      </c>
      <c r="R1470" s="587">
        <v>45870</v>
      </c>
      <c r="S1470" s="586" t="s">
        <v>670</v>
      </c>
      <c r="T1470" s="587">
        <v>45869</v>
      </c>
      <c r="U1470" s="588">
        <v>0</v>
      </c>
      <c r="V1470" s="589">
        <v>154.76</v>
      </c>
      <c r="W1470" s="260">
        <v>45839</v>
      </c>
    </row>
    <row r="1471" spans="1:23" hidden="1" x14ac:dyDescent="0.35">
      <c r="A1471" s="586" t="s">
        <v>526</v>
      </c>
      <c r="B1471" s="586" t="s">
        <v>53</v>
      </c>
      <c r="C1471" s="586" t="s">
        <v>281</v>
      </c>
      <c r="D1471" s="586" t="s">
        <v>292</v>
      </c>
      <c r="E1471" s="586" t="s">
        <v>293</v>
      </c>
      <c r="F1471" s="586" t="s">
        <v>276</v>
      </c>
      <c r="G1471" s="586" t="s">
        <v>356</v>
      </c>
      <c r="H1471" s="586" t="s">
        <v>670</v>
      </c>
      <c r="I1471" s="586" t="s">
        <v>277</v>
      </c>
      <c r="J1471" s="586" t="s">
        <v>524</v>
      </c>
      <c r="K1471" s="586" t="s">
        <v>294</v>
      </c>
      <c r="L1471" s="586" t="s">
        <v>590</v>
      </c>
      <c r="M1471" s="586" t="s">
        <v>285</v>
      </c>
      <c r="N1471" s="586" t="s">
        <v>670</v>
      </c>
      <c r="O1471" s="586" t="s">
        <v>670</v>
      </c>
      <c r="P1471" s="586" t="s">
        <v>524</v>
      </c>
      <c r="Q1471" s="586" t="s">
        <v>670</v>
      </c>
      <c r="R1471" s="587">
        <v>45870</v>
      </c>
      <c r="S1471" s="586" t="s">
        <v>670</v>
      </c>
      <c r="T1471" s="587">
        <v>45869</v>
      </c>
      <c r="U1471" s="588">
        <v>0</v>
      </c>
      <c r="V1471" s="589">
        <v>171.11</v>
      </c>
      <c r="W1471" s="260">
        <v>45839</v>
      </c>
    </row>
    <row r="1472" spans="1:23" hidden="1" x14ac:dyDescent="0.35">
      <c r="A1472" s="586" t="s">
        <v>526</v>
      </c>
      <c r="B1472" s="586" t="s">
        <v>53</v>
      </c>
      <c r="C1472" s="586" t="s">
        <v>286</v>
      </c>
      <c r="D1472" s="586" t="s">
        <v>295</v>
      </c>
      <c r="E1472" s="586" t="s">
        <v>296</v>
      </c>
      <c r="F1472" s="586" t="s">
        <v>276</v>
      </c>
      <c r="G1472" s="586" t="s">
        <v>356</v>
      </c>
      <c r="H1472" s="586" t="s">
        <v>670</v>
      </c>
      <c r="I1472" s="586" t="s">
        <v>277</v>
      </c>
      <c r="J1472" s="586" t="s">
        <v>524</v>
      </c>
      <c r="K1472" s="586" t="s">
        <v>297</v>
      </c>
      <c r="L1472" s="586" t="s">
        <v>590</v>
      </c>
      <c r="M1472" s="586" t="s">
        <v>285</v>
      </c>
      <c r="N1472" s="586" t="s">
        <v>670</v>
      </c>
      <c r="O1472" s="586" t="s">
        <v>670</v>
      </c>
      <c r="P1472" s="586" t="s">
        <v>524</v>
      </c>
      <c r="Q1472" s="586" t="s">
        <v>670</v>
      </c>
      <c r="R1472" s="587">
        <v>45870</v>
      </c>
      <c r="S1472" s="586" t="s">
        <v>670</v>
      </c>
      <c r="T1472" s="587">
        <v>45869</v>
      </c>
      <c r="U1472" s="588">
        <v>0</v>
      </c>
      <c r="V1472" s="589">
        <v>366.23</v>
      </c>
      <c r="W1472" s="260">
        <v>45839</v>
      </c>
    </row>
    <row r="1473" spans="1:23" hidden="1" x14ac:dyDescent="0.35">
      <c r="A1473" s="586" t="s">
        <v>526</v>
      </c>
      <c r="B1473" s="586" t="s">
        <v>53</v>
      </c>
      <c r="C1473" s="586" t="s">
        <v>298</v>
      </c>
      <c r="D1473" s="586" t="s">
        <v>299</v>
      </c>
      <c r="E1473" s="586" t="s">
        <v>300</v>
      </c>
      <c r="F1473" s="586" t="s">
        <v>276</v>
      </c>
      <c r="G1473" s="586" t="s">
        <v>356</v>
      </c>
      <c r="H1473" s="586" t="s">
        <v>670</v>
      </c>
      <c r="I1473" s="586" t="s">
        <v>277</v>
      </c>
      <c r="J1473" s="586" t="s">
        <v>524</v>
      </c>
      <c r="K1473" s="586" t="s">
        <v>301</v>
      </c>
      <c r="L1473" s="586" t="s">
        <v>590</v>
      </c>
      <c r="M1473" s="586" t="s">
        <v>285</v>
      </c>
      <c r="N1473" s="586" t="s">
        <v>670</v>
      </c>
      <c r="O1473" s="586" t="s">
        <v>670</v>
      </c>
      <c r="P1473" s="586" t="s">
        <v>524</v>
      </c>
      <c r="Q1473" s="586" t="s">
        <v>670</v>
      </c>
      <c r="R1473" s="587">
        <v>45870</v>
      </c>
      <c r="S1473" s="586" t="s">
        <v>670</v>
      </c>
      <c r="T1473" s="587">
        <v>45869</v>
      </c>
      <c r="U1473" s="588">
        <v>0</v>
      </c>
      <c r="V1473" s="589">
        <v>0.01</v>
      </c>
      <c r="W1473" s="260">
        <v>45839</v>
      </c>
    </row>
    <row r="1474" spans="1:23" hidden="1" x14ac:dyDescent="0.35">
      <c r="A1474" s="586" t="s">
        <v>526</v>
      </c>
      <c r="B1474" s="586" t="s">
        <v>53</v>
      </c>
      <c r="C1474" s="586" t="s">
        <v>298</v>
      </c>
      <c r="D1474" s="586" t="s">
        <v>299</v>
      </c>
      <c r="E1474" s="586" t="s">
        <v>300</v>
      </c>
      <c r="F1474" s="586" t="s">
        <v>276</v>
      </c>
      <c r="G1474" s="586" t="s">
        <v>356</v>
      </c>
      <c r="H1474" s="586" t="s">
        <v>670</v>
      </c>
      <c r="I1474" s="586" t="s">
        <v>277</v>
      </c>
      <c r="J1474" s="586" t="s">
        <v>524</v>
      </c>
      <c r="K1474" s="586" t="s">
        <v>301</v>
      </c>
      <c r="L1474" s="586" t="s">
        <v>590</v>
      </c>
      <c r="M1474" s="586" t="s">
        <v>285</v>
      </c>
      <c r="N1474" s="586" t="s">
        <v>670</v>
      </c>
      <c r="O1474" s="586" t="s">
        <v>670</v>
      </c>
      <c r="P1474" s="586" t="s">
        <v>524</v>
      </c>
      <c r="Q1474" s="586" t="s">
        <v>670</v>
      </c>
      <c r="R1474" s="587">
        <v>45870</v>
      </c>
      <c r="S1474" s="586" t="s">
        <v>670</v>
      </c>
      <c r="T1474" s="587">
        <v>45869</v>
      </c>
      <c r="U1474" s="588">
        <v>0</v>
      </c>
      <c r="V1474" s="589">
        <v>0.23</v>
      </c>
      <c r="W1474" s="260">
        <v>45839</v>
      </c>
    </row>
    <row r="1475" spans="1:23" hidden="1" x14ac:dyDescent="0.35">
      <c r="A1475" s="586" t="s">
        <v>526</v>
      </c>
      <c r="B1475" s="586" t="s">
        <v>53</v>
      </c>
      <c r="C1475" s="586" t="s">
        <v>298</v>
      </c>
      <c r="D1475" s="586" t="s">
        <v>304</v>
      </c>
      <c r="E1475" s="586" t="s">
        <v>305</v>
      </c>
      <c r="F1475" s="586" t="s">
        <v>276</v>
      </c>
      <c r="G1475" s="586" t="s">
        <v>356</v>
      </c>
      <c r="H1475" s="586" t="s">
        <v>670</v>
      </c>
      <c r="I1475" s="586" t="s">
        <v>277</v>
      </c>
      <c r="J1475" s="586" t="s">
        <v>524</v>
      </c>
      <c r="K1475" s="586" t="s">
        <v>301</v>
      </c>
      <c r="L1475" s="586" t="s">
        <v>590</v>
      </c>
      <c r="M1475" s="586" t="s">
        <v>285</v>
      </c>
      <c r="N1475" s="586" t="s">
        <v>670</v>
      </c>
      <c r="O1475" s="586" t="s">
        <v>670</v>
      </c>
      <c r="P1475" s="586" t="s">
        <v>524</v>
      </c>
      <c r="Q1475" s="586" t="s">
        <v>670</v>
      </c>
      <c r="R1475" s="587">
        <v>45870</v>
      </c>
      <c r="S1475" s="586" t="s">
        <v>670</v>
      </c>
      <c r="T1475" s="587">
        <v>45869</v>
      </c>
      <c r="U1475" s="588">
        <v>0</v>
      </c>
      <c r="V1475" s="589">
        <v>0.26</v>
      </c>
      <c r="W1475" s="260">
        <v>45839</v>
      </c>
    </row>
    <row r="1476" spans="1:23" hidden="1" x14ac:dyDescent="0.35">
      <c r="A1476" s="586" t="s">
        <v>526</v>
      </c>
      <c r="B1476" s="586" t="s">
        <v>53</v>
      </c>
      <c r="C1476" s="586" t="s">
        <v>298</v>
      </c>
      <c r="D1476" s="586" t="s">
        <v>306</v>
      </c>
      <c r="E1476" s="586" t="s">
        <v>307</v>
      </c>
      <c r="F1476" s="586" t="s">
        <v>276</v>
      </c>
      <c r="G1476" s="586" t="s">
        <v>356</v>
      </c>
      <c r="H1476" s="586" t="s">
        <v>670</v>
      </c>
      <c r="I1476" s="586" t="s">
        <v>277</v>
      </c>
      <c r="J1476" s="586" t="s">
        <v>524</v>
      </c>
      <c r="K1476" s="586" t="s">
        <v>301</v>
      </c>
      <c r="L1476" s="586" t="s">
        <v>590</v>
      </c>
      <c r="M1476" s="586" t="s">
        <v>285</v>
      </c>
      <c r="N1476" s="586" t="s">
        <v>670</v>
      </c>
      <c r="O1476" s="586" t="s">
        <v>670</v>
      </c>
      <c r="P1476" s="586" t="s">
        <v>524</v>
      </c>
      <c r="Q1476" s="586" t="s">
        <v>670</v>
      </c>
      <c r="R1476" s="587">
        <v>45870</v>
      </c>
      <c r="S1476" s="586" t="s">
        <v>670</v>
      </c>
      <c r="T1476" s="587">
        <v>45869</v>
      </c>
      <c r="U1476" s="588">
        <v>0</v>
      </c>
      <c r="V1476" s="589">
        <v>0.01</v>
      </c>
      <c r="W1476" s="260">
        <v>45839</v>
      </c>
    </row>
    <row r="1477" spans="1:23" hidden="1" x14ac:dyDescent="0.35">
      <c r="A1477" s="586" t="s">
        <v>526</v>
      </c>
      <c r="B1477" s="586" t="s">
        <v>53</v>
      </c>
      <c r="C1477" s="586" t="s">
        <v>298</v>
      </c>
      <c r="D1477" s="586" t="s">
        <v>306</v>
      </c>
      <c r="E1477" s="586" t="s">
        <v>307</v>
      </c>
      <c r="F1477" s="586" t="s">
        <v>276</v>
      </c>
      <c r="G1477" s="586" t="s">
        <v>356</v>
      </c>
      <c r="H1477" s="586" t="s">
        <v>670</v>
      </c>
      <c r="I1477" s="586" t="s">
        <v>277</v>
      </c>
      <c r="J1477" s="586" t="s">
        <v>524</v>
      </c>
      <c r="K1477" s="586" t="s">
        <v>301</v>
      </c>
      <c r="L1477" s="586" t="s">
        <v>590</v>
      </c>
      <c r="M1477" s="586" t="s">
        <v>285</v>
      </c>
      <c r="N1477" s="586" t="s">
        <v>670</v>
      </c>
      <c r="O1477" s="586" t="s">
        <v>670</v>
      </c>
      <c r="P1477" s="586" t="s">
        <v>524</v>
      </c>
      <c r="Q1477" s="586" t="s">
        <v>670</v>
      </c>
      <c r="R1477" s="587">
        <v>45870</v>
      </c>
      <c r="S1477" s="586" t="s">
        <v>670</v>
      </c>
      <c r="T1477" s="587">
        <v>45869</v>
      </c>
      <c r="U1477" s="588">
        <v>0</v>
      </c>
      <c r="V1477" s="589">
        <v>0.36</v>
      </c>
      <c r="W1477" s="260">
        <v>45839</v>
      </c>
    </row>
    <row r="1478" spans="1:23" hidden="1" x14ac:dyDescent="0.35">
      <c r="A1478" s="586" t="s">
        <v>526</v>
      </c>
      <c r="B1478" s="586" t="s">
        <v>53</v>
      </c>
      <c r="C1478" s="586" t="s">
        <v>298</v>
      </c>
      <c r="D1478" s="586" t="s">
        <v>308</v>
      </c>
      <c r="E1478" s="586" t="s">
        <v>309</v>
      </c>
      <c r="F1478" s="586" t="s">
        <v>276</v>
      </c>
      <c r="G1478" s="586" t="s">
        <v>356</v>
      </c>
      <c r="H1478" s="586" t="s">
        <v>670</v>
      </c>
      <c r="I1478" s="586" t="s">
        <v>277</v>
      </c>
      <c r="J1478" s="586" t="s">
        <v>524</v>
      </c>
      <c r="K1478" s="586" t="s">
        <v>301</v>
      </c>
      <c r="L1478" s="586" t="s">
        <v>590</v>
      </c>
      <c r="M1478" s="586" t="s">
        <v>285</v>
      </c>
      <c r="N1478" s="586" t="s">
        <v>670</v>
      </c>
      <c r="O1478" s="586" t="s">
        <v>670</v>
      </c>
      <c r="P1478" s="586" t="s">
        <v>524</v>
      </c>
      <c r="Q1478" s="586" t="s">
        <v>670</v>
      </c>
      <c r="R1478" s="587">
        <v>45870</v>
      </c>
      <c r="S1478" s="586" t="s">
        <v>670</v>
      </c>
      <c r="T1478" s="587">
        <v>45869</v>
      </c>
      <c r="U1478" s="588">
        <v>0</v>
      </c>
      <c r="V1478" s="589">
        <v>70.569999999999993</v>
      </c>
      <c r="W1478" s="260">
        <v>45839</v>
      </c>
    </row>
    <row r="1479" spans="1:23" hidden="1" x14ac:dyDescent="0.35">
      <c r="A1479" s="586" t="s">
        <v>526</v>
      </c>
      <c r="B1479" s="586" t="s">
        <v>53</v>
      </c>
      <c r="C1479" s="586" t="s">
        <v>302</v>
      </c>
      <c r="D1479" s="586" t="s">
        <v>308</v>
      </c>
      <c r="E1479" s="586" t="s">
        <v>309</v>
      </c>
      <c r="F1479" s="586" t="s">
        <v>276</v>
      </c>
      <c r="G1479" s="586" t="s">
        <v>356</v>
      </c>
      <c r="H1479" s="586" t="s">
        <v>670</v>
      </c>
      <c r="I1479" s="586" t="s">
        <v>277</v>
      </c>
      <c r="J1479" s="586" t="s">
        <v>524</v>
      </c>
      <c r="K1479" s="586" t="s">
        <v>303</v>
      </c>
      <c r="L1479" s="586" t="s">
        <v>590</v>
      </c>
      <c r="M1479" s="586" t="s">
        <v>285</v>
      </c>
      <c r="N1479" s="586" t="s">
        <v>670</v>
      </c>
      <c r="O1479" s="586" t="s">
        <v>670</v>
      </c>
      <c r="P1479" s="586" t="s">
        <v>524</v>
      </c>
      <c r="Q1479" s="586" t="s">
        <v>670</v>
      </c>
      <c r="R1479" s="587">
        <v>45870</v>
      </c>
      <c r="S1479" s="586" t="s">
        <v>670</v>
      </c>
      <c r="T1479" s="587">
        <v>45869</v>
      </c>
      <c r="U1479" s="588">
        <v>0</v>
      </c>
      <c r="V1479" s="589">
        <v>154.09</v>
      </c>
      <c r="W1479" s="260">
        <v>45839</v>
      </c>
    </row>
    <row r="1480" spans="1:23" hidden="1" x14ac:dyDescent="0.35">
      <c r="A1480" s="586" t="s">
        <v>526</v>
      </c>
      <c r="B1480" s="586" t="s">
        <v>53</v>
      </c>
      <c r="C1480" s="586" t="s">
        <v>302</v>
      </c>
      <c r="D1480" s="586" t="s">
        <v>310</v>
      </c>
      <c r="E1480" s="586" t="s">
        <v>311</v>
      </c>
      <c r="F1480" s="586" t="s">
        <v>276</v>
      </c>
      <c r="G1480" s="586" t="s">
        <v>356</v>
      </c>
      <c r="H1480" s="586" t="s">
        <v>670</v>
      </c>
      <c r="I1480" s="586" t="s">
        <v>277</v>
      </c>
      <c r="J1480" s="586" t="s">
        <v>524</v>
      </c>
      <c r="K1480" s="586" t="s">
        <v>303</v>
      </c>
      <c r="L1480" s="586" t="s">
        <v>590</v>
      </c>
      <c r="M1480" s="586" t="s">
        <v>285</v>
      </c>
      <c r="N1480" s="586" t="s">
        <v>670</v>
      </c>
      <c r="O1480" s="586" t="s">
        <v>670</v>
      </c>
      <c r="P1480" s="586" t="s">
        <v>524</v>
      </c>
      <c r="Q1480" s="586" t="s">
        <v>670</v>
      </c>
      <c r="R1480" s="587">
        <v>45870</v>
      </c>
      <c r="S1480" s="586" t="s">
        <v>670</v>
      </c>
      <c r="T1480" s="587">
        <v>45869</v>
      </c>
      <c r="U1480" s="588">
        <v>0</v>
      </c>
      <c r="V1480" s="589">
        <v>485.85</v>
      </c>
      <c r="W1480" s="260">
        <v>45839</v>
      </c>
    </row>
    <row r="1481" spans="1:23" hidden="1" x14ac:dyDescent="0.35">
      <c r="A1481" s="586" t="s">
        <v>526</v>
      </c>
      <c r="B1481" s="586" t="s">
        <v>53</v>
      </c>
      <c r="C1481" s="586" t="s">
        <v>298</v>
      </c>
      <c r="D1481" s="586" t="s">
        <v>312</v>
      </c>
      <c r="E1481" s="586" t="s">
        <v>313</v>
      </c>
      <c r="F1481" s="586" t="s">
        <v>276</v>
      </c>
      <c r="G1481" s="586" t="s">
        <v>356</v>
      </c>
      <c r="H1481" s="586" t="s">
        <v>670</v>
      </c>
      <c r="I1481" s="586" t="s">
        <v>277</v>
      </c>
      <c r="J1481" s="586" t="s">
        <v>524</v>
      </c>
      <c r="K1481" s="586" t="s">
        <v>301</v>
      </c>
      <c r="L1481" s="586" t="s">
        <v>590</v>
      </c>
      <c r="M1481" s="586" t="s">
        <v>285</v>
      </c>
      <c r="N1481" s="586" t="s">
        <v>670</v>
      </c>
      <c r="O1481" s="586" t="s">
        <v>670</v>
      </c>
      <c r="P1481" s="586" t="s">
        <v>524</v>
      </c>
      <c r="Q1481" s="586" t="s">
        <v>670</v>
      </c>
      <c r="R1481" s="587">
        <v>45870</v>
      </c>
      <c r="S1481" s="586" t="s">
        <v>670</v>
      </c>
      <c r="T1481" s="587">
        <v>45869</v>
      </c>
      <c r="U1481" s="588">
        <v>0</v>
      </c>
      <c r="V1481" s="589">
        <v>15.56</v>
      </c>
      <c r="W1481" s="260">
        <v>45839</v>
      </c>
    </row>
    <row r="1482" spans="1:23" hidden="1" x14ac:dyDescent="0.35">
      <c r="A1482" s="586" t="s">
        <v>526</v>
      </c>
      <c r="B1482" s="586" t="s">
        <v>53</v>
      </c>
      <c r="C1482" s="586" t="s">
        <v>298</v>
      </c>
      <c r="D1482" s="586" t="s">
        <v>314</v>
      </c>
      <c r="E1482" s="586" t="s">
        <v>315</v>
      </c>
      <c r="F1482" s="586" t="s">
        <v>276</v>
      </c>
      <c r="G1482" s="586" t="s">
        <v>356</v>
      </c>
      <c r="H1482" s="586" t="s">
        <v>670</v>
      </c>
      <c r="I1482" s="586" t="s">
        <v>277</v>
      </c>
      <c r="J1482" s="586" t="s">
        <v>524</v>
      </c>
      <c r="K1482" s="586" t="s">
        <v>301</v>
      </c>
      <c r="L1482" s="586" t="s">
        <v>590</v>
      </c>
      <c r="M1482" s="586" t="s">
        <v>285</v>
      </c>
      <c r="N1482" s="586" t="s">
        <v>670</v>
      </c>
      <c r="O1482" s="586" t="s">
        <v>670</v>
      </c>
      <c r="P1482" s="586" t="s">
        <v>524</v>
      </c>
      <c r="Q1482" s="586" t="s">
        <v>670</v>
      </c>
      <c r="R1482" s="587">
        <v>45870</v>
      </c>
      <c r="S1482" s="586" t="s">
        <v>670</v>
      </c>
      <c r="T1482" s="587">
        <v>45869</v>
      </c>
      <c r="U1482" s="588">
        <v>0</v>
      </c>
      <c r="V1482" s="589">
        <v>26.78</v>
      </c>
      <c r="W1482" s="260">
        <v>45839</v>
      </c>
    </row>
    <row r="1483" spans="1:23" hidden="1" x14ac:dyDescent="0.35">
      <c r="A1483" s="586" t="s">
        <v>526</v>
      </c>
      <c r="B1483" s="586" t="s">
        <v>53</v>
      </c>
      <c r="C1483" s="586" t="s">
        <v>298</v>
      </c>
      <c r="D1483" s="586" t="s">
        <v>316</v>
      </c>
      <c r="E1483" s="586" t="s">
        <v>317</v>
      </c>
      <c r="F1483" s="586" t="s">
        <v>276</v>
      </c>
      <c r="G1483" s="586" t="s">
        <v>356</v>
      </c>
      <c r="H1483" s="586" t="s">
        <v>670</v>
      </c>
      <c r="I1483" s="586" t="s">
        <v>277</v>
      </c>
      <c r="J1483" s="586" t="s">
        <v>524</v>
      </c>
      <c r="K1483" s="586" t="s">
        <v>301</v>
      </c>
      <c r="L1483" s="586" t="s">
        <v>590</v>
      </c>
      <c r="M1483" s="586" t="s">
        <v>285</v>
      </c>
      <c r="N1483" s="586" t="s">
        <v>670</v>
      </c>
      <c r="O1483" s="586" t="s">
        <v>670</v>
      </c>
      <c r="P1483" s="586" t="s">
        <v>524</v>
      </c>
      <c r="Q1483" s="586" t="s">
        <v>670</v>
      </c>
      <c r="R1483" s="587">
        <v>45870</v>
      </c>
      <c r="S1483" s="586" t="s">
        <v>670</v>
      </c>
      <c r="T1483" s="587">
        <v>45869</v>
      </c>
      <c r="U1483" s="588">
        <v>0</v>
      </c>
      <c r="V1483" s="589">
        <v>35</v>
      </c>
      <c r="W1483" s="260">
        <v>45839</v>
      </c>
    </row>
    <row r="1484" spans="1:23" hidden="1" x14ac:dyDescent="0.35">
      <c r="A1484" s="586" t="s">
        <v>526</v>
      </c>
      <c r="B1484" s="586" t="s">
        <v>53</v>
      </c>
      <c r="C1484" s="586" t="s">
        <v>298</v>
      </c>
      <c r="D1484" s="586" t="s">
        <v>318</v>
      </c>
      <c r="E1484" s="586" t="s">
        <v>319</v>
      </c>
      <c r="F1484" s="586" t="s">
        <v>276</v>
      </c>
      <c r="G1484" s="586" t="s">
        <v>356</v>
      </c>
      <c r="H1484" s="586" t="s">
        <v>670</v>
      </c>
      <c r="I1484" s="586" t="s">
        <v>277</v>
      </c>
      <c r="J1484" s="586" t="s">
        <v>524</v>
      </c>
      <c r="K1484" s="586" t="s">
        <v>301</v>
      </c>
      <c r="L1484" s="586" t="s">
        <v>590</v>
      </c>
      <c r="M1484" s="586" t="s">
        <v>285</v>
      </c>
      <c r="N1484" s="586" t="s">
        <v>670</v>
      </c>
      <c r="O1484" s="586" t="s">
        <v>670</v>
      </c>
      <c r="P1484" s="586" t="s">
        <v>524</v>
      </c>
      <c r="Q1484" s="586" t="s">
        <v>670</v>
      </c>
      <c r="R1484" s="587">
        <v>45870</v>
      </c>
      <c r="S1484" s="586" t="s">
        <v>670</v>
      </c>
      <c r="T1484" s="587">
        <v>45869</v>
      </c>
      <c r="U1484" s="588">
        <v>0</v>
      </c>
      <c r="V1484" s="589">
        <v>0.1</v>
      </c>
      <c r="W1484" s="260">
        <v>45839</v>
      </c>
    </row>
    <row r="1485" spans="1:23" hidden="1" x14ac:dyDescent="0.35">
      <c r="A1485" s="586" t="s">
        <v>526</v>
      </c>
      <c r="B1485" s="586" t="s">
        <v>53</v>
      </c>
      <c r="C1485" s="586" t="s">
        <v>298</v>
      </c>
      <c r="D1485" s="586" t="s">
        <v>318</v>
      </c>
      <c r="E1485" s="586" t="s">
        <v>319</v>
      </c>
      <c r="F1485" s="586" t="s">
        <v>276</v>
      </c>
      <c r="G1485" s="586" t="s">
        <v>356</v>
      </c>
      <c r="H1485" s="586" t="s">
        <v>670</v>
      </c>
      <c r="I1485" s="586" t="s">
        <v>277</v>
      </c>
      <c r="J1485" s="586" t="s">
        <v>524</v>
      </c>
      <c r="K1485" s="586" t="s">
        <v>301</v>
      </c>
      <c r="L1485" s="586" t="s">
        <v>590</v>
      </c>
      <c r="M1485" s="586" t="s">
        <v>285</v>
      </c>
      <c r="N1485" s="586" t="s">
        <v>670</v>
      </c>
      <c r="O1485" s="586" t="s">
        <v>670</v>
      </c>
      <c r="P1485" s="586" t="s">
        <v>524</v>
      </c>
      <c r="Q1485" s="586" t="s">
        <v>670</v>
      </c>
      <c r="R1485" s="587">
        <v>45870</v>
      </c>
      <c r="S1485" s="586" t="s">
        <v>670</v>
      </c>
      <c r="T1485" s="587">
        <v>45869</v>
      </c>
      <c r="U1485" s="588">
        <v>0</v>
      </c>
      <c r="V1485" s="589">
        <v>1.3</v>
      </c>
      <c r="W1485" s="260">
        <v>45839</v>
      </c>
    </row>
    <row r="1486" spans="1:23" hidden="1" x14ac:dyDescent="0.35">
      <c r="A1486" s="586" t="s">
        <v>526</v>
      </c>
      <c r="B1486" s="586" t="s">
        <v>53</v>
      </c>
      <c r="C1486" s="586" t="s">
        <v>298</v>
      </c>
      <c r="D1486" s="586" t="s">
        <v>391</v>
      </c>
      <c r="E1486" s="586" t="s">
        <v>392</v>
      </c>
      <c r="F1486" s="586" t="s">
        <v>276</v>
      </c>
      <c r="G1486" s="586" t="s">
        <v>356</v>
      </c>
      <c r="H1486" s="586" t="s">
        <v>670</v>
      </c>
      <c r="I1486" s="586" t="s">
        <v>277</v>
      </c>
      <c r="J1486" s="586" t="s">
        <v>524</v>
      </c>
      <c r="K1486" s="586" t="s">
        <v>301</v>
      </c>
      <c r="L1486" s="586" t="s">
        <v>590</v>
      </c>
      <c r="M1486" s="586" t="s">
        <v>285</v>
      </c>
      <c r="N1486" s="586" t="s">
        <v>670</v>
      </c>
      <c r="O1486" s="586" t="s">
        <v>670</v>
      </c>
      <c r="P1486" s="586" t="s">
        <v>524</v>
      </c>
      <c r="Q1486" s="586" t="s">
        <v>670</v>
      </c>
      <c r="R1486" s="587">
        <v>45870</v>
      </c>
      <c r="S1486" s="586" t="s">
        <v>670</v>
      </c>
      <c r="T1486" s="587">
        <v>45869</v>
      </c>
      <c r="U1486" s="588">
        <v>0</v>
      </c>
      <c r="V1486" s="589">
        <v>0.26</v>
      </c>
      <c r="W1486" s="260">
        <v>45839</v>
      </c>
    </row>
    <row r="1487" spans="1:23" hidden="1" x14ac:dyDescent="0.35">
      <c r="A1487" s="586" t="s">
        <v>526</v>
      </c>
      <c r="B1487" s="586" t="s">
        <v>53</v>
      </c>
      <c r="C1487" s="586" t="s">
        <v>298</v>
      </c>
      <c r="D1487" s="586" t="s">
        <v>320</v>
      </c>
      <c r="E1487" s="586" t="s">
        <v>321</v>
      </c>
      <c r="F1487" s="586" t="s">
        <v>276</v>
      </c>
      <c r="G1487" s="586" t="s">
        <v>356</v>
      </c>
      <c r="H1487" s="586" t="s">
        <v>670</v>
      </c>
      <c r="I1487" s="586" t="s">
        <v>277</v>
      </c>
      <c r="J1487" s="586" t="s">
        <v>524</v>
      </c>
      <c r="K1487" s="586" t="s">
        <v>301</v>
      </c>
      <c r="L1487" s="586" t="s">
        <v>590</v>
      </c>
      <c r="M1487" s="586" t="s">
        <v>285</v>
      </c>
      <c r="N1487" s="586" t="s">
        <v>670</v>
      </c>
      <c r="O1487" s="586" t="s">
        <v>670</v>
      </c>
      <c r="P1487" s="586" t="s">
        <v>524</v>
      </c>
      <c r="Q1487" s="586" t="s">
        <v>670</v>
      </c>
      <c r="R1487" s="587">
        <v>45870</v>
      </c>
      <c r="S1487" s="586" t="s">
        <v>670</v>
      </c>
      <c r="T1487" s="587">
        <v>45869</v>
      </c>
      <c r="U1487" s="588">
        <v>0</v>
      </c>
      <c r="V1487" s="589">
        <v>17.760000000000002</v>
      </c>
      <c r="W1487" s="260">
        <v>45839</v>
      </c>
    </row>
    <row r="1488" spans="1:23" hidden="1" x14ac:dyDescent="0.35">
      <c r="A1488" s="586" t="s">
        <v>526</v>
      </c>
      <c r="B1488" s="586" t="s">
        <v>53</v>
      </c>
      <c r="C1488" s="586" t="s">
        <v>298</v>
      </c>
      <c r="D1488" s="586" t="s">
        <v>322</v>
      </c>
      <c r="E1488" s="586" t="s">
        <v>323</v>
      </c>
      <c r="F1488" s="586" t="s">
        <v>276</v>
      </c>
      <c r="G1488" s="586" t="s">
        <v>356</v>
      </c>
      <c r="H1488" s="586" t="s">
        <v>670</v>
      </c>
      <c r="I1488" s="586" t="s">
        <v>277</v>
      </c>
      <c r="J1488" s="586" t="s">
        <v>524</v>
      </c>
      <c r="K1488" s="586" t="s">
        <v>301</v>
      </c>
      <c r="L1488" s="586" t="s">
        <v>590</v>
      </c>
      <c r="M1488" s="586" t="s">
        <v>285</v>
      </c>
      <c r="N1488" s="586" t="s">
        <v>670</v>
      </c>
      <c r="O1488" s="586" t="s">
        <v>670</v>
      </c>
      <c r="P1488" s="586" t="s">
        <v>524</v>
      </c>
      <c r="Q1488" s="586" t="s">
        <v>670</v>
      </c>
      <c r="R1488" s="587">
        <v>45870</v>
      </c>
      <c r="S1488" s="586" t="s">
        <v>670</v>
      </c>
      <c r="T1488" s="587">
        <v>45869</v>
      </c>
      <c r="U1488" s="588">
        <v>0</v>
      </c>
      <c r="V1488" s="589">
        <v>0.6</v>
      </c>
      <c r="W1488" s="260">
        <v>45839</v>
      </c>
    </row>
    <row r="1489" spans="1:23" hidden="1" x14ac:dyDescent="0.35">
      <c r="A1489" s="586" t="s">
        <v>526</v>
      </c>
      <c r="B1489" s="586" t="s">
        <v>53</v>
      </c>
      <c r="C1489" s="586" t="s">
        <v>298</v>
      </c>
      <c r="D1489" s="586" t="s">
        <v>322</v>
      </c>
      <c r="E1489" s="586" t="s">
        <v>323</v>
      </c>
      <c r="F1489" s="586" t="s">
        <v>276</v>
      </c>
      <c r="G1489" s="586" t="s">
        <v>356</v>
      </c>
      <c r="H1489" s="586" t="s">
        <v>670</v>
      </c>
      <c r="I1489" s="586" t="s">
        <v>277</v>
      </c>
      <c r="J1489" s="586" t="s">
        <v>524</v>
      </c>
      <c r="K1489" s="586" t="s">
        <v>301</v>
      </c>
      <c r="L1489" s="586" t="s">
        <v>590</v>
      </c>
      <c r="M1489" s="586" t="s">
        <v>285</v>
      </c>
      <c r="N1489" s="586" t="s">
        <v>670</v>
      </c>
      <c r="O1489" s="586" t="s">
        <v>670</v>
      </c>
      <c r="P1489" s="586" t="s">
        <v>524</v>
      </c>
      <c r="Q1489" s="586" t="s">
        <v>670</v>
      </c>
      <c r="R1489" s="587">
        <v>45870</v>
      </c>
      <c r="S1489" s="586" t="s">
        <v>670</v>
      </c>
      <c r="T1489" s="587">
        <v>45869</v>
      </c>
      <c r="U1489" s="588">
        <v>0</v>
      </c>
      <c r="V1489" s="589">
        <v>0.01</v>
      </c>
      <c r="W1489" s="260">
        <v>45839</v>
      </c>
    </row>
    <row r="1490" spans="1:23" hidden="1" x14ac:dyDescent="0.35">
      <c r="A1490" s="586" t="s">
        <v>526</v>
      </c>
      <c r="B1490" s="586" t="s">
        <v>53</v>
      </c>
      <c r="C1490" s="586" t="s">
        <v>298</v>
      </c>
      <c r="D1490" s="586" t="s">
        <v>324</v>
      </c>
      <c r="E1490" s="586" t="s">
        <v>325</v>
      </c>
      <c r="F1490" s="586" t="s">
        <v>276</v>
      </c>
      <c r="G1490" s="586" t="s">
        <v>356</v>
      </c>
      <c r="H1490" s="586" t="s">
        <v>670</v>
      </c>
      <c r="I1490" s="586" t="s">
        <v>277</v>
      </c>
      <c r="J1490" s="586" t="s">
        <v>524</v>
      </c>
      <c r="K1490" s="586" t="s">
        <v>301</v>
      </c>
      <c r="L1490" s="586" t="s">
        <v>590</v>
      </c>
      <c r="M1490" s="586" t="s">
        <v>285</v>
      </c>
      <c r="N1490" s="586" t="s">
        <v>670</v>
      </c>
      <c r="O1490" s="586" t="s">
        <v>670</v>
      </c>
      <c r="P1490" s="586" t="s">
        <v>524</v>
      </c>
      <c r="Q1490" s="586" t="s">
        <v>670</v>
      </c>
      <c r="R1490" s="587">
        <v>45870</v>
      </c>
      <c r="S1490" s="586" t="s">
        <v>670</v>
      </c>
      <c r="T1490" s="587">
        <v>45869</v>
      </c>
      <c r="U1490" s="588">
        <v>0</v>
      </c>
      <c r="V1490" s="589">
        <v>178.35</v>
      </c>
      <c r="W1490" s="260">
        <v>45839</v>
      </c>
    </row>
    <row r="1491" spans="1:23" hidden="1" x14ac:dyDescent="0.35">
      <c r="A1491" s="586" t="s">
        <v>526</v>
      </c>
      <c r="B1491" s="586" t="s">
        <v>53</v>
      </c>
      <c r="C1491" s="586" t="s">
        <v>298</v>
      </c>
      <c r="D1491" s="586" t="s">
        <v>326</v>
      </c>
      <c r="E1491" s="586" t="s">
        <v>327</v>
      </c>
      <c r="F1491" s="586" t="s">
        <v>276</v>
      </c>
      <c r="G1491" s="586" t="s">
        <v>356</v>
      </c>
      <c r="H1491" s="586" t="s">
        <v>670</v>
      </c>
      <c r="I1491" s="586" t="s">
        <v>277</v>
      </c>
      <c r="J1491" s="586" t="s">
        <v>524</v>
      </c>
      <c r="K1491" s="586" t="s">
        <v>301</v>
      </c>
      <c r="L1491" s="586" t="s">
        <v>590</v>
      </c>
      <c r="M1491" s="586" t="s">
        <v>285</v>
      </c>
      <c r="N1491" s="586" t="s">
        <v>670</v>
      </c>
      <c r="O1491" s="586" t="s">
        <v>670</v>
      </c>
      <c r="P1491" s="586" t="s">
        <v>524</v>
      </c>
      <c r="Q1491" s="586" t="s">
        <v>670</v>
      </c>
      <c r="R1491" s="587">
        <v>45870</v>
      </c>
      <c r="S1491" s="586" t="s">
        <v>670</v>
      </c>
      <c r="T1491" s="587">
        <v>45869</v>
      </c>
      <c r="U1491" s="588">
        <v>0</v>
      </c>
      <c r="V1491" s="589">
        <v>0.08</v>
      </c>
      <c r="W1491" s="260">
        <v>45839</v>
      </c>
    </row>
    <row r="1492" spans="1:23" hidden="1" x14ac:dyDescent="0.35">
      <c r="A1492" s="586" t="s">
        <v>526</v>
      </c>
      <c r="B1492" s="586" t="s">
        <v>53</v>
      </c>
      <c r="C1492" s="586" t="s">
        <v>298</v>
      </c>
      <c r="D1492" s="586" t="s">
        <v>326</v>
      </c>
      <c r="E1492" s="586" t="s">
        <v>327</v>
      </c>
      <c r="F1492" s="586" t="s">
        <v>276</v>
      </c>
      <c r="G1492" s="586" t="s">
        <v>356</v>
      </c>
      <c r="H1492" s="586" t="s">
        <v>670</v>
      </c>
      <c r="I1492" s="586" t="s">
        <v>277</v>
      </c>
      <c r="J1492" s="586" t="s">
        <v>524</v>
      </c>
      <c r="K1492" s="586" t="s">
        <v>301</v>
      </c>
      <c r="L1492" s="586" t="s">
        <v>590</v>
      </c>
      <c r="M1492" s="586" t="s">
        <v>285</v>
      </c>
      <c r="N1492" s="586" t="s">
        <v>670</v>
      </c>
      <c r="O1492" s="586" t="s">
        <v>670</v>
      </c>
      <c r="P1492" s="586" t="s">
        <v>524</v>
      </c>
      <c r="Q1492" s="586" t="s">
        <v>670</v>
      </c>
      <c r="R1492" s="587">
        <v>45870</v>
      </c>
      <c r="S1492" s="586" t="s">
        <v>670</v>
      </c>
      <c r="T1492" s="587">
        <v>45869</v>
      </c>
      <c r="U1492" s="588">
        <v>0</v>
      </c>
      <c r="V1492" s="589">
        <v>3.41</v>
      </c>
      <c r="W1492" s="260">
        <v>45839</v>
      </c>
    </row>
    <row r="1493" spans="1:23" hidden="1" x14ac:dyDescent="0.35">
      <c r="A1493" s="586" t="s">
        <v>526</v>
      </c>
      <c r="B1493" s="586" t="s">
        <v>53</v>
      </c>
      <c r="C1493" s="586" t="s">
        <v>298</v>
      </c>
      <c r="D1493" s="586" t="s">
        <v>393</v>
      </c>
      <c r="E1493" s="586" t="s">
        <v>394</v>
      </c>
      <c r="F1493" s="586" t="s">
        <v>276</v>
      </c>
      <c r="G1493" s="586" t="s">
        <v>356</v>
      </c>
      <c r="H1493" s="586" t="s">
        <v>670</v>
      </c>
      <c r="I1493" s="586" t="s">
        <v>277</v>
      </c>
      <c r="J1493" s="586" t="s">
        <v>524</v>
      </c>
      <c r="K1493" s="586" t="s">
        <v>301</v>
      </c>
      <c r="L1493" s="586" t="s">
        <v>590</v>
      </c>
      <c r="M1493" s="586" t="s">
        <v>285</v>
      </c>
      <c r="N1493" s="586" t="s">
        <v>670</v>
      </c>
      <c r="O1493" s="586" t="s">
        <v>670</v>
      </c>
      <c r="P1493" s="586" t="s">
        <v>524</v>
      </c>
      <c r="Q1493" s="586" t="s">
        <v>670</v>
      </c>
      <c r="R1493" s="587">
        <v>45870</v>
      </c>
      <c r="S1493" s="586" t="s">
        <v>670</v>
      </c>
      <c r="T1493" s="587">
        <v>45869</v>
      </c>
      <c r="U1493" s="588">
        <v>0</v>
      </c>
      <c r="V1493" s="589">
        <v>0.33</v>
      </c>
      <c r="W1493" s="260">
        <v>45839</v>
      </c>
    </row>
    <row r="1494" spans="1:23" hidden="1" x14ac:dyDescent="0.35">
      <c r="A1494" s="586" t="s">
        <v>526</v>
      </c>
      <c r="B1494" s="586" t="s">
        <v>53</v>
      </c>
      <c r="C1494" s="586" t="s">
        <v>298</v>
      </c>
      <c r="D1494" s="586" t="s">
        <v>328</v>
      </c>
      <c r="E1494" s="586" t="s">
        <v>329</v>
      </c>
      <c r="F1494" s="586" t="s">
        <v>276</v>
      </c>
      <c r="G1494" s="586" t="s">
        <v>356</v>
      </c>
      <c r="H1494" s="586" t="s">
        <v>670</v>
      </c>
      <c r="I1494" s="586" t="s">
        <v>277</v>
      </c>
      <c r="J1494" s="586" t="s">
        <v>524</v>
      </c>
      <c r="K1494" s="586" t="s">
        <v>301</v>
      </c>
      <c r="L1494" s="586" t="s">
        <v>590</v>
      </c>
      <c r="M1494" s="586" t="s">
        <v>285</v>
      </c>
      <c r="N1494" s="586" t="s">
        <v>670</v>
      </c>
      <c r="O1494" s="586" t="s">
        <v>670</v>
      </c>
      <c r="P1494" s="586" t="s">
        <v>524</v>
      </c>
      <c r="Q1494" s="586" t="s">
        <v>670</v>
      </c>
      <c r="R1494" s="587">
        <v>45870</v>
      </c>
      <c r="S1494" s="586" t="s">
        <v>670</v>
      </c>
      <c r="T1494" s="587">
        <v>45869</v>
      </c>
      <c r="U1494" s="588">
        <v>0</v>
      </c>
      <c r="V1494" s="589">
        <v>390.92</v>
      </c>
      <c r="W1494" s="260">
        <v>45839</v>
      </c>
    </row>
    <row r="1495" spans="1:23" hidden="1" x14ac:dyDescent="0.35">
      <c r="A1495" s="586" t="s">
        <v>526</v>
      </c>
      <c r="B1495" s="586" t="s">
        <v>53</v>
      </c>
      <c r="C1495" s="586" t="s">
        <v>298</v>
      </c>
      <c r="D1495" s="586" t="s">
        <v>330</v>
      </c>
      <c r="E1495" s="586" t="s">
        <v>331</v>
      </c>
      <c r="F1495" s="586" t="s">
        <v>276</v>
      </c>
      <c r="G1495" s="586" t="s">
        <v>356</v>
      </c>
      <c r="H1495" s="586" t="s">
        <v>670</v>
      </c>
      <c r="I1495" s="586" t="s">
        <v>277</v>
      </c>
      <c r="J1495" s="586" t="s">
        <v>524</v>
      </c>
      <c r="K1495" s="586" t="s">
        <v>301</v>
      </c>
      <c r="L1495" s="586" t="s">
        <v>590</v>
      </c>
      <c r="M1495" s="586" t="s">
        <v>285</v>
      </c>
      <c r="N1495" s="586" t="s">
        <v>670</v>
      </c>
      <c r="O1495" s="586" t="s">
        <v>670</v>
      </c>
      <c r="P1495" s="586" t="s">
        <v>524</v>
      </c>
      <c r="Q1495" s="586" t="s">
        <v>670</v>
      </c>
      <c r="R1495" s="587">
        <v>45870</v>
      </c>
      <c r="S1495" s="586" t="s">
        <v>670</v>
      </c>
      <c r="T1495" s="587">
        <v>45869</v>
      </c>
      <c r="U1495" s="588">
        <v>0</v>
      </c>
      <c r="V1495" s="589">
        <v>9.01</v>
      </c>
      <c r="W1495" s="260">
        <v>45839</v>
      </c>
    </row>
    <row r="1496" spans="1:23" hidden="1" x14ac:dyDescent="0.35">
      <c r="A1496" s="586" t="s">
        <v>526</v>
      </c>
      <c r="B1496" s="586" t="s">
        <v>53</v>
      </c>
      <c r="C1496" s="586" t="s">
        <v>298</v>
      </c>
      <c r="D1496" s="586" t="s">
        <v>332</v>
      </c>
      <c r="E1496" s="586" t="s">
        <v>333</v>
      </c>
      <c r="F1496" s="586" t="s">
        <v>276</v>
      </c>
      <c r="G1496" s="586" t="s">
        <v>356</v>
      </c>
      <c r="H1496" s="586" t="s">
        <v>670</v>
      </c>
      <c r="I1496" s="586" t="s">
        <v>277</v>
      </c>
      <c r="J1496" s="586" t="s">
        <v>524</v>
      </c>
      <c r="K1496" s="586" t="s">
        <v>301</v>
      </c>
      <c r="L1496" s="586" t="s">
        <v>590</v>
      </c>
      <c r="M1496" s="586" t="s">
        <v>285</v>
      </c>
      <c r="N1496" s="586" t="s">
        <v>670</v>
      </c>
      <c r="O1496" s="586" t="s">
        <v>670</v>
      </c>
      <c r="P1496" s="586" t="s">
        <v>524</v>
      </c>
      <c r="Q1496" s="586" t="s">
        <v>670</v>
      </c>
      <c r="R1496" s="587">
        <v>45870</v>
      </c>
      <c r="S1496" s="586" t="s">
        <v>670</v>
      </c>
      <c r="T1496" s="587">
        <v>45869</v>
      </c>
      <c r="U1496" s="588">
        <v>0</v>
      </c>
      <c r="V1496" s="589">
        <v>94.9</v>
      </c>
      <c r="W1496" s="260">
        <v>45839</v>
      </c>
    </row>
    <row r="1497" spans="1:23" hidden="1" x14ac:dyDescent="0.35">
      <c r="A1497" s="586" t="s">
        <v>526</v>
      </c>
      <c r="B1497" s="586" t="s">
        <v>53</v>
      </c>
      <c r="C1497" s="586" t="s">
        <v>298</v>
      </c>
      <c r="D1497" s="586" t="s">
        <v>334</v>
      </c>
      <c r="E1497" s="586" t="s">
        <v>335</v>
      </c>
      <c r="F1497" s="586" t="s">
        <v>276</v>
      </c>
      <c r="G1497" s="586" t="s">
        <v>356</v>
      </c>
      <c r="H1497" s="586" t="s">
        <v>670</v>
      </c>
      <c r="I1497" s="586" t="s">
        <v>277</v>
      </c>
      <c r="J1497" s="586" t="s">
        <v>524</v>
      </c>
      <c r="K1497" s="586" t="s">
        <v>301</v>
      </c>
      <c r="L1497" s="586" t="s">
        <v>590</v>
      </c>
      <c r="M1497" s="586" t="s">
        <v>285</v>
      </c>
      <c r="N1497" s="586" t="s">
        <v>670</v>
      </c>
      <c r="O1497" s="586" t="s">
        <v>670</v>
      </c>
      <c r="P1497" s="586" t="s">
        <v>524</v>
      </c>
      <c r="Q1497" s="586" t="s">
        <v>670</v>
      </c>
      <c r="R1497" s="587">
        <v>45870</v>
      </c>
      <c r="S1497" s="586" t="s">
        <v>670</v>
      </c>
      <c r="T1497" s="587">
        <v>45869</v>
      </c>
      <c r="U1497" s="588">
        <v>0</v>
      </c>
      <c r="V1497" s="589">
        <v>-9.02</v>
      </c>
      <c r="W1497" s="260">
        <v>45839</v>
      </c>
    </row>
    <row r="1498" spans="1:23" hidden="1" x14ac:dyDescent="0.35">
      <c r="A1498" s="586" t="s">
        <v>526</v>
      </c>
      <c r="B1498" s="586" t="s">
        <v>53</v>
      </c>
      <c r="C1498" s="586" t="s">
        <v>298</v>
      </c>
      <c r="D1498" s="586" t="s">
        <v>336</v>
      </c>
      <c r="E1498" s="586" t="s">
        <v>337</v>
      </c>
      <c r="F1498" s="586" t="s">
        <v>276</v>
      </c>
      <c r="G1498" s="586" t="s">
        <v>356</v>
      </c>
      <c r="H1498" s="586" t="s">
        <v>670</v>
      </c>
      <c r="I1498" s="586" t="s">
        <v>277</v>
      </c>
      <c r="J1498" s="586" t="s">
        <v>524</v>
      </c>
      <c r="K1498" s="586" t="s">
        <v>301</v>
      </c>
      <c r="L1498" s="586" t="s">
        <v>590</v>
      </c>
      <c r="M1498" s="586" t="s">
        <v>285</v>
      </c>
      <c r="N1498" s="586" t="s">
        <v>670</v>
      </c>
      <c r="O1498" s="586" t="s">
        <v>670</v>
      </c>
      <c r="P1498" s="586" t="s">
        <v>524</v>
      </c>
      <c r="Q1498" s="586" t="s">
        <v>670</v>
      </c>
      <c r="R1498" s="587">
        <v>45870</v>
      </c>
      <c r="S1498" s="586" t="s">
        <v>670</v>
      </c>
      <c r="T1498" s="587">
        <v>45869</v>
      </c>
      <c r="U1498" s="588">
        <v>0</v>
      </c>
      <c r="V1498" s="589">
        <v>-0.19</v>
      </c>
      <c r="W1498" s="260">
        <v>45839</v>
      </c>
    </row>
    <row r="1499" spans="1:23" hidden="1" x14ac:dyDescent="0.35">
      <c r="A1499" s="586" t="s">
        <v>526</v>
      </c>
      <c r="B1499" s="586" t="s">
        <v>53</v>
      </c>
      <c r="C1499" s="586" t="s">
        <v>298</v>
      </c>
      <c r="D1499" s="586" t="s">
        <v>397</v>
      </c>
      <c r="E1499" s="586" t="s">
        <v>398</v>
      </c>
      <c r="F1499" s="586" t="s">
        <v>276</v>
      </c>
      <c r="G1499" s="586" t="s">
        <v>356</v>
      </c>
      <c r="H1499" s="586" t="s">
        <v>670</v>
      </c>
      <c r="I1499" s="586" t="s">
        <v>277</v>
      </c>
      <c r="J1499" s="586" t="s">
        <v>524</v>
      </c>
      <c r="K1499" s="586" t="s">
        <v>301</v>
      </c>
      <c r="L1499" s="586" t="s">
        <v>590</v>
      </c>
      <c r="M1499" s="586" t="s">
        <v>285</v>
      </c>
      <c r="N1499" s="586" t="s">
        <v>670</v>
      </c>
      <c r="O1499" s="586" t="s">
        <v>670</v>
      </c>
      <c r="P1499" s="586" t="s">
        <v>524</v>
      </c>
      <c r="Q1499" s="586" t="s">
        <v>670</v>
      </c>
      <c r="R1499" s="587">
        <v>45870</v>
      </c>
      <c r="S1499" s="586" t="s">
        <v>670</v>
      </c>
      <c r="T1499" s="587">
        <v>45869</v>
      </c>
      <c r="U1499" s="588">
        <v>0</v>
      </c>
      <c r="V1499" s="589">
        <v>-7.0000000000000007E-2</v>
      </c>
      <c r="W1499" s="260">
        <v>45839</v>
      </c>
    </row>
    <row r="1500" spans="1:23" hidden="1" x14ac:dyDescent="0.35">
      <c r="A1500" s="586" t="s">
        <v>526</v>
      </c>
      <c r="B1500" s="586" t="s">
        <v>53</v>
      </c>
      <c r="C1500" s="586" t="s">
        <v>298</v>
      </c>
      <c r="D1500" s="586" t="s">
        <v>338</v>
      </c>
      <c r="E1500" s="586" t="s">
        <v>339</v>
      </c>
      <c r="F1500" s="586" t="s">
        <v>276</v>
      </c>
      <c r="G1500" s="586" t="s">
        <v>356</v>
      </c>
      <c r="H1500" s="586" t="s">
        <v>670</v>
      </c>
      <c r="I1500" s="586" t="s">
        <v>277</v>
      </c>
      <c r="J1500" s="586" t="s">
        <v>524</v>
      </c>
      <c r="K1500" s="586" t="s">
        <v>301</v>
      </c>
      <c r="L1500" s="586" t="s">
        <v>590</v>
      </c>
      <c r="M1500" s="586" t="s">
        <v>285</v>
      </c>
      <c r="N1500" s="586" t="s">
        <v>670</v>
      </c>
      <c r="O1500" s="586" t="s">
        <v>670</v>
      </c>
      <c r="P1500" s="586" t="s">
        <v>524</v>
      </c>
      <c r="Q1500" s="586" t="s">
        <v>670</v>
      </c>
      <c r="R1500" s="587">
        <v>45870</v>
      </c>
      <c r="S1500" s="586" t="s">
        <v>670</v>
      </c>
      <c r="T1500" s="587">
        <v>45869</v>
      </c>
      <c r="U1500" s="588">
        <v>0</v>
      </c>
      <c r="V1500" s="589">
        <v>-0.01</v>
      </c>
      <c r="W1500" s="260">
        <v>45839</v>
      </c>
    </row>
    <row r="1501" spans="1:23" hidden="1" x14ac:dyDescent="0.35">
      <c r="A1501" s="586" t="s">
        <v>526</v>
      </c>
      <c r="B1501" s="586" t="s">
        <v>53</v>
      </c>
      <c r="C1501" s="586" t="s">
        <v>281</v>
      </c>
      <c r="D1501" s="586" t="s">
        <v>340</v>
      </c>
      <c r="E1501" s="586" t="s">
        <v>283</v>
      </c>
      <c r="F1501" s="586" t="s">
        <v>276</v>
      </c>
      <c r="G1501" s="586" t="s">
        <v>356</v>
      </c>
      <c r="H1501" s="586" t="s">
        <v>670</v>
      </c>
      <c r="I1501" s="586" t="s">
        <v>277</v>
      </c>
      <c r="J1501" s="586" t="s">
        <v>524</v>
      </c>
      <c r="K1501" s="586" t="s">
        <v>284</v>
      </c>
      <c r="L1501" s="586" t="s">
        <v>590</v>
      </c>
      <c r="M1501" s="586" t="s">
        <v>285</v>
      </c>
      <c r="N1501" s="586" t="s">
        <v>670</v>
      </c>
      <c r="O1501" s="586" t="s">
        <v>670</v>
      </c>
      <c r="P1501" s="586" t="s">
        <v>524</v>
      </c>
      <c r="Q1501" s="586" t="s">
        <v>670</v>
      </c>
      <c r="R1501" s="587">
        <v>45870</v>
      </c>
      <c r="S1501" s="586" t="s">
        <v>670</v>
      </c>
      <c r="T1501" s="587">
        <v>45869</v>
      </c>
      <c r="U1501" s="588">
        <v>0</v>
      </c>
      <c r="V1501" s="589">
        <v>51.46</v>
      </c>
      <c r="W1501" s="260">
        <v>45839</v>
      </c>
    </row>
    <row r="1502" spans="1:23" hidden="1" x14ac:dyDescent="0.35">
      <c r="A1502" s="586" t="s">
        <v>526</v>
      </c>
      <c r="B1502" s="586" t="s">
        <v>53</v>
      </c>
      <c r="C1502" s="586" t="s">
        <v>302</v>
      </c>
      <c r="D1502" s="586" t="s">
        <v>340</v>
      </c>
      <c r="E1502" s="586" t="s">
        <v>283</v>
      </c>
      <c r="F1502" s="586" t="s">
        <v>276</v>
      </c>
      <c r="G1502" s="586" t="s">
        <v>356</v>
      </c>
      <c r="H1502" s="586" t="s">
        <v>670</v>
      </c>
      <c r="I1502" s="586" t="s">
        <v>277</v>
      </c>
      <c r="J1502" s="586" t="s">
        <v>524</v>
      </c>
      <c r="K1502" s="586" t="s">
        <v>303</v>
      </c>
      <c r="L1502" s="586" t="s">
        <v>590</v>
      </c>
      <c r="M1502" s="586" t="s">
        <v>285</v>
      </c>
      <c r="N1502" s="586" t="s">
        <v>670</v>
      </c>
      <c r="O1502" s="586" t="s">
        <v>670</v>
      </c>
      <c r="P1502" s="586" t="s">
        <v>524</v>
      </c>
      <c r="Q1502" s="586" t="s">
        <v>670</v>
      </c>
      <c r="R1502" s="587">
        <v>45870</v>
      </c>
      <c r="S1502" s="586" t="s">
        <v>670</v>
      </c>
      <c r="T1502" s="587">
        <v>45869</v>
      </c>
      <c r="U1502" s="588">
        <v>0</v>
      </c>
      <c r="V1502" s="589">
        <v>11.06</v>
      </c>
      <c r="W1502" s="260">
        <v>45839</v>
      </c>
    </row>
    <row r="1503" spans="1:23" hidden="1" x14ac:dyDescent="0.35">
      <c r="A1503" s="586" t="s">
        <v>526</v>
      </c>
      <c r="B1503" s="586" t="s">
        <v>53</v>
      </c>
      <c r="C1503" s="586" t="s">
        <v>302</v>
      </c>
      <c r="D1503" s="586" t="s">
        <v>340</v>
      </c>
      <c r="E1503" s="586" t="s">
        <v>283</v>
      </c>
      <c r="F1503" s="586" t="s">
        <v>276</v>
      </c>
      <c r="G1503" s="586" t="s">
        <v>356</v>
      </c>
      <c r="H1503" s="586" t="s">
        <v>670</v>
      </c>
      <c r="I1503" s="586" t="s">
        <v>277</v>
      </c>
      <c r="J1503" s="586" t="s">
        <v>524</v>
      </c>
      <c r="K1503" s="586" t="s">
        <v>303</v>
      </c>
      <c r="L1503" s="586" t="s">
        <v>590</v>
      </c>
      <c r="M1503" s="586" t="s">
        <v>285</v>
      </c>
      <c r="N1503" s="586" t="s">
        <v>670</v>
      </c>
      <c r="O1503" s="586" t="s">
        <v>670</v>
      </c>
      <c r="P1503" s="586" t="s">
        <v>524</v>
      </c>
      <c r="Q1503" s="586" t="s">
        <v>670</v>
      </c>
      <c r="R1503" s="587">
        <v>45870</v>
      </c>
      <c r="S1503" s="586" t="s">
        <v>670</v>
      </c>
      <c r="T1503" s="587">
        <v>45869</v>
      </c>
      <c r="U1503" s="588">
        <v>0</v>
      </c>
      <c r="V1503" s="589">
        <v>2.38</v>
      </c>
      <c r="W1503" s="260">
        <v>45839</v>
      </c>
    </row>
    <row r="1504" spans="1:23" hidden="1" x14ac:dyDescent="0.35">
      <c r="A1504" s="586" t="s">
        <v>526</v>
      </c>
      <c r="B1504" s="586" t="s">
        <v>53</v>
      </c>
      <c r="C1504" s="586" t="s">
        <v>286</v>
      </c>
      <c r="D1504" s="586" t="s">
        <v>341</v>
      </c>
      <c r="E1504" s="586" t="s">
        <v>288</v>
      </c>
      <c r="F1504" s="586" t="s">
        <v>276</v>
      </c>
      <c r="G1504" s="586" t="s">
        <v>356</v>
      </c>
      <c r="H1504" s="586" t="s">
        <v>670</v>
      </c>
      <c r="I1504" s="586" t="s">
        <v>277</v>
      </c>
      <c r="J1504" s="586" t="s">
        <v>524</v>
      </c>
      <c r="K1504" s="586" t="s">
        <v>289</v>
      </c>
      <c r="L1504" s="586" t="s">
        <v>590</v>
      </c>
      <c r="M1504" s="586" t="s">
        <v>285</v>
      </c>
      <c r="N1504" s="586" t="s">
        <v>670</v>
      </c>
      <c r="O1504" s="586" t="s">
        <v>670</v>
      </c>
      <c r="P1504" s="586" t="s">
        <v>524</v>
      </c>
      <c r="Q1504" s="586" t="s">
        <v>670</v>
      </c>
      <c r="R1504" s="587">
        <v>45870</v>
      </c>
      <c r="S1504" s="586" t="s">
        <v>670</v>
      </c>
      <c r="T1504" s="587">
        <v>45869</v>
      </c>
      <c r="U1504" s="588">
        <v>0</v>
      </c>
      <c r="V1504" s="589">
        <v>639.29</v>
      </c>
      <c r="W1504" s="260">
        <v>45839</v>
      </c>
    </row>
    <row r="1505" spans="1:23" hidden="1" x14ac:dyDescent="0.35">
      <c r="A1505" s="586" t="s">
        <v>526</v>
      </c>
      <c r="B1505" s="586" t="s">
        <v>53</v>
      </c>
      <c r="C1505" s="586" t="s">
        <v>302</v>
      </c>
      <c r="D1505" s="586" t="s">
        <v>341</v>
      </c>
      <c r="E1505" s="586" t="s">
        <v>288</v>
      </c>
      <c r="F1505" s="586" t="s">
        <v>276</v>
      </c>
      <c r="G1505" s="586" t="s">
        <v>356</v>
      </c>
      <c r="H1505" s="586" t="s">
        <v>670</v>
      </c>
      <c r="I1505" s="586" t="s">
        <v>277</v>
      </c>
      <c r="J1505" s="586" t="s">
        <v>524</v>
      </c>
      <c r="K1505" s="586" t="s">
        <v>303</v>
      </c>
      <c r="L1505" s="586" t="s">
        <v>590</v>
      </c>
      <c r="M1505" s="586" t="s">
        <v>285</v>
      </c>
      <c r="N1505" s="586" t="s">
        <v>670</v>
      </c>
      <c r="O1505" s="586" t="s">
        <v>670</v>
      </c>
      <c r="P1505" s="586" t="s">
        <v>524</v>
      </c>
      <c r="Q1505" s="586" t="s">
        <v>670</v>
      </c>
      <c r="R1505" s="587">
        <v>45870</v>
      </c>
      <c r="S1505" s="586" t="s">
        <v>670</v>
      </c>
      <c r="T1505" s="587">
        <v>45869</v>
      </c>
      <c r="U1505" s="588">
        <v>0</v>
      </c>
      <c r="V1505" s="589">
        <v>31.03</v>
      </c>
      <c r="W1505" s="260">
        <v>45839</v>
      </c>
    </row>
    <row r="1506" spans="1:23" hidden="1" x14ac:dyDescent="0.35">
      <c r="A1506" s="586" t="s">
        <v>526</v>
      </c>
      <c r="B1506" s="586" t="s">
        <v>53</v>
      </c>
      <c r="C1506" s="586" t="s">
        <v>302</v>
      </c>
      <c r="D1506" s="586" t="s">
        <v>341</v>
      </c>
      <c r="E1506" s="586" t="s">
        <v>288</v>
      </c>
      <c r="F1506" s="586" t="s">
        <v>276</v>
      </c>
      <c r="G1506" s="586" t="s">
        <v>356</v>
      </c>
      <c r="H1506" s="586" t="s">
        <v>670</v>
      </c>
      <c r="I1506" s="586" t="s">
        <v>277</v>
      </c>
      <c r="J1506" s="586" t="s">
        <v>524</v>
      </c>
      <c r="K1506" s="586" t="s">
        <v>303</v>
      </c>
      <c r="L1506" s="586" t="s">
        <v>590</v>
      </c>
      <c r="M1506" s="586" t="s">
        <v>285</v>
      </c>
      <c r="N1506" s="586" t="s">
        <v>670</v>
      </c>
      <c r="O1506" s="586" t="s">
        <v>670</v>
      </c>
      <c r="P1506" s="586" t="s">
        <v>524</v>
      </c>
      <c r="Q1506" s="586" t="s">
        <v>670</v>
      </c>
      <c r="R1506" s="587">
        <v>45870</v>
      </c>
      <c r="S1506" s="586" t="s">
        <v>670</v>
      </c>
      <c r="T1506" s="587">
        <v>45869</v>
      </c>
      <c r="U1506" s="588">
        <v>0</v>
      </c>
      <c r="V1506" s="589">
        <v>29.53</v>
      </c>
      <c r="W1506" s="260">
        <v>45839</v>
      </c>
    </row>
    <row r="1507" spans="1:23" hidden="1" x14ac:dyDescent="0.35">
      <c r="A1507" s="586" t="s">
        <v>526</v>
      </c>
      <c r="B1507" s="586" t="s">
        <v>53</v>
      </c>
      <c r="C1507" s="586" t="s">
        <v>281</v>
      </c>
      <c r="D1507" s="586" t="s">
        <v>342</v>
      </c>
      <c r="E1507" s="586" t="s">
        <v>291</v>
      </c>
      <c r="F1507" s="586" t="s">
        <v>276</v>
      </c>
      <c r="G1507" s="586" t="s">
        <v>356</v>
      </c>
      <c r="H1507" s="586" t="s">
        <v>670</v>
      </c>
      <c r="I1507" s="586" t="s">
        <v>277</v>
      </c>
      <c r="J1507" s="586" t="s">
        <v>524</v>
      </c>
      <c r="K1507" s="586" t="s">
        <v>284</v>
      </c>
      <c r="L1507" s="586" t="s">
        <v>590</v>
      </c>
      <c r="M1507" s="586" t="s">
        <v>285</v>
      </c>
      <c r="N1507" s="586" t="s">
        <v>670</v>
      </c>
      <c r="O1507" s="586" t="s">
        <v>670</v>
      </c>
      <c r="P1507" s="586" t="s">
        <v>524</v>
      </c>
      <c r="Q1507" s="586" t="s">
        <v>670</v>
      </c>
      <c r="R1507" s="587">
        <v>45870</v>
      </c>
      <c r="S1507" s="586" t="s">
        <v>670</v>
      </c>
      <c r="T1507" s="587">
        <v>45869</v>
      </c>
      <c r="U1507" s="588">
        <v>0</v>
      </c>
      <c r="V1507" s="589">
        <v>-59.64</v>
      </c>
      <c r="W1507" s="260">
        <v>45839</v>
      </c>
    </row>
    <row r="1508" spans="1:23" hidden="1" x14ac:dyDescent="0.35">
      <c r="A1508" s="586" t="s">
        <v>526</v>
      </c>
      <c r="B1508" s="586" t="s">
        <v>53</v>
      </c>
      <c r="C1508" s="586" t="s">
        <v>302</v>
      </c>
      <c r="D1508" s="586" t="s">
        <v>342</v>
      </c>
      <c r="E1508" s="586" t="s">
        <v>291</v>
      </c>
      <c r="F1508" s="586" t="s">
        <v>276</v>
      </c>
      <c r="G1508" s="586" t="s">
        <v>356</v>
      </c>
      <c r="H1508" s="586" t="s">
        <v>670</v>
      </c>
      <c r="I1508" s="586" t="s">
        <v>277</v>
      </c>
      <c r="J1508" s="586" t="s">
        <v>524</v>
      </c>
      <c r="K1508" s="586" t="s">
        <v>303</v>
      </c>
      <c r="L1508" s="586" t="s">
        <v>590</v>
      </c>
      <c r="M1508" s="586" t="s">
        <v>285</v>
      </c>
      <c r="N1508" s="586" t="s">
        <v>670</v>
      </c>
      <c r="O1508" s="586" t="s">
        <v>670</v>
      </c>
      <c r="P1508" s="586" t="s">
        <v>524</v>
      </c>
      <c r="Q1508" s="586" t="s">
        <v>670</v>
      </c>
      <c r="R1508" s="587">
        <v>45870</v>
      </c>
      <c r="S1508" s="586" t="s">
        <v>670</v>
      </c>
      <c r="T1508" s="587">
        <v>45869</v>
      </c>
      <c r="U1508" s="588">
        <v>0</v>
      </c>
      <c r="V1508" s="589">
        <v>7.15</v>
      </c>
      <c r="W1508" s="260">
        <v>45839</v>
      </c>
    </row>
    <row r="1509" spans="1:23" hidden="1" x14ac:dyDescent="0.35">
      <c r="A1509" s="586" t="s">
        <v>526</v>
      </c>
      <c r="B1509" s="586" t="s">
        <v>53</v>
      </c>
      <c r="C1509" s="586" t="s">
        <v>302</v>
      </c>
      <c r="D1509" s="586" t="s">
        <v>342</v>
      </c>
      <c r="E1509" s="586" t="s">
        <v>291</v>
      </c>
      <c r="F1509" s="586" t="s">
        <v>276</v>
      </c>
      <c r="G1509" s="586" t="s">
        <v>356</v>
      </c>
      <c r="H1509" s="586" t="s">
        <v>670</v>
      </c>
      <c r="I1509" s="586" t="s">
        <v>277</v>
      </c>
      <c r="J1509" s="586" t="s">
        <v>524</v>
      </c>
      <c r="K1509" s="586" t="s">
        <v>303</v>
      </c>
      <c r="L1509" s="586" t="s">
        <v>590</v>
      </c>
      <c r="M1509" s="586" t="s">
        <v>285</v>
      </c>
      <c r="N1509" s="586" t="s">
        <v>670</v>
      </c>
      <c r="O1509" s="586" t="s">
        <v>670</v>
      </c>
      <c r="P1509" s="586" t="s">
        <v>524</v>
      </c>
      <c r="Q1509" s="586" t="s">
        <v>670</v>
      </c>
      <c r="R1509" s="587">
        <v>45870</v>
      </c>
      <c r="S1509" s="586" t="s">
        <v>670</v>
      </c>
      <c r="T1509" s="587">
        <v>45869</v>
      </c>
      <c r="U1509" s="588">
        <v>0</v>
      </c>
      <c r="V1509" s="589">
        <v>-2.76</v>
      </c>
      <c r="W1509" s="260">
        <v>45839</v>
      </c>
    </row>
    <row r="1510" spans="1:23" hidden="1" x14ac:dyDescent="0.35">
      <c r="A1510" s="586" t="s">
        <v>526</v>
      </c>
      <c r="B1510" s="586" t="s">
        <v>53</v>
      </c>
      <c r="C1510" s="586" t="s">
        <v>281</v>
      </c>
      <c r="D1510" s="586" t="s">
        <v>343</v>
      </c>
      <c r="E1510" s="586" t="s">
        <v>293</v>
      </c>
      <c r="F1510" s="586" t="s">
        <v>276</v>
      </c>
      <c r="G1510" s="586" t="s">
        <v>356</v>
      </c>
      <c r="H1510" s="586" t="s">
        <v>670</v>
      </c>
      <c r="I1510" s="586" t="s">
        <v>277</v>
      </c>
      <c r="J1510" s="586" t="s">
        <v>524</v>
      </c>
      <c r="K1510" s="586" t="s">
        <v>294</v>
      </c>
      <c r="L1510" s="586" t="s">
        <v>590</v>
      </c>
      <c r="M1510" s="586" t="s">
        <v>285</v>
      </c>
      <c r="N1510" s="586" t="s">
        <v>670</v>
      </c>
      <c r="O1510" s="586" t="s">
        <v>670</v>
      </c>
      <c r="P1510" s="586" t="s">
        <v>524</v>
      </c>
      <c r="Q1510" s="586" t="s">
        <v>670</v>
      </c>
      <c r="R1510" s="587">
        <v>45870</v>
      </c>
      <c r="S1510" s="586" t="s">
        <v>670</v>
      </c>
      <c r="T1510" s="587">
        <v>45869</v>
      </c>
      <c r="U1510" s="588">
        <v>0</v>
      </c>
      <c r="V1510" s="589">
        <v>-7.69</v>
      </c>
      <c r="W1510" s="260">
        <v>45839</v>
      </c>
    </row>
    <row r="1511" spans="1:23" hidden="1" x14ac:dyDescent="0.35">
      <c r="A1511" s="586" t="s">
        <v>526</v>
      </c>
      <c r="B1511" s="586" t="s">
        <v>53</v>
      </c>
      <c r="C1511" s="586" t="s">
        <v>302</v>
      </c>
      <c r="D1511" s="586" t="s">
        <v>343</v>
      </c>
      <c r="E1511" s="586" t="s">
        <v>293</v>
      </c>
      <c r="F1511" s="586" t="s">
        <v>276</v>
      </c>
      <c r="G1511" s="586" t="s">
        <v>356</v>
      </c>
      <c r="H1511" s="586" t="s">
        <v>670</v>
      </c>
      <c r="I1511" s="586" t="s">
        <v>277</v>
      </c>
      <c r="J1511" s="586" t="s">
        <v>524</v>
      </c>
      <c r="K1511" s="586" t="s">
        <v>303</v>
      </c>
      <c r="L1511" s="586" t="s">
        <v>590</v>
      </c>
      <c r="M1511" s="586" t="s">
        <v>285</v>
      </c>
      <c r="N1511" s="586" t="s">
        <v>670</v>
      </c>
      <c r="O1511" s="586" t="s">
        <v>670</v>
      </c>
      <c r="P1511" s="586" t="s">
        <v>524</v>
      </c>
      <c r="Q1511" s="586" t="s">
        <v>670</v>
      </c>
      <c r="R1511" s="587">
        <v>45870</v>
      </c>
      <c r="S1511" s="586" t="s">
        <v>670</v>
      </c>
      <c r="T1511" s="587">
        <v>45869</v>
      </c>
      <c r="U1511" s="588">
        <v>0</v>
      </c>
      <c r="V1511" s="589">
        <v>7.9</v>
      </c>
      <c r="W1511" s="260">
        <v>45839</v>
      </c>
    </row>
    <row r="1512" spans="1:23" hidden="1" x14ac:dyDescent="0.35">
      <c r="A1512" s="586" t="s">
        <v>526</v>
      </c>
      <c r="B1512" s="586" t="s">
        <v>53</v>
      </c>
      <c r="C1512" s="586" t="s">
        <v>302</v>
      </c>
      <c r="D1512" s="586" t="s">
        <v>343</v>
      </c>
      <c r="E1512" s="586" t="s">
        <v>293</v>
      </c>
      <c r="F1512" s="586" t="s">
        <v>276</v>
      </c>
      <c r="G1512" s="586" t="s">
        <v>356</v>
      </c>
      <c r="H1512" s="586" t="s">
        <v>670</v>
      </c>
      <c r="I1512" s="586" t="s">
        <v>277</v>
      </c>
      <c r="J1512" s="586" t="s">
        <v>524</v>
      </c>
      <c r="K1512" s="586" t="s">
        <v>303</v>
      </c>
      <c r="L1512" s="586" t="s">
        <v>590</v>
      </c>
      <c r="M1512" s="586" t="s">
        <v>285</v>
      </c>
      <c r="N1512" s="586" t="s">
        <v>670</v>
      </c>
      <c r="O1512" s="586" t="s">
        <v>670</v>
      </c>
      <c r="P1512" s="586" t="s">
        <v>524</v>
      </c>
      <c r="Q1512" s="586" t="s">
        <v>670</v>
      </c>
      <c r="R1512" s="587">
        <v>45870</v>
      </c>
      <c r="S1512" s="586" t="s">
        <v>670</v>
      </c>
      <c r="T1512" s="587">
        <v>45869</v>
      </c>
      <c r="U1512" s="588">
        <v>0</v>
      </c>
      <c r="V1512" s="589">
        <v>-0.36</v>
      </c>
      <c r="W1512" s="260">
        <v>45839</v>
      </c>
    </row>
    <row r="1513" spans="1:23" hidden="1" x14ac:dyDescent="0.35">
      <c r="A1513" s="586" t="s">
        <v>526</v>
      </c>
      <c r="B1513" s="586" t="s">
        <v>53</v>
      </c>
      <c r="C1513" s="586" t="s">
        <v>286</v>
      </c>
      <c r="D1513" s="586" t="s">
        <v>344</v>
      </c>
      <c r="E1513" s="586" t="s">
        <v>296</v>
      </c>
      <c r="F1513" s="586" t="s">
        <v>276</v>
      </c>
      <c r="G1513" s="586" t="s">
        <v>356</v>
      </c>
      <c r="H1513" s="586" t="s">
        <v>670</v>
      </c>
      <c r="I1513" s="586" t="s">
        <v>277</v>
      </c>
      <c r="J1513" s="586" t="s">
        <v>524</v>
      </c>
      <c r="K1513" s="586" t="s">
        <v>297</v>
      </c>
      <c r="L1513" s="586" t="s">
        <v>590</v>
      </c>
      <c r="M1513" s="586" t="s">
        <v>285</v>
      </c>
      <c r="N1513" s="586" t="s">
        <v>670</v>
      </c>
      <c r="O1513" s="586" t="s">
        <v>670</v>
      </c>
      <c r="P1513" s="586" t="s">
        <v>524</v>
      </c>
      <c r="Q1513" s="586" t="s">
        <v>670</v>
      </c>
      <c r="R1513" s="587">
        <v>45870</v>
      </c>
      <c r="S1513" s="586" t="s">
        <v>670</v>
      </c>
      <c r="T1513" s="587">
        <v>45869</v>
      </c>
      <c r="U1513" s="588">
        <v>0</v>
      </c>
      <c r="V1513" s="589">
        <v>11.44</v>
      </c>
      <c r="W1513" s="260">
        <v>45839</v>
      </c>
    </row>
    <row r="1514" spans="1:23" hidden="1" x14ac:dyDescent="0.35">
      <c r="A1514" s="586" t="s">
        <v>526</v>
      </c>
      <c r="B1514" s="586" t="s">
        <v>53</v>
      </c>
      <c r="C1514" s="586" t="s">
        <v>302</v>
      </c>
      <c r="D1514" s="586" t="s">
        <v>344</v>
      </c>
      <c r="E1514" s="586" t="s">
        <v>296</v>
      </c>
      <c r="F1514" s="586" t="s">
        <v>276</v>
      </c>
      <c r="G1514" s="586" t="s">
        <v>356</v>
      </c>
      <c r="H1514" s="586" t="s">
        <v>670</v>
      </c>
      <c r="I1514" s="586" t="s">
        <v>277</v>
      </c>
      <c r="J1514" s="586" t="s">
        <v>524</v>
      </c>
      <c r="K1514" s="586" t="s">
        <v>303</v>
      </c>
      <c r="L1514" s="586" t="s">
        <v>590</v>
      </c>
      <c r="M1514" s="586" t="s">
        <v>285</v>
      </c>
      <c r="N1514" s="586" t="s">
        <v>670</v>
      </c>
      <c r="O1514" s="586" t="s">
        <v>670</v>
      </c>
      <c r="P1514" s="586" t="s">
        <v>524</v>
      </c>
      <c r="Q1514" s="586" t="s">
        <v>670</v>
      </c>
      <c r="R1514" s="587">
        <v>45870</v>
      </c>
      <c r="S1514" s="586" t="s">
        <v>670</v>
      </c>
      <c r="T1514" s="587">
        <v>45869</v>
      </c>
      <c r="U1514" s="588">
        <v>0</v>
      </c>
      <c r="V1514" s="589">
        <v>16.920000000000002</v>
      </c>
      <c r="W1514" s="260">
        <v>45839</v>
      </c>
    </row>
    <row r="1515" spans="1:23" hidden="1" x14ac:dyDescent="0.35">
      <c r="A1515" s="586" t="s">
        <v>526</v>
      </c>
      <c r="B1515" s="586" t="s">
        <v>53</v>
      </c>
      <c r="C1515" s="586" t="s">
        <v>302</v>
      </c>
      <c r="D1515" s="586" t="s">
        <v>344</v>
      </c>
      <c r="E1515" s="586" t="s">
        <v>296</v>
      </c>
      <c r="F1515" s="586" t="s">
        <v>276</v>
      </c>
      <c r="G1515" s="586" t="s">
        <v>356</v>
      </c>
      <c r="H1515" s="586" t="s">
        <v>670</v>
      </c>
      <c r="I1515" s="586" t="s">
        <v>277</v>
      </c>
      <c r="J1515" s="586" t="s">
        <v>524</v>
      </c>
      <c r="K1515" s="586" t="s">
        <v>303</v>
      </c>
      <c r="L1515" s="586" t="s">
        <v>590</v>
      </c>
      <c r="M1515" s="586" t="s">
        <v>285</v>
      </c>
      <c r="N1515" s="586" t="s">
        <v>670</v>
      </c>
      <c r="O1515" s="586" t="s">
        <v>670</v>
      </c>
      <c r="P1515" s="586" t="s">
        <v>524</v>
      </c>
      <c r="Q1515" s="586" t="s">
        <v>670</v>
      </c>
      <c r="R1515" s="587">
        <v>45870</v>
      </c>
      <c r="S1515" s="586" t="s">
        <v>670</v>
      </c>
      <c r="T1515" s="587">
        <v>45869</v>
      </c>
      <c r="U1515" s="588">
        <v>0</v>
      </c>
      <c r="V1515" s="589">
        <v>0.53</v>
      </c>
      <c r="W1515" s="260">
        <v>45839</v>
      </c>
    </row>
    <row r="1516" spans="1:23" hidden="1" x14ac:dyDescent="0.35">
      <c r="A1516" s="586" t="s">
        <v>526</v>
      </c>
      <c r="B1516" s="586" t="s">
        <v>53</v>
      </c>
      <c r="C1516" s="586" t="s">
        <v>298</v>
      </c>
      <c r="D1516" s="586" t="s">
        <v>345</v>
      </c>
      <c r="E1516" s="586" t="s">
        <v>346</v>
      </c>
      <c r="F1516" s="586" t="s">
        <v>276</v>
      </c>
      <c r="G1516" s="586" t="s">
        <v>356</v>
      </c>
      <c r="H1516" s="586" t="s">
        <v>670</v>
      </c>
      <c r="I1516" s="586" t="s">
        <v>277</v>
      </c>
      <c r="J1516" s="586" t="s">
        <v>524</v>
      </c>
      <c r="K1516" s="586" t="s">
        <v>301</v>
      </c>
      <c r="L1516" s="586" t="s">
        <v>590</v>
      </c>
      <c r="M1516" s="586" t="s">
        <v>285</v>
      </c>
      <c r="N1516" s="586" t="s">
        <v>670</v>
      </c>
      <c r="O1516" s="586" t="s">
        <v>670</v>
      </c>
      <c r="P1516" s="586" t="s">
        <v>524</v>
      </c>
      <c r="Q1516" s="586" t="s">
        <v>670</v>
      </c>
      <c r="R1516" s="587">
        <v>45870</v>
      </c>
      <c r="S1516" s="586" t="s">
        <v>670</v>
      </c>
      <c r="T1516" s="587">
        <v>45869</v>
      </c>
      <c r="U1516" s="588">
        <v>0</v>
      </c>
      <c r="V1516" s="589">
        <v>-0.12</v>
      </c>
      <c r="W1516" s="260">
        <v>45839</v>
      </c>
    </row>
    <row r="1517" spans="1:23" hidden="1" x14ac:dyDescent="0.35">
      <c r="A1517" s="586" t="s">
        <v>526</v>
      </c>
      <c r="B1517" s="586" t="s">
        <v>53</v>
      </c>
      <c r="C1517" s="586" t="s">
        <v>298</v>
      </c>
      <c r="D1517" s="586" t="s">
        <v>347</v>
      </c>
      <c r="E1517" s="586" t="s">
        <v>348</v>
      </c>
      <c r="F1517" s="586" t="s">
        <v>276</v>
      </c>
      <c r="G1517" s="586" t="s">
        <v>356</v>
      </c>
      <c r="H1517" s="586" t="s">
        <v>670</v>
      </c>
      <c r="I1517" s="586" t="s">
        <v>277</v>
      </c>
      <c r="J1517" s="586" t="s">
        <v>524</v>
      </c>
      <c r="K1517" s="586" t="s">
        <v>301</v>
      </c>
      <c r="L1517" s="586" t="s">
        <v>590</v>
      </c>
      <c r="M1517" s="586" t="s">
        <v>285</v>
      </c>
      <c r="N1517" s="586" t="s">
        <v>670</v>
      </c>
      <c r="O1517" s="586" t="s">
        <v>670</v>
      </c>
      <c r="P1517" s="586" t="s">
        <v>524</v>
      </c>
      <c r="Q1517" s="586" t="s">
        <v>670</v>
      </c>
      <c r="R1517" s="587">
        <v>45870</v>
      </c>
      <c r="S1517" s="586" t="s">
        <v>670</v>
      </c>
      <c r="T1517" s="587">
        <v>45869</v>
      </c>
      <c r="U1517" s="588">
        <v>0</v>
      </c>
      <c r="V1517" s="589">
        <v>0.95</v>
      </c>
      <c r="W1517" s="260">
        <v>45839</v>
      </c>
    </row>
    <row r="1518" spans="1:23" hidden="1" x14ac:dyDescent="0.35">
      <c r="A1518" s="586" t="s">
        <v>526</v>
      </c>
      <c r="B1518" s="586" t="s">
        <v>53</v>
      </c>
      <c r="C1518" s="586" t="s">
        <v>298</v>
      </c>
      <c r="D1518" s="586" t="s">
        <v>347</v>
      </c>
      <c r="E1518" s="586" t="s">
        <v>348</v>
      </c>
      <c r="F1518" s="586" t="s">
        <v>276</v>
      </c>
      <c r="G1518" s="586" t="s">
        <v>356</v>
      </c>
      <c r="H1518" s="586" t="s">
        <v>670</v>
      </c>
      <c r="I1518" s="586" t="s">
        <v>277</v>
      </c>
      <c r="J1518" s="586" t="s">
        <v>524</v>
      </c>
      <c r="K1518" s="586" t="s">
        <v>301</v>
      </c>
      <c r="L1518" s="586" t="s">
        <v>590</v>
      </c>
      <c r="M1518" s="586" t="s">
        <v>285</v>
      </c>
      <c r="N1518" s="586" t="s">
        <v>670</v>
      </c>
      <c r="O1518" s="586" t="s">
        <v>670</v>
      </c>
      <c r="P1518" s="586" t="s">
        <v>524</v>
      </c>
      <c r="Q1518" s="586" t="s">
        <v>670</v>
      </c>
      <c r="R1518" s="587">
        <v>45870</v>
      </c>
      <c r="S1518" s="586" t="s">
        <v>670</v>
      </c>
      <c r="T1518" s="587">
        <v>45869</v>
      </c>
      <c r="U1518" s="588">
        <v>0</v>
      </c>
      <c r="V1518" s="589">
        <v>0.73</v>
      </c>
      <c r="W1518" s="260">
        <v>45839</v>
      </c>
    </row>
    <row r="1519" spans="1:23" hidden="1" x14ac:dyDescent="0.35">
      <c r="A1519" s="586" t="s">
        <v>526</v>
      </c>
      <c r="B1519" s="586" t="s">
        <v>53</v>
      </c>
      <c r="C1519" s="586" t="s">
        <v>298</v>
      </c>
      <c r="D1519" s="586" t="s">
        <v>349</v>
      </c>
      <c r="E1519" s="586" t="s">
        <v>350</v>
      </c>
      <c r="F1519" s="586" t="s">
        <v>276</v>
      </c>
      <c r="G1519" s="586" t="s">
        <v>356</v>
      </c>
      <c r="H1519" s="586" t="s">
        <v>670</v>
      </c>
      <c r="I1519" s="586" t="s">
        <v>277</v>
      </c>
      <c r="J1519" s="586" t="s">
        <v>524</v>
      </c>
      <c r="K1519" s="586" t="s">
        <v>301</v>
      </c>
      <c r="L1519" s="586" t="s">
        <v>590</v>
      </c>
      <c r="M1519" s="586" t="s">
        <v>285</v>
      </c>
      <c r="N1519" s="586" t="s">
        <v>670</v>
      </c>
      <c r="O1519" s="586" t="s">
        <v>670</v>
      </c>
      <c r="P1519" s="586" t="s">
        <v>524</v>
      </c>
      <c r="Q1519" s="586" t="s">
        <v>670</v>
      </c>
      <c r="R1519" s="587">
        <v>45870</v>
      </c>
      <c r="S1519" s="586" t="s">
        <v>670</v>
      </c>
      <c r="T1519" s="587">
        <v>45869</v>
      </c>
      <c r="U1519" s="588">
        <v>0</v>
      </c>
      <c r="V1519" s="589">
        <v>-0.04</v>
      </c>
      <c r="W1519" s="260">
        <v>45839</v>
      </c>
    </row>
    <row r="1520" spans="1:23" hidden="1" x14ac:dyDescent="0.35">
      <c r="A1520" s="586" t="s">
        <v>526</v>
      </c>
      <c r="B1520" s="586" t="s">
        <v>53</v>
      </c>
      <c r="C1520" s="586" t="s">
        <v>298</v>
      </c>
      <c r="D1520" s="586" t="s">
        <v>351</v>
      </c>
      <c r="E1520" s="586" t="s">
        <v>352</v>
      </c>
      <c r="F1520" s="586" t="s">
        <v>276</v>
      </c>
      <c r="G1520" s="586" t="s">
        <v>356</v>
      </c>
      <c r="H1520" s="586" t="s">
        <v>670</v>
      </c>
      <c r="I1520" s="586" t="s">
        <v>277</v>
      </c>
      <c r="J1520" s="586" t="s">
        <v>524</v>
      </c>
      <c r="K1520" s="586" t="s">
        <v>301</v>
      </c>
      <c r="L1520" s="586" t="s">
        <v>590</v>
      </c>
      <c r="M1520" s="586" t="s">
        <v>285</v>
      </c>
      <c r="N1520" s="586" t="s">
        <v>670</v>
      </c>
      <c r="O1520" s="586" t="s">
        <v>670</v>
      </c>
      <c r="P1520" s="586" t="s">
        <v>524</v>
      </c>
      <c r="Q1520" s="586" t="s">
        <v>670</v>
      </c>
      <c r="R1520" s="587">
        <v>45870</v>
      </c>
      <c r="S1520" s="586" t="s">
        <v>670</v>
      </c>
      <c r="T1520" s="587">
        <v>45869</v>
      </c>
      <c r="U1520" s="588">
        <v>0</v>
      </c>
      <c r="V1520" s="589">
        <v>0.52</v>
      </c>
      <c r="W1520" s="260">
        <v>45839</v>
      </c>
    </row>
    <row r="1521" spans="1:24" hidden="1" x14ac:dyDescent="0.35">
      <c r="A1521" s="586" t="s">
        <v>526</v>
      </c>
      <c r="B1521" s="586" t="s">
        <v>53</v>
      </c>
      <c r="C1521" s="586" t="s">
        <v>298</v>
      </c>
      <c r="D1521" s="586" t="s">
        <v>351</v>
      </c>
      <c r="E1521" s="586" t="s">
        <v>352</v>
      </c>
      <c r="F1521" s="586" t="s">
        <v>276</v>
      </c>
      <c r="G1521" s="586" t="s">
        <v>356</v>
      </c>
      <c r="H1521" s="586" t="s">
        <v>670</v>
      </c>
      <c r="I1521" s="586" t="s">
        <v>277</v>
      </c>
      <c r="J1521" s="586" t="s">
        <v>524</v>
      </c>
      <c r="K1521" s="586" t="s">
        <v>301</v>
      </c>
      <c r="L1521" s="586" t="s">
        <v>590</v>
      </c>
      <c r="M1521" s="586" t="s">
        <v>285</v>
      </c>
      <c r="N1521" s="586" t="s">
        <v>670</v>
      </c>
      <c r="O1521" s="586" t="s">
        <v>670</v>
      </c>
      <c r="P1521" s="586" t="s">
        <v>524</v>
      </c>
      <c r="Q1521" s="586" t="s">
        <v>670</v>
      </c>
      <c r="R1521" s="587">
        <v>45870</v>
      </c>
      <c r="S1521" s="586" t="s">
        <v>670</v>
      </c>
      <c r="T1521" s="587">
        <v>45869</v>
      </c>
      <c r="U1521" s="588">
        <v>0</v>
      </c>
      <c r="V1521" s="589">
        <v>-0.05</v>
      </c>
      <c r="W1521" s="260">
        <v>45839</v>
      </c>
    </row>
    <row r="1522" spans="1:24" hidden="1" x14ac:dyDescent="0.35">
      <c r="A1522" s="586" t="s">
        <v>526</v>
      </c>
      <c r="B1522" s="586" t="s">
        <v>53</v>
      </c>
      <c r="C1522" s="586" t="s">
        <v>298</v>
      </c>
      <c r="D1522" s="586" t="s">
        <v>354</v>
      </c>
      <c r="E1522" s="586" t="s">
        <v>355</v>
      </c>
      <c r="F1522" s="586" t="s">
        <v>276</v>
      </c>
      <c r="G1522" s="586" t="s">
        <v>356</v>
      </c>
      <c r="H1522" s="586" t="s">
        <v>670</v>
      </c>
      <c r="I1522" s="586" t="s">
        <v>277</v>
      </c>
      <c r="J1522" s="586" t="s">
        <v>524</v>
      </c>
      <c r="K1522" s="586" t="s">
        <v>301</v>
      </c>
      <c r="L1522" s="586" t="s">
        <v>590</v>
      </c>
      <c r="M1522" s="586" t="s">
        <v>285</v>
      </c>
      <c r="N1522" s="586" t="s">
        <v>670</v>
      </c>
      <c r="O1522" s="586" t="s">
        <v>670</v>
      </c>
      <c r="P1522" s="586" t="s">
        <v>524</v>
      </c>
      <c r="Q1522" s="586" t="s">
        <v>670</v>
      </c>
      <c r="R1522" s="587">
        <v>45870</v>
      </c>
      <c r="S1522" s="586" t="s">
        <v>670</v>
      </c>
      <c r="T1522" s="587">
        <v>45869</v>
      </c>
      <c r="U1522" s="588">
        <v>0</v>
      </c>
      <c r="V1522" s="589">
        <v>0.05</v>
      </c>
      <c r="W1522" s="260">
        <v>45839</v>
      </c>
    </row>
    <row r="1523" spans="1:24" hidden="1" x14ac:dyDescent="0.35">
      <c r="A1523" s="586" t="s">
        <v>526</v>
      </c>
      <c r="B1523" s="586" t="s">
        <v>53</v>
      </c>
      <c r="C1523" s="586" t="s">
        <v>530</v>
      </c>
      <c r="D1523" s="586" t="s">
        <v>531</v>
      </c>
      <c r="E1523" s="586" t="s">
        <v>532</v>
      </c>
      <c r="F1523" s="586" t="s">
        <v>276</v>
      </c>
      <c r="G1523" s="586" t="s">
        <v>356</v>
      </c>
      <c r="H1523" s="586" t="s">
        <v>565</v>
      </c>
      <c r="I1523" s="586" t="s">
        <v>277</v>
      </c>
      <c r="J1523" s="586" t="s">
        <v>524</v>
      </c>
      <c r="K1523" s="586" t="s">
        <v>534</v>
      </c>
      <c r="L1523" s="586" t="s">
        <v>590</v>
      </c>
      <c r="M1523" s="586" t="s">
        <v>566</v>
      </c>
      <c r="N1523" s="586" t="s">
        <v>670</v>
      </c>
      <c r="O1523" s="586" t="s">
        <v>670</v>
      </c>
      <c r="P1523" s="586" t="s">
        <v>524</v>
      </c>
      <c r="Q1523" s="586" t="s">
        <v>670</v>
      </c>
      <c r="R1523" s="587">
        <v>45861</v>
      </c>
      <c r="S1523" s="586" t="s">
        <v>278</v>
      </c>
      <c r="T1523" s="587">
        <v>45867</v>
      </c>
      <c r="U1523" s="588">
        <v>8</v>
      </c>
      <c r="V1523" s="589">
        <v>741.2</v>
      </c>
      <c r="W1523" s="260">
        <v>45839</v>
      </c>
      <c r="X1523" s="845"/>
    </row>
    <row r="1524" spans="1:24" hidden="1" x14ac:dyDescent="0.35">
      <c r="A1524" s="586" t="s">
        <v>526</v>
      </c>
      <c r="B1524" s="586" t="s">
        <v>53</v>
      </c>
      <c r="C1524" s="586" t="s">
        <v>530</v>
      </c>
      <c r="D1524" s="586" t="s">
        <v>531</v>
      </c>
      <c r="E1524" s="586" t="s">
        <v>532</v>
      </c>
      <c r="F1524" s="586" t="s">
        <v>276</v>
      </c>
      <c r="G1524" s="586" t="s">
        <v>356</v>
      </c>
      <c r="H1524" s="586" t="s">
        <v>565</v>
      </c>
      <c r="I1524" s="586" t="s">
        <v>277</v>
      </c>
      <c r="J1524" s="586" t="s">
        <v>524</v>
      </c>
      <c r="K1524" s="586" t="s">
        <v>534</v>
      </c>
      <c r="L1524" s="586" t="s">
        <v>590</v>
      </c>
      <c r="M1524" s="586" t="s">
        <v>566</v>
      </c>
      <c r="N1524" s="586" t="s">
        <v>670</v>
      </c>
      <c r="O1524" s="586" t="s">
        <v>670</v>
      </c>
      <c r="P1524" s="586" t="s">
        <v>524</v>
      </c>
      <c r="Q1524" s="586" t="s">
        <v>670</v>
      </c>
      <c r="R1524" s="587">
        <v>45860</v>
      </c>
      <c r="S1524" s="586" t="s">
        <v>278</v>
      </c>
      <c r="T1524" s="587">
        <v>45867</v>
      </c>
      <c r="U1524" s="588">
        <v>7</v>
      </c>
      <c r="V1524" s="589">
        <v>648.54999999999995</v>
      </c>
      <c r="W1524" s="260">
        <v>45839</v>
      </c>
      <c r="X1524" s="845"/>
    </row>
    <row r="1525" spans="1:24" hidden="1" x14ac:dyDescent="0.35">
      <c r="A1525" s="586" t="s">
        <v>526</v>
      </c>
      <c r="B1525" s="586" t="s">
        <v>53</v>
      </c>
      <c r="C1525" s="586" t="s">
        <v>530</v>
      </c>
      <c r="D1525" s="586" t="s">
        <v>531</v>
      </c>
      <c r="E1525" s="586" t="s">
        <v>532</v>
      </c>
      <c r="F1525" s="586" t="s">
        <v>276</v>
      </c>
      <c r="G1525" s="586" t="s">
        <v>356</v>
      </c>
      <c r="H1525" s="586" t="s">
        <v>565</v>
      </c>
      <c r="I1525" s="586" t="s">
        <v>277</v>
      </c>
      <c r="J1525" s="586" t="s">
        <v>524</v>
      </c>
      <c r="K1525" s="586" t="s">
        <v>534</v>
      </c>
      <c r="L1525" s="586" t="s">
        <v>590</v>
      </c>
      <c r="M1525" s="586" t="s">
        <v>566</v>
      </c>
      <c r="N1525" s="586" t="s">
        <v>670</v>
      </c>
      <c r="O1525" s="586" t="s">
        <v>670</v>
      </c>
      <c r="P1525" s="586" t="s">
        <v>524</v>
      </c>
      <c r="Q1525" s="586" t="s">
        <v>670</v>
      </c>
      <c r="R1525" s="587">
        <v>45859</v>
      </c>
      <c r="S1525" s="586" t="s">
        <v>278</v>
      </c>
      <c r="T1525" s="587">
        <v>45867</v>
      </c>
      <c r="U1525" s="588">
        <v>8</v>
      </c>
      <c r="V1525" s="589">
        <v>741.2</v>
      </c>
      <c r="W1525" s="260">
        <v>45839</v>
      </c>
      <c r="X1525" s="845"/>
    </row>
    <row r="1526" spans="1:24" hidden="1" x14ac:dyDescent="0.35">
      <c r="A1526" s="586" t="s">
        <v>526</v>
      </c>
      <c r="B1526" s="586" t="s">
        <v>53</v>
      </c>
      <c r="C1526" s="586" t="s">
        <v>530</v>
      </c>
      <c r="D1526" s="586" t="s">
        <v>531</v>
      </c>
      <c r="E1526" s="586" t="s">
        <v>532</v>
      </c>
      <c r="F1526" s="586" t="s">
        <v>276</v>
      </c>
      <c r="G1526" s="586" t="s">
        <v>356</v>
      </c>
      <c r="H1526" s="586" t="s">
        <v>565</v>
      </c>
      <c r="I1526" s="586" t="s">
        <v>277</v>
      </c>
      <c r="J1526" s="586" t="s">
        <v>524</v>
      </c>
      <c r="K1526" s="586" t="s">
        <v>534</v>
      </c>
      <c r="L1526" s="586" t="s">
        <v>590</v>
      </c>
      <c r="M1526" s="586" t="s">
        <v>566</v>
      </c>
      <c r="N1526" s="586" t="s">
        <v>670</v>
      </c>
      <c r="O1526" s="586" t="s">
        <v>670</v>
      </c>
      <c r="P1526" s="586" t="s">
        <v>524</v>
      </c>
      <c r="Q1526" s="586" t="s">
        <v>670</v>
      </c>
      <c r="R1526" s="587">
        <v>45862</v>
      </c>
      <c r="S1526" s="586" t="s">
        <v>278</v>
      </c>
      <c r="T1526" s="587">
        <v>45867</v>
      </c>
      <c r="U1526" s="588">
        <v>8</v>
      </c>
      <c r="V1526" s="589">
        <v>741.2</v>
      </c>
      <c r="W1526" s="260">
        <v>45839</v>
      </c>
      <c r="X1526" s="845"/>
    </row>
    <row r="1527" spans="1:24" hidden="1" x14ac:dyDescent="0.35">
      <c r="A1527" s="586" t="s">
        <v>526</v>
      </c>
      <c r="B1527" s="586" t="s">
        <v>53</v>
      </c>
      <c r="C1527" s="586" t="s">
        <v>530</v>
      </c>
      <c r="D1527" s="586" t="s">
        <v>531</v>
      </c>
      <c r="E1527" s="586" t="s">
        <v>532</v>
      </c>
      <c r="F1527" s="586" t="s">
        <v>276</v>
      </c>
      <c r="G1527" s="586" t="s">
        <v>356</v>
      </c>
      <c r="H1527" s="586" t="s">
        <v>565</v>
      </c>
      <c r="I1527" s="586" t="s">
        <v>277</v>
      </c>
      <c r="J1527" s="586" t="s">
        <v>524</v>
      </c>
      <c r="K1527" s="586" t="s">
        <v>534</v>
      </c>
      <c r="L1527" s="586" t="s">
        <v>590</v>
      </c>
      <c r="M1527" s="586" t="s">
        <v>566</v>
      </c>
      <c r="N1527" s="586" t="s">
        <v>670</v>
      </c>
      <c r="O1527" s="586" t="s">
        <v>670</v>
      </c>
      <c r="P1527" s="586" t="s">
        <v>524</v>
      </c>
      <c r="Q1527" s="586" t="s">
        <v>670</v>
      </c>
      <c r="R1527" s="587">
        <v>45863</v>
      </c>
      <c r="S1527" s="586" t="s">
        <v>278</v>
      </c>
      <c r="T1527" s="587">
        <v>45867</v>
      </c>
      <c r="U1527" s="588">
        <v>5</v>
      </c>
      <c r="V1527" s="589">
        <v>463.25</v>
      </c>
      <c r="W1527" s="260">
        <v>45839</v>
      </c>
      <c r="X1527" s="845"/>
    </row>
    <row r="1528" spans="1:24" hidden="1" x14ac:dyDescent="0.35">
      <c r="A1528" s="596" t="s">
        <v>526</v>
      </c>
      <c r="B1528" s="596" t="s">
        <v>53</v>
      </c>
      <c r="C1528" s="596" t="s">
        <v>670</v>
      </c>
      <c r="D1528" s="596" t="s">
        <v>385</v>
      </c>
      <c r="E1528" s="596" t="s">
        <v>386</v>
      </c>
      <c r="F1528" s="596" t="s">
        <v>276</v>
      </c>
      <c r="G1528" s="596" t="s">
        <v>356</v>
      </c>
      <c r="H1528" s="596" t="s">
        <v>670</v>
      </c>
      <c r="I1528" s="596" t="s">
        <v>277</v>
      </c>
      <c r="J1528" s="596" t="s">
        <v>577</v>
      </c>
      <c r="K1528" s="596" t="s">
        <v>670</v>
      </c>
      <c r="L1528" s="596" t="s">
        <v>592</v>
      </c>
      <c r="M1528" s="596" t="s">
        <v>285</v>
      </c>
      <c r="N1528" s="596" t="s">
        <v>733</v>
      </c>
      <c r="O1528" s="596">
        <v>7000001145</v>
      </c>
      <c r="P1528" s="596" t="s">
        <v>577</v>
      </c>
      <c r="Q1528" s="596" t="s">
        <v>387</v>
      </c>
      <c r="R1528" s="597">
        <v>45882</v>
      </c>
      <c r="S1528" s="596" t="s">
        <v>388</v>
      </c>
      <c r="T1528" s="597">
        <v>45888</v>
      </c>
      <c r="U1528" s="600">
        <v>1</v>
      </c>
      <c r="V1528" s="599">
        <v>1792</v>
      </c>
      <c r="W1528" s="260">
        <v>45870</v>
      </c>
    </row>
    <row r="1529" spans="1:24" hidden="1" x14ac:dyDescent="0.35">
      <c r="A1529" s="596" t="s">
        <v>526</v>
      </c>
      <c r="B1529" s="596" t="s">
        <v>53</v>
      </c>
      <c r="C1529" s="596" t="s">
        <v>670</v>
      </c>
      <c r="D1529" s="596" t="s">
        <v>575</v>
      </c>
      <c r="E1529" s="596" t="s">
        <v>576</v>
      </c>
      <c r="F1529" s="596" t="s">
        <v>588</v>
      </c>
      <c r="G1529" s="596" t="s">
        <v>356</v>
      </c>
      <c r="H1529" s="596" t="s">
        <v>670</v>
      </c>
      <c r="I1529" s="596" t="s">
        <v>277</v>
      </c>
      <c r="J1529" s="596" t="s">
        <v>577</v>
      </c>
      <c r="K1529" s="596" t="s">
        <v>670</v>
      </c>
      <c r="L1529" s="596" t="s">
        <v>592</v>
      </c>
      <c r="M1529" s="596" t="s">
        <v>285</v>
      </c>
      <c r="N1529" s="596" t="s">
        <v>670</v>
      </c>
      <c r="O1529" s="596" t="s">
        <v>591</v>
      </c>
      <c r="P1529" s="596" t="s">
        <v>577</v>
      </c>
      <c r="Q1529" s="596" t="s">
        <v>734</v>
      </c>
      <c r="R1529" s="597">
        <v>45896</v>
      </c>
      <c r="S1529" s="596" t="s">
        <v>670</v>
      </c>
      <c r="T1529" s="597">
        <v>45900</v>
      </c>
      <c r="U1529" s="598">
        <v>0</v>
      </c>
      <c r="V1529" s="599">
        <v>-16500</v>
      </c>
      <c r="W1529" s="260">
        <v>45870</v>
      </c>
    </row>
    <row r="1530" spans="1:24" hidden="1" x14ac:dyDescent="0.35">
      <c r="A1530" s="596" t="s">
        <v>526</v>
      </c>
      <c r="B1530" s="596" t="s">
        <v>159</v>
      </c>
      <c r="C1530" s="596" t="s">
        <v>281</v>
      </c>
      <c r="D1530" s="596" t="s">
        <v>282</v>
      </c>
      <c r="E1530" s="596" t="s">
        <v>283</v>
      </c>
      <c r="F1530" s="596" t="s">
        <v>276</v>
      </c>
      <c r="G1530" s="596" t="s">
        <v>356</v>
      </c>
      <c r="H1530" s="596" t="s">
        <v>670</v>
      </c>
      <c r="I1530" s="596" t="s">
        <v>277</v>
      </c>
      <c r="J1530" s="596" t="s">
        <v>522</v>
      </c>
      <c r="K1530" s="596" t="s">
        <v>284</v>
      </c>
      <c r="L1530" s="596" t="s">
        <v>592</v>
      </c>
      <c r="M1530" s="596" t="s">
        <v>285</v>
      </c>
      <c r="N1530" s="596" t="s">
        <v>670</v>
      </c>
      <c r="O1530" s="596" t="s">
        <v>670</v>
      </c>
      <c r="P1530" s="596" t="s">
        <v>522</v>
      </c>
      <c r="Q1530" s="596" t="s">
        <v>670</v>
      </c>
      <c r="R1530" s="597">
        <v>45902</v>
      </c>
      <c r="S1530" s="596" t="s">
        <v>670</v>
      </c>
      <c r="T1530" s="597">
        <v>45900</v>
      </c>
      <c r="U1530" s="598">
        <v>0</v>
      </c>
      <c r="V1530" s="599">
        <v>39.909999999999997</v>
      </c>
      <c r="W1530" s="260">
        <v>45870</v>
      </c>
    </row>
    <row r="1531" spans="1:24" hidden="1" x14ac:dyDescent="0.35">
      <c r="A1531" s="596" t="s">
        <v>526</v>
      </c>
      <c r="B1531" s="596" t="s">
        <v>159</v>
      </c>
      <c r="C1531" s="596" t="s">
        <v>286</v>
      </c>
      <c r="D1531" s="596" t="s">
        <v>287</v>
      </c>
      <c r="E1531" s="596" t="s">
        <v>288</v>
      </c>
      <c r="F1531" s="596" t="s">
        <v>276</v>
      </c>
      <c r="G1531" s="596" t="s">
        <v>356</v>
      </c>
      <c r="H1531" s="596" t="s">
        <v>670</v>
      </c>
      <c r="I1531" s="596" t="s">
        <v>277</v>
      </c>
      <c r="J1531" s="596" t="s">
        <v>522</v>
      </c>
      <c r="K1531" s="596" t="s">
        <v>289</v>
      </c>
      <c r="L1531" s="596" t="s">
        <v>592</v>
      </c>
      <c r="M1531" s="596" t="s">
        <v>285</v>
      </c>
      <c r="N1531" s="596" t="s">
        <v>670</v>
      </c>
      <c r="O1531" s="596" t="s">
        <v>670</v>
      </c>
      <c r="P1531" s="596" t="s">
        <v>522</v>
      </c>
      <c r="Q1531" s="596" t="s">
        <v>670</v>
      </c>
      <c r="R1531" s="597">
        <v>45902</v>
      </c>
      <c r="S1531" s="596" t="s">
        <v>670</v>
      </c>
      <c r="T1531" s="597">
        <v>45900</v>
      </c>
      <c r="U1531" s="598">
        <v>0</v>
      </c>
      <c r="V1531" s="599">
        <v>111.96</v>
      </c>
      <c r="W1531" s="260">
        <v>45870</v>
      </c>
    </row>
    <row r="1532" spans="1:24" hidden="1" x14ac:dyDescent="0.35">
      <c r="A1532" s="596" t="s">
        <v>526</v>
      </c>
      <c r="B1532" s="596" t="s">
        <v>159</v>
      </c>
      <c r="C1532" s="596" t="s">
        <v>281</v>
      </c>
      <c r="D1532" s="596" t="s">
        <v>290</v>
      </c>
      <c r="E1532" s="596" t="s">
        <v>291</v>
      </c>
      <c r="F1532" s="596" t="s">
        <v>276</v>
      </c>
      <c r="G1532" s="596" t="s">
        <v>356</v>
      </c>
      <c r="H1532" s="596" t="s">
        <v>670</v>
      </c>
      <c r="I1532" s="596" t="s">
        <v>277</v>
      </c>
      <c r="J1532" s="596" t="s">
        <v>522</v>
      </c>
      <c r="K1532" s="596" t="s">
        <v>284</v>
      </c>
      <c r="L1532" s="596" t="s">
        <v>592</v>
      </c>
      <c r="M1532" s="596" t="s">
        <v>285</v>
      </c>
      <c r="N1532" s="596" t="s">
        <v>670</v>
      </c>
      <c r="O1532" s="596" t="s">
        <v>670</v>
      </c>
      <c r="P1532" s="596" t="s">
        <v>522</v>
      </c>
      <c r="Q1532" s="596" t="s">
        <v>670</v>
      </c>
      <c r="R1532" s="597">
        <v>45902</v>
      </c>
      <c r="S1532" s="596" t="s">
        <v>670</v>
      </c>
      <c r="T1532" s="597">
        <v>45900</v>
      </c>
      <c r="U1532" s="598">
        <v>0</v>
      </c>
      <c r="V1532" s="599">
        <v>25.79</v>
      </c>
      <c r="W1532" s="260">
        <v>45870</v>
      </c>
    </row>
    <row r="1533" spans="1:24" hidden="1" x14ac:dyDescent="0.35">
      <c r="A1533" s="596" t="s">
        <v>526</v>
      </c>
      <c r="B1533" s="596" t="s">
        <v>159</v>
      </c>
      <c r="C1533" s="596" t="s">
        <v>281</v>
      </c>
      <c r="D1533" s="596" t="s">
        <v>292</v>
      </c>
      <c r="E1533" s="596" t="s">
        <v>293</v>
      </c>
      <c r="F1533" s="596" t="s">
        <v>276</v>
      </c>
      <c r="G1533" s="596" t="s">
        <v>356</v>
      </c>
      <c r="H1533" s="596" t="s">
        <v>670</v>
      </c>
      <c r="I1533" s="596" t="s">
        <v>277</v>
      </c>
      <c r="J1533" s="596" t="s">
        <v>522</v>
      </c>
      <c r="K1533" s="596" t="s">
        <v>294</v>
      </c>
      <c r="L1533" s="596" t="s">
        <v>592</v>
      </c>
      <c r="M1533" s="596" t="s">
        <v>285</v>
      </c>
      <c r="N1533" s="596" t="s">
        <v>670</v>
      </c>
      <c r="O1533" s="596" t="s">
        <v>670</v>
      </c>
      <c r="P1533" s="596" t="s">
        <v>522</v>
      </c>
      <c r="Q1533" s="596" t="s">
        <v>670</v>
      </c>
      <c r="R1533" s="597">
        <v>45902</v>
      </c>
      <c r="S1533" s="596" t="s">
        <v>670</v>
      </c>
      <c r="T1533" s="597">
        <v>45900</v>
      </c>
      <c r="U1533" s="598">
        <v>0</v>
      </c>
      <c r="V1533" s="599">
        <v>28.52</v>
      </c>
      <c r="W1533" s="260">
        <v>45870</v>
      </c>
    </row>
    <row r="1534" spans="1:24" hidden="1" x14ac:dyDescent="0.35">
      <c r="A1534" s="596" t="s">
        <v>526</v>
      </c>
      <c r="B1534" s="596" t="s">
        <v>159</v>
      </c>
      <c r="C1534" s="596" t="s">
        <v>286</v>
      </c>
      <c r="D1534" s="596" t="s">
        <v>295</v>
      </c>
      <c r="E1534" s="596" t="s">
        <v>296</v>
      </c>
      <c r="F1534" s="596" t="s">
        <v>276</v>
      </c>
      <c r="G1534" s="596" t="s">
        <v>356</v>
      </c>
      <c r="H1534" s="596" t="s">
        <v>670</v>
      </c>
      <c r="I1534" s="596" t="s">
        <v>277</v>
      </c>
      <c r="J1534" s="596" t="s">
        <v>522</v>
      </c>
      <c r="K1534" s="596" t="s">
        <v>297</v>
      </c>
      <c r="L1534" s="596" t="s">
        <v>592</v>
      </c>
      <c r="M1534" s="596" t="s">
        <v>285</v>
      </c>
      <c r="N1534" s="596" t="s">
        <v>670</v>
      </c>
      <c r="O1534" s="596" t="s">
        <v>670</v>
      </c>
      <c r="P1534" s="596" t="s">
        <v>522</v>
      </c>
      <c r="Q1534" s="596" t="s">
        <v>670</v>
      </c>
      <c r="R1534" s="597">
        <v>45902</v>
      </c>
      <c r="S1534" s="596" t="s">
        <v>670</v>
      </c>
      <c r="T1534" s="597">
        <v>45900</v>
      </c>
      <c r="U1534" s="598">
        <v>0</v>
      </c>
      <c r="V1534" s="599">
        <v>61.04</v>
      </c>
      <c r="W1534" s="260">
        <v>45870</v>
      </c>
    </row>
    <row r="1535" spans="1:24" hidden="1" x14ac:dyDescent="0.35">
      <c r="A1535" s="596" t="s">
        <v>526</v>
      </c>
      <c r="B1535" s="596" t="s">
        <v>159</v>
      </c>
      <c r="C1535" s="596" t="s">
        <v>542</v>
      </c>
      <c r="D1535" s="596" t="s">
        <v>543</v>
      </c>
      <c r="E1535" s="596" t="s">
        <v>544</v>
      </c>
      <c r="F1535" s="596" t="s">
        <v>276</v>
      </c>
      <c r="G1535" s="596" t="s">
        <v>356</v>
      </c>
      <c r="H1535" s="596" t="s">
        <v>670</v>
      </c>
      <c r="I1535" s="596" t="s">
        <v>277</v>
      </c>
      <c r="J1535" s="596" t="s">
        <v>522</v>
      </c>
      <c r="K1535" s="596" t="s">
        <v>545</v>
      </c>
      <c r="L1535" s="596" t="s">
        <v>592</v>
      </c>
      <c r="M1535" s="596" t="s">
        <v>285</v>
      </c>
      <c r="N1535" s="596" t="s">
        <v>670</v>
      </c>
      <c r="O1535" s="596" t="s">
        <v>670</v>
      </c>
      <c r="P1535" s="596" t="s">
        <v>522</v>
      </c>
      <c r="Q1535" s="596" t="s">
        <v>670</v>
      </c>
      <c r="R1535" s="597">
        <v>45902</v>
      </c>
      <c r="S1535" s="596" t="s">
        <v>670</v>
      </c>
      <c r="T1535" s="597">
        <v>45900</v>
      </c>
      <c r="U1535" s="598">
        <v>0</v>
      </c>
      <c r="V1535" s="599">
        <v>18.62</v>
      </c>
      <c r="W1535" s="260">
        <v>45870</v>
      </c>
    </row>
    <row r="1536" spans="1:24" hidden="1" x14ac:dyDescent="0.35">
      <c r="A1536" s="596" t="s">
        <v>526</v>
      </c>
      <c r="B1536" s="596" t="s">
        <v>159</v>
      </c>
      <c r="C1536" s="596" t="s">
        <v>546</v>
      </c>
      <c r="D1536" s="596" t="s">
        <v>547</v>
      </c>
      <c r="E1536" s="596" t="s">
        <v>548</v>
      </c>
      <c r="F1536" s="596" t="s">
        <v>276</v>
      </c>
      <c r="G1536" s="596" t="s">
        <v>356</v>
      </c>
      <c r="H1536" s="596" t="s">
        <v>670</v>
      </c>
      <c r="I1536" s="596" t="s">
        <v>277</v>
      </c>
      <c r="J1536" s="596" t="s">
        <v>522</v>
      </c>
      <c r="K1536" s="596" t="s">
        <v>549</v>
      </c>
      <c r="L1536" s="596" t="s">
        <v>592</v>
      </c>
      <c r="M1536" s="596" t="s">
        <v>285</v>
      </c>
      <c r="N1536" s="596" t="s">
        <v>670</v>
      </c>
      <c r="O1536" s="596" t="s">
        <v>670</v>
      </c>
      <c r="P1536" s="596" t="s">
        <v>522</v>
      </c>
      <c r="Q1536" s="596" t="s">
        <v>670</v>
      </c>
      <c r="R1536" s="597">
        <v>45902</v>
      </c>
      <c r="S1536" s="596" t="s">
        <v>670</v>
      </c>
      <c r="T1536" s="597">
        <v>45900</v>
      </c>
      <c r="U1536" s="598">
        <v>0</v>
      </c>
      <c r="V1536" s="599">
        <v>52.24</v>
      </c>
      <c r="W1536" s="260">
        <v>45870</v>
      </c>
    </row>
    <row r="1537" spans="1:23" hidden="1" x14ac:dyDescent="0.35">
      <c r="A1537" s="596" t="s">
        <v>526</v>
      </c>
      <c r="B1537" s="596" t="s">
        <v>159</v>
      </c>
      <c r="C1537" s="596" t="s">
        <v>542</v>
      </c>
      <c r="D1537" s="596" t="s">
        <v>550</v>
      </c>
      <c r="E1537" s="596" t="s">
        <v>551</v>
      </c>
      <c r="F1537" s="596" t="s">
        <v>276</v>
      </c>
      <c r="G1537" s="596" t="s">
        <v>356</v>
      </c>
      <c r="H1537" s="596" t="s">
        <v>670</v>
      </c>
      <c r="I1537" s="596" t="s">
        <v>277</v>
      </c>
      <c r="J1537" s="596" t="s">
        <v>522</v>
      </c>
      <c r="K1537" s="596" t="s">
        <v>545</v>
      </c>
      <c r="L1537" s="596" t="s">
        <v>592</v>
      </c>
      <c r="M1537" s="596" t="s">
        <v>285</v>
      </c>
      <c r="N1537" s="596" t="s">
        <v>670</v>
      </c>
      <c r="O1537" s="596" t="s">
        <v>670</v>
      </c>
      <c r="P1537" s="596" t="s">
        <v>522</v>
      </c>
      <c r="Q1537" s="596" t="s">
        <v>670</v>
      </c>
      <c r="R1537" s="597">
        <v>45902</v>
      </c>
      <c r="S1537" s="596" t="s">
        <v>670</v>
      </c>
      <c r="T1537" s="597">
        <v>45900</v>
      </c>
      <c r="U1537" s="598">
        <v>0</v>
      </c>
      <c r="V1537" s="599">
        <v>12.03</v>
      </c>
      <c r="W1537" s="260">
        <v>45870</v>
      </c>
    </row>
    <row r="1538" spans="1:23" hidden="1" x14ac:dyDescent="0.35">
      <c r="A1538" s="596" t="s">
        <v>526</v>
      </c>
      <c r="B1538" s="596" t="s">
        <v>159</v>
      </c>
      <c r="C1538" s="596" t="s">
        <v>542</v>
      </c>
      <c r="D1538" s="596" t="s">
        <v>552</v>
      </c>
      <c r="E1538" s="596" t="s">
        <v>553</v>
      </c>
      <c r="F1538" s="596" t="s">
        <v>276</v>
      </c>
      <c r="G1538" s="596" t="s">
        <v>356</v>
      </c>
      <c r="H1538" s="596" t="s">
        <v>670</v>
      </c>
      <c r="I1538" s="596" t="s">
        <v>277</v>
      </c>
      <c r="J1538" s="596" t="s">
        <v>522</v>
      </c>
      <c r="K1538" s="596" t="s">
        <v>554</v>
      </c>
      <c r="L1538" s="596" t="s">
        <v>592</v>
      </c>
      <c r="M1538" s="596" t="s">
        <v>285</v>
      </c>
      <c r="N1538" s="596" t="s">
        <v>670</v>
      </c>
      <c r="O1538" s="596" t="s">
        <v>670</v>
      </c>
      <c r="P1538" s="596" t="s">
        <v>522</v>
      </c>
      <c r="Q1538" s="596" t="s">
        <v>670</v>
      </c>
      <c r="R1538" s="597">
        <v>45902</v>
      </c>
      <c r="S1538" s="596" t="s">
        <v>670</v>
      </c>
      <c r="T1538" s="597">
        <v>45900</v>
      </c>
      <c r="U1538" s="598">
        <v>0</v>
      </c>
      <c r="V1538" s="599">
        <v>13.31</v>
      </c>
      <c r="W1538" s="260">
        <v>45870</v>
      </c>
    </row>
    <row r="1539" spans="1:23" hidden="1" x14ac:dyDescent="0.35">
      <c r="A1539" s="596" t="s">
        <v>526</v>
      </c>
      <c r="B1539" s="596" t="s">
        <v>159</v>
      </c>
      <c r="C1539" s="596" t="s">
        <v>546</v>
      </c>
      <c r="D1539" s="596" t="s">
        <v>555</v>
      </c>
      <c r="E1539" s="596" t="s">
        <v>556</v>
      </c>
      <c r="F1539" s="596" t="s">
        <v>276</v>
      </c>
      <c r="G1539" s="596" t="s">
        <v>356</v>
      </c>
      <c r="H1539" s="596" t="s">
        <v>670</v>
      </c>
      <c r="I1539" s="596" t="s">
        <v>277</v>
      </c>
      <c r="J1539" s="596" t="s">
        <v>522</v>
      </c>
      <c r="K1539" s="596" t="s">
        <v>557</v>
      </c>
      <c r="L1539" s="596" t="s">
        <v>592</v>
      </c>
      <c r="M1539" s="596" t="s">
        <v>285</v>
      </c>
      <c r="N1539" s="596" t="s">
        <v>670</v>
      </c>
      <c r="O1539" s="596" t="s">
        <v>670</v>
      </c>
      <c r="P1539" s="596" t="s">
        <v>522</v>
      </c>
      <c r="Q1539" s="596" t="s">
        <v>670</v>
      </c>
      <c r="R1539" s="597">
        <v>45902</v>
      </c>
      <c r="S1539" s="596" t="s">
        <v>670</v>
      </c>
      <c r="T1539" s="597">
        <v>45900</v>
      </c>
      <c r="U1539" s="598">
        <v>0</v>
      </c>
      <c r="V1539" s="599">
        <v>28.48</v>
      </c>
      <c r="W1539" s="260">
        <v>45870</v>
      </c>
    </row>
    <row r="1540" spans="1:23" hidden="1" x14ac:dyDescent="0.35">
      <c r="A1540" s="596" t="s">
        <v>526</v>
      </c>
      <c r="B1540" s="596" t="s">
        <v>159</v>
      </c>
      <c r="C1540" s="596" t="s">
        <v>298</v>
      </c>
      <c r="D1540" s="596" t="s">
        <v>299</v>
      </c>
      <c r="E1540" s="596" t="s">
        <v>300</v>
      </c>
      <c r="F1540" s="596" t="s">
        <v>276</v>
      </c>
      <c r="G1540" s="596" t="s">
        <v>356</v>
      </c>
      <c r="H1540" s="596" t="s">
        <v>670</v>
      </c>
      <c r="I1540" s="596" t="s">
        <v>277</v>
      </c>
      <c r="J1540" s="596" t="s">
        <v>522</v>
      </c>
      <c r="K1540" s="596" t="s">
        <v>301</v>
      </c>
      <c r="L1540" s="596" t="s">
        <v>592</v>
      </c>
      <c r="M1540" s="596" t="s">
        <v>285</v>
      </c>
      <c r="N1540" s="596" t="s">
        <v>670</v>
      </c>
      <c r="O1540" s="596" t="s">
        <v>670</v>
      </c>
      <c r="P1540" s="596" t="s">
        <v>522</v>
      </c>
      <c r="Q1540" s="596" t="s">
        <v>670</v>
      </c>
      <c r="R1540" s="597">
        <v>45902</v>
      </c>
      <c r="S1540" s="596" t="s">
        <v>670</v>
      </c>
      <c r="T1540" s="597">
        <v>45900</v>
      </c>
      <c r="U1540" s="598">
        <v>0</v>
      </c>
      <c r="V1540" s="599">
        <v>0.03</v>
      </c>
      <c r="W1540" s="260">
        <v>45870</v>
      </c>
    </row>
    <row r="1541" spans="1:23" hidden="1" x14ac:dyDescent="0.35">
      <c r="A1541" s="596" t="s">
        <v>526</v>
      </c>
      <c r="B1541" s="596" t="s">
        <v>159</v>
      </c>
      <c r="C1541" s="596" t="s">
        <v>298</v>
      </c>
      <c r="D1541" s="596" t="s">
        <v>304</v>
      </c>
      <c r="E1541" s="596" t="s">
        <v>305</v>
      </c>
      <c r="F1541" s="596" t="s">
        <v>276</v>
      </c>
      <c r="G1541" s="596" t="s">
        <v>356</v>
      </c>
      <c r="H1541" s="596" t="s">
        <v>670</v>
      </c>
      <c r="I1541" s="596" t="s">
        <v>277</v>
      </c>
      <c r="J1541" s="596" t="s">
        <v>522</v>
      </c>
      <c r="K1541" s="596" t="s">
        <v>301</v>
      </c>
      <c r="L1541" s="596" t="s">
        <v>592</v>
      </c>
      <c r="M1541" s="596" t="s">
        <v>285</v>
      </c>
      <c r="N1541" s="596" t="s">
        <v>670</v>
      </c>
      <c r="O1541" s="596" t="s">
        <v>670</v>
      </c>
      <c r="P1541" s="596" t="s">
        <v>522</v>
      </c>
      <c r="Q1541" s="596" t="s">
        <v>670</v>
      </c>
      <c r="R1541" s="597">
        <v>45902</v>
      </c>
      <c r="S1541" s="596" t="s">
        <v>670</v>
      </c>
      <c r="T1541" s="597">
        <v>45900</v>
      </c>
      <c r="U1541" s="598">
        <v>0</v>
      </c>
      <c r="V1541" s="599">
        <v>0.03</v>
      </c>
      <c r="W1541" s="260">
        <v>45870</v>
      </c>
    </row>
    <row r="1542" spans="1:23" hidden="1" x14ac:dyDescent="0.35">
      <c r="A1542" s="596" t="s">
        <v>526</v>
      </c>
      <c r="B1542" s="596" t="s">
        <v>159</v>
      </c>
      <c r="C1542" s="596" t="s">
        <v>298</v>
      </c>
      <c r="D1542" s="596" t="s">
        <v>306</v>
      </c>
      <c r="E1542" s="596" t="s">
        <v>307</v>
      </c>
      <c r="F1542" s="596" t="s">
        <v>276</v>
      </c>
      <c r="G1542" s="596" t="s">
        <v>356</v>
      </c>
      <c r="H1542" s="596" t="s">
        <v>670</v>
      </c>
      <c r="I1542" s="596" t="s">
        <v>277</v>
      </c>
      <c r="J1542" s="596" t="s">
        <v>522</v>
      </c>
      <c r="K1542" s="596" t="s">
        <v>301</v>
      </c>
      <c r="L1542" s="596" t="s">
        <v>592</v>
      </c>
      <c r="M1542" s="596" t="s">
        <v>285</v>
      </c>
      <c r="N1542" s="596" t="s">
        <v>670</v>
      </c>
      <c r="O1542" s="596" t="s">
        <v>670</v>
      </c>
      <c r="P1542" s="596" t="s">
        <v>522</v>
      </c>
      <c r="Q1542" s="596" t="s">
        <v>670</v>
      </c>
      <c r="R1542" s="597">
        <v>45902</v>
      </c>
      <c r="S1542" s="596" t="s">
        <v>670</v>
      </c>
      <c r="T1542" s="597">
        <v>45900</v>
      </c>
      <c r="U1542" s="598">
        <v>0</v>
      </c>
      <c r="V1542" s="599">
        <v>0.04</v>
      </c>
      <c r="W1542" s="260">
        <v>45870</v>
      </c>
    </row>
    <row r="1543" spans="1:23" hidden="1" x14ac:dyDescent="0.35">
      <c r="A1543" s="596" t="s">
        <v>526</v>
      </c>
      <c r="B1543" s="596" t="s">
        <v>159</v>
      </c>
      <c r="C1543" s="596" t="s">
        <v>302</v>
      </c>
      <c r="D1543" s="596" t="s">
        <v>308</v>
      </c>
      <c r="E1543" s="596" t="s">
        <v>309</v>
      </c>
      <c r="F1543" s="596" t="s">
        <v>276</v>
      </c>
      <c r="G1543" s="596" t="s">
        <v>356</v>
      </c>
      <c r="H1543" s="596" t="s">
        <v>670</v>
      </c>
      <c r="I1543" s="596" t="s">
        <v>277</v>
      </c>
      <c r="J1543" s="596" t="s">
        <v>522</v>
      </c>
      <c r="K1543" s="596" t="s">
        <v>303</v>
      </c>
      <c r="L1543" s="596" t="s">
        <v>592</v>
      </c>
      <c r="M1543" s="596" t="s">
        <v>285</v>
      </c>
      <c r="N1543" s="596" t="s">
        <v>670</v>
      </c>
      <c r="O1543" s="596" t="s">
        <v>670</v>
      </c>
      <c r="P1543" s="596" t="s">
        <v>522</v>
      </c>
      <c r="Q1543" s="596" t="s">
        <v>670</v>
      </c>
      <c r="R1543" s="597">
        <v>45903</v>
      </c>
      <c r="S1543" s="596" t="s">
        <v>670</v>
      </c>
      <c r="T1543" s="597">
        <v>45900</v>
      </c>
      <c r="U1543" s="598">
        <v>0</v>
      </c>
      <c r="V1543" s="599">
        <v>35.79</v>
      </c>
      <c r="W1543" s="260">
        <v>45870</v>
      </c>
    </row>
    <row r="1544" spans="1:23" hidden="1" x14ac:dyDescent="0.35">
      <c r="A1544" s="596" t="s">
        <v>526</v>
      </c>
      <c r="B1544" s="596" t="s">
        <v>159</v>
      </c>
      <c r="C1544" s="596" t="s">
        <v>298</v>
      </c>
      <c r="D1544" s="596" t="s">
        <v>308</v>
      </c>
      <c r="E1544" s="596" t="s">
        <v>309</v>
      </c>
      <c r="F1544" s="596" t="s">
        <v>276</v>
      </c>
      <c r="G1544" s="596" t="s">
        <v>356</v>
      </c>
      <c r="H1544" s="596" t="s">
        <v>670</v>
      </c>
      <c r="I1544" s="596" t="s">
        <v>277</v>
      </c>
      <c r="J1544" s="596" t="s">
        <v>522</v>
      </c>
      <c r="K1544" s="596" t="s">
        <v>301</v>
      </c>
      <c r="L1544" s="596" t="s">
        <v>592</v>
      </c>
      <c r="M1544" s="596" t="s">
        <v>285</v>
      </c>
      <c r="N1544" s="596" t="s">
        <v>670</v>
      </c>
      <c r="O1544" s="596" t="s">
        <v>670</v>
      </c>
      <c r="P1544" s="596" t="s">
        <v>522</v>
      </c>
      <c r="Q1544" s="596" t="s">
        <v>670</v>
      </c>
      <c r="R1544" s="597">
        <v>45902</v>
      </c>
      <c r="S1544" s="596" t="s">
        <v>670</v>
      </c>
      <c r="T1544" s="597">
        <v>45900</v>
      </c>
      <c r="U1544" s="598">
        <v>0</v>
      </c>
      <c r="V1544" s="599">
        <v>11.19</v>
      </c>
      <c r="W1544" s="260">
        <v>45870</v>
      </c>
    </row>
    <row r="1545" spans="1:23" hidden="1" x14ac:dyDescent="0.35">
      <c r="A1545" s="596" t="s">
        <v>526</v>
      </c>
      <c r="B1545" s="596" t="s">
        <v>159</v>
      </c>
      <c r="C1545" s="596" t="s">
        <v>302</v>
      </c>
      <c r="D1545" s="596" t="s">
        <v>310</v>
      </c>
      <c r="E1545" s="596" t="s">
        <v>311</v>
      </c>
      <c r="F1545" s="596" t="s">
        <v>276</v>
      </c>
      <c r="G1545" s="596" t="s">
        <v>356</v>
      </c>
      <c r="H1545" s="596" t="s">
        <v>670</v>
      </c>
      <c r="I1545" s="596" t="s">
        <v>277</v>
      </c>
      <c r="J1545" s="596" t="s">
        <v>522</v>
      </c>
      <c r="K1545" s="596" t="s">
        <v>303</v>
      </c>
      <c r="L1545" s="596" t="s">
        <v>592</v>
      </c>
      <c r="M1545" s="596" t="s">
        <v>285</v>
      </c>
      <c r="N1545" s="596" t="s">
        <v>670</v>
      </c>
      <c r="O1545" s="596" t="s">
        <v>670</v>
      </c>
      <c r="P1545" s="596" t="s">
        <v>522</v>
      </c>
      <c r="Q1545" s="596" t="s">
        <v>670</v>
      </c>
      <c r="R1545" s="597">
        <v>45903</v>
      </c>
      <c r="S1545" s="596" t="s">
        <v>670</v>
      </c>
      <c r="T1545" s="597">
        <v>45900</v>
      </c>
      <c r="U1545" s="598">
        <v>0</v>
      </c>
      <c r="V1545" s="599">
        <v>55.37</v>
      </c>
      <c r="W1545" s="260">
        <v>45870</v>
      </c>
    </row>
    <row r="1546" spans="1:23" hidden="1" x14ac:dyDescent="0.35">
      <c r="A1546" s="596" t="s">
        <v>526</v>
      </c>
      <c r="B1546" s="596" t="s">
        <v>159</v>
      </c>
      <c r="C1546" s="596" t="s">
        <v>298</v>
      </c>
      <c r="D1546" s="596" t="s">
        <v>312</v>
      </c>
      <c r="E1546" s="596" t="s">
        <v>313</v>
      </c>
      <c r="F1546" s="596" t="s">
        <v>276</v>
      </c>
      <c r="G1546" s="596" t="s">
        <v>356</v>
      </c>
      <c r="H1546" s="596" t="s">
        <v>670</v>
      </c>
      <c r="I1546" s="596" t="s">
        <v>277</v>
      </c>
      <c r="J1546" s="596" t="s">
        <v>522</v>
      </c>
      <c r="K1546" s="596" t="s">
        <v>301</v>
      </c>
      <c r="L1546" s="596" t="s">
        <v>592</v>
      </c>
      <c r="M1546" s="596" t="s">
        <v>285</v>
      </c>
      <c r="N1546" s="596" t="s">
        <v>670</v>
      </c>
      <c r="O1546" s="596" t="s">
        <v>670</v>
      </c>
      <c r="P1546" s="596" t="s">
        <v>522</v>
      </c>
      <c r="Q1546" s="596" t="s">
        <v>670</v>
      </c>
      <c r="R1546" s="597">
        <v>45902</v>
      </c>
      <c r="S1546" s="596" t="s">
        <v>670</v>
      </c>
      <c r="T1546" s="597">
        <v>45900</v>
      </c>
      <c r="U1546" s="598">
        <v>0</v>
      </c>
      <c r="V1546" s="599">
        <v>0.98</v>
      </c>
      <c r="W1546" s="260">
        <v>45870</v>
      </c>
    </row>
    <row r="1547" spans="1:23" hidden="1" x14ac:dyDescent="0.35">
      <c r="A1547" s="596" t="s">
        <v>526</v>
      </c>
      <c r="B1547" s="596" t="s">
        <v>159</v>
      </c>
      <c r="C1547" s="596" t="s">
        <v>298</v>
      </c>
      <c r="D1547" s="596" t="s">
        <v>314</v>
      </c>
      <c r="E1547" s="596" t="s">
        <v>315</v>
      </c>
      <c r="F1547" s="596" t="s">
        <v>276</v>
      </c>
      <c r="G1547" s="596" t="s">
        <v>356</v>
      </c>
      <c r="H1547" s="596" t="s">
        <v>670</v>
      </c>
      <c r="I1547" s="596" t="s">
        <v>277</v>
      </c>
      <c r="J1547" s="596" t="s">
        <v>522</v>
      </c>
      <c r="K1547" s="596" t="s">
        <v>301</v>
      </c>
      <c r="L1547" s="596" t="s">
        <v>592</v>
      </c>
      <c r="M1547" s="596" t="s">
        <v>285</v>
      </c>
      <c r="N1547" s="596" t="s">
        <v>670</v>
      </c>
      <c r="O1547" s="596" t="s">
        <v>670</v>
      </c>
      <c r="P1547" s="596" t="s">
        <v>522</v>
      </c>
      <c r="Q1547" s="596" t="s">
        <v>670</v>
      </c>
      <c r="R1547" s="597">
        <v>45902</v>
      </c>
      <c r="S1547" s="596" t="s">
        <v>670</v>
      </c>
      <c r="T1547" s="597">
        <v>45900</v>
      </c>
      <c r="U1547" s="598">
        <v>0</v>
      </c>
      <c r="V1547" s="599">
        <v>4.25</v>
      </c>
      <c r="W1547" s="260">
        <v>45870</v>
      </c>
    </row>
    <row r="1548" spans="1:23" hidden="1" x14ac:dyDescent="0.35">
      <c r="A1548" s="596" t="s">
        <v>526</v>
      </c>
      <c r="B1548" s="596" t="s">
        <v>159</v>
      </c>
      <c r="C1548" s="596" t="s">
        <v>298</v>
      </c>
      <c r="D1548" s="596" t="s">
        <v>316</v>
      </c>
      <c r="E1548" s="596" t="s">
        <v>317</v>
      </c>
      <c r="F1548" s="596" t="s">
        <v>276</v>
      </c>
      <c r="G1548" s="596" t="s">
        <v>356</v>
      </c>
      <c r="H1548" s="596" t="s">
        <v>670</v>
      </c>
      <c r="I1548" s="596" t="s">
        <v>277</v>
      </c>
      <c r="J1548" s="596" t="s">
        <v>522</v>
      </c>
      <c r="K1548" s="596" t="s">
        <v>301</v>
      </c>
      <c r="L1548" s="596" t="s">
        <v>592</v>
      </c>
      <c r="M1548" s="596" t="s">
        <v>285</v>
      </c>
      <c r="N1548" s="596" t="s">
        <v>670</v>
      </c>
      <c r="O1548" s="596" t="s">
        <v>670</v>
      </c>
      <c r="P1548" s="596" t="s">
        <v>522</v>
      </c>
      <c r="Q1548" s="596" t="s">
        <v>670</v>
      </c>
      <c r="R1548" s="597">
        <v>45902</v>
      </c>
      <c r="S1548" s="596" t="s">
        <v>670</v>
      </c>
      <c r="T1548" s="597">
        <v>45900</v>
      </c>
      <c r="U1548" s="598">
        <v>0</v>
      </c>
      <c r="V1548" s="599">
        <v>5.55</v>
      </c>
      <c r="W1548" s="260">
        <v>45870</v>
      </c>
    </row>
    <row r="1549" spans="1:23" hidden="1" x14ac:dyDescent="0.35">
      <c r="A1549" s="596" t="s">
        <v>526</v>
      </c>
      <c r="B1549" s="596" t="s">
        <v>159</v>
      </c>
      <c r="C1549" s="596" t="s">
        <v>298</v>
      </c>
      <c r="D1549" s="596" t="s">
        <v>318</v>
      </c>
      <c r="E1549" s="596" t="s">
        <v>319</v>
      </c>
      <c r="F1549" s="596" t="s">
        <v>276</v>
      </c>
      <c r="G1549" s="596" t="s">
        <v>356</v>
      </c>
      <c r="H1549" s="596" t="s">
        <v>670</v>
      </c>
      <c r="I1549" s="596" t="s">
        <v>277</v>
      </c>
      <c r="J1549" s="596" t="s">
        <v>522</v>
      </c>
      <c r="K1549" s="596" t="s">
        <v>301</v>
      </c>
      <c r="L1549" s="596" t="s">
        <v>592</v>
      </c>
      <c r="M1549" s="596" t="s">
        <v>285</v>
      </c>
      <c r="N1549" s="596" t="s">
        <v>670</v>
      </c>
      <c r="O1549" s="596" t="s">
        <v>670</v>
      </c>
      <c r="P1549" s="596" t="s">
        <v>522</v>
      </c>
      <c r="Q1549" s="596" t="s">
        <v>670</v>
      </c>
      <c r="R1549" s="597">
        <v>45902</v>
      </c>
      <c r="S1549" s="596" t="s">
        <v>670</v>
      </c>
      <c r="T1549" s="597">
        <v>45900</v>
      </c>
      <c r="U1549" s="598">
        <v>0</v>
      </c>
      <c r="V1549" s="599">
        <v>0.02</v>
      </c>
      <c r="W1549" s="260">
        <v>45870</v>
      </c>
    </row>
    <row r="1550" spans="1:23" hidden="1" x14ac:dyDescent="0.35">
      <c r="A1550" s="596" t="s">
        <v>526</v>
      </c>
      <c r="B1550" s="596" t="s">
        <v>159</v>
      </c>
      <c r="C1550" s="596" t="s">
        <v>298</v>
      </c>
      <c r="D1550" s="596" t="s">
        <v>318</v>
      </c>
      <c r="E1550" s="596" t="s">
        <v>319</v>
      </c>
      <c r="F1550" s="596" t="s">
        <v>276</v>
      </c>
      <c r="G1550" s="596" t="s">
        <v>356</v>
      </c>
      <c r="H1550" s="596" t="s">
        <v>670</v>
      </c>
      <c r="I1550" s="596" t="s">
        <v>277</v>
      </c>
      <c r="J1550" s="596" t="s">
        <v>522</v>
      </c>
      <c r="K1550" s="596" t="s">
        <v>301</v>
      </c>
      <c r="L1550" s="596" t="s">
        <v>592</v>
      </c>
      <c r="M1550" s="596" t="s">
        <v>285</v>
      </c>
      <c r="N1550" s="596" t="s">
        <v>670</v>
      </c>
      <c r="O1550" s="596" t="s">
        <v>670</v>
      </c>
      <c r="P1550" s="596" t="s">
        <v>522</v>
      </c>
      <c r="Q1550" s="596" t="s">
        <v>670</v>
      </c>
      <c r="R1550" s="597">
        <v>45902</v>
      </c>
      <c r="S1550" s="596" t="s">
        <v>670</v>
      </c>
      <c r="T1550" s="597">
        <v>45900</v>
      </c>
      <c r="U1550" s="598">
        <v>0</v>
      </c>
      <c r="V1550" s="599">
        <v>0.21</v>
      </c>
      <c r="W1550" s="260">
        <v>45870</v>
      </c>
    </row>
    <row r="1551" spans="1:23" hidden="1" x14ac:dyDescent="0.35">
      <c r="A1551" s="596" t="s">
        <v>526</v>
      </c>
      <c r="B1551" s="596" t="s">
        <v>159</v>
      </c>
      <c r="C1551" s="596" t="s">
        <v>298</v>
      </c>
      <c r="D1551" s="596" t="s">
        <v>391</v>
      </c>
      <c r="E1551" s="596" t="s">
        <v>392</v>
      </c>
      <c r="F1551" s="596" t="s">
        <v>276</v>
      </c>
      <c r="G1551" s="596" t="s">
        <v>356</v>
      </c>
      <c r="H1551" s="596" t="s">
        <v>670</v>
      </c>
      <c r="I1551" s="596" t="s">
        <v>277</v>
      </c>
      <c r="J1551" s="596" t="s">
        <v>522</v>
      </c>
      <c r="K1551" s="596" t="s">
        <v>301</v>
      </c>
      <c r="L1551" s="596" t="s">
        <v>592</v>
      </c>
      <c r="M1551" s="596" t="s">
        <v>285</v>
      </c>
      <c r="N1551" s="596" t="s">
        <v>670</v>
      </c>
      <c r="O1551" s="596" t="s">
        <v>670</v>
      </c>
      <c r="P1551" s="596" t="s">
        <v>522</v>
      </c>
      <c r="Q1551" s="596" t="s">
        <v>670</v>
      </c>
      <c r="R1551" s="597">
        <v>45902</v>
      </c>
      <c r="S1551" s="596" t="s">
        <v>670</v>
      </c>
      <c r="T1551" s="597">
        <v>45900</v>
      </c>
      <c r="U1551" s="598">
        <v>0</v>
      </c>
      <c r="V1551" s="599">
        <v>0.02</v>
      </c>
      <c r="W1551" s="260">
        <v>45870</v>
      </c>
    </row>
    <row r="1552" spans="1:23" hidden="1" x14ac:dyDescent="0.35">
      <c r="A1552" s="596" t="s">
        <v>526</v>
      </c>
      <c r="B1552" s="596" t="s">
        <v>159</v>
      </c>
      <c r="C1552" s="596" t="s">
        <v>298</v>
      </c>
      <c r="D1552" s="596" t="s">
        <v>320</v>
      </c>
      <c r="E1552" s="596" t="s">
        <v>321</v>
      </c>
      <c r="F1552" s="596" t="s">
        <v>276</v>
      </c>
      <c r="G1552" s="596" t="s">
        <v>356</v>
      </c>
      <c r="H1552" s="596" t="s">
        <v>670</v>
      </c>
      <c r="I1552" s="596" t="s">
        <v>277</v>
      </c>
      <c r="J1552" s="596" t="s">
        <v>522</v>
      </c>
      <c r="K1552" s="596" t="s">
        <v>301</v>
      </c>
      <c r="L1552" s="596" t="s">
        <v>592</v>
      </c>
      <c r="M1552" s="596" t="s">
        <v>285</v>
      </c>
      <c r="N1552" s="596" t="s">
        <v>670</v>
      </c>
      <c r="O1552" s="596" t="s">
        <v>670</v>
      </c>
      <c r="P1552" s="596" t="s">
        <v>522</v>
      </c>
      <c r="Q1552" s="596" t="s">
        <v>670</v>
      </c>
      <c r="R1552" s="597">
        <v>45902</v>
      </c>
      <c r="S1552" s="596" t="s">
        <v>670</v>
      </c>
      <c r="T1552" s="597">
        <v>45900</v>
      </c>
      <c r="U1552" s="598">
        <v>0</v>
      </c>
      <c r="V1552" s="599">
        <v>4.78</v>
      </c>
      <c r="W1552" s="260">
        <v>45870</v>
      </c>
    </row>
    <row r="1553" spans="1:23" hidden="1" x14ac:dyDescent="0.35">
      <c r="A1553" s="596" t="s">
        <v>526</v>
      </c>
      <c r="B1553" s="596" t="s">
        <v>159</v>
      </c>
      <c r="C1553" s="596" t="s">
        <v>298</v>
      </c>
      <c r="D1553" s="596" t="s">
        <v>322</v>
      </c>
      <c r="E1553" s="596" t="s">
        <v>323</v>
      </c>
      <c r="F1553" s="596" t="s">
        <v>276</v>
      </c>
      <c r="G1553" s="596" t="s">
        <v>356</v>
      </c>
      <c r="H1553" s="596" t="s">
        <v>670</v>
      </c>
      <c r="I1553" s="596" t="s">
        <v>277</v>
      </c>
      <c r="J1553" s="596" t="s">
        <v>522</v>
      </c>
      <c r="K1553" s="596" t="s">
        <v>301</v>
      </c>
      <c r="L1553" s="596" t="s">
        <v>592</v>
      </c>
      <c r="M1553" s="596" t="s">
        <v>285</v>
      </c>
      <c r="N1553" s="596" t="s">
        <v>670</v>
      </c>
      <c r="O1553" s="596" t="s">
        <v>670</v>
      </c>
      <c r="P1553" s="596" t="s">
        <v>522</v>
      </c>
      <c r="Q1553" s="596" t="s">
        <v>670</v>
      </c>
      <c r="R1553" s="597">
        <v>45902</v>
      </c>
      <c r="S1553" s="596" t="s">
        <v>670</v>
      </c>
      <c r="T1553" s="597">
        <v>45900</v>
      </c>
      <c r="U1553" s="598">
        <v>0</v>
      </c>
      <c r="V1553" s="599">
        <v>-0.02</v>
      </c>
      <c r="W1553" s="260">
        <v>45870</v>
      </c>
    </row>
    <row r="1554" spans="1:23" hidden="1" x14ac:dyDescent="0.35">
      <c r="A1554" s="596" t="s">
        <v>526</v>
      </c>
      <c r="B1554" s="596" t="s">
        <v>159</v>
      </c>
      <c r="C1554" s="596" t="s">
        <v>298</v>
      </c>
      <c r="D1554" s="596" t="s">
        <v>324</v>
      </c>
      <c r="E1554" s="596" t="s">
        <v>325</v>
      </c>
      <c r="F1554" s="596" t="s">
        <v>276</v>
      </c>
      <c r="G1554" s="596" t="s">
        <v>356</v>
      </c>
      <c r="H1554" s="596" t="s">
        <v>670</v>
      </c>
      <c r="I1554" s="596" t="s">
        <v>277</v>
      </c>
      <c r="J1554" s="596" t="s">
        <v>522</v>
      </c>
      <c r="K1554" s="596" t="s">
        <v>301</v>
      </c>
      <c r="L1554" s="596" t="s">
        <v>592</v>
      </c>
      <c r="M1554" s="596" t="s">
        <v>285</v>
      </c>
      <c r="N1554" s="596" t="s">
        <v>670</v>
      </c>
      <c r="O1554" s="596" t="s">
        <v>670</v>
      </c>
      <c r="P1554" s="596" t="s">
        <v>522</v>
      </c>
      <c r="Q1554" s="596" t="s">
        <v>670</v>
      </c>
      <c r="R1554" s="597">
        <v>45902</v>
      </c>
      <c r="S1554" s="596" t="s">
        <v>670</v>
      </c>
      <c r="T1554" s="597">
        <v>45900</v>
      </c>
      <c r="U1554" s="598">
        <v>0</v>
      </c>
      <c r="V1554" s="599">
        <v>11.97</v>
      </c>
      <c r="W1554" s="260">
        <v>45870</v>
      </c>
    </row>
    <row r="1555" spans="1:23" hidden="1" x14ac:dyDescent="0.35">
      <c r="A1555" s="596" t="s">
        <v>526</v>
      </c>
      <c r="B1555" s="596" t="s">
        <v>159</v>
      </c>
      <c r="C1555" s="596" t="s">
        <v>298</v>
      </c>
      <c r="D1555" s="596" t="s">
        <v>326</v>
      </c>
      <c r="E1555" s="596" t="s">
        <v>327</v>
      </c>
      <c r="F1555" s="596" t="s">
        <v>276</v>
      </c>
      <c r="G1555" s="596" t="s">
        <v>356</v>
      </c>
      <c r="H1555" s="596" t="s">
        <v>670</v>
      </c>
      <c r="I1555" s="596" t="s">
        <v>277</v>
      </c>
      <c r="J1555" s="596" t="s">
        <v>522</v>
      </c>
      <c r="K1555" s="596" t="s">
        <v>301</v>
      </c>
      <c r="L1555" s="596" t="s">
        <v>592</v>
      </c>
      <c r="M1555" s="596" t="s">
        <v>285</v>
      </c>
      <c r="N1555" s="596" t="s">
        <v>670</v>
      </c>
      <c r="O1555" s="596" t="s">
        <v>670</v>
      </c>
      <c r="P1555" s="596" t="s">
        <v>522</v>
      </c>
      <c r="Q1555" s="596" t="s">
        <v>670</v>
      </c>
      <c r="R1555" s="597">
        <v>45902</v>
      </c>
      <c r="S1555" s="596" t="s">
        <v>670</v>
      </c>
      <c r="T1555" s="597">
        <v>45900</v>
      </c>
      <c r="U1555" s="598">
        <v>0</v>
      </c>
      <c r="V1555" s="599">
        <v>0.34</v>
      </c>
      <c r="W1555" s="260">
        <v>45870</v>
      </c>
    </row>
    <row r="1556" spans="1:23" hidden="1" x14ac:dyDescent="0.35">
      <c r="A1556" s="596" t="s">
        <v>526</v>
      </c>
      <c r="B1556" s="596" t="s">
        <v>159</v>
      </c>
      <c r="C1556" s="596" t="s">
        <v>298</v>
      </c>
      <c r="D1556" s="596" t="s">
        <v>393</v>
      </c>
      <c r="E1556" s="596" t="s">
        <v>394</v>
      </c>
      <c r="F1556" s="596" t="s">
        <v>276</v>
      </c>
      <c r="G1556" s="596" t="s">
        <v>356</v>
      </c>
      <c r="H1556" s="596" t="s">
        <v>670</v>
      </c>
      <c r="I1556" s="596" t="s">
        <v>277</v>
      </c>
      <c r="J1556" s="596" t="s">
        <v>522</v>
      </c>
      <c r="K1556" s="596" t="s">
        <v>301</v>
      </c>
      <c r="L1556" s="596" t="s">
        <v>592</v>
      </c>
      <c r="M1556" s="596" t="s">
        <v>285</v>
      </c>
      <c r="N1556" s="596" t="s">
        <v>670</v>
      </c>
      <c r="O1556" s="596" t="s">
        <v>670</v>
      </c>
      <c r="P1556" s="596" t="s">
        <v>522</v>
      </c>
      <c r="Q1556" s="596" t="s">
        <v>670</v>
      </c>
      <c r="R1556" s="597">
        <v>45902</v>
      </c>
      <c r="S1556" s="596" t="s">
        <v>670</v>
      </c>
      <c r="T1556" s="597">
        <v>45900</v>
      </c>
      <c r="U1556" s="598">
        <v>0</v>
      </c>
      <c r="V1556" s="599">
        <v>0.02</v>
      </c>
      <c r="W1556" s="260">
        <v>45870</v>
      </c>
    </row>
    <row r="1557" spans="1:23" hidden="1" x14ac:dyDescent="0.35">
      <c r="A1557" s="596" t="s">
        <v>526</v>
      </c>
      <c r="B1557" s="596" t="s">
        <v>159</v>
      </c>
      <c r="C1557" s="596" t="s">
        <v>298</v>
      </c>
      <c r="D1557" s="596" t="s">
        <v>328</v>
      </c>
      <c r="E1557" s="596" t="s">
        <v>329</v>
      </c>
      <c r="F1557" s="596" t="s">
        <v>276</v>
      </c>
      <c r="G1557" s="596" t="s">
        <v>356</v>
      </c>
      <c r="H1557" s="596" t="s">
        <v>670</v>
      </c>
      <c r="I1557" s="596" t="s">
        <v>277</v>
      </c>
      <c r="J1557" s="596" t="s">
        <v>522</v>
      </c>
      <c r="K1557" s="596" t="s">
        <v>301</v>
      </c>
      <c r="L1557" s="596" t="s">
        <v>592</v>
      </c>
      <c r="M1557" s="596" t="s">
        <v>285</v>
      </c>
      <c r="N1557" s="596" t="s">
        <v>670</v>
      </c>
      <c r="O1557" s="596" t="s">
        <v>670</v>
      </c>
      <c r="P1557" s="596" t="s">
        <v>522</v>
      </c>
      <c r="Q1557" s="596" t="s">
        <v>670</v>
      </c>
      <c r="R1557" s="597">
        <v>45902</v>
      </c>
      <c r="S1557" s="596" t="s">
        <v>670</v>
      </c>
      <c r="T1557" s="597">
        <v>45900</v>
      </c>
      <c r="U1557" s="598">
        <v>0</v>
      </c>
      <c r="V1557" s="599">
        <v>-4.08</v>
      </c>
      <c r="W1557" s="260">
        <v>45870</v>
      </c>
    </row>
    <row r="1558" spans="1:23" hidden="1" x14ac:dyDescent="0.35">
      <c r="A1558" s="596" t="s">
        <v>526</v>
      </c>
      <c r="B1558" s="596" t="s">
        <v>159</v>
      </c>
      <c r="C1558" s="596" t="s">
        <v>298</v>
      </c>
      <c r="D1558" s="596" t="s">
        <v>330</v>
      </c>
      <c r="E1558" s="596" t="s">
        <v>331</v>
      </c>
      <c r="F1558" s="596" t="s">
        <v>276</v>
      </c>
      <c r="G1558" s="596" t="s">
        <v>356</v>
      </c>
      <c r="H1558" s="596" t="s">
        <v>670</v>
      </c>
      <c r="I1558" s="596" t="s">
        <v>277</v>
      </c>
      <c r="J1558" s="596" t="s">
        <v>522</v>
      </c>
      <c r="K1558" s="596" t="s">
        <v>301</v>
      </c>
      <c r="L1558" s="596" t="s">
        <v>592</v>
      </c>
      <c r="M1558" s="596" t="s">
        <v>285</v>
      </c>
      <c r="N1558" s="596" t="s">
        <v>670</v>
      </c>
      <c r="O1558" s="596" t="s">
        <v>670</v>
      </c>
      <c r="P1558" s="596" t="s">
        <v>522</v>
      </c>
      <c r="Q1558" s="596" t="s">
        <v>670</v>
      </c>
      <c r="R1558" s="597">
        <v>45902</v>
      </c>
      <c r="S1558" s="596" t="s">
        <v>670</v>
      </c>
      <c r="T1558" s="597">
        <v>45900</v>
      </c>
      <c r="U1558" s="598">
        <v>0</v>
      </c>
      <c r="V1558" s="599">
        <v>-1.04</v>
      </c>
      <c r="W1558" s="260">
        <v>45870</v>
      </c>
    </row>
    <row r="1559" spans="1:23" hidden="1" x14ac:dyDescent="0.35">
      <c r="A1559" s="596" t="s">
        <v>526</v>
      </c>
      <c r="B1559" s="596" t="s">
        <v>159</v>
      </c>
      <c r="C1559" s="596" t="s">
        <v>298</v>
      </c>
      <c r="D1559" s="596" t="s">
        <v>332</v>
      </c>
      <c r="E1559" s="596" t="s">
        <v>333</v>
      </c>
      <c r="F1559" s="596" t="s">
        <v>276</v>
      </c>
      <c r="G1559" s="596" t="s">
        <v>356</v>
      </c>
      <c r="H1559" s="596" t="s">
        <v>670</v>
      </c>
      <c r="I1559" s="596" t="s">
        <v>277</v>
      </c>
      <c r="J1559" s="596" t="s">
        <v>522</v>
      </c>
      <c r="K1559" s="596" t="s">
        <v>301</v>
      </c>
      <c r="L1559" s="596" t="s">
        <v>592</v>
      </c>
      <c r="M1559" s="596" t="s">
        <v>285</v>
      </c>
      <c r="N1559" s="596" t="s">
        <v>670</v>
      </c>
      <c r="O1559" s="596" t="s">
        <v>670</v>
      </c>
      <c r="P1559" s="596" t="s">
        <v>522</v>
      </c>
      <c r="Q1559" s="596" t="s">
        <v>670</v>
      </c>
      <c r="R1559" s="597">
        <v>45902</v>
      </c>
      <c r="S1559" s="596" t="s">
        <v>670</v>
      </c>
      <c r="T1559" s="597">
        <v>45900</v>
      </c>
      <c r="U1559" s="598">
        <v>0</v>
      </c>
      <c r="V1559" s="599">
        <v>-3.04</v>
      </c>
      <c r="W1559" s="260">
        <v>45870</v>
      </c>
    </row>
    <row r="1560" spans="1:23" hidden="1" x14ac:dyDescent="0.35">
      <c r="A1560" s="596" t="s">
        <v>526</v>
      </c>
      <c r="B1560" s="596" t="s">
        <v>159</v>
      </c>
      <c r="C1560" s="596" t="s">
        <v>298</v>
      </c>
      <c r="D1560" s="596" t="s">
        <v>334</v>
      </c>
      <c r="E1560" s="596" t="s">
        <v>335</v>
      </c>
      <c r="F1560" s="596" t="s">
        <v>276</v>
      </c>
      <c r="G1560" s="596" t="s">
        <v>356</v>
      </c>
      <c r="H1560" s="596" t="s">
        <v>670</v>
      </c>
      <c r="I1560" s="596" t="s">
        <v>277</v>
      </c>
      <c r="J1560" s="596" t="s">
        <v>522</v>
      </c>
      <c r="K1560" s="596" t="s">
        <v>301</v>
      </c>
      <c r="L1560" s="596" t="s">
        <v>592</v>
      </c>
      <c r="M1560" s="596" t="s">
        <v>285</v>
      </c>
      <c r="N1560" s="596" t="s">
        <v>670</v>
      </c>
      <c r="O1560" s="596" t="s">
        <v>670</v>
      </c>
      <c r="P1560" s="596" t="s">
        <v>522</v>
      </c>
      <c r="Q1560" s="596" t="s">
        <v>670</v>
      </c>
      <c r="R1560" s="597">
        <v>45902</v>
      </c>
      <c r="S1560" s="596" t="s">
        <v>670</v>
      </c>
      <c r="T1560" s="597">
        <v>45900</v>
      </c>
      <c r="U1560" s="598">
        <v>0</v>
      </c>
      <c r="V1560" s="599">
        <v>-2.59</v>
      </c>
      <c r="W1560" s="260">
        <v>45870</v>
      </c>
    </row>
    <row r="1561" spans="1:23" hidden="1" x14ac:dyDescent="0.35">
      <c r="A1561" s="596" t="s">
        <v>526</v>
      </c>
      <c r="B1561" s="596" t="s">
        <v>159</v>
      </c>
      <c r="C1561" s="596" t="s">
        <v>298</v>
      </c>
      <c r="D1561" s="596" t="s">
        <v>336</v>
      </c>
      <c r="E1561" s="596" t="s">
        <v>337</v>
      </c>
      <c r="F1561" s="596" t="s">
        <v>276</v>
      </c>
      <c r="G1561" s="596" t="s">
        <v>356</v>
      </c>
      <c r="H1561" s="596" t="s">
        <v>670</v>
      </c>
      <c r="I1561" s="596" t="s">
        <v>277</v>
      </c>
      <c r="J1561" s="596" t="s">
        <v>522</v>
      </c>
      <c r="K1561" s="596" t="s">
        <v>301</v>
      </c>
      <c r="L1561" s="596" t="s">
        <v>592</v>
      </c>
      <c r="M1561" s="596" t="s">
        <v>285</v>
      </c>
      <c r="N1561" s="596" t="s">
        <v>670</v>
      </c>
      <c r="O1561" s="596" t="s">
        <v>670</v>
      </c>
      <c r="P1561" s="596" t="s">
        <v>522</v>
      </c>
      <c r="Q1561" s="596" t="s">
        <v>670</v>
      </c>
      <c r="R1561" s="597">
        <v>45902</v>
      </c>
      <c r="S1561" s="596" t="s">
        <v>670</v>
      </c>
      <c r="T1561" s="597">
        <v>45900</v>
      </c>
      <c r="U1561" s="598">
        <v>0</v>
      </c>
      <c r="V1561" s="599">
        <v>7.0000000000000007E-2</v>
      </c>
      <c r="W1561" s="260">
        <v>45870</v>
      </c>
    </row>
    <row r="1562" spans="1:23" hidden="1" x14ac:dyDescent="0.35">
      <c r="A1562" s="596" t="s">
        <v>526</v>
      </c>
      <c r="B1562" s="596" t="s">
        <v>159</v>
      </c>
      <c r="C1562" s="596" t="s">
        <v>298</v>
      </c>
      <c r="D1562" s="596" t="s">
        <v>397</v>
      </c>
      <c r="E1562" s="596" t="s">
        <v>398</v>
      </c>
      <c r="F1562" s="596" t="s">
        <v>276</v>
      </c>
      <c r="G1562" s="596" t="s">
        <v>356</v>
      </c>
      <c r="H1562" s="596" t="s">
        <v>670</v>
      </c>
      <c r="I1562" s="596" t="s">
        <v>277</v>
      </c>
      <c r="J1562" s="596" t="s">
        <v>522</v>
      </c>
      <c r="K1562" s="596" t="s">
        <v>301</v>
      </c>
      <c r="L1562" s="596" t="s">
        <v>592</v>
      </c>
      <c r="M1562" s="596" t="s">
        <v>285</v>
      </c>
      <c r="N1562" s="596" t="s">
        <v>670</v>
      </c>
      <c r="O1562" s="596" t="s">
        <v>670</v>
      </c>
      <c r="P1562" s="596" t="s">
        <v>522</v>
      </c>
      <c r="Q1562" s="596" t="s">
        <v>670</v>
      </c>
      <c r="R1562" s="597">
        <v>45902</v>
      </c>
      <c r="S1562" s="596" t="s">
        <v>670</v>
      </c>
      <c r="T1562" s="597">
        <v>45900</v>
      </c>
      <c r="U1562" s="598">
        <v>0</v>
      </c>
      <c r="V1562" s="599">
        <v>0.02</v>
      </c>
      <c r="W1562" s="260">
        <v>45870</v>
      </c>
    </row>
    <row r="1563" spans="1:23" hidden="1" x14ac:dyDescent="0.35">
      <c r="A1563" s="596" t="s">
        <v>526</v>
      </c>
      <c r="B1563" s="596" t="s">
        <v>159</v>
      </c>
      <c r="C1563" s="596" t="s">
        <v>281</v>
      </c>
      <c r="D1563" s="596" t="s">
        <v>340</v>
      </c>
      <c r="E1563" s="596" t="s">
        <v>283</v>
      </c>
      <c r="F1563" s="596" t="s">
        <v>276</v>
      </c>
      <c r="G1563" s="596" t="s">
        <v>356</v>
      </c>
      <c r="H1563" s="596" t="s">
        <v>670</v>
      </c>
      <c r="I1563" s="596" t="s">
        <v>277</v>
      </c>
      <c r="J1563" s="596" t="s">
        <v>522</v>
      </c>
      <c r="K1563" s="596" t="s">
        <v>284</v>
      </c>
      <c r="L1563" s="596" t="s">
        <v>592</v>
      </c>
      <c r="M1563" s="596" t="s">
        <v>285</v>
      </c>
      <c r="N1563" s="596" t="s">
        <v>670</v>
      </c>
      <c r="O1563" s="596" t="s">
        <v>670</v>
      </c>
      <c r="P1563" s="596" t="s">
        <v>522</v>
      </c>
      <c r="Q1563" s="596" t="s">
        <v>670</v>
      </c>
      <c r="R1563" s="597">
        <v>45902</v>
      </c>
      <c r="S1563" s="596" t="s">
        <v>670</v>
      </c>
      <c r="T1563" s="597">
        <v>45900</v>
      </c>
      <c r="U1563" s="598">
        <v>0</v>
      </c>
      <c r="V1563" s="599">
        <v>61.81</v>
      </c>
      <c r="W1563" s="260">
        <v>45870</v>
      </c>
    </row>
    <row r="1564" spans="1:23" hidden="1" x14ac:dyDescent="0.35">
      <c r="A1564" s="596" t="s">
        <v>526</v>
      </c>
      <c r="B1564" s="596" t="s">
        <v>159</v>
      </c>
      <c r="C1564" s="596" t="s">
        <v>281</v>
      </c>
      <c r="D1564" s="596" t="s">
        <v>340</v>
      </c>
      <c r="E1564" s="596" t="s">
        <v>283</v>
      </c>
      <c r="F1564" s="596" t="s">
        <v>276</v>
      </c>
      <c r="G1564" s="596" t="s">
        <v>356</v>
      </c>
      <c r="H1564" s="596" t="s">
        <v>670</v>
      </c>
      <c r="I1564" s="596" t="s">
        <v>277</v>
      </c>
      <c r="J1564" s="596" t="s">
        <v>522</v>
      </c>
      <c r="K1564" s="596" t="s">
        <v>294</v>
      </c>
      <c r="L1564" s="596" t="s">
        <v>592</v>
      </c>
      <c r="M1564" s="596" t="s">
        <v>285</v>
      </c>
      <c r="N1564" s="596" t="s">
        <v>670</v>
      </c>
      <c r="O1564" s="596" t="s">
        <v>670</v>
      </c>
      <c r="P1564" s="596" t="s">
        <v>522</v>
      </c>
      <c r="Q1564" s="596" t="s">
        <v>670</v>
      </c>
      <c r="R1564" s="597">
        <v>45902</v>
      </c>
      <c r="S1564" s="596" t="s">
        <v>670</v>
      </c>
      <c r="T1564" s="597">
        <v>45900</v>
      </c>
      <c r="U1564" s="598">
        <v>0</v>
      </c>
      <c r="V1564" s="599">
        <v>-41.1</v>
      </c>
      <c r="W1564" s="260">
        <v>45870</v>
      </c>
    </row>
    <row r="1565" spans="1:23" hidden="1" x14ac:dyDescent="0.35">
      <c r="A1565" s="596" t="s">
        <v>526</v>
      </c>
      <c r="B1565" s="596" t="s">
        <v>159</v>
      </c>
      <c r="C1565" s="596" t="s">
        <v>302</v>
      </c>
      <c r="D1565" s="596" t="s">
        <v>340</v>
      </c>
      <c r="E1565" s="596" t="s">
        <v>283</v>
      </c>
      <c r="F1565" s="596" t="s">
        <v>276</v>
      </c>
      <c r="G1565" s="596" t="s">
        <v>356</v>
      </c>
      <c r="H1565" s="596" t="s">
        <v>670</v>
      </c>
      <c r="I1565" s="596" t="s">
        <v>277</v>
      </c>
      <c r="J1565" s="596" t="s">
        <v>522</v>
      </c>
      <c r="K1565" s="596" t="s">
        <v>303</v>
      </c>
      <c r="L1565" s="596" t="s">
        <v>592</v>
      </c>
      <c r="M1565" s="596" t="s">
        <v>285</v>
      </c>
      <c r="N1565" s="596" t="s">
        <v>670</v>
      </c>
      <c r="O1565" s="596" t="s">
        <v>670</v>
      </c>
      <c r="P1565" s="596" t="s">
        <v>522</v>
      </c>
      <c r="Q1565" s="596" t="s">
        <v>670</v>
      </c>
      <c r="R1565" s="597">
        <v>45903</v>
      </c>
      <c r="S1565" s="596" t="s">
        <v>670</v>
      </c>
      <c r="T1565" s="597">
        <v>45900</v>
      </c>
      <c r="U1565" s="598">
        <v>0</v>
      </c>
      <c r="V1565" s="599">
        <v>2.57</v>
      </c>
      <c r="W1565" s="260">
        <v>45870</v>
      </c>
    </row>
    <row r="1566" spans="1:23" hidden="1" x14ac:dyDescent="0.35">
      <c r="A1566" s="596" t="s">
        <v>526</v>
      </c>
      <c r="B1566" s="596" t="s">
        <v>159</v>
      </c>
      <c r="C1566" s="596" t="s">
        <v>302</v>
      </c>
      <c r="D1566" s="596" t="s">
        <v>340</v>
      </c>
      <c r="E1566" s="596" t="s">
        <v>283</v>
      </c>
      <c r="F1566" s="596" t="s">
        <v>276</v>
      </c>
      <c r="G1566" s="596" t="s">
        <v>356</v>
      </c>
      <c r="H1566" s="596" t="s">
        <v>670</v>
      </c>
      <c r="I1566" s="596" t="s">
        <v>277</v>
      </c>
      <c r="J1566" s="596" t="s">
        <v>522</v>
      </c>
      <c r="K1566" s="596" t="s">
        <v>303</v>
      </c>
      <c r="L1566" s="596" t="s">
        <v>592</v>
      </c>
      <c r="M1566" s="596" t="s">
        <v>285</v>
      </c>
      <c r="N1566" s="596" t="s">
        <v>670</v>
      </c>
      <c r="O1566" s="596" t="s">
        <v>670</v>
      </c>
      <c r="P1566" s="596" t="s">
        <v>522</v>
      </c>
      <c r="Q1566" s="596" t="s">
        <v>670</v>
      </c>
      <c r="R1566" s="597">
        <v>45903</v>
      </c>
      <c r="S1566" s="596" t="s">
        <v>670</v>
      </c>
      <c r="T1566" s="597">
        <v>45900</v>
      </c>
      <c r="U1566" s="598">
        <v>0</v>
      </c>
      <c r="V1566" s="599">
        <v>1.33</v>
      </c>
      <c r="W1566" s="260">
        <v>45870</v>
      </c>
    </row>
    <row r="1567" spans="1:23" hidden="1" x14ac:dyDescent="0.35">
      <c r="A1567" s="596" t="s">
        <v>526</v>
      </c>
      <c r="B1567" s="596" t="s">
        <v>159</v>
      </c>
      <c r="C1567" s="596" t="s">
        <v>286</v>
      </c>
      <c r="D1567" s="596" t="s">
        <v>341</v>
      </c>
      <c r="E1567" s="596" t="s">
        <v>288</v>
      </c>
      <c r="F1567" s="596" t="s">
        <v>276</v>
      </c>
      <c r="G1567" s="596" t="s">
        <v>356</v>
      </c>
      <c r="H1567" s="596" t="s">
        <v>670</v>
      </c>
      <c r="I1567" s="596" t="s">
        <v>277</v>
      </c>
      <c r="J1567" s="596" t="s">
        <v>522</v>
      </c>
      <c r="K1567" s="596" t="s">
        <v>289</v>
      </c>
      <c r="L1567" s="596" t="s">
        <v>592</v>
      </c>
      <c r="M1567" s="596" t="s">
        <v>285</v>
      </c>
      <c r="N1567" s="596" t="s">
        <v>670</v>
      </c>
      <c r="O1567" s="596" t="s">
        <v>670</v>
      </c>
      <c r="P1567" s="596" t="s">
        <v>522</v>
      </c>
      <c r="Q1567" s="596" t="s">
        <v>670</v>
      </c>
      <c r="R1567" s="597">
        <v>45902</v>
      </c>
      <c r="S1567" s="596" t="s">
        <v>670</v>
      </c>
      <c r="T1567" s="597">
        <v>45900</v>
      </c>
      <c r="U1567" s="598">
        <v>0</v>
      </c>
      <c r="V1567" s="599">
        <v>3.1</v>
      </c>
      <c r="W1567" s="260">
        <v>45870</v>
      </c>
    </row>
    <row r="1568" spans="1:23" hidden="1" x14ac:dyDescent="0.35">
      <c r="A1568" s="596" t="s">
        <v>526</v>
      </c>
      <c r="B1568" s="596" t="s">
        <v>159</v>
      </c>
      <c r="C1568" s="596" t="s">
        <v>302</v>
      </c>
      <c r="D1568" s="596" t="s">
        <v>341</v>
      </c>
      <c r="E1568" s="596" t="s">
        <v>288</v>
      </c>
      <c r="F1568" s="596" t="s">
        <v>276</v>
      </c>
      <c r="G1568" s="596" t="s">
        <v>356</v>
      </c>
      <c r="H1568" s="596" t="s">
        <v>670</v>
      </c>
      <c r="I1568" s="596" t="s">
        <v>277</v>
      </c>
      <c r="J1568" s="596" t="s">
        <v>522</v>
      </c>
      <c r="K1568" s="596" t="s">
        <v>303</v>
      </c>
      <c r="L1568" s="596" t="s">
        <v>592</v>
      </c>
      <c r="M1568" s="596" t="s">
        <v>285</v>
      </c>
      <c r="N1568" s="596" t="s">
        <v>670</v>
      </c>
      <c r="O1568" s="596" t="s">
        <v>670</v>
      </c>
      <c r="P1568" s="596" t="s">
        <v>522</v>
      </c>
      <c r="Q1568" s="596" t="s">
        <v>670</v>
      </c>
      <c r="R1568" s="597">
        <v>45903</v>
      </c>
      <c r="S1568" s="596" t="s">
        <v>670</v>
      </c>
      <c r="T1568" s="597">
        <v>45900</v>
      </c>
      <c r="U1568" s="598">
        <v>0</v>
      </c>
      <c r="V1568" s="599">
        <v>7.21</v>
      </c>
      <c r="W1568" s="260">
        <v>45870</v>
      </c>
    </row>
    <row r="1569" spans="1:23" hidden="1" x14ac:dyDescent="0.35">
      <c r="A1569" s="596" t="s">
        <v>526</v>
      </c>
      <c r="B1569" s="596" t="s">
        <v>159</v>
      </c>
      <c r="C1569" s="596" t="s">
        <v>302</v>
      </c>
      <c r="D1569" s="596" t="s">
        <v>341</v>
      </c>
      <c r="E1569" s="596" t="s">
        <v>288</v>
      </c>
      <c r="F1569" s="596" t="s">
        <v>276</v>
      </c>
      <c r="G1569" s="596" t="s">
        <v>356</v>
      </c>
      <c r="H1569" s="596" t="s">
        <v>670</v>
      </c>
      <c r="I1569" s="596" t="s">
        <v>277</v>
      </c>
      <c r="J1569" s="596" t="s">
        <v>522</v>
      </c>
      <c r="K1569" s="596" t="s">
        <v>303</v>
      </c>
      <c r="L1569" s="596" t="s">
        <v>592</v>
      </c>
      <c r="M1569" s="596" t="s">
        <v>285</v>
      </c>
      <c r="N1569" s="596" t="s">
        <v>670</v>
      </c>
      <c r="O1569" s="596" t="s">
        <v>670</v>
      </c>
      <c r="P1569" s="596" t="s">
        <v>522</v>
      </c>
      <c r="Q1569" s="596" t="s">
        <v>670</v>
      </c>
      <c r="R1569" s="597">
        <v>45903</v>
      </c>
      <c r="S1569" s="596" t="s">
        <v>670</v>
      </c>
      <c r="T1569" s="597">
        <v>45900</v>
      </c>
      <c r="U1569" s="598">
        <v>0</v>
      </c>
      <c r="V1569" s="599">
        <v>0.2</v>
      </c>
      <c r="W1569" s="260">
        <v>45870</v>
      </c>
    </row>
    <row r="1570" spans="1:23" hidden="1" x14ac:dyDescent="0.35">
      <c r="A1570" s="596" t="s">
        <v>526</v>
      </c>
      <c r="B1570" s="596" t="s">
        <v>159</v>
      </c>
      <c r="C1570" s="596" t="s">
        <v>281</v>
      </c>
      <c r="D1570" s="596" t="s">
        <v>342</v>
      </c>
      <c r="E1570" s="596" t="s">
        <v>291</v>
      </c>
      <c r="F1570" s="596" t="s">
        <v>276</v>
      </c>
      <c r="G1570" s="596" t="s">
        <v>356</v>
      </c>
      <c r="H1570" s="596" t="s">
        <v>670</v>
      </c>
      <c r="I1570" s="596" t="s">
        <v>277</v>
      </c>
      <c r="J1570" s="596" t="s">
        <v>522</v>
      </c>
      <c r="K1570" s="596" t="s">
        <v>284</v>
      </c>
      <c r="L1570" s="596" t="s">
        <v>592</v>
      </c>
      <c r="M1570" s="596" t="s">
        <v>285</v>
      </c>
      <c r="N1570" s="596" t="s">
        <v>670</v>
      </c>
      <c r="O1570" s="596" t="s">
        <v>670</v>
      </c>
      <c r="P1570" s="596" t="s">
        <v>522</v>
      </c>
      <c r="Q1570" s="596" t="s">
        <v>670</v>
      </c>
      <c r="R1570" s="597">
        <v>45902</v>
      </c>
      <c r="S1570" s="596" t="s">
        <v>670</v>
      </c>
      <c r="T1570" s="597">
        <v>45900</v>
      </c>
      <c r="U1570" s="598">
        <v>0</v>
      </c>
      <c r="V1570" s="599">
        <v>-22.2</v>
      </c>
      <c r="W1570" s="260">
        <v>45870</v>
      </c>
    </row>
    <row r="1571" spans="1:23" hidden="1" x14ac:dyDescent="0.35">
      <c r="A1571" s="596" t="s">
        <v>526</v>
      </c>
      <c r="B1571" s="596" t="s">
        <v>159</v>
      </c>
      <c r="C1571" s="596" t="s">
        <v>302</v>
      </c>
      <c r="D1571" s="596" t="s">
        <v>342</v>
      </c>
      <c r="E1571" s="596" t="s">
        <v>291</v>
      </c>
      <c r="F1571" s="596" t="s">
        <v>276</v>
      </c>
      <c r="G1571" s="596" t="s">
        <v>356</v>
      </c>
      <c r="H1571" s="596" t="s">
        <v>670</v>
      </c>
      <c r="I1571" s="596" t="s">
        <v>277</v>
      </c>
      <c r="J1571" s="596" t="s">
        <v>522</v>
      </c>
      <c r="K1571" s="596" t="s">
        <v>303</v>
      </c>
      <c r="L1571" s="596" t="s">
        <v>592</v>
      </c>
      <c r="M1571" s="596" t="s">
        <v>285</v>
      </c>
      <c r="N1571" s="596" t="s">
        <v>670</v>
      </c>
      <c r="O1571" s="596" t="s">
        <v>670</v>
      </c>
      <c r="P1571" s="596" t="s">
        <v>522</v>
      </c>
      <c r="Q1571" s="596" t="s">
        <v>670</v>
      </c>
      <c r="R1571" s="597">
        <v>45903</v>
      </c>
      <c r="S1571" s="596" t="s">
        <v>670</v>
      </c>
      <c r="T1571" s="597">
        <v>45900</v>
      </c>
      <c r="U1571" s="598">
        <v>0</v>
      </c>
      <c r="V1571" s="599">
        <v>1.66</v>
      </c>
      <c r="W1571" s="260">
        <v>45870</v>
      </c>
    </row>
    <row r="1572" spans="1:23" hidden="1" x14ac:dyDescent="0.35">
      <c r="A1572" s="596" t="s">
        <v>526</v>
      </c>
      <c r="B1572" s="596" t="s">
        <v>159</v>
      </c>
      <c r="C1572" s="596" t="s">
        <v>302</v>
      </c>
      <c r="D1572" s="596" t="s">
        <v>342</v>
      </c>
      <c r="E1572" s="596" t="s">
        <v>291</v>
      </c>
      <c r="F1572" s="596" t="s">
        <v>276</v>
      </c>
      <c r="G1572" s="596" t="s">
        <v>356</v>
      </c>
      <c r="H1572" s="596" t="s">
        <v>670</v>
      </c>
      <c r="I1572" s="596" t="s">
        <v>277</v>
      </c>
      <c r="J1572" s="596" t="s">
        <v>522</v>
      </c>
      <c r="K1572" s="596" t="s">
        <v>303</v>
      </c>
      <c r="L1572" s="596" t="s">
        <v>592</v>
      </c>
      <c r="M1572" s="596" t="s">
        <v>285</v>
      </c>
      <c r="N1572" s="596" t="s">
        <v>670</v>
      </c>
      <c r="O1572" s="596" t="s">
        <v>670</v>
      </c>
      <c r="P1572" s="596" t="s">
        <v>522</v>
      </c>
      <c r="Q1572" s="596" t="s">
        <v>670</v>
      </c>
      <c r="R1572" s="597">
        <v>45903</v>
      </c>
      <c r="S1572" s="596" t="s">
        <v>670</v>
      </c>
      <c r="T1572" s="597">
        <v>45900</v>
      </c>
      <c r="U1572" s="598">
        <v>0</v>
      </c>
      <c r="V1572" s="599">
        <v>-1.43</v>
      </c>
      <c r="W1572" s="260">
        <v>45870</v>
      </c>
    </row>
    <row r="1573" spans="1:23" hidden="1" x14ac:dyDescent="0.35">
      <c r="A1573" s="596" t="s">
        <v>526</v>
      </c>
      <c r="B1573" s="596" t="s">
        <v>159</v>
      </c>
      <c r="C1573" s="596" t="s">
        <v>281</v>
      </c>
      <c r="D1573" s="596" t="s">
        <v>343</v>
      </c>
      <c r="E1573" s="596" t="s">
        <v>293</v>
      </c>
      <c r="F1573" s="596" t="s">
        <v>276</v>
      </c>
      <c r="G1573" s="596" t="s">
        <v>356</v>
      </c>
      <c r="H1573" s="596" t="s">
        <v>670</v>
      </c>
      <c r="I1573" s="596" t="s">
        <v>277</v>
      </c>
      <c r="J1573" s="596" t="s">
        <v>522</v>
      </c>
      <c r="K1573" s="596" t="s">
        <v>294</v>
      </c>
      <c r="L1573" s="596" t="s">
        <v>592</v>
      </c>
      <c r="M1573" s="596" t="s">
        <v>285</v>
      </c>
      <c r="N1573" s="596" t="s">
        <v>670</v>
      </c>
      <c r="O1573" s="596" t="s">
        <v>670</v>
      </c>
      <c r="P1573" s="596" t="s">
        <v>522</v>
      </c>
      <c r="Q1573" s="596" t="s">
        <v>670</v>
      </c>
      <c r="R1573" s="597">
        <v>45902</v>
      </c>
      <c r="S1573" s="596" t="s">
        <v>670</v>
      </c>
      <c r="T1573" s="597">
        <v>45900</v>
      </c>
      <c r="U1573" s="598">
        <v>0</v>
      </c>
      <c r="V1573" s="599">
        <v>-1.62</v>
      </c>
      <c r="W1573" s="260">
        <v>45870</v>
      </c>
    </row>
    <row r="1574" spans="1:23" hidden="1" x14ac:dyDescent="0.35">
      <c r="A1574" s="596" t="s">
        <v>526</v>
      </c>
      <c r="B1574" s="596" t="s">
        <v>159</v>
      </c>
      <c r="C1574" s="596" t="s">
        <v>302</v>
      </c>
      <c r="D1574" s="596" t="s">
        <v>343</v>
      </c>
      <c r="E1574" s="596" t="s">
        <v>293</v>
      </c>
      <c r="F1574" s="596" t="s">
        <v>276</v>
      </c>
      <c r="G1574" s="596" t="s">
        <v>356</v>
      </c>
      <c r="H1574" s="596" t="s">
        <v>670</v>
      </c>
      <c r="I1574" s="596" t="s">
        <v>277</v>
      </c>
      <c r="J1574" s="596" t="s">
        <v>522</v>
      </c>
      <c r="K1574" s="596" t="s">
        <v>303</v>
      </c>
      <c r="L1574" s="596" t="s">
        <v>592</v>
      </c>
      <c r="M1574" s="596" t="s">
        <v>285</v>
      </c>
      <c r="N1574" s="596" t="s">
        <v>670</v>
      </c>
      <c r="O1574" s="596" t="s">
        <v>670</v>
      </c>
      <c r="P1574" s="596" t="s">
        <v>522</v>
      </c>
      <c r="Q1574" s="596" t="s">
        <v>670</v>
      </c>
      <c r="R1574" s="597">
        <v>45903</v>
      </c>
      <c r="S1574" s="596" t="s">
        <v>670</v>
      </c>
      <c r="T1574" s="597">
        <v>45900</v>
      </c>
      <c r="U1574" s="598">
        <v>0</v>
      </c>
      <c r="V1574" s="599">
        <v>1.84</v>
      </c>
      <c r="W1574" s="260">
        <v>45870</v>
      </c>
    </row>
    <row r="1575" spans="1:23" hidden="1" x14ac:dyDescent="0.35">
      <c r="A1575" s="596" t="s">
        <v>526</v>
      </c>
      <c r="B1575" s="596" t="s">
        <v>159</v>
      </c>
      <c r="C1575" s="596" t="s">
        <v>302</v>
      </c>
      <c r="D1575" s="596" t="s">
        <v>343</v>
      </c>
      <c r="E1575" s="596" t="s">
        <v>293</v>
      </c>
      <c r="F1575" s="596" t="s">
        <v>276</v>
      </c>
      <c r="G1575" s="596" t="s">
        <v>356</v>
      </c>
      <c r="H1575" s="596" t="s">
        <v>670</v>
      </c>
      <c r="I1575" s="596" t="s">
        <v>277</v>
      </c>
      <c r="J1575" s="596" t="s">
        <v>522</v>
      </c>
      <c r="K1575" s="596" t="s">
        <v>303</v>
      </c>
      <c r="L1575" s="596" t="s">
        <v>592</v>
      </c>
      <c r="M1575" s="596" t="s">
        <v>285</v>
      </c>
      <c r="N1575" s="596" t="s">
        <v>670</v>
      </c>
      <c r="O1575" s="596" t="s">
        <v>670</v>
      </c>
      <c r="P1575" s="596" t="s">
        <v>522</v>
      </c>
      <c r="Q1575" s="596" t="s">
        <v>670</v>
      </c>
      <c r="R1575" s="597">
        <v>45903</v>
      </c>
      <c r="S1575" s="596" t="s">
        <v>670</v>
      </c>
      <c r="T1575" s="597">
        <v>45900</v>
      </c>
      <c r="U1575" s="598">
        <v>0</v>
      </c>
      <c r="V1575" s="599">
        <v>-0.1</v>
      </c>
      <c r="W1575" s="260">
        <v>45870</v>
      </c>
    </row>
    <row r="1576" spans="1:23" hidden="1" x14ac:dyDescent="0.35">
      <c r="A1576" s="596" t="s">
        <v>526</v>
      </c>
      <c r="B1576" s="596" t="s">
        <v>159</v>
      </c>
      <c r="C1576" s="596" t="s">
        <v>286</v>
      </c>
      <c r="D1576" s="596" t="s">
        <v>344</v>
      </c>
      <c r="E1576" s="596" t="s">
        <v>296</v>
      </c>
      <c r="F1576" s="596" t="s">
        <v>276</v>
      </c>
      <c r="G1576" s="596" t="s">
        <v>356</v>
      </c>
      <c r="H1576" s="596" t="s">
        <v>670</v>
      </c>
      <c r="I1576" s="596" t="s">
        <v>277</v>
      </c>
      <c r="J1576" s="596" t="s">
        <v>522</v>
      </c>
      <c r="K1576" s="596" t="s">
        <v>297</v>
      </c>
      <c r="L1576" s="596" t="s">
        <v>592</v>
      </c>
      <c r="M1576" s="596" t="s">
        <v>285</v>
      </c>
      <c r="N1576" s="596" t="s">
        <v>670</v>
      </c>
      <c r="O1576" s="596" t="s">
        <v>670</v>
      </c>
      <c r="P1576" s="596" t="s">
        <v>522</v>
      </c>
      <c r="Q1576" s="596" t="s">
        <v>670</v>
      </c>
      <c r="R1576" s="597">
        <v>45902</v>
      </c>
      <c r="S1576" s="596" t="s">
        <v>670</v>
      </c>
      <c r="T1576" s="597">
        <v>45900</v>
      </c>
      <c r="U1576" s="598">
        <v>0</v>
      </c>
      <c r="V1576" s="599">
        <v>1.21</v>
      </c>
      <c r="W1576" s="260">
        <v>45870</v>
      </c>
    </row>
    <row r="1577" spans="1:23" hidden="1" x14ac:dyDescent="0.35">
      <c r="A1577" s="596" t="s">
        <v>526</v>
      </c>
      <c r="B1577" s="596" t="s">
        <v>159</v>
      </c>
      <c r="C1577" s="596" t="s">
        <v>302</v>
      </c>
      <c r="D1577" s="596" t="s">
        <v>344</v>
      </c>
      <c r="E1577" s="596" t="s">
        <v>296</v>
      </c>
      <c r="F1577" s="596" t="s">
        <v>276</v>
      </c>
      <c r="G1577" s="596" t="s">
        <v>356</v>
      </c>
      <c r="H1577" s="596" t="s">
        <v>670</v>
      </c>
      <c r="I1577" s="596" t="s">
        <v>277</v>
      </c>
      <c r="J1577" s="596" t="s">
        <v>522</v>
      </c>
      <c r="K1577" s="596" t="s">
        <v>303</v>
      </c>
      <c r="L1577" s="596" t="s">
        <v>592</v>
      </c>
      <c r="M1577" s="596" t="s">
        <v>285</v>
      </c>
      <c r="N1577" s="596" t="s">
        <v>670</v>
      </c>
      <c r="O1577" s="596" t="s">
        <v>670</v>
      </c>
      <c r="P1577" s="596" t="s">
        <v>522</v>
      </c>
      <c r="Q1577" s="596" t="s">
        <v>670</v>
      </c>
      <c r="R1577" s="597">
        <v>45903</v>
      </c>
      <c r="S1577" s="596" t="s">
        <v>670</v>
      </c>
      <c r="T1577" s="597">
        <v>45900</v>
      </c>
      <c r="U1577" s="598">
        <v>0</v>
      </c>
      <c r="V1577" s="599">
        <v>3.93</v>
      </c>
      <c r="W1577" s="260">
        <v>45870</v>
      </c>
    </row>
    <row r="1578" spans="1:23" hidden="1" x14ac:dyDescent="0.35">
      <c r="A1578" s="596" t="s">
        <v>526</v>
      </c>
      <c r="B1578" s="596" t="s">
        <v>159</v>
      </c>
      <c r="C1578" s="596" t="s">
        <v>302</v>
      </c>
      <c r="D1578" s="596" t="s">
        <v>344</v>
      </c>
      <c r="E1578" s="596" t="s">
        <v>296</v>
      </c>
      <c r="F1578" s="596" t="s">
        <v>276</v>
      </c>
      <c r="G1578" s="596" t="s">
        <v>356</v>
      </c>
      <c r="H1578" s="596" t="s">
        <v>670</v>
      </c>
      <c r="I1578" s="596" t="s">
        <v>277</v>
      </c>
      <c r="J1578" s="596" t="s">
        <v>522</v>
      </c>
      <c r="K1578" s="596" t="s">
        <v>303</v>
      </c>
      <c r="L1578" s="596" t="s">
        <v>592</v>
      </c>
      <c r="M1578" s="596" t="s">
        <v>285</v>
      </c>
      <c r="N1578" s="596" t="s">
        <v>670</v>
      </c>
      <c r="O1578" s="596" t="s">
        <v>670</v>
      </c>
      <c r="P1578" s="596" t="s">
        <v>522</v>
      </c>
      <c r="Q1578" s="596" t="s">
        <v>670</v>
      </c>
      <c r="R1578" s="597">
        <v>45903</v>
      </c>
      <c r="S1578" s="596" t="s">
        <v>670</v>
      </c>
      <c r="T1578" s="597">
        <v>45900</v>
      </c>
      <c r="U1578" s="598">
        <v>0</v>
      </c>
      <c r="V1578" s="599">
        <v>0.08</v>
      </c>
      <c r="W1578" s="260">
        <v>45870</v>
      </c>
    </row>
    <row r="1579" spans="1:23" hidden="1" x14ac:dyDescent="0.35">
      <c r="A1579" s="596" t="s">
        <v>526</v>
      </c>
      <c r="B1579" s="596" t="s">
        <v>159</v>
      </c>
      <c r="C1579" s="596" t="s">
        <v>298</v>
      </c>
      <c r="D1579" s="596" t="s">
        <v>345</v>
      </c>
      <c r="E1579" s="596" t="s">
        <v>346</v>
      </c>
      <c r="F1579" s="596" t="s">
        <v>276</v>
      </c>
      <c r="G1579" s="596" t="s">
        <v>356</v>
      </c>
      <c r="H1579" s="596" t="s">
        <v>670</v>
      </c>
      <c r="I1579" s="596" t="s">
        <v>277</v>
      </c>
      <c r="J1579" s="596" t="s">
        <v>522</v>
      </c>
      <c r="K1579" s="596" t="s">
        <v>301</v>
      </c>
      <c r="L1579" s="596" t="s">
        <v>592</v>
      </c>
      <c r="M1579" s="596" t="s">
        <v>285</v>
      </c>
      <c r="N1579" s="596" t="s">
        <v>670</v>
      </c>
      <c r="O1579" s="596" t="s">
        <v>670</v>
      </c>
      <c r="P1579" s="596" t="s">
        <v>522</v>
      </c>
      <c r="Q1579" s="596" t="s">
        <v>670</v>
      </c>
      <c r="R1579" s="597">
        <v>45902</v>
      </c>
      <c r="S1579" s="596" t="s">
        <v>670</v>
      </c>
      <c r="T1579" s="597">
        <v>45900</v>
      </c>
      <c r="U1579" s="598">
        <v>0</v>
      </c>
      <c r="V1579" s="599">
        <v>-0.03</v>
      </c>
      <c r="W1579" s="260">
        <v>45870</v>
      </c>
    </row>
    <row r="1580" spans="1:23" hidden="1" x14ac:dyDescent="0.35">
      <c r="A1580" s="596" t="s">
        <v>526</v>
      </c>
      <c r="B1580" s="596" t="s">
        <v>159</v>
      </c>
      <c r="C1580" s="596" t="s">
        <v>298</v>
      </c>
      <c r="D1580" s="596" t="s">
        <v>347</v>
      </c>
      <c r="E1580" s="596" t="s">
        <v>348</v>
      </c>
      <c r="F1580" s="596" t="s">
        <v>276</v>
      </c>
      <c r="G1580" s="596" t="s">
        <v>356</v>
      </c>
      <c r="H1580" s="596" t="s">
        <v>670</v>
      </c>
      <c r="I1580" s="596" t="s">
        <v>277</v>
      </c>
      <c r="J1580" s="596" t="s">
        <v>522</v>
      </c>
      <c r="K1580" s="596" t="s">
        <v>301</v>
      </c>
      <c r="L1580" s="596" t="s">
        <v>592</v>
      </c>
      <c r="M1580" s="596" t="s">
        <v>285</v>
      </c>
      <c r="N1580" s="596" t="s">
        <v>670</v>
      </c>
      <c r="O1580" s="596" t="s">
        <v>670</v>
      </c>
      <c r="P1580" s="596" t="s">
        <v>522</v>
      </c>
      <c r="Q1580" s="596" t="s">
        <v>670</v>
      </c>
      <c r="R1580" s="597">
        <v>45902</v>
      </c>
      <c r="S1580" s="596" t="s">
        <v>670</v>
      </c>
      <c r="T1580" s="597">
        <v>45900</v>
      </c>
      <c r="U1580" s="598">
        <v>0</v>
      </c>
      <c r="V1580" s="599">
        <v>0.11</v>
      </c>
      <c r="W1580" s="260">
        <v>45870</v>
      </c>
    </row>
    <row r="1581" spans="1:23" hidden="1" x14ac:dyDescent="0.35">
      <c r="A1581" s="596" t="s">
        <v>526</v>
      </c>
      <c r="B1581" s="596" t="s">
        <v>159</v>
      </c>
      <c r="C1581" s="596" t="s">
        <v>298</v>
      </c>
      <c r="D1581" s="596" t="s">
        <v>347</v>
      </c>
      <c r="E1581" s="596" t="s">
        <v>348</v>
      </c>
      <c r="F1581" s="596" t="s">
        <v>276</v>
      </c>
      <c r="G1581" s="596" t="s">
        <v>356</v>
      </c>
      <c r="H1581" s="596" t="s">
        <v>670</v>
      </c>
      <c r="I1581" s="596" t="s">
        <v>277</v>
      </c>
      <c r="J1581" s="596" t="s">
        <v>522</v>
      </c>
      <c r="K1581" s="596" t="s">
        <v>301</v>
      </c>
      <c r="L1581" s="596" t="s">
        <v>592</v>
      </c>
      <c r="M1581" s="596" t="s">
        <v>285</v>
      </c>
      <c r="N1581" s="596" t="s">
        <v>670</v>
      </c>
      <c r="O1581" s="596" t="s">
        <v>670</v>
      </c>
      <c r="P1581" s="596" t="s">
        <v>522</v>
      </c>
      <c r="Q1581" s="596" t="s">
        <v>670</v>
      </c>
      <c r="R1581" s="597">
        <v>45902</v>
      </c>
      <c r="S1581" s="596" t="s">
        <v>670</v>
      </c>
      <c r="T1581" s="597">
        <v>45900</v>
      </c>
      <c r="U1581" s="598">
        <v>0</v>
      </c>
      <c r="V1581" s="599">
        <v>-0.01</v>
      </c>
      <c r="W1581" s="260">
        <v>45870</v>
      </c>
    </row>
    <row r="1582" spans="1:23" hidden="1" x14ac:dyDescent="0.35">
      <c r="A1582" s="596" t="s">
        <v>526</v>
      </c>
      <c r="B1582" s="596" t="s">
        <v>159</v>
      </c>
      <c r="C1582" s="596" t="s">
        <v>298</v>
      </c>
      <c r="D1582" s="596" t="s">
        <v>351</v>
      </c>
      <c r="E1582" s="596" t="s">
        <v>352</v>
      </c>
      <c r="F1582" s="596" t="s">
        <v>276</v>
      </c>
      <c r="G1582" s="596" t="s">
        <v>356</v>
      </c>
      <c r="H1582" s="596" t="s">
        <v>670</v>
      </c>
      <c r="I1582" s="596" t="s">
        <v>277</v>
      </c>
      <c r="J1582" s="596" t="s">
        <v>522</v>
      </c>
      <c r="K1582" s="596" t="s">
        <v>301</v>
      </c>
      <c r="L1582" s="596" t="s">
        <v>592</v>
      </c>
      <c r="M1582" s="596" t="s">
        <v>285</v>
      </c>
      <c r="N1582" s="596" t="s">
        <v>670</v>
      </c>
      <c r="O1582" s="596" t="s">
        <v>670</v>
      </c>
      <c r="P1582" s="596" t="s">
        <v>522</v>
      </c>
      <c r="Q1582" s="596" t="s">
        <v>670</v>
      </c>
      <c r="R1582" s="597">
        <v>45902</v>
      </c>
      <c r="S1582" s="596" t="s">
        <v>670</v>
      </c>
      <c r="T1582" s="597">
        <v>45900</v>
      </c>
      <c r="U1582" s="598">
        <v>0</v>
      </c>
      <c r="V1582" s="599">
        <v>0.06</v>
      </c>
      <c r="W1582" s="260">
        <v>45870</v>
      </c>
    </row>
    <row r="1583" spans="1:23" hidden="1" x14ac:dyDescent="0.35">
      <c r="A1583" s="596" t="s">
        <v>526</v>
      </c>
      <c r="B1583" s="596" t="s">
        <v>159</v>
      </c>
      <c r="C1583" s="596" t="s">
        <v>298</v>
      </c>
      <c r="D1583" s="596" t="s">
        <v>354</v>
      </c>
      <c r="E1583" s="596" t="s">
        <v>355</v>
      </c>
      <c r="F1583" s="596" t="s">
        <v>276</v>
      </c>
      <c r="G1583" s="596" t="s">
        <v>356</v>
      </c>
      <c r="H1583" s="596" t="s">
        <v>670</v>
      </c>
      <c r="I1583" s="596" t="s">
        <v>277</v>
      </c>
      <c r="J1583" s="596" t="s">
        <v>522</v>
      </c>
      <c r="K1583" s="596" t="s">
        <v>301</v>
      </c>
      <c r="L1583" s="596" t="s">
        <v>592</v>
      </c>
      <c r="M1583" s="596" t="s">
        <v>285</v>
      </c>
      <c r="N1583" s="596" t="s">
        <v>670</v>
      </c>
      <c r="O1583" s="596" t="s">
        <v>670</v>
      </c>
      <c r="P1583" s="596" t="s">
        <v>522</v>
      </c>
      <c r="Q1583" s="596" t="s">
        <v>670</v>
      </c>
      <c r="R1583" s="597">
        <v>45902</v>
      </c>
      <c r="S1583" s="596" t="s">
        <v>670</v>
      </c>
      <c r="T1583" s="597">
        <v>45900</v>
      </c>
      <c r="U1583" s="598">
        <v>0</v>
      </c>
      <c r="V1583" s="599">
        <v>0.02</v>
      </c>
      <c r="W1583" s="260">
        <v>45870</v>
      </c>
    </row>
    <row r="1584" spans="1:23" hidden="1" x14ac:dyDescent="0.35">
      <c r="A1584" s="596" t="s">
        <v>526</v>
      </c>
      <c r="B1584" s="596" t="s">
        <v>159</v>
      </c>
      <c r="C1584" s="596" t="s">
        <v>542</v>
      </c>
      <c r="D1584" s="596" t="s">
        <v>560</v>
      </c>
      <c r="E1584" s="596" t="s">
        <v>544</v>
      </c>
      <c r="F1584" s="596" t="s">
        <v>276</v>
      </c>
      <c r="G1584" s="596" t="s">
        <v>356</v>
      </c>
      <c r="H1584" s="596" t="s">
        <v>670</v>
      </c>
      <c r="I1584" s="596" t="s">
        <v>277</v>
      </c>
      <c r="J1584" s="596" t="s">
        <v>522</v>
      </c>
      <c r="K1584" s="596" t="s">
        <v>545</v>
      </c>
      <c r="L1584" s="596" t="s">
        <v>592</v>
      </c>
      <c r="M1584" s="596" t="s">
        <v>285</v>
      </c>
      <c r="N1584" s="596" t="s">
        <v>670</v>
      </c>
      <c r="O1584" s="596" t="s">
        <v>670</v>
      </c>
      <c r="P1584" s="596" t="s">
        <v>522</v>
      </c>
      <c r="Q1584" s="596" t="s">
        <v>670</v>
      </c>
      <c r="R1584" s="597">
        <v>45902</v>
      </c>
      <c r="S1584" s="596" t="s">
        <v>670</v>
      </c>
      <c r="T1584" s="597">
        <v>45900</v>
      </c>
      <c r="U1584" s="598">
        <v>0</v>
      </c>
      <c r="V1584" s="599">
        <v>24.25</v>
      </c>
      <c r="W1584" s="260">
        <v>45870</v>
      </c>
    </row>
    <row r="1585" spans="1:24" hidden="1" x14ac:dyDescent="0.35">
      <c r="A1585" s="596" t="s">
        <v>526</v>
      </c>
      <c r="B1585" s="596" t="s">
        <v>159</v>
      </c>
      <c r="C1585" s="596" t="s">
        <v>542</v>
      </c>
      <c r="D1585" s="596" t="s">
        <v>560</v>
      </c>
      <c r="E1585" s="596" t="s">
        <v>544</v>
      </c>
      <c r="F1585" s="596" t="s">
        <v>276</v>
      </c>
      <c r="G1585" s="596" t="s">
        <v>356</v>
      </c>
      <c r="H1585" s="596" t="s">
        <v>670</v>
      </c>
      <c r="I1585" s="596" t="s">
        <v>277</v>
      </c>
      <c r="J1585" s="596" t="s">
        <v>522</v>
      </c>
      <c r="K1585" s="596" t="s">
        <v>554</v>
      </c>
      <c r="L1585" s="596" t="s">
        <v>592</v>
      </c>
      <c r="M1585" s="596" t="s">
        <v>285</v>
      </c>
      <c r="N1585" s="596" t="s">
        <v>670</v>
      </c>
      <c r="O1585" s="596" t="s">
        <v>670</v>
      </c>
      <c r="P1585" s="596" t="s">
        <v>522</v>
      </c>
      <c r="Q1585" s="596" t="s">
        <v>670</v>
      </c>
      <c r="R1585" s="597">
        <v>45902</v>
      </c>
      <c r="S1585" s="596" t="s">
        <v>670</v>
      </c>
      <c r="T1585" s="597">
        <v>45900</v>
      </c>
      <c r="U1585" s="598">
        <v>0</v>
      </c>
      <c r="V1585" s="599">
        <v>-18.07</v>
      </c>
      <c r="W1585" s="260">
        <v>45870</v>
      </c>
    </row>
    <row r="1586" spans="1:24" hidden="1" x14ac:dyDescent="0.35">
      <c r="A1586" s="596" t="s">
        <v>526</v>
      </c>
      <c r="B1586" s="596" t="s">
        <v>159</v>
      </c>
      <c r="C1586" s="596" t="s">
        <v>546</v>
      </c>
      <c r="D1586" s="596" t="s">
        <v>561</v>
      </c>
      <c r="E1586" s="596" t="s">
        <v>548</v>
      </c>
      <c r="F1586" s="596" t="s">
        <v>276</v>
      </c>
      <c r="G1586" s="596" t="s">
        <v>356</v>
      </c>
      <c r="H1586" s="596" t="s">
        <v>670</v>
      </c>
      <c r="I1586" s="596" t="s">
        <v>277</v>
      </c>
      <c r="J1586" s="596" t="s">
        <v>522</v>
      </c>
      <c r="K1586" s="596" t="s">
        <v>549</v>
      </c>
      <c r="L1586" s="596" t="s">
        <v>592</v>
      </c>
      <c r="M1586" s="596" t="s">
        <v>285</v>
      </c>
      <c r="N1586" s="596" t="s">
        <v>670</v>
      </c>
      <c r="O1586" s="596" t="s">
        <v>670</v>
      </c>
      <c r="P1586" s="596" t="s">
        <v>522</v>
      </c>
      <c r="Q1586" s="596" t="s">
        <v>670</v>
      </c>
      <c r="R1586" s="597">
        <v>45902</v>
      </c>
      <c r="S1586" s="596" t="s">
        <v>670</v>
      </c>
      <c r="T1586" s="597">
        <v>45900</v>
      </c>
      <c r="U1586" s="598">
        <v>0</v>
      </c>
      <c r="V1586" s="599">
        <v>-1.72</v>
      </c>
      <c r="W1586" s="260">
        <v>45870</v>
      </c>
    </row>
    <row r="1587" spans="1:24" hidden="1" x14ac:dyDescent="0.35">
      <c r="A1587" s="596" t="s">
        <v>526</v>
      </c>
      <c r="B1587" s="596" t="s">
        <v>159</v>
      </c>
      <c r="C1587" s="596" t="s">
        <v>542</v>
      </c>
      <c r="D1587" s="596" t="s">
        <v>562</v>
      </c>
      <c r="E1587" s="596" t="s">
        <v>551</v>
      </c>
      <c r="F1587" s="596" t="s">
        <v>276</v>
      </c>
      <c r="G1587" s="596" t="s">
        <v>356</v>
      </c>
      <c r="H1587" s="596" t="s">
        <v>670</v>
      </c>
      <c r="I1587" s="596" t="s">
        <v>277</v>
      </c>
      <c r="J1587" s="596" t="s">
        <v>522</v>
      </c>
      <c r="K1587" s="596" t="s">
        <v>545</v>
      </c>
      <c r="L1587" s="596" t="s">
        <v>592</v>
      </c>
      <c r="M1587" s="596" t="s">
        <v>285</v>
      </c>
      <c r="N1587" s="596" t="s">
        <v>670</v>
      </c>
      <c r="O1587" s="596" t="s">
        <v>670</v>
      </c>
      <c r="P1587" s="596" t="s">
        <v>522</v>
      </c>
      <c r="Q1587" s="596" t="s">
        <v>670</v>
      </c>
      <c r="R1587" s="597">
        <v>45902</v>
      </c>
      <c r="S1587" s="596" t="s">
        <v>670</v>
      </c>
      <c r="T1587" s="597">
        <v>45900</v>
      </c>
      <c r="U1587" s="598">
        <v>0</v>
      </c>
      <c r="V1587" s="599">
        <v>-10.69</v>
      </c>
      <c r="W1587" s="260">
        <v>45870</v>
      </c>
    </row>
    <row r="1588" spans="1:24" hidden="1" x14ac:dyDescent="0.35">
      <c r="A1588" s="596" t="s">
        <v>526</v>
      </c>
      <c r="B1588" s="596" t="s">
        <v>159</v>
      </c>
      <c r="C1588" s="596" t="s">
        <v>542</v>
      </c>
      <c r="D1588" s="596" t="s">
        <v>563</v>
      </c>
      <c r="E1588" s="596" t="s">
        <v>553</v>
      </c>
      <c r="F1588" s="596" t="s">
        <v>276</v>
      </c>
      <c r="G1588" s="596" t="s">
        <v>356</v>
      </c>
      <c r="H1588" s="596" t="s">
        <v>670</v>
      </c>
      <c r="I1588" s="596" t="s">
        <v>277</v>
      </c>
      <c r="J1588" s="596" t="s">
        <v>522</v>
      </c>
      <c r="K1588" s="596" t="s">
        <v>554</v>
      </c>
      <c r="L1588" s="596" t="s">
        <v>592</v>
      </c>
      <c r="M1588" s="596" t="s">
        <v>285</v>
      </c>
      <c r="N1588" s="596" t="s">
        <v>670</v>
      </c>
      <c r="O1588" s="596" t="s">
        <v>670</v>
      </c>
      <c r="P1588" s="596" t="s">
        <v>522</v>
      </c>
      <c r="Q1588" s="596" t="s">
        <v>670</v>
      </c>
      <c r="R1588" s="597">
        <v>45902</v>
      </c>
      <c r="S1588" s="596" t="s">
        <v>670</v>
      </c>
      <c r="T1588" s="597">
        <v>45900</v>
      </c>
      <c r="U1588" s="598">
        <v>0</v>
      </c>
      <c r="V1588" s="599">
        <v>-1.34</v>
      </c>
      <c r="W1588" s="260">
        <v>45870</v>
      </c>
    </row>
    <row r="1589" spans="1:24" hidden="1" x14ac:dyDescent="0.35">
      <c r="A1589" s="596" t="s">
        <v>526</v>
      </c>
      <c r="B1589" s="596" t="s">
        <v>159</v>
      </c>
      <c r="C1589" s="596" t="s">
        <v>546</v>
      </c>
      <c r="D1589" s="596" t="s">
        <v>564</v>
      </c>
      <c r="E1589" s="596" t="s">
        <v>556</v>
      </c>
      <c r="F1589" s="596" t="s">
        <v>276</v>
      </c>
      <c r="G1589" s="596" t="s">
        <v>356</v>
      </c>
      <c r="H1589" s="596" t="s">
        <v>670</v>
      </c>
      <c r="I1589" s="596" t="s">
        <v>277</v>
      </c>
      <c r="J1589" s="596" t="s">
        <v>522</v>
      </c>
      <c r="K1589" s="596" t="s">
        <v>557</v>
      </c>
      <c r="L1589" s="596" t="s">
        <v>592</v>
      </c>
      <c r="M1589" s="596" t="s">
        <v>285</v>
      </c>
      <c r="N1589" s="596" t="s">
        <v>670</v>
      </c>
      <c r="O1589" s="596" t="s">
        <v>670</v>
      </c>
      <c r="P1589" s="596" t="s">
        <v>522</v>
      </c>
      <c r="Q1589" s="596" t="s">
        <v>670</v>
      </c>
      <c r="R1589" s="597">
        <v>45902</v>
      </c>
      <c r="S1589" s="596" t="s">
        <v>670</v>
      </c>
      <c r="T1589" s="597">
        <v>45900</v>
      </c>
      <c r="U1589" s="598">
        <v>0</v>
      </c>
      <c r="V1589" s="599">
        <v>-1.45</v>
      </c>
      <c r="W1589" s="260">
        <v>45870</v>
      </c>
    </row>
    <row r="1590" spans="1:24" hidden="1" x14ac:dyDescent="0.35">
      <c r="A1590" s="596" t="s">
        <v>526</v>
      </c>
      <c r="B1590" s="596" t="s">
        <v>159</v>
      </c>
      <c r="C1590" s="596" t="s">
        <v>530</v>
      </c>
      <c r="D1590" s="596" t="s">
        <v>531</v>
      </c>
      <c r="E1590" s="596" t="s">
        <v>532</v>
      </c>
      <c r="F1590" s="596" t="s">
        <v>276</v>
      </c>
      <c r="G1590" s="596" t="s">
        <v>356</v>
      </c>
      <c r="H1590" s="596" t="s">
        <v>567</v>
      </c>
      <c r="I1590" s="596" t="s">
        <v>277</v>
      </c>
      <c r="J1590" s="596" t="s">
        <v>522</v>
      </c>
      <c r="K1590" s="596" t="s">
        <v>534</v>
      </c>
      <c r="L1590" s="596" t="s">
        <v>592</v>
      </c>
      <c r="M1590" s="596" t="s">
        <v>568</v>
      </c>
      <c r="N1590" s="596" t="s">
        <v>670</v>
      </c>
      <c r="O1590" s="596" t="s">
        <v>670</v>
      </c>
      <c r="P1590" s="596" t="s">
        <v>522</v>
      </c>
      <c r="Q1590" s="596" t="s">
        <v>670</v>
      </c>
      <c r="R1590" s="597">
        <v>45867</v>
      </c>
      <c r="S1590" s="596" t="s">
        <v>278</v>
      </c>
      <c r="T1590" s="597">
        <v>45872</v>
      </c>
      <c r="U1590" s="598">
        <v>1</v>
      </c>
      <c r="V1590" s="599">
        <v>92.65</v>
      </c>
      <c r="W1590" s="260">
        <v>45870</v>
      </c>
      <c r="X1590" s="845"/>
    </row>
    <row r="1591" spans="1:24" hidden="1" x14ac:dyDescent="0.35">
      <c r="A1591" s="596" t="s">
        <v>526</v>
      </c>
      <c r="B1591" s="596" t="s">
        <v>159</v>
      </c>
      <c r="C1591" s="596" t="s">
        <v>530</v>
      </c>
      <c r="D1591" s="596" t="s">
        <v>531</v>
      </c>
      <c r="E1591" s="596" t="s">
        <v>532</v>
      </c>
      <c r="F1591" s="596" t="s">
        <v>276</v>
      </c>
      <c r="G1591" s="596" t="s">
        <v>356</v>
      </c>
      <c r="H1591" s="596" t="s">
        <v>565</v>
      </c>
      <c r="I1591" s="596" t="s">
        <v>277</v>
      </c>
      <c r="J1591" s="596" t="s">
        <v>522</v>
      </c>
      <c r="K1591" s="596" t="s">
        <v>534</v>
      </c>
      <c r="L1591" s="596" t="s">
        <v>592</v>
      </c>
      <c r="M1591" s="596" t="s">
        <v>566</v>
      </c>
      <c r="N1591" s="596" t="s">
        <v>670</v>
      </c>
      <c r="O1591" s="596" t="s">
        <v>670</v>
      </c>
      <c r="P1591" s="596" t="s">
        <v>522</v>
      </c>
      <c r="Q1591" s="596" t="s">
        <v>670</v>
      </c>
      <c r="R1591" s="597">
        <v>45868</v>
      </c>
      <c r="S1591" s="596" t="s">
        <v>278</v>
      </c>
      <c r="T1591" s="597">
        <v>45872</v>
      </c>
      <c r="U1591" s="598">
        <v>2</v>
      </c>
      <c r="V1591" s="599">
        <v>185.3</v>
      </c>
      <c r="W1591" s="260">
        <v>45870</v>
      </c>
      <c r="X1591" s="845"/>
    </row>
    <row r="1592" spans="1:24" hidden="1" x14ac:dyDescent="0.35">
      <c r="A1592" s="596" t="s">
        <v>526</v>
      </c>
      <c r="B1592" s="596" t="s">
        <v>159</v>
      </c>
      <c r="C1592" s="596" t="s">
        <v>530</v>
      </c>
      <c r="D1592" s="596" t="s">
        <v>531</v>
      </c>
      <c r="E1592" s="596" t="s">
        <v>532</v>
      </c>
      <c r="F1592" s="596" t="s">
        <v>276</v>
      </c>
      <c r="G1592" s="596" t="s">
        <v>356</v>
      </c>
      <c r="H1592" s="596" t="s">
        <v>565</v>
      </c>
      <c r="I1592" s="596" t="s">
        <v>277</v>
      </c>
      <c r="J1592" s="596" t="s">
        <v>522</v>
      </c>
      <c r="K1592" s="596" t="s">
        <v>534</v>
      </c>
      <c r="L1592" s="596" t="s">
        <v>592</v>
      </c>
      <c r="M1592" s="596" t="s">
        <v>566</v>
      </c>
      <c r="N1592" s="596" t="s">
        <v>670</v>
      </c>
      <c r="O1592" s="596" t="s">
        <v>670</v>
      </c>
      <c r="P1592" s="596" t="s">
        <v>522</v>
      </c>
      <c r="Q1592" s="596" t="s">
        <v>670</v>
      </c>
      <c r="R1592" s="597">
        <v>45870</v>
      </c>
      <c r="S1592" s="596" t="s">
        <v>278</v>
      </c>
      <c r="T1592" s="597">
        <v>45872</v>
      </c>
      <c r="U1592" s="598">
        <v>1</v>
      </c>
      <c r="V1592" s="599">
        <v>92.65</v>
      </c>
      <c r="W1592" s="260">
        <v>45870</v>
      </c>
      <c r="X1592" s="845"/>
    </row>
    <row r="1593" spans="1:24" hidden="1" x14ac:dyDescent="0.35">
      <c r="A1593" s="596" t="s">
        <v>526</v>
      </c>
      <c r="B1593" s="596" t="s">
        <v>159</v>
      </c>
      <c r="C1593" s="596" t="s">
        <v>530</v>
      </c>
      <c r="D1593" s="596" t="s">
        <v>531</v>
      </c>
      <c r="E1593" s="596" t="s">
        <v>532</v>
      </c>
      <c r="F1593" s="596" t="s">
        <v>276</v>
      </c>
      <c r="G1593" s="596" t="s">
        <v>356</v>
      </c>
      <c r="H1593" s="596" t="s">
        <v>567</v>
      </c>
      <c r="I1593" s="596" t="s">
        <v>277</v>
      </c>
      <c r="J1593" s="596" t="s">
        <v>522</v>
      </c>
      <c r="K1593" s="596" t="s">
        <v>534</v>
      </c>
      <c r="L1593" s="596" t="s">
        <v>592</v>
      </c>
      <c r="M1593" s="596" t="s">
        <v>568</v>
      </c>
      <c r="N1593" s="596" t="s">
        <v>670</v>
      </c>
      <c r="O1593" s="596" t="s">
        <v>670</v>
      </c>
      <c r="P1593" s="596" t="s">
        <v>522</v>
      </c>
      <c r="Q1593" s="596" t="s">
        <v>670</v>
      </c>
      <c r="R1593" s="597">
        <v>45874</v>
      </c>
      <c r="S1593" s="596" t="s">
        <v>278</v>
      </c>
      <c r="T1593" s="597">
        <v>45888</v>
      </c>
      <c r="U1593" s="598">
        <v>1</v>
      </c>
      <c r="V1593" s="599">
        <v>92.65</v>
      </c>
      <c r="W1593" s="260">
        <v>45870</v>
      </c>
      <c r="X1593" s="845"/>
    </row>
    <row r="1594" spans="1:24" hidden="1" x14ac:dyDescent="0.35">
      <c r="A1594" s="596" t="s">
        <v>526</v>
      </c>
      <c r="B1594" s="596" t="s">
        <v>159</v>
      </c>
      <c r="C1594" s="596" t="s">
        <v>530</v>
      </c>
      <c r="D1594" s="596" t="s">
        <v>531</v>
      </c>
      <c r="E1594" s="596" t="s">
        <v>532</v>
      </c>
      <c r="F1594" s="596" t="s">
        <v>276</v>
      </c>
      <c r="G1594" s="596" t="s">
        <v>356</v>
      </c>
      <c r="H1594" s="596" t="s">
        <v>565</v>
      </c>
      <c r="I1594" s="596" t="s">
        <v>277</v>
      </c>
      <c r="J1594" s="596" t="s">
        <v>522</v>
      </c>
      <c r="K1594" s="596" t="s">
        <v>534</v>
      </c>
      <c r="L1594" s="596" t="s">
        <v>592</v>
      </c>
      <c r="M1594" s="596" t="s">
        <v>566</v>
      </c>
      <c r="N1594" s="596" t="s">
        <v>670</v>
      </c>
      <c r="O1594" s="596" t="s">
        <v>670</v>
      </c>
      <c r="P1594" s="596" t="s">
        <v>522</v>
      </c>
      <c r="Q1594" s="596" t="s">
        <v>670</v>
      </c>
      <c r="R1594" s="597">
        <v>45888</v>
      </c>
      <c r="S1594" s="596" t="s">
        <v>278</v>
      </c>
      <c r="T1594" s="597">
        <v>45895</v>
      </c>
      <c r="U1594" s="598">
        <v>1</v>
      </c>
      <c r="V1594" s="599">
        <v>92.65</v>
      </c>
      <c r="W1594" s="260">
        <v>45870</v>
      </c>
      <c r="X1594" s="845"/>
    </row>
    <row r="1595" spans="1:24" hidden="1" x14ac:dyDescent="0.35">
      <c r="A1595" s="596" t="s">
        <v>526</v>
      </c>
      <c r="B1595" s="596" t="s">
        <v>159</v>
      </c>
      <c r="C1595" s="596" t="s">
        <v>735</v>
      </c>
      <c r="D1595" s="596" t="s">
        <v>736</v>
      </c>
      <c r="E1595" s="596" t="s">
        <v>737</v>
      </c>
      <c r="F1595" s="596" t="s">
        <v>276</v>
      </c>
      <c r="G1595" s="596" t="s">
        <v>356</v>
      </c>
      <c r="H1595" s="596" t="s">
        <v>582</v>
      </c>
      <c r="I1595" s="596" t="s">
        <v>277</v>
      </c>
      <c r="J1595" s="596" t="s">
        <v>522</v>
      </c>
      <c r="K1595" s="596" t="s">
        <v>738</v>
      </c>
      <c r="L1595" s="596" t="s">
        <v>592</v>
      </c>
      <c r="M1595" s="596" t="s">
        <v>583</v>
      </c>
      <c r="N1595" s="596" t="s">
        <v>670</v>
      </c>
      <c r="O1595" s="596" t="s">
        <v>670</v>
      </c>
      <c r="P1595" s="596" t="s">
        <v>522</v>
      </c>
      <c r="Q1595" s="596" t="s">
        <v>670</v>
      </c>
      <c r="R1595" s="597">
        <v>45888</v>
      </c>
      <c r="S1595" s="596" t="s">
        <v>278</v>
      </c>
      <c r="T1595" s="597">
        <v>45892</v>
      </c>
      <c r="U1595" s="598">
        <v>2</v>
      </c>
      <c r="V1595" s="599">
        <v>259.36</v>
      </c>
      <c r="W1595" s="260">
        <v>45870</v>
      </c>
      <c r="X1595" s="845"/>
    </row>
    <row r="1596" spans="1:24" hidden="1" x14ac:dyDescent="0.35">
      <c r="A1596" s="596" t="s">
        <v>526</v>
      </c>
      <c r="B1596" s="596" t="s">
        <v>160</v>
      </c>
      <c r="C1596" s="596" t="s">
        <v>670</v>
      </c>
      <c r="D1596" s="596" t="s">
        <v>603</v>
      </c>
      <c r="E1596" s="596" t="s">
        <v>604</v>
      </c>
      <c r="F1596" s="596" t="s">
        <v>588</v>
      </c>
      <c r="G1596" s="596" t="s">
        <v>356</v>
      </c>
      <c r="H1596" s="596" t="s">
        <v>670</v>
      </c>
      <c r="I1596" s="596" t="s">
        <v>277</v>
      </c>
      <c r="J1596" s="596" t="s">
        <v>523</v>
      </c>
      <c r="K1596" s="596" t="s">
        <v>670</v>
      </c>
      <c r="L1596" s="596" t="s">
        <v>592</v>
      </c>
      <c r="M1596" s="596" t="s">
        <v>285</v>
      </c>
      <c r="N1596" s="596" t="s">
        <v>670</v>
      </c>
      <c r="O1596" s="596" t="s">
        <v>686</v>
      </c>
      <c r="P1596" s="596" t="s">
        <v>523</v>
      </c>
      <c r="Q1596" s="596" t="s">
        <v>589</v>
      </c>
      <c r="R1596" s="597">
        <v>45868</v>
      </c>
      <c r="S1596" s="596" t="s">
        <v>670</v>
      </c>
      <c r="T1596" s="597">
        <v>45870</v>
      </c>
      <c r="U1596" s="598">
        <v>0</v>
      </c>
      <c r="V1596" s="599">
        <v>-190575</v>
      </c>
      <c r="W1596" s="260">
        <v>45870</v>
      </c>
    </row>
    <row r="1597" spans="1:24" hidden="1" x14ac:dyDescent="0.35">
      <c r="A1597" s="596" t="s">
        <v>526</v>
      </c>
      <c r="B1597" s="596" t="s">
        <v>160</v>
      </c>
      <c r="C1597" s="596" t="s">
        <v>670</v>
      </c>
      <c r="D1597" s="596" t="s">
        <v>603</v>
      </c>
      <c r="E1597" s="596" t="s">
        <v>604</v>
      </c>
      <c r="F1597" s="596" t="s">
        <v>276</v>
      </c>
      <c r="G1597" s="596" t="s">
        <v>356</v>
      </c>
      <c r="H1597" s="596" t="s">
        <v>670</v>
      </c>
      <c r="I1597" s="596" t="s">
        <v>277</v>
      </c>
      <c r="J1597" s="596" t="s">
        <v>523</v>
      </c>
      <c r="K1597" s="596" t="s">
        <v>670</v>
      </c>
      <c r="L1597" s="596" t="s">
        <v>592</v>
      </c>
      <c r="M1597" s="596" t="s">
        <v>285</v>
      </c>
      <c r="N1597" s="596" t="s">
        <v>699</v>
      </c>
      <c r="O1597" s="596" t="s">
        <v>691</v>
      </c>
      <c r="P1597" s="596" t="s">
        <v>523</v>
      </c>
      <c r="Q1597" s="596" t="s">
        <v>387</v>
      </c>
      <c r="R1597" s="597">
        <v>45827</v>
      </c>
      <c r="S1597" s="596" t="s">
        <v>388</v>
      </c>
      <c r="T1597" s="597">
        <v>45874</v>
      </c>
      <c r="U1597" s="600">
        <v>1</v>
      </c>
      <c r="V1597" s="599">
        <v>40954.5</v>
      </c>
      <c r="W1597" s="260">
        <v>45870</v>
      </c>
    </row>
    <row r="1598" spans="1:24" hidden="1" x14ac:dyDescent="0.35">
      <c r="A1598" s="596" t="s">
        <v>526</v>
      </c>
      <c r="B1598" s="596" t="s">
        <v>53</v>
      </c>
      <c r="C1598" s="596" t="s">
        <v>670</v>
      </c>
      <c r="D1598" s="596" t="s">
        <v>603</v>
      </c>
      <c r="E1598" s="596" t="s">
        <v>604</v>
      </c>
      <c r="F1598" s="596" t="s">
        <v>276</v>
      </c>
      <c r="G1598" s="596" t="s">
        <v>356</v>
      </c>
      <c r="H1598" s="596" t="s">
        <v>670</v>
      </c>
      <c r="I1598" s="596" t="s">
        <v>277</v>
      </c>
      <c r="J1598" s="596" t="s">
        <v>523</v>
      </c>
      <c r="K1598" s="596" t="s">
        <v>670</v>
      </c>
      <c r="L1598" s="596" t="s">
        <v>592</v>
      </c>
      <c r="M1598" s="596" t="s">
        <v>285</v>
      </c>
      <c r="N1598" s="596" t="s">
        <v>670</v>
      </c>
      <c r="O1598" s="596">
        <v>7000001415</v>
      </c>
      <c r="P1598" s="596" t="s">
        <v>524</v>
      </c>
      <c r="Q1598" s="596" t="s">
        <v>400</v>
      </c>
      <c r="R1598" s="597">
        <v>45896</v>
      </c>
      <c r="S1598" s="596" t="s">
        <v>670</v>
      </c>
      <c r="T1598" s="597">
        <v>45900</v>
      </c>
      <c r="U1598" s="598">
        <v>0</v>
      </c>
      <c r="V1598" s="599">
        <v>572074</v>
      </c>
      <c r="W1598" s="260">
        <v>45870</v>
      </c>
    </row>
    <row r="1599" spans="1:24" hidden="1" x14ac:dyDescent="0.35">
      <c r="A1599" s="596" t="s">
        <v>526</v>
      </c>
      <c r="B1599" s="596" t="s">
        <v>160</v>
      </c>
      <c r="C1599" s="596" t="s">
        <v>670</v>
      </c>
      <c r="D1599" s="596" t="s">
        <v>575</v>
      </c>
      <c r="E1599" s="596" t="s">
        <v>576</v>
      </c>
      <c r="F1599" s="596" t="s">
        <v>588</v>
      </c>
      <c r="G1599" s="596" t="s">
        <v>356</v>
      </c>
      <c r="H1599" s="596" t="s">
        <v>670</v>
      </c>
      <c r="I1599" s="596" t="s">
        <v>277</v>
      </c>
      <c r="J1599" s="596" t="s">
        <v>523</v>
      </c>
      <c r="K1599" s="596" t="s">
        <v>670</v>
      </c>
      <c r="L1599" s="596" t="s">
        <v>592</v>
      </c>
      <c r="M1599" s="596" t="s">
        <v>285</v>
      </c>
      <c r="N1599" s="596" t="s">
        <v>670</v>
      </c>
      <c r="O1599" s="596" t="s">
        <v>697</v>
      </c>
      <c r="P1599" s="596" t="s">
        <v>523</v>
      </c>
      <c r="Q1599" s="596" t="s">
        <v>589</v>
      </c>
      <c r="R1599" s="597">
        <v>45868</v>
      </c>
      <c r="S1599" s="596" t="s">
        <v>670</v>
      </c>
      <c r="T1599" s="597">
        <v>45870</v>
      </c>
      <c r="U1599" s="598">
        <v>0</v>
      </c>
      <c r="V1599" s="599">
        <v>-190575</v>
      </c>
      <c r="W1599" s="260">
        <v>45870</v>
      </c>
    </row>
    <row r="1600" spans="1:24" hidden="1" x14ac:dyDescent="0.35">
      <c r="A1600" s="596" t="s">
        <v>526</v>
      </c>
      <c r="B1600" s="596" t="s">
        <v>53</v>
      </c>
      <c r="C1600" s="596" t="s">
        <v>670</v>
      </c>
      <c r="D1600" s="596" t="s">
        <v>385</v>
      </c>
      <c r="E1600" s="596" t="s">
        <v>386</v>
      </c>
      <c r="F1600" s="596" t="s">
        <v>588</v>
      </c>
      <c r="G1600" s="596" t="s">
        <v>356</v>
      </c>
      <c r="H1600" s="596" t="s">
        <v>670</v>
      </c>
      <c r="I1600" s="596" t="s">
        <v>277</v>
      </c>
      <c r="J1600" s="596" t="s">
        <v>524</v>
      </c>
      <c r="K1600" s="596" t="s">
        <v>670</v>
      </c>
      <c r="L1600" s="596" t="s">
        <v>592</v>
      </c>
      <c r="M1600" s="596" t="s">
        <v>285</v>
      </c>
      <c r="N1600" s="596" t="s">
        <v>670</v>
      </c>
      <c r="O1600" s="596" t="s">
        <v>676</v>
      </c>
      <c r="P1600" s="596" t="s">
        <v>524</v>
      </c>
      <c r="Q1600" s="596" t="s">
        <v>589</v>
      </c>
      <c r="R1600" s="597">
        <v>45868</v>
      </c>
      <c r="S1600" s="596" t="s">
        <v>670</v>
      </c>
      <c r="T1600" s="597">
        <v>45870</v>
      </c>
      <c r="U1600" s="598">
        <v>0</v>
      </c>
      <c r="V1600" s="599">
        <v>-2604</v>
      </c>
      <c r="W1600" s="260">
        <v>45870</v>
      </c>
    </row>
    <row r="1601" spans="1:23" hidden="1" x14ac:dyDescent="0.35">
      <c r="A1601" s="596" t="s">
        <v>526</v>
      </c>
      <c r="B1601" s="596" t="s">
        <v>53</v>
      </c>
      <c r="C1601" s="596" t="s">
        <v>670</v>
      </c>
      <c r="D1601" s="596" t="s">
        <v>385</v>
      </c>
      <c r="E1601" s="596" t="s">
        <v>386</v>
      </c>
      <c r="F1601" s="596" t="s">
        <v>588</v>
      </c>
      <c r="G1601" s="596" t="s">
        <v>356</v>
      </c>
      <c r="H1601" s="596" t="s">
        <v>670</v>
      </c>
      <c r="I1601" s="596" t="s">
        <v>277</v>
      </c>
      <c r="J1601" s="596" t="s">
        <v>524</v>
      </c>
      <c r="K1601" s="596" t="s">
        <v>670</v>
      </c>
      <c r="L1601" s="596" t="s">
        <v>592</v>
      </c>
      <c r="M1601" s="596" t="s">
        <v>285</v>
      </c>
      <c r="N1601" s="596" t="s">
        <v>670</v>
      </c>
      <c r="O1601" s="596" t="s">
        <v>675</v>
      </c>
      <c r="P1601" s="596" t="s">
        <v>524</v>
      </c>
      <c r="Q1601" s="596" t="s">
        <v>589</v>
      </c>
      <c r="R1601" s="597">
        <v>45868</v>
      </c>
      <c r="S1601" s="596" t="s">
        <v>670</v>
      </c>
      <c r="T1601" s="597">
        <v>45870</v>
      </c>
      <c r="U1601" s="598">
        <v>0</v>
      </c>
      <c r="V1601" s="599">
        <v>-5200</v>
      </c>
      <c r="W1601" s="260">
        <v>45870</v>
      </c>
    </row>
    <row r="1602" spans="1:23" hidden="1" x14ac:dyDescent="0.35">
      <c r="A1602" s="596" t="s">
        <v>526</v>
      </c>
      <c r="B1602" s="596" t="s">
        <v>53</v>
      </c>
      <c r="C1602" s="596" t="s">
        <v>670</v>
      </c>
      <c r="D1602" s="596" t="s">
        <v>385</v>
      </c>
      <c r="E1602" s="596" t="s">
        <v>386</v>
      </c>
      <c r="F1602" s="596" t="s">
        <v>276</v>
      </c>
      <c r="G1602" s="596" t="s">
        <v>356</v>
      </c>
      <c r="H1602" s="596" t="s">
        <v>670</v>
      </c>
      <c r="I1602" s="596" t="s">
        <v>277</v>
      </c>
      <c r="J1602" s="596" t="s">
        <v>524</v>
      </c>
      <c r="K1602" s="596" t="s">
        <v>670</v>
      </c>
      <c r="L1602" s="596" t="s">
        <v>592</v>
      </c>
      <c r="M1602" s="596" t="s">
        <v>285</v>
      </c>
      <c r="N1602" s="596" t="s">
        <v>700</v>
      </c>
      <c r="O1602" s="596" t="s">
        <v>739</v>
      </c>
      <c r="P1602" s="596" t="s">
        <v>524</v>
      </c>
      <c r="Q1602" s="596" t="s">
        <v>387</v>
      </c>
      <c r="R1602" s="597">
        <v>45849</v>
      </c>
      <c r="S1602" s="596" t="s">
        <v>388</v>
      </c>
      <c r="T1602" s="597">
        <v>45874</v>
      </c>
      <c r="U1602" s="600">
        <v>1</v>
      </c>
      <c r="V1602" s="780">
        <v>25801.919999999998</v>
      </c>
      <c r="W1602" s="260">
        <v>45870</v>
      </c>
    </row>
    <row r="1603" spans="1:23" hidden="1" x14ac:dyDescent="0.35">
      <c r="A1603" s="596" t="s">
        <v>526</v>
      </c>
      <c r="B1603" s="596" t="s">
        <v>53</v>
      </c>
      <c r="C1603" s="596" t="s">
        <v>670</v>
      </c>
      <c r="D1603" s="596" t="s">
        <v>385</v>
      </c>
      <c r="E1603" s="596" t="s">
        <v>386</v>
      </c>
      <c r="F1603" s="596" t="s">
        <v>276</v>
      </c>
      <c r="G1603" s="596" t="s">
        <v>356</v>
      </c>
      <c r="H1603" s="596" t="s">
        <v>670</v>
      </c>
      <c r="I1603" s="596" t="s">
        <v>277</v>
      </c>
      <c r="J1603" s="596" t="s">
        <v>524</v>
      </c>
      <c r="K1603" s="596" t="s">
        <v>670</v>
      </c>
      <c r="L1603" s="596" t="s">
        <v>592</v>
      </c>
      <c r="M1603" s="596" t="s">
        <v>285</v>
      </c>
      <c r="N1603" s="596" t="s">
        <v>701</v>
      </c>
      <c r="O1603" s="596" t="s">
        <v>678</v>
      </c>
      <c r="P1603" s="596" t="s">
        <v>524</v>
      </c>
      <c r="Q1603" s="596" t="s">
        <v>387</v>
      </c>
      <c r="R1603" s="597">
        <v>45841</v>
      </c>
      <c r="S1603" s="596" t="s">
        <v>388</v>
      </c>
      <c r="T1603" s="597">
        <v>45876</v>
      </c>
      <c r="U1603" s="600">
        <v>1</v>
      </c>
      <c r="V1603" s="599">
        <v>7166.7</v>
      </c>
      <c r="W1603" s="260">
        <v>45870</v>
      </c>
    </row>
    <row r="1604" spans="1:23" hidden="1" x14ac:dyDescent="0.35">
      <c r="A1604" s="596" t="s">
        <v>526</v>
      </c>
      <c r="B1604" s="596" t="s">
        <v>53</v>
      </c>
      <c r="C1604" s="596" t="s">
        <v>670</v>
      </c>
      <c r="D1604" s="596" t="s">
        <v>385</v>
      </c>
      <c r="E1604" s="596" t="s">
        <v>386</v>
      </c>
      <c r="F1604" s="596" t="s">
        <v>276</v>
      </c>
      <c r="G1604" s="596" t="s">
        <v>356</v>
      </c>
      <c r="H1604" s="596" t="s">
        <v>670</v>
      </c>
      <c r="I1604" s="596" t="s">
        <v>277</v>
      </c>
      <c r="J1604" s="596" t="s">
        <v>524</v>
      </c>
      <c r="K1604" s="596" t="s">
        <v>670</v>
      </c>
      <c r="L1604" s="596" t="s">
        <v>592</v>
      </c>
      <c r="M1604" s="596" t="s">
        <v>285</v>
      </c>
      <c r="N1604" s="596" t="s">
        <v>702</v>
      </c>
      <c r="O1604" s="596" t="s">
        <v>678</v>
      </c>
      <c r="P1604" s="596" t="s">
        <v>524</v>
      </c>
      <c r="Q1604" s="596" t="s">
        <v>387</v>
      </c>
      <c r="R1604" s="597">
        <v>45841</v>
      </c>
      <c r="S1604" s="596" t="s">
        <v>388</v>
      </c>
      <c r="T1604" s="597">
        <v>45876</v>
      </c>
      <c r="U1604" s="600">
        <v>1</v>
      </c>
      <c r="V1604" s="599">
        <v>7166.7</v>
      </c>
      <c r="W1604" s="260">
        <v>45870</v>
      </c>
    </row>
    <row r="1605" spans="1:23" hidden="1" x14ac:dyDescent="0.35">
      <c r="A1605" s="596" t="s">
        <v>526</v>
      </c>
      <c r="B1605" s="596" t="s">
        <v>53</v>
      </c>
      <c r="C1605" s="596" t="s">
        <v>670</v>
      </c>
      <c r="D1605" s="596" t="s">
        <v>385</v>
      </c>
      <c r="E1605" s="596" t="s">
        <v>386</v>
      </c>
      <c r="F1605" s="596" t="s">
        <v>276</v>
      </c>
      <c r="G1605" s="596" t="s">
        <v>356</v>
      </c>
      <c r="H1605" s="596" t="s">
        <v>670</v>
      </c>
      <c r="I1605" s="596" t="s">
        <v>277</v>
      </c>
      <c r="J1605" s="596" t="s">
        <v>524</v>
      </c>
      <c r="K1605" s="596" t="s">
        <v>670</v>
      </c>
      <c r="L1605" s="596" t="s">
        <v>592</v>
      </c>
      <c r="M1605" s="596" t="s">
        <v>285</v>
      </c>
      <c r="N1605" s="596" t="s">
        <v>637</v>
      </c>
      <c r="O1605" s="596" t="s">
        <v>677</v>
      </c>
      <c r="P1605" s="596" t="s">
        <v>524</v>
      </c>
      <c r="Q1605" s="596" t="s">
        <v>387</v>
      </c>
      <c r="R1605" s="597">
        <v>45853</v>
      </c>
      <c r="S1605" s="596" t="s">
        <v>388</v>
      </c>
      <c r="T1605" s="597">
        <v>45884</v>
      </c>
      <c r="U1605" s="600">
        <v>1</v>
      </c>
      <c r="V1605" s="599">
        <v>494.4</v>
      </c>
      <c r="W1605" s="260">
        <v>45870</v>
      </c>
    </row>
    <row r="1606" spans="1:23" hidden="1" x14ac:dyDescent="0.35">
      <c r="A1606" s="596" t="s">
        <v>526</v>
      </c>
      <c r="B1606" s="596" t="s">
        <v>53</v>
      </c>
      <c r="C1606" s="596" t="s">
        <v>670</v>
      </c>
      <c r="D1606" s="596" t="s">
        <v>385</v>
      </c>
      <c r="E1606" s="596" t="s">
        <v>386</v>
      </c>
      <c r="F1606" s="596" t="s">
        <v>276</v>
      </c>
      <c r="G1606" s="596" t="s">
        <v>356</v>
      </c>
      <c r="H1606" s="596" t="s">
        <v>670</v>
      </c>
      <c r="I1606" s="596" t="s">
        <v>277</v>
      </c>
      <c r="J1606" s="596" t="s">
        <v>524</v>
      </c>
      <c r="K1606" s="596" t="s">
        <v>670</v>
      </c>
      <c r="L1606" s="596" t="s">
        <v>592</v>
      </c>
      <c r="M1606" s="596" t="s">
        <v>285</v>
      </c>
      <c r="N1606" s="596" t="s">
        <v>700</v>
      </c>
      <c r="O1606" s="596" t="s">
        <v>739</v>
      </c>
      <c r="P1606" s="596" t="s">
        <v>524</v>
      </c>
      <c r="Q1606" s="596" t="s">
        <v>387</v>
      </c>
      <c r="R1606" s="597">
        <v>45869</v>
      </c>
      <c r="S1606" s="596" t="s">
        <v>388</v>
      </c>
      <c r="T1606" s="597">
        <v>45889</v>
      </c>
      <c r="U1606" s="600">
        <v>1</v>
      </c>
      <c r="V1606" s="780">
        <v>28668.799999999999</v>
      </c>
      <c r="W1606" s="260">
        <v>45870</v>
      </c>
    </row>
    <row r="1607" spans="1:23" hidden="1" x14ac:dyDescent="0.35">
      <c r="A1607" s="596" t="s">
        <v>526</v>
      </c>
      <c r="B1607" s="596" t="s">
        <v>53</v>
      </c>
      <c r="C1607" s="596" t="s">
        <v>670</v>
      </c>
      <c r="D1607" s="596" t="s">
        <v>385</v>
      </c>
      <c r="E1607" s="596" t="s">
        <v>386</v>
      </c>
      <c r="F1607" s="596" t="s">
        <v>276</v>
      </c>
      <c r="G1607" s="596" t="s">
        <v>356</v>
      </c>
      <c r="H1607" s="596" t="s">
        <v>670</v>
      </c>
      <c r="I1607" s="596" t="s">
        <v>277</v>
      </c>
      <c r="J1607" s="596" t="s">
        <v>524</v>
      </c>
      <c r="K1607" s="596" t="s">
        <v>670</v>
      </c>
      <c r="L1607" s="596" t="s">
        <v>592</v>
      </c>
      <c r="M1607" s="596" t="s">
        <v>285</v>
      </c>
      <c r="N1607" s="596" t="s">
        <v>740</v>
      </c>
      <c r="O1607" s="596" t="s">
        <v>741</v>
      </c>
      <c r="P1607" s="596" t="s">
        <v>524</v>
      </c>
      <c r="Q1607" s="596" t="s">
        <v>387</v>
      </c>
      <c r="R1607" s="597">
        <v>45846</v>
      </c>
      <c r="S1607" s="596" t="s">
        <v>388</v>
      </c>
      <c r="T1607" s="597">
        <v>45889</v>
      </c>
      <c r="U1607" s="600">
        <v>1</v>
      </c>
      <c r="V1607" s="599">
        <v>8700</v>
      </c>
      <c r="W1607" s="260">
        <v>45870</v>
      </c>
    </row>
    <row r="1608" spans="1:23" hidden="1" x14ac:dyDescent="0.35">
      <c r="A1608" s="596" t="s">
        <v>526</v>
      </c>
      <c r="B1608" s="596" t="s">
        <v>53</v>
      </c>
      <c r="C1608" s="596" t="s">
        <v>670</v>
      </c>
      <c r="D1608" s="596" t="s">
        <v>385</v>
      </c>
      <c r="E1608" s="596" t="s">
        <v>386</v>
      </c>
      <c r="F1608" s="596" t="s">
        <v>276</v>
      </c>
      <c r="G1608" s="596" t="s">
        <v>356</v>
      </c>
      <c r="H1608" s="596" t="s">
        <v>670</v>
      </c>
      <c r="I1608" s="596" t="s">
        <v>277</v>
      </c>
      <c r="J1608" s="596" t="s">
        <v>524</v>
      </c>
      <c r="K1608" s="596" t="s">
        <v>670</v>
      </c>
      <c r="L1608" s="596" t="s">
        <v>592</v>
      </c>
      <c r="M1608" s="596" t="s">
        <v>285</v>
      </c>
      <c r="N1608" s="596" t="s">
        <v>742</v>
      </c>
      <c r="O1608" s="596">
        <v>4501316055</v>
      </c>
      <c r="P1608" s="596" t="s">
        <v>524</v>
      </c>
      <c r="Q1608" s="596" t="s">
        <v>387</v>
      </c>
      <c r="R1608" s="597">
        <v>45841</v>
      </c>
      <c r="S1608" s="596" t="s">
        <v>388</v>
      </c>
      <c r="T1608" s="597">
        <v>45890</v>
      </c>
      <c r="U1608" s="600">
        <v>1</v>
      </c>
      <c r="V1608" s="599">
        <v>439.65</v>
      </c>
      <c r="W1608" s="260">
        <v>45870</v>
      </c>
    </row>
    <row r="1609" spans="1:23" hidden="1" x14ac:dyDescent="0.35">
      <c r="A1609" s="596" t="s">
        <v>526</v>
      </c>
      <c r="B1609" s="596" t="s">
        <v>53</v>
      </c>
      <c r="C1609" s="596" t="s">
        <v>670</v>
      </c>
      <c r="D1609" s="596" t="s">
        <v>385</v>
      </c>
      <c r="E1609" s="596" t="s">
        <v>386</v>
      </c>
      <c r="F1609" s="596" t="s">
        <v>276</v>
      </c>
      <c r="G1609" s="596" t="s">
        <v>356</v>
      </c>
      <c r="H1609" s="596" t="s">
        <v>670</v>
      </c>
      <c r="I1609" s="596" t="s">
        <v>277</v>
      </c>
      <c r="J1609" s="596" t="s">
        <v>524</v>
      </c>
      <c r="K1609" s="596" t="s">
        <v>670</v>
      </c>
      <c r="L1609" s="596" t="s">
        <v>592</v>
      </c>
      <c r="M1609" s="596" t="s">
        <v>285</v>
      </c>
      <c r="N1609" s="596" t="s">
        <v>740</v>
      </c>
      <c r="O1609" s="596" t="s">
        <v>741</v>
      </c>
      <c r="P1609" s="596" t="s">
        <v>524</v>
      </c>
      <c r="Q1609" s="596" t="s">
        <v>387</v>
      </c>
      <c r="R1609" s="597">
        <v>45876</v>
      </c>
      <c r="S1609" s="596" t="s">
        <v>388</v>
      </c>
      <c r="T1609" s="597">
        <v>45896</v>
      </c>
      <c r="U1609" s="600">
        <v>1</v>
      </c>
      <c r="V1609" s="599">
        <v>11020</v>
      </c>
      <c r="W1609" s="260">
        <v>45870</v>
      </c>
    </row>
    <row r="1610" spans="1:23" hidden="1" x14ac:dyDescent="0.35">
      <c r="A1610" s="596" t="s">
        <v>526</v>
      </c>
      <c r="B1610" s="596" t="s">
        <v>53</v>
      </c>
      <c r="C1610" s="596" t="s">
        <v>670</v>
      </c>
      <c r="D1610" s="596" t="s">
        <v>385</v>
      </c>
      <c r="E1610" s="596" t="s">
        <v>386</v>
      </c>
      <c r="F1610" s="596" t="s">
        <v>276</v>
      </c>
      <c r="G1610" s="596" t="s">
        <v>356</v>
      </c>
      <c r="H1610" s="596" t="s">
        <v>670</v>
      </c>
      <c r="I1610" s="596" t="s">
        <v>277</v>
      </c>
      <c r="J1610" s="596" t="s">
        <v>524</v>
      </c>
      <c r="K1610" s="596" t="s">
        <v>670</v>
      </c>
      <c r="L1610" s="596" t="s">
        <v>592</v>
      </c>
      <c r="M1610" s="596" t="s">
        <v>285</v>
      </c>
      <c r="N1610" s="596" t="s">
        <v>740</v>
      </c>
      <c r="O1610" s="596">
        <v>7000001734</v>
      </c>
      <c r="P1610" s="596" t="s">
        <v>524</v>
      </c>
      <c r="Q1610" s="596" t="s">
        <v>387</v>
      </c>
      <c r="R1610" s="597">
        <v>45813</v>
      </c>
      <c r="S1610" s="596" t="s">
        <v>388</v>
      </c>
      <c r="T1610" s="597">
        <v>45897</v>
      </c>
      <c r="U1610" s="600">
        <v>1</v>
      </c>
      <c r="V1610" s="599">
        <v>11600</v>
      </c>
      <c r="W1610" s="260">
        <v>45870</v>
      </c>
    </row>
    <row r="1611" spans="1:23" hidden="1" x14ac:dyDescent="0.35">
      <c r="A1611" s="596" t="s">
        <v>526</v>
      </c>
      <c r="B1611" s="596" t="s">
        <v>53</v>
      </c>
      <c r="C1611" s="596" t="s">
        <v>670</v>
      </c>
      <c r="D1611" s="596" t="s">
        <v>385</v>
      </c>
      <c r="E1611" s="596" t="s">
        <v>386</v>
      </c>
      <c r="F1611" s="596" t="s">
        <v>276</v>
      </c>
      <c r="G1611" s="596" t="s">
        <v>356</v>
      </c>
      <c r="H1611" s="596" t="s">
        <v>670</v>
      </c>
      <c r="I1611" s="596" t="s">
        <v>277</v>
      </c>
      <c r="J1611" s="596" t="s">
        <v>524</v>
      </c>
      <c r="K1611" s="596" t="s">
        <v>670</v>
      </c>
      <c r="L1611" s="596" t="s">
        <v>592</v>
      </c>
      <c r="M1611" s="596" t="s">
        <v>285</v>
      </c>
      <c r="N1611" s="596" t="s">
        <v>731</v>
      </c>
      <c r="O1611" s="596" t="s">
        <v>678</v>
      </c>
      <c r="P1611" s="596" t="s">
        <v>524</v>
      </c>
      <c r="Q1611" s="596" t="s">
        <v>387</v>
      </c>
      <c r="R1611" s="597">
        <v>45877</v>
      </c>
      <c r="S1611" s="596" t="s">
        <v>388</v>
      </c>
      <c r="T1611" s="597">
        <v>45897</v>
      </c>
      <c r="U1611" s="600">
        <v>1</v>
      </c>
      <c r="V1611" s="599">
        <v>3459.7</v>
      </c>
      <c r="W1611" s="260">
        <v>45870</v>
      </c>
    </row>
    <row r="1612" spans="1:23" hidden="1" x14ac:dyDescent="0.35">
      <c r="A1612" s="596" t="s">
        <v>526</v>
      </c>
      <c r="B1612" s="596" t="s">
        <v>53</v>
      </c>
      <c r="C1612" s="596" t="s">
        <v>670</v>
      </c>
      <c r="D1612" s="596" t="s">
        <v>385</v>
      </c>
      <c r="E1612" s="596" t="s">
        <v>386</v>
      </c>
      <c r="F1612" s="596" t="s">
        <v>276</v>
      </c>
      <c r="G1612" s="596" t="s">
        <v>356</v>
      </c>
      <c r="H1612" s="596" t="s">
        <v>670</v>
      </c>
      <c r="I1612" s="596" t="s">
        <v>277</v>
      </c>
      <c r="J1612" s="596" t="s">
        <v>524</v>
      </c>
      <c r="K1612" s="596" t="s">
        <v>670</v>
      </c>
      <c r="L1612" s="596" t="s">
        <v>592</v>
      </c>
      <c r="M1612" s="596" t="s">
        <v>285</v>
      </c>
      <c r="N1612" s="596" t="s">
        <v>659</v>
      </c>
      <c r="O1612" s="596" t="s">
        <v>680</v>
      </c>
      <c r="P1612" s="596" t="s">
        <v>524</v>
      </c>
      <c r="Q1612" s="596" t="s">
        <v>387</v>
      </c>
      <c r="R1612" s="597">
        <v>45846</v>
      </c>
      <c r="S1612" s="596" t="s">
        <v>388</v>
      </c>
      <c r="T1612" s="597">
        <v>45898</v>
      </c>
      <c r="U1612" s="600">
        <v>1</v>
      </c>
      <c r="V1612" s="599">
        <v>568.99</v>
      </c>
      <c r="W1612" s="260">
        <v>45870</v>
      </c>
    </row>
    <row r="1613" spans="1:23" hidden="1" x14ac:dyDescent="0.35">
      <c r="A1613" s="596" t="s">
        <v>526</v>
      </c>
      <c r="B1613" s="596" t="s">
        <v>53</v>
      </c>
      <c r="C1613" s="596" t="s">
        <v>670</v>
      </c>
      <c r="D1613" s="596" t="s">
        <v>385</v>
      </c>
      <c r="E1613" s="596" t="s">
        <v>386</v>
      </c>
      <c r="F1613" s="596" t="s">
        <v>276</v>
      </c>
      <c r="G1613" s="596" t="s">
        <v>356</v>
      </c>
      <c r="H1613" s="596" t="s">
        <v>670</v>
      </c>
      <c r="I1613" s="596" t="s">
        <v>277</v>
      </c>
      <c r="J1613" s="596" t="s">
        <v>524</v>
      </c>
      <c r="K1613" s="596" t="s">
        <v>670</v>
      </c>
      <c r="L1613" s="596" t="s">
        <v>592</v>
      </c>
      <c r="M1613" s="596" t="s">
        <v>285</v>
      </c>
      <c r="N1613" s="596" t="s">
        <v>732</v>
      </c>
      <c r="O1613" s="596">
        <v>7000001998</v>
      </c>
      <c r="P1613" s="596" t="s">
        <v>524</v>
      </c>
      <c r="Q1613" s="596" t="s">
        <v>387</v>
      </c>
      <c r="R1613" s="597">
        <v>45877</v>
      </c>
      <c r="S1613" s="596" t="s">
        <v>388</v>
      </c>
      <c r="T1613" s="597">
        <v>45898</v>
      </c>
      <c r="U1613" s="600">
        <v>1</v>
      </c>
      <c r="V1613" s="599">
        <v>769.8</v>
      </c>
      <c r="W1613" s="260">
        <v>45870</v>
      </c>
    </row>
    <row r="1614" spans="1:23" hidden="1" x14ac:dyDescent="0.35">
      <c r="A1614" s="596" t="s">
        <v>526</v>
      </c>
      <c r="B1614" s="596" t="s">
        <v>53</v>
      </c>
      <c r="C1614" s="596" t="s">
        <v>670</v>
      </c>
      <c r="D1614" s="596" t="s">
        <v>385</v>
      </c>
      <c r="E1614" s="596" t="s">
        <v>386</v>
      </c>
      <c r="F1614" s="596" t="s">
        <v>276</v>
      </c>
      <c r="G1614" s="596" t="s">
        <v>356</v>
      </c>
      <c r="H1614" s="596" t="s">
        <v>670</v>
      </c>
      <c r="I1614" s="596" t="s">
        <v>277</v>
      </c>
      <c r="J1614" s="596" t="s">
        <v>524</v>
      </c>
      <c r="K1614" s="596" t="s">
        <v>670</v>
      </c>
      <c r="L1614" s="596" t="s">
        <v>592</v>
      </c>
      <c r="M1614" s="596" t="s">
        <v>285</v>
      </c>
      <c r="N1614" s="596" t="s">
        <v>670</v>
      </c>
      <c r="O1614" s="596">
        <v>7000001175</v>
      </c>
      <c r="P1614" s="596" t="s">
        <v>523</v>
      </c>
      <c r="Q1614" s="596" t="s">
        <v>400</v>
      </c>
      <c r="R1614" s="597">
        <v>45896</v>
      </c>
      <c r="S1614" s="596" t="s">
        <v>670</v>
      </c>
      <c r="T1614" s="597">
        <v>45900</v>
      </c>
      <c r="U1614" s="598">
        <v>0</v>
      </c>
      <c r="V1614" s="599">
        <v>190575</v>
      </c>
      <c r="W1614" s="260">
        <v>45870</v>
      </c>
    </row>
    <row r="1615" spans="1:23" hidden="1" x14ac:dyDescent="0.35">
      <c r="A1615" s="596" t="s">
        <v>526</v>
      </c>
      <c r="B1615" s="596" t="s">
        <v>53</v>
      </c>
      <c r="C1615" s="596" t="s">
        <v>670</v>
      </c>
      <c r="D1615" s="596" t="s">
        <v>385</v>
      </c>
      <c r="E1615" s="596" t="s">
        <v>386</v>
      </c>
      <c r="F1615" s="596" t="s">
        <v>276</v>
      </c>
      <c r="G1615" s="596" t="s">
        <v>356</v>
      </c>
      <c r="H1615" s="596" t="s">
        <v>670</v>
      </c>
      <c r="I1615" s="596" t="s">
        <v>277</v>
      </c>
      <c r="J1615" s="596" t="s">
        <v>524</v>
      </c>
      <c r="K1615" s="596" t="s">
        <v>670</v>
      </c>
      <c r="L1615" s="596" t="s">
        <v>592</v>
      </c>
      <c r="M1615" s="596" t="s">
        <v>285</v>
      </c>
      <c r="N1615" s="596" t="s">
        <v>670</v>
      </c>
      <c r="O1615" s="596" t="s">
        <v>687</v>
      </c>
      <c r="P1615" s="596" t="s">
        <v>524</v>
      </c>
      <c r="Q1615" s="596" t="s">
        <v>400</v>
      </c>
      <c r="R1615" s="597">
        <v>45896</v>
      </c>
      <c r="S1615" s="596" t="s">
        <v>670</v>
      </c>
      <c r="T1615" s="597">
        <v>45900</v>
      </c>
      <c r="U1615" s="598">
        <v>0</v>
      </c>
      <c r="V1615" s="599">
        <v>22000</v>
      </c>
      <c r="W1615" s="260">
        <v>45870</v>
      </c>
    </row>
    <row r="1616" spans="1:23" hidden="1" x14ac:dyDescent="0.35">
      <c r="A1616" s="596" t="s">
        <v>526</v>
      </c>
      <c r="B1616" s="596" t="s">
        <v>53</v>
      </c>
      <c r="C1616" s="596" t="s">
        <v>521</v>
      </c>
      <c r="D1616" s="596" t="s">
        <v>681</v>
      </c>
      <c r="E1616" s="596" t="s">
        <v>682</v>
      </c>
      <c r="F1616" s="596" t="s">
        <v>276</v>
      </c>
      <c r="G1616" s="596" t="s">
        <v>356</v>
      </c>
      <c r="H1616" s="596" t="s">
        <v>670</v>
      </c>
      <c r="I1616" s="596" t="s">
        <v>277</v>
      </c>
      <c r="J1616" s="596" t="s">
        <v>524</v>
      </c>
      <c r="K1616" s="596" t="s">
        <v>683</v>
      </c>
      <c r="L1616" s="596" t="s">
        <v>592</v>
      </c>
      <c r="M1616" s="596" t="s">
        <v>285</v>
      </c>
      <c r="N1616" s="596" t="s">
        <v>670</v>
      </c>
      <c r="O1616" s="596" t="s">
        <v>670</v>
      </c>
      <c r="P1616" s="596" t="s">
        <v>524</v>
      </c>
      <c r="Q1616" s="596" t="s">
        <v>670</v>
      </c>
      <c r="R1616" s="597">
        <v>45902</v>
      </c>
      <c r="S1616" s="596" t="s">
        <v>670</v>
      </c>
      <c r="T1616" s="597">
        <v>45900</v>
      </c>
      <c r="U1616" s="598">
        <v>0</v>
      </c>
      <c r="V1616" s="599">
        <v>4620</v>
      </c>
      <c r="W1616" s="260">
        <v>45870</v>
      </c>
    </row>
    <row r="1617" spans="1:23" hidden="1" x14ac:dyDescent="0.35">
      <c r="A1617" s="596" t="s">
        <v>526</v>
      </c>
      <c r="B1617" s="596" t="s">
        <v>53</v>
      </c>
      <c r="C1617" s="596" t="s">
        <v>670</v>
      </c>
      <c r="D1617" s="596" t="s">
        <v>575</v>
      </c>
      <c r="E1617" s="596" t="s">
        <v>576</v>
      </c>
      <c r="F1617" s="596" t="s">
        <v>588</v>
      </c>
      <c r="G1617" s="596" t="s">
        <v>356</v>
      </c>
      <c r="H1617" s="596" t="s">
        <v>670</v>
      </c>
      <c r="I1617" s="596" t="s">
        <v>277</v>
      </c>
      <c r="J1617" s="596" t="s">
        <v>524</v>
      </c>
      <c r="K1617" s="596" t="s">
        <v>670</v>
      </c>
      <c r="L1617" s="596" t="s">
        <v>592</v>
      </c>
      <c r="M1617" s="596" t="s">
        <v>285</v>
      </c>
      <c r="N1617" s="596" t="s">
        <v>670</v>
      </c>
      <c r="O1617" s="596" t="s">
        <v>687</v>
      </c>
      <c r="P1617" s="596" t="s">
        <v>524</v>
      </c>
      <c r="Q1617" s="596" t="s">
        <v>589</v>
      </c>
      <c r="R1617" s="597">
        <v>45868</v>
      </c>
      <c r="S1617" s="596" t="s">
        <v>670</v>
      </c>
      <c r="T1617" s="597">
        <v>45870</v>
      </c>
      <c r="U1617" s="598">
        <v>0</v>
      </c>
      <c r="V1617" s="599">
        <v>-22000</v>
      </c>
      <c r="W1617" s="260">
        <v>45870</v>
      </c>
    </row>
    <row r="1618" spans="1:23" hidden="1" x14ac:dyDescent="0.35">
      <c r="A1618" s="596" t="s">
        <v>526</v>
      </c>
      <c r="B1618" s="596" t="s">
        <v>53</v>
      </c>
      <c r="C1618" s="596" t="s">
        <v>670</v>
      </c>
      <c r="D1618" s="596" t="s">
        <v>575</v>
      </c>
      <c r="E1618" s="596" t="s">
        <v>576</v>
      </c>
      <c r="F1618" s="596" t="s">
        <v>588</v>
      </c>
      <c r="G1618" s="596" t="s">
        <v>356</v>
      </c>
      <c r="H1618" s="596" t="s">
        <v>670</v>
      </c>
      <c r="I1618" s="596" t="s">
        <v>277</v>
      </c>
      <c r="J1618" s="596" t="s">
        <v>524</v>
      </c>
      <c r="K1618" s="596" t="s">
        <v>670</v>
      </c>
      <c r="L1618" s="596" t="s">
        <v>592</v>
      </c>
      <c r="M1618" s="596" t="s">
        <v>285</v>
      </c>
      <c r="N1618" s="596" t="s">
        <v>670</v>
      </c>
      <c r="O1618" s="596">
        <v>7000001415</v>
      </c>
      <c r="P1618" s="596" t="s">
        <v>524</v>
      </c>
      <c r="Q1618" s="596" t="s">
        <v>589</v>
      </c>
      <c r="R1618" s="597">
        <v>45868</v>
      </c>
      <c r="S1618" s="596" t="s">
        <v>670</v>
      </c>
      <c r="T1618" s="597">
        <v>45870</v>
      </c>
      <c r="U1618" s="598">
        <v>0</v>
      </c>
      <c r="V1618" s="599">
        <v>-614074</v>
      </c>
      <c r="W1618" s="260">
        <v>45870</v>
      </c>
    </row>
    <row r="1619" spans="1:23" hidden="1" x14ac:dyDescent="0.35">
      <c r="A1619" s="596" t="s">
        <v>526</v>
      </c>
      <c r="B1619" s="596" t="s">
        <v>53</v>
      </c>
      <c r="C1619" s="596" t="s">
        <v>670</v>
      </c>
      <c r="D1619" s="596" t="s">
        <v>575</v>
      </c>
      <c r="E1619" s="596" t="s">
        <v>576</v>
      </c>
      <c r="F1619" s="596" t="s">
        <v>588</v>
      </c>
      <c r="G1619" s="596" t="s">
        <v>356</v>
      </c>
      <c r="H1619" s="596" t="s">
        <v>670</v>
      </c>
      <c r="I1619" s="596" t="s">
        <v>277</v>
      </c>
      <c r="J1619" s="596" t="s">
        <v>524</v>
      </c>
      <c r="K1619" s="596" t="s">
        <v>670</v>
      </c>
      <c r="L1619" s="596" t="s">
        <v>592</v>
      </c>
      <c r="M1619" s="596" t="s">
        <v>285</v>
      </c>
      <c r="N1619" s="596" t="s">
        <v>670</v>
      </c>
      <c r="O1619" s="596" t="s">
        <v>678</v>
      </c>
      <c r="P1619" s="596" t="s">
        <v>524</v>
      </c>
      <c r="Q1619" s="596" t="s">
        <v>589</v>
      </c>
      <c r="R1619" s="597">
        <v>45868</v>
      </c>
      <c r="S1619" s="596" t="s">
        <v>670</v>
      </c>
      <c r="T1619" s="597">
        <v>45870</v>
      </c>
      <c r="U1619" s="598">
        <v>0</v>
      </c>
      <c r="V1619" s="599">
        <v>-2000</v>
      </c>
      <c r="W1619" s="260">
        <v>45870</v>
      </c>
    </row>
    <row r="1620" spans="1:23" hidden="1" x14ac:dyDescent="0.35">
      <c r="A1620" s="596" t="s">
        <v>526</v>
      </c>
      <c r="B1620" s="596" t="s">
        <v>53</v>
      </c>
      <c r="C1620" s="596" t="s">
        <v>670</v>
      </c>
      <c r="D1620" s="596" t="s">
        <v>575</v>
      </c>
      <c r="E1620" s="596" t="s">
        <v>576</v>
      </c>
      <c r="F1620" s="596" t="s">
        <v>588</v>
      </c>
      <c r="G1620" s="596" t="s">
        <v>356</v>
      </c>
      <c r="H1620" s="596" t="s">
        <v>670</v>
      </c>
      <c r="I1620" s="596" t="s">
        <v>277</v>
      </c>
      <c r="J1620" s="596" t="s">
        <v>524</v>
      </c>
      <c r="K1620" s="596" t="s">
        <v>670</v>
      </c>
      <c r="L1620" s="596" t="s">
        <v>592</v>
      </c>
      <c r="M1620" s="596" t="s">
        <v>285</v>
      </c>
      <c r="N1620" s="596" t="s">
        <v>670</v>
      </c>
      <c r="O1620" s="596" t="s">
        <v>676</v>
      </c>
      <c r="P1620" s="596" t="s">
        <v>524</v>
      </c>
      <c r="Q1620" s="596" t="s">
        <v>589</v>
      </c>
      <c r="R1620" s="597">
        <v>45868</v>
      </c>
      <c r="S1620" s="596" t="s">
        <v>670</v>
      </c>
      <c r="T1620" s="597">
        <v>45870</v>
      </c>
      <c r="U1620" s="598">
        <v>0</v>
      </c>
      <c r="V1620" s="599">
        <v>-2604</v>
      </c>
      <c r="W1620" s="260">
        <v>45870</v>
      </c>
    </row>
    <row r="1621" spans="1:23" hidden="1" x14ac:dyDescent="0.35">
      <c r="A1621" s="596" t="s">
        <v>526</v>
      </c>
      <c r="B1621" s="596" t="s">
        <v>53</v>
      </c>
      <c r="C1621" s="596" t="s">
        <v>670</v>
      </c>
      <c r="D1621" s="596" t="s">
        <v>575</v>
      </c>
      <c r="E1621" s="596" t="s">
        <v>576</v>
      </c>
      <c r="F1621" s="596" t="s">
        <v>588</v>
      </c>
      <c r="G1621" s="596" t="s">
        <v>356</v>
      </c>
      <c r="H1621" s="596" t="s">
        <v>670</v>
      </c>
      <c r="I1621" s="596" t="s">
        <v>277</v>
      </c>
      <c r="J1621" s="596" t="s">
        <v>524</v>
      </c>
      <c r="K1621" s="596" t="s">
        <v>670</v>
      </c>
      <c r="L1621" s="596" t="s">
        <v>592</v>
      </c>
      <c r="M1621" s="596" t="s">
        <v>285</v>
      </c>
      <c r="N1621" s="596" t="s">
        <v>670</v>
      </c>
      <c r="O1621" s="596" t="s">
        <v>698</v>
      </c>
      <c r="P1621" s="596" t="s">
        <v>524</v>
      </c>
      <c r="Q1621" s="596" t="s">
        <v>589</v>
      </c>
      <c r="R1621" s="597">
        <v>45868</v>
      </c>
      <c r="S1621" s="596" t="s">
        <v>670</v>
      </c>
      <c r="T1621" s="597">
        <v>45870</v>
      </c>
      <c r="U1621" s="598">
        <v>0</v>
      </c>
      <c r="V1621" s="599">
        <v>-2604</v>
      </c>
      <c r="W1621" s="260">
        <v>45870</v>
      </c>
    </row>
    <row r="1622" spans="1:23" hidden="1" x14ac:dyDescent="0.35">
      <c r="A1622" s="596" t="s">
        <v>526</v>
      </c>
      <c r="B1622" s="596" t="s">
        <v>53</v>
      </c>
      <c r="C1622" s="596" t="s">
        <v>670</v>
      </c>
      <c r="D1622" s="596" t="s">
        <v>575</v>
      </c>
      <c r="E1622" s="596" t="s">
        <v>576</v>
      </c>
      <c r="F1622" s="596" t="s">
        <v>588</v>
      </c>
      <c r="G1622" s="596" t="s">
        <v>356</v>
      </c>
      <c r="H1622" s="596" t="s">
        <v>670</v>
      </c>
      <c r="I1622" s="596" t="s">
        <v>277</v>
      </c>
      <c r="J1622" s="596" t="s">
        <v>524</v>
      </c>
      <c r="K1622" s="596" t="s">
        <v>670</v>
      </c>
      <c r="L1622" s="596" t="s">
        <v>592</v>
      </c>
      <c r="M1622" s="596" t="s">
        <v>285</v>
      </c>
      <c r="N1622" s="596" t="s">
        <v>670</v>
      </c>
      <c r="O1622" s="596" t="s">
        <v>675</v>
      </c>
      <c r="P1622" s="596" t="s">
        <v>524</v>
      </c>
      <c r="Q1622" s="596" t="s">
        <v>589</v>
      </c>
      <c r="R1622" s="597">
        <v>45868</v>
      </c>
      <c r="S1622" s="596" t="s">
        <v>670</v>
      </c>
      <c r="T1622" s="597">
        <v>45870</v>
      </c>
      <c r="U1622" s="598">
        <v>0</v>
      </c>
      <c r="V1622" s="599">
        <v>-4200</v>
      </c>
      <c r="W1622" s="260">
        <v>45870</v>
      </c>
    </row>
    <row r="1623" spans="1:23" hidden="1" x14ac:dyDescent="0.35">
      <c r="A1623" s="596" t="s">
        <v>526</v>
      </c>
      <c r="B1623" s="596" t="s">
        <v>53</v>
      </c>
      <c r="C1623" s="596" t="s">
        <v>670</v>
      </c>
      <c r="D1623" s="596" t="s">
        <v>575</v>
      </c>
      <c r="E1623" s="596" t="s">
        <v>576</v>
      </c>
      <c r="F1623" s="596" t="s">
        <v>588</v>
      </c>
      <c r="G1623" s="596" t="s">
        <v>356</v>
      </c>
      <c r="H1623" s="596" t="s">
        <v>670</v>
      </c>
      <c r="I1623" s="596" t="s">
        <v>277</v>
      </c>
      <c r="J1623" s="596" t="s">
        <v>524</v>
      </c>
      <c r="K1623" s="596" t="s">
        <v>670</v>
      </c>
      <c r="L1623" s="596" t="s">
        <v>592</v>
      </c>
      <c r="M1623" s="596" t="s">
        <v>285</v>
      </c>
      <c r="N1623" s="596" t="s">
        <v>670</v>
      </c>
      <c r="O1623" s="596" t="s">
        <v>680</v>
      </c>
      <c r="P1623" s="596" t="s">
        <v>524</v>
      </c>
      <c r="Q1623" s="596" t="s">
        <v>589</v>
      </c>
      <c r="R1623" s="597">
        <v>45868</v>
      </c>
      <c r="S1623" s="596" t="s">
        <v>670</v>
      </c>
      <c r="T1623" s="597">
        <v>45870</v>
      </c>
      <c r="U1623" s="598">
        <v>0</v>
      </c>
      <c r="V1623" s="599">
        <v>-587</v>
      </c>
      <c r="W1623" s="260">
        <v>45870</v>
      </c>
    </row>
    <row r="1624" spans="1:23" hidden="1" x14ac:dyDescent="0.35">
      <c r="A1624" s="596" t="s">
        <v>526</v>
      </c>
      <c r="B1624" s="596" t="s">
        <v>53</v>
      </c>
      <c r="C1624" s="596" t="s">
        <v>670</v>
      </c>
      <c r="D1624" s="596" t="s">
        <v>575</v>
      </c>
      <c r="E1624" s="596" t="s">
        <v>576</v>
      </c>
      <c r="F1624" s="596" t="s">
        <v>276</v>
      </c>
      <c r="G1624" s="596" t="s">
        <v>356</v>
      </c>
      <c r="H1624" s="596" t="s">
        <v>670</v>
      </c>
      <c r="I1624" s="596" t="s">
        <v>277</v>
      </c>
      <c r="J1624" s="596" t="s">
        <v>524</v>
      </c>
      <c r="K1624" s="596" t="s">
        <v>670</v>
      </c>
      <c r="L1624" s="596" t="s">
        <v>592</v>
      </c>
      <c r="M1624" s="596" t="s">
        <v>285</v>
      </c>
      <c r="N1624" s="596" t="s">
        <v>670</v>
      </c>
      <c r="O1624" s="596">
        <v>5000060473</v>
      </c>
      <c r="P1624" s="596" t="s">
        <v>524</v>
      </c>
      <c r="Q1624" s="596" t="s">
        <v>400</v>
      </c>
      <c r="R1624" s="597">
        <v>45896</v>
      </c>
      <c r="S1624" s="596" t="s">
        <v>670</v>
      </c>
      <c r="T1624" s="597">
        <v>45900</v>
      </c>
      <c r="U1624" s="598">
        <v>0</v>
      </c>
      <c r="V1624" s="599">
        <v>4200</v>
      </c>
      <c r="W1624" s="260">
        <v>45870</v>
      </c>
    </row>
    <row r="1625" spans="1:23" hidden="1" x14ac:dyDescent="0.35">
      <c r="A1625" s="596" t="s">
        <v>526</v>
      </c>
      <c r="B1625" s="596" t="s">
        <v>53</v>
      </c>
      <c r="C1625" s="596" t="s">
        <v>670</v>
      </c>
      <c r="D1625" s="596" t="s">
        <v>575</v>
      </c>
      <c r="E1625" s="596" t="s">
        <v>576</v>
      </c>
      <c r="F1625" s="596" t="s">
        <v>276</v>
      </c>
      <c r="G1625" s="596" t="s">
        <v>356</v>
      </c>
      <c r="H1625" s="596" t="s">
        <v>670</v>
      </c>
      <c r="I1625" s="596" t="s">
        <v>277</v>
      </c>
      <c r="J1625" s="596" t="s">
        <v>524</v>
      </c>
      <c r="K1625" s="596" t="s">
        <v>670</v>
      </c>
      <c r="L1625" s="596" t="s">
        <v>592</v>
      </c>
      <c r="M1625" s="596" t="s">
        <v>285</v>
      </c>
      <c r="N1625" s="596" t="s">
        <v>670</v>
      </c>
      <c r="O1625" s="596" t="s">
        <v>676</v>
      </c>
      <c r="P1625" s="596" t="s">
        <v>524</v>
      </c>
      <c r="Q1625" s="596" t="s">
        <v>400</v>
      </c>
      <c r="R1625" s="597">
        <v>45896</v>
      </c>
      <c r="S1625" s="596" t="s">
        <v>670</v>
      </c>
      <c r="T1625" s="597">
        <v>45900</v>
      </c>
      <c r="U1625" s="598">
        <v>0</v>
      </c>
      <c r="V1625" s="599">
        <v>2604</v>
      </c>
      <c r="W1625" s="260">
        <v>45870</v>
      </c>
    </row>
    <row r="1626" spans="1:23" hidden="1" x14ac:dyDescent="0.35">
      <c r="A1626" s="596" t="s">
        <v>526</v>
      </c>
      <c r="B1626" s="596" t="s">
        <v>53</v>
      </c>
      <c r="C1626" s="596" t="s">
        <v>670</v>
      </c>
      <c r="D1626" s="596" t="s">
        <v>575</v>
      </c>
      <c r="E1626" s="596" t="s">
        <v>576</v>
      </c>
      <c r="F1626" s="596" t="s">
        <v>276</v>
      </c>
      <c r="G1626" s="596" t="s">
        <v>356</v>
      </c>
      <c r="H1626" s="596" t="s">
        <v>670</v>
      </c>
      <c r="I1626" s="596" t="s">
        <v>277</v>
      </c>
      <c r="J1626" s="596" t="s">
        <v>524</v>
      </c>
      <c r="K1626" s="596" t="s">
        <v>670</v>
      </c>
      <c r="L1626" s="596" t="s">
        <v>592</v>
      </c>
      <c r="M1626" s="596" t="s">
        <v>285</v>
      </c>
      <c r="N1626" s="596" t="s">
        <v>670</v>
      </c>
      <c r="O1626" s="596" t="s">
        <v>591</v>
      </c>
      <c r="P1626" s="596" t="s">
        <v>524</v>
      </c>
      <c r="Q1626" s="596" t="s">
        <v>734</v>
      </c>
      <c r="R1626" s="597">
        <v>45896</v>
      </c>
      <c r="S1626" s="596" t="s">
        <v>670</v>
      </c>
      <c r="T1626" s="597">
        <v>45900</v>
      </c>
      <c r="U1626" s="598">
        <v>0</v>
      </c>
      <c r="V1626" s="599">
        <v>16500</v>
      </c>
      <c r="W1626" s="260">
        <v>45870</v>
      </c>
    </row>
    <row r="1627" spans="1:23" hidden="1" x14ac:dyDescent="0.35">
      <c r="A1627" s="596" t="s">
        <v>526</v>
      </c>
      <c r="B1627" s="596" t="s">
        <v>53</v>
      </c>
      <c r="C1627" s="596" t="s">
        <v>281</v>
      </c>
      <c r="D1627" s="596" t="s">
        <v>282</v>
      </c>
      <c r="E1627" s="596" t="s">
        <v>283</v>
      </c>
      <c r="F1627" s="596" t="s">
        <v>276</v>
      </c>
      <c r="G1627" s="596" t="s">
        <v>356</v>
      </c>
      <c r="H1627" s="596" t="s">
        <v>670</v>
      </c>
      <c r="I1627" s="596" t="s">
        <v>277</v>
      </c>
      <c r="J1627" s="596" t="s">
        <v>524</v>
      </c>
      <c r="K1627" s="596" t="s">
        <v>284</v>
      </c>
      <c r="L1627" s="596" t="s">
        <v>592</v>
      </c>
      <c r="M1627" s="596" t="s">
        <v>285</v>
      </c>
      <c r="N1627" s="596" t="s">
        <v>670</v>
      </c>
      <c r="O1627" s="596" t="s">
        <v>670</v>
      </c>
      <c r="P1627" s="596" t="s">
        <v>524</v>
      </c>
      <c r="Q1627" s="596" t="s">
        <v>670</v>
      </c>
      <c r="R1627" s="597">
        <v>45902</v>
      </c>
      <c r="S1627" s="596" t="s">
        <v>670</v>
      </c>
      <c r="T1627" s="597">
        <v>45900</v>
      </c>
      <c r="U1627" s="598">
        <v>0</v>
      </c>
      <c r="V1627" s="599">
        <v>811.58</v>
      </c>
      <c r="W1627" s="260">
        <v>45870</v>
      </c>
    </row>
    <row r="1628" spans="1:23" hidden="1" x14ac:dyDescent="0.35">
      <c r="A1628" s="596" t="s">
        <v>526</v>
      </c>
      <c r="B1628" s="596" t="s">
        <v>53</v>
      </c>
      <c r="C1628" s="596" t="s">
        <v>286</v>
      </c>
      <c r="D1628" s="596" t="s">
        <v>287</v>
      </c>
      <c r="E1628" s="596" t="s">
        <v>288</v>
      </c>
      <c r="F1628" s="596" t="s">
        <v>276</v>
      </c>
      <c r="G1628" s="596" t="s">
        <v>356</v>
      </c>
      <c r="H1628" s="596" t="s">
        <v>670</v>
      </c>
      <c r="I1628" s="596" t="s">
        <v>277</v>
      </c>
      <c r="J1628" s="596" t="s">
        <v>524</v>
      </c>
      <c r="K1628" s="596" t="s">
        <v>289</v>
      </c>
      <c r="L1628" s="596" t="s">
        <v>592</v>
      </c>
      <c r="M1628" s="596" t="s">
        <v>285</v>
      </c>
      <c r="N1628" s="596" t="s">
        <v>670</v>
      </c>
      <c r="O1628" s="596" t="s">
        <v>670</v>
      </c>
      <c r="P1628" s="596" t="s">
        <v>524</v>
      </c>
      <c r="Q1628" s="596" t="s">
        <v>670</v>
      </c>
      <c r="R1628" s="597">
        <v>45902</v>
      </c>
      <c r="S1628" s="596" t="s">
        <v>670</v>
      </c>
      <c r="T1628" s="597">
        <v>45900</v>
      </c>
      <c r="U1628" s="598">
        <v>0</v>
      </c>
      <c r="V1628" s="599">
        <v>2276.48</v>
      </c>
      <c r="W1628" s="260">
        <v>45870</v>
      </c>
    </row>
    <row r="1629" spans="1:23" hidden="1" x14ac:dyDescent="0.35">
      <c r="A1629" s="596" t="s">
        <v>526</v>
      </c>
      <c r="B1629" s="596" t="s">
        <v>53</v>
      </c>
      <c r="C1629" s="596" t="s">
        <v>281</v>
      </c>
      <c r="D1629" s="596" t="s">
        <v>290</v>
      </c>
      <c r="E1629" s="596" t="s">
        <v>291</v>
      </c>
      <c r="F1629" s="596" t="s">
        <v>276</v>
      </c>
      <c r="G1629" s="596" t="s">
        <v>356</v>
      </c>
      <c r="H1629" s="596" t="s">
        <v>670</v>
      </c>
      <c r="I1629" s="596" t="s">
        <v>277</v>
      </c>
      <c r="J1629" s="596" t="s">
        <v>524</v>
      </c>
      <c r="K1629" s="596" t="s">
        <v>284</v>
      </c>
      <c r="L1629" s="596" t="s">
        <v>592</v>
      </c>
      <c r="M1629" s="596" t="s">
        <v>285</v>
      </c>
      <c r="N1629" s="596" t="s">
        <v>670</v>
      </c>
      <c r="O1629" s="596" t="s">
        <v>670</v>
      </c>
      <c r="P1629" s="596" t="s">
        <v>524</v>
      </c>
      <c r="Q1629" s="596" t="s">
        <v>670</v>
      </c>
      <c r="R1629" s="597">
        <v>45902</v>
      </c>
      <c r="S1629" s="596" t="s">
        <v>670</v>
      </c>
      <c r="T1629" s="597">
        <v>45900</v>
      </c>
      <c r="U1629" s="598">
        <v>0</v>
      </c>
      <c r="V1629" s="599">
        <v>524.47</v>
      </c>
      <c r="W1629" s="260">
        <v>45870</v>
      </c>
    </row>
    <row r="1630" spans="1:23" hidden="1" x14ac:dyDescent="0.35">
      <c r="A1630" s="596" t="s">
        <v>526</v>
      </c>
      <c r="B1630" s="596" t="s">
        <v>53</v>
      </c>
      <c r="C1630" s="596" t="s">
        <v>281</v>
      </c>
      <c r="D1630" s="596" t="s">
        <v>292</v>
      </c>
      <c r="E1630" s="596" t="s">
        <v>293</v>
      </c>
      <c r="F1630" s="596" t="s">
        <v>276</v>
      </c>
      <c r="G1630" s="596" t="s">
        <v>356</v>
      </c>
      <c r="H1630" s="596" t="s">
        <v>670</v>
      </c>
      <c r="I1630" s="596" t="s">
        <v>277</v>
      </c>
      <c r="J1630" s="596" t="s">
        <v>524</v>
      </c>
      <c r="K1630" s="596" t="s">
        <v>294</v>
      </c>
      <c r="L1630" s="596" t="s">
        <v>592</v>
      </c>
      <c r="M1630" s="596" t="s">
        <v>285</v>
      </c>
      <c r="N1630" s="596" t="s">
        <v>670</v>
      </c>
      <c r="O1630" s="596" t="s">
        <v>670</v>
      </c>
      <c r="P1630" s="596" t="s">
        <v>524</v>
      </c>
      <c r="Q1630" s="596" t="s">
        <v>670</v>
      </c>
      <c r="R1630" s="597">
        <v>45902</v>
      </c>
      <c r="S1630" s="596" t="s">
        <v>670</v>
      </c>
      <c r="T1630" s="597">
        <v>45900</v>
      </c>
      <c r="U1630" s="598">
        <v>0</v>
      </c>
      <c r="V1630" s="599">
        <v>579.86</v>
      </c>
      <c r="W1630" s="260">
        <v>45870</v>
      </c>
    </row>
    <row r="1631" spans="1:23" hidden="1" x14ac:dyDescent="0.35">
      <c r="A1631" s="596" t="s">
        <v>526</v>
      </c>
      <c r="B1631" s="596" t="s">
        <v>53</v>
      </c>
      <c r="C1631" s="596" t="s">
        <v>286</v>
      </c>
      <c r="D1631" s="596" t="s">
        <v>295</v>
      </c>
      <c r="E1631" s="596" t="s">
        <v>296</v>
      </c>
      <c r="F1631" s="596" t="s">
        <v>276</v>
      </c>
      <c r="G1631" s="596" t="s">
        <v>356</v>
      </c>
      <c r="H1631" s="596" t="s">
        <v>670</v>
      </c>
      <c r="I1631" s="596" t="s">
        <v>277</v>
      </c>
      <c r="J1631" s="596" t="s">
        <v>524</v>
      </c>
      <c r="K1631" s="596" t="s">
        <v>297</v>
      </c>
      <c r="L1631" s="596" t="s">
        <v>592</v>
      </c>
      <c r="M1631" s="596" t="s">
        <v>285</v>
      </c>
      <c r="N1631" s="596" t="s">
        <v>670</v>
      </c>
      <c r="O1631" s="596" t="s">
        <v>670</v>
      </c>
      <c r="P1631" s="596" t="s">
        <v>524</v>
      </c>
      <c r="Q1631" s="596" t="s">
        <v>670</v>
      </c>
      <c r="R1631" s="597">
        <v>45902</v>
      </c>
      <c r="S1631" s="596" t="s">
        <v>670</v>
      </c>
      <c r="T1631" s="597">
        <v>45900</v>
      </c>
      <c r="U1631" s="598">
        <v>0</v>
      </c>
      <c r="V1631" s="599">
        <v>1241.0999999999999</v>
      </c>
      <c r="W1631" s="260">
        <v>45870</v>
      </c>
    </row>
    <row r="1632" spans="1:23" hidden="1" x14ac:dyDescent="0.35">
      <c r="A1632" s="596" t="s">
        <v>526</v>
      </c>
      <c r="B1632" s="596" t="s">
        <v>53</v>
      </c>
      <c r="C1632" s="596" t="s">
        <v>298</v>
      </c>
      <c r="D1632" s="596" t="s">
        <v>299</v>
      </c>
      <c r="E1632" s="596" t="s">
        <v>300</v>
      </c>
      <c r="F1632" s="596" t="s">
        <v>276</v>
      </c>
      <c r="G1632" s="596" t="s">
        <v>356</v>
      </c>
      <c r="H1632" s="596" t="s">
        <v>670</v>
      </c>
      <c r="I1632" s="596" t="s">
        <v>277</v>
      </c>
      <c r="J1632" s="596" t="s">
        <v>524</v>
      </c>
      <c r="K1632" s="596" t="s">
        <v>301</v>
      </c>
      <c r="L1632" s="596" t="s">
        <v>592</v>
      </c>
      <c r="M1632" s="596" t="s">
        <v>285</v>
      </c>
      <c r="N1632" s="596" t="s">
        <v>670</v>
      </c>
      <c r="O1632" s="596" t="s">
        <v>670</v>
      </c>
      <c r="P1632" s="596" t="s">
        <v>524</v>
      </c>
      <c r="Q1632" s="596" t="s">
        <v>670</v>
      </c>
      <c r="R1632" s="597">
        <v>45902</v>
      </c>
      <c r="S1632" s="596" t="s">
        <v>670</v>
      </c>
      <c r="T1632" s="597">
        <v>45900</v>
      </c>
      <c r="U1632" s="598">
        <v>0</v>
      </c>
      <c r="V1632" s="599">
        <v>0.01</v>
      </c>
      <c r="W1632" s="260">
        <v>45870</v>
      </c>
    </row>
    <row r="1633" spans="1:23" hidden="1" x14ac:dyDescent="0.35">
      <c r="A1633" s="596" t="s">
        <v>526</v>
      </c>
      <c r="B1633" s="596" t="s">
        <v>53</v>
      </c>
      <c r="C1633" s="596" t="s">
        <v>298</v>
      </c>
      <c r="D1633" s="596" t="s">
        <v>299</v>
      </c>
      <c r="E1633" s="596" t="s">
        <v>300</v>
      </c>
      <c r="F1633" s="596" t="s">
        <v>276</v>
      </c>
      <c r="G1633" s="596" t="s">
        <v>356</v>
      </c>
      <c r="H1633" s="596" t="s">
        <v>670</v>
      </c>
      <c r="I1633" s="596" t="s">
        <v>277</v>
      </c>
      <c r="J1633" s="596" t="s">
        <v>524</v>
      </c>
      <c r="K1633" s="596" t="s">
        <v>301</v>
      </c>
      <c r="L1633" s="596" t="s">
        <v>592</v>
      </c>
      <c r="M1633" s="596" t="s">
        <v>285</v>
      </c>
      <c r="N1633" s="596" t="s">
        <v>670</v>
      </c>
      <c r="O1633" s="596" t="s">
        <v>670</v>
      </c>
      <c r="P1633" s="596" t="s">
        <v>524</v>
      </c>
      <c r="Q1633" s="596" t="s">
        <v>670</v>
      </c>
      <c r="R1633" s="597">
        <v>45902</v>
      </c>
      <c r="S1633" s="596" t="s">
        <v>670</v>
      </c>
      <c r="T1633" s="597">
        <v>45900</v>
      </c>
      <c r="U1633" s="598">
        <v>0</v>
      </c>
      <c r="V1633" s="599">
        <v>0.54</v>
      </c>
      <c r="W1633" s="260">
        <v>45870</v>
      </c>
    </row>
    <row r="1634" spans="1:23" hidden="1" x14ac:dyDescent="0.35">
      <c r="A1634" s="596" t="s">
        <v>526</v>
      </c>
      <c r="B1634" s="596" t="s">
        <v>53</v>
      </c>
      <c r="C1634" s="596" t="s">
        <v>298</v>
      </c>
      <c r="D1634" s="596" t="s">
        <v>304</v>
      </c>
      <c r="E1634" s="596" t="s">
        <v>305</v>
      </c>
      <c r="F1634" s="596" t="s">
        <v>276</v>
      </c>
      <c r="G1634" s="596" t="s">
        <v>356</v>
      </c>
      <c r="H1634" s="596" t="s">
        <v>670</v>
      </c>
      <c r="I1634" s="596" t="s">
        <v>277</v>
      </c>
      <c r="J1634" s="596" t="s">
        <v>524</v>
      </c>
      <c r="K1634" s="596" t="s">
        <v>301</v>
      </c>
      <c r="L1634" s="596" t="s">
        <v>592</v>
      </c>
      <c r="M1634" s="596" t="s">
        <v>285</v>
      </c>
      <c r="N1634" s="596" t="s">
        <v>670</v>
      </c>
      <c r="O1634" s="596" t="s">
        <v>670</v>
      </c>
      <c r="P1634" s="596" t="s">
        <v>524</v>
      </c>
      <c r="Q1634" s="596" t="s">
        <v>670</v>
      </c>
      <c r="R1634" s="597">
        <v>45902</v>
      </c>
      <c r="S1634" s="596" t="s">
        <v>670</v>
      </c>
      <c r="T1634" s="597">
        <v>45900</v>
      </c>
      <c r="U1634" s="598">
        <v>0</v>
      </c>
      <c r="V1634" s="599">
        <v>0.59</v>
      </c>
      <c r="W1634" s="260">
        <v>45870</v>
      </c>
    </row>
    <row r="1635" spans="1:23" hidden="1" x14ac:dyDescent="0.35">
      <c r="A1635" s="596" t="s">
        <v>526</v>
      </c>
      <c r="B1635" s="596" t="s">
        <v>53</v>
      </c>
      <c r="C1635" s="596" t="s">
        <v>298</v>
      </c>
      <c r="D1635" s="596" t="s">
        <v>306</v>
      </c>
      <c r="E1635" s="596" t="s">
        <v>307</v>
      </c>
      <c r="F1635" s="596" t="s">
        <v>276</v>
      </c>
      <c r="G1635" s="596" t="s">
        <v>356</v>
      </c>
      <c r="H1635" s="596" t="s">
        <v>670</v>
      </c>
      <c r="I1635" s="596" t="s">
        <v>277</v>
      </c>
      <c r="J1635" s="596" t="s">
        <v>524</v>
      </c>
      <c r="K1635" s="596" t="s">
        <v>301</v>
      </c>
      <c r="L1635" s="596" t="s">
        <v>592</v>
      </c>
      <c r="M1635" s="596" t="s">
        <v>285</v>
      </c>
      <c r="N1635" s="596" t="s">
        <v>670</v>
      </c>
      <c r="O1635" s="596" t="s">
        <v>670</v>
      </c>
      <c r="P1635" s="596" t="s">
        <v>524</v>
      </c>
      <c r="Q1635" s="596" t="s">
        <v>670</v>
      </c>
      <c r="R1635" s="597">
        <v>45902</v>
      </c>
      <c r="S1635" s="596" t="s">
        <v>670</v>
      </c>
      <c r="T1635" s="597">
        <v>45900</v>
      </c>
      <c r="U1635" s="598">
        <v>0</v>
      </c>
      <c r="V1635" s="599">
        <v>0.02</v>
      </c>
      <c r="W1635" s="260">
        <v>45870</v>
      </c>
    </row>
    <row r="1636" spans="1:23" hidden="1" x14ac:dyDescent="0.35">
      <c r="A1636" s="596" t="s">
        <v>526</v>
      </c>
      <c r="B1636" s="596" t="s">
        <v>53</v>
      </c>
      <c r="C1636" s="596" t="s">
        <v>298</v>
      </c>
      <c r="D1636" s="596" t="s">
        <v>306</v>
      </c>
      <c r="E1636" s="596" t="s">
        <v>307</v>
      </c>
      <c r="F1636" s="596" t="s">
        <v>276</v>
      </c>
      <c r="G1636" s="596" t="s">
        <v>356</v>
      </c>
      <c r="H1636" s="596" t="s">
        <v>670</v>
      </c>
      <c r="I1636" s="596" t="s">
        <v>277</v>
      </c>
      <c r="J1636" s="596" t="s">
        <v>524</v>
      </c>
      <c r="K1636" s="596" t="s">
        <v>301</v>
      </c>
      <c r="L1636" s="596" t="s">
        <v>592</v>
      </c>
      <c r="M1636" s="596" t="s">
        <v>285</v>
      </c>
      <c r="N1636" s="596" t="s">
        <v>670</v>
      </c>
      <c r="O1636" s="596" t="s">
        <v>670</v>
      </c>
      <c r="P1636" s="596" t="s">
        <v>524</v>
      </c>
      <c r="Q1636" s="596" t="s">
        <v>670</v>
      </c>
      <c r="R1636" s="597">
        <v>45902</v>
      </c>
      <c r="S1636" s="596" t="s">
        <v>670</v>
      </c>
      <c r="T1636" s="597">
        <v>45900</v>
      </c>
      <c r="U1636" s="598">
        <v>0</v>
      </c>
      <c r="V1636" s="599">
        <v>0.83</v>
      </c>
      <c r="W1636" s="260">
        <v>45870</v>
      </c>
    </row>
    <row r="1637" spans="1:23" hidden="1" x14ac:dyDescent="0.35">
      <c r="A1637" s="596" t="s">
        <v>526</v>
      </c>
      <c r="B1637" s="596" t="s">
        <v>53</v>
      </c>
      <c r="C1637" s="596" t="s">
        <v>302</v>
      </c>
      <c r="D1637" s="596" t="s">
        <v>308</v>
      </c>
      <c r="E1637" s="596" t="s">
        <v>309</v>
      </c>
      <c r="F1637" s="596" t="s">
        <v>276</v>
      </c>
      <c r="G1637" s="596" t="s">
        <v>356</v>
      </c>
      <c r="H1637" s="596" t="s">
        <v>670</v>
      </c>
      <c r="I1637" s="596" t="s">
        <v>277</v>
      </c>
      <c r="J1637" s="596" t="s">
        <v>524</v>
      </c>
      <c r="K1637" s="596" t="s">
        <v>303</v>
      </c>
      <c r="L1637" s="596" t="s">
        <v>592</v>
      </c>
      <c r="M1637" s="596" t="s">
        <v>285</v>
      </c>
      <c r="N1637" s="596" t="s">
        <v>670</v>
      </c>
      <c r="O1637" s="596" t="s">
        <v>670</v>
      </c>
      <c r="P1637" s="596" t="s">
        <v>524</v>
      </c>
      <c r="Q1637" s="596" t="s">
        <v>670</v>
      </c>
      <c r="R1637" s="597">
        <v>45903</v>
      </c>
      <c r="S1637" s="596" t="s">
        <v>670</v>
      </c>
      <c r="T1637" s="597">
        <v>45900</v>
      </c>
      <c r="U1637" s="598">
        <v>0</v>
      </c>
      <c r="V1637" s="599">
        <v>727.81</v>
      </c>
      <c r="W1637" s="260">
        <v>45870</v>
      </c>
    </row>
    <row r="1638" spans="1:23" hidden="1" x14ac:dyDescent="0.35">
      <c r="A1638" s="596" t="s">
        <v>526</v>
      </c>
      <c r="B1638" s="596" t="s">
        <v>53</v>
      </c>
      <c r="C1638" s="596" t="s">
        <v>298</v>
      </c>
      <c r="D1638" s="596" t="s">
        <v>308</v>
      </c>
      <c r="E1638" s="596" t="s">
        <v>309</v>
      </c>
      <c r="F1638" s="596" t="s">
        <v>276</v>
      </c>
      <c r="G1638" s="596" t="s">
        <v>356</v>
      </c>
      <c r="H1638" s="596" t="s">
        <v>670</v>
      </c>
      <c r="I1638" s="596" t="s">
        <v>277</v>
      </c>
      <c r="J1638" s="596" t="s">
        <v>524</v>
      </c>
      <c r="K1638" s="596" t="s">
        <v>301</v>
      </c>
      <c r="L1638" s="596" t="s">
        <v>592</v>
      </c>
      <c r="M1638" s="596" t="s">
        <v>285</v>
      </c>
      <c r="N1638" s="596" t="s">
        <v>670</v>
      </c>
      <c r="O1638" s="596" t="s">
        <v>670</v>
      </c>
      <c r="P1638" s="596" t="s">
        <v>524</v>
      </c>
      <c r="Q1638" s="596" t="s">
        <v>670</v>
      </c>
      <c r="R1638" s="597">
        <v>45902</v>
      </c>
      <c r="S1638" s="596" t="s">
        <v>670</v>
      </c>
      <c r="T1638" s="597">
        <v>45900</v>
      </c>
      <c r="U1638" s="598">
        <v>0</v>
      </c>
      <c r="V1638" s="599">
        <v>227.4</v>
      </c>
      <c r="W1638" s="260">
        <v>45870</v>
      </c>
    </row>
    <row r="1639" spans="1:23" hidden="1" x14ac:dyDescent="0.35">
      <c r="A1639" s="596" t="s">
        <v>526</v>
      </c>
      <c r="B1639" s="596" t="s">
        <v>53</v>
      </c>
      <c r="C1639" s="596" t="s">
        <v>302</v>
      </c>
      <c r="D1639" s="596" t="s">
        <v>310</v>
      </c>
      <c r="E1639" s="596" t="s">
        <v>311</v>
      </c>
      <c r="F1639" s="596" t="s">
        <v>276</v>
      </c>
      <c r="G1639" s="596" t="s">
        <v>356</v>
      </c>
      <c r="H1639" s="596" t="s">
        <v>670</v>
      </c>
      <c r="I1639" s="596" t="s">
        <v>277</v>
      </c>
      <c r="J1639" s="596" t="s">
        <v>524</v>
      </c>
      <c r="K1639" s="596" t="s">
        <v>303</v>
      </c>
      <c r="L1639" s="596" t="s">
        <v>592</v>
      </c>
      <c r="M1639" s="596" t="s">
        <v>285</v>
      </c>
      <c r="N1639" s="596" t="s">
        <v>670</v>
      </c>
      <c r="O1639" s="596" t="s">
        <v>670</v>
      </c>
      <c r="P1639" s="596" t="s">
        <v>524</v>
      </c>
      <c r="Q1639" s="596" t="s">
        <v>670</v>
      </c>
      <c r="R1639" s="597">
        <v>45903</v>
      </c>
      <c r="S1639" s="596" t="s">
        <v>670</v>
      </c>
      <c r="T1639" s="597">
        <v>45900</v>
      </c>
      <c r="U1639" s="598">
        <v>0</v>
      </c>
      <c r="V1639" s="599">
        <v>1125.77</v>
      </c>
      <c r="W1639" s="260">
        <v>45870</v>
      </c>
    </row>
    <row r="1640" spans="1:23" hidden="1" x14ac:dyDescent="0.35">
      <c r="A1640" s="596" t="s">
        <v>526</v>
      </c>
      <c r="B1640" s="596" t="s">
        <v>53</v>
      </c>
      <c r="C1640" s="596" t="s">
        <v>298</v>
      </c>
      <c r="D1640" s="596" t="s">
        <v>312</v>
      </c>
      <c r="E1640" s="596" t="s">
        <v>313</v>
      </c>
      <c r="F1640" s="596" t="s">
        <v>276</v>
      </c>
      <c r="G1640" s="596" t="s">
        <v>356</v>
      </c>
      <c r="H1640" s="596" t="s">
        <v>670</v>
      </c>
      <c r="I1640" s="596" t="s">
        <v>277</v>
      </c>
      <c r="J1640" s="596" t="s">
        <v>524</v>
      </c>
      <c r="K1640" s="596" t="s">
        <v>301</v>
      </c>
      <c r="L1640" s="596" t="s">
        <v>592</v>
      </c>
      <c r="M1640" s="596" t="s">
        <v>285</v>
      </c>
      <c r="N1640" s="596" t="s">
        <v>670</v>
      </c>
      <c r="O1640" s="596" t="s">
        <v>670</v>
      </c>
      <c r="P1640" s="596" t="s">
        <v>524</v>
      </c>
      <c r="Q1640" s="596" t="s">
        <v>670</v>
      </c>
      <c r="R1640" s="597">
        <v>45902</v>
      </c>
      <c r="S1640" s="596" t="s">
        <v>670</v>
      </c>
      <c r="T1640" s="597">
        <v>45900</v>
      </c>
      <c r="U1640" s="598">
        <v>0</v>
      </c>
      <c r="V1640" s="599">
        <v>19.96</v>
      </c>
      <c r="W1640" s="260">
        <v>45870</v>
      </c>
    </row>
    <row r="1641" spans="1:23" hidden="1" x14ac:dyDescent="0.35">
      <c r="A1641" s="596" t="s">
        <v>526</v>
      </c>
      <c r="B1641" s="596" t="s">
        <v>53</v>
      </c>
      <c r="C1641" s="596" t="s">
        <v>298</v>
      </c>
      <c r="D1641" s="596" t="s">
        <v>314</v>
      </c>
      <c r="E1641" s="596" t="s">
        <v>315</v>
      </c>
      <c r="F1641" s="596" t="s">
        <v>276</v>
      </c>
      <c r="G1641" s="596" t="s">
        <v>356</v>
      </c>
      <c r="H1641" s="596" t="s">
        <v>670</v>
      </c>
      <c r="I1641" s="596" t="s">
        <v>277</v>
      </c>
      <c r="J1641" s="596" t="s">
        <v>524</v>
      </c>
      <c r="K1641" s="596" t="s">
        <v>301</v>
      </c>
      <c r="L1641" s="596" t="s">
        <v>592</v>
      </c>
      <c r="M1641" s="596" t="s">
        <v>285</v>
      </c>
      <c r="N1641" s="596" t="s">
        <v>670</v>
      </c>
      <c r="O1641" s="596" t="s">
        <v>670</v>
      </c>
      <c r="P1641" s="596" t="s">
        <v>524</v>
      </c>
      <c r="Q1641" s="596" t="s">
        <v>670</v>
      </c>
      <c r="R1641" s="597">
        <v>45902</v>
      </c>
      <c r="S1641" s="596" t="s">
        <v>670</v>
      </c>
      <c r="T1641" s="597">
        <v>45900</v>
      </c>
      <c r="U1641" s="598">
        <v>0</v>
      </c>
      <c r="V1641" s="599">
        <v>86.3</v>
      </c>
      <c r="W1641" s="260">
        <v>45870</v>
      </c>
    </row>
    <row r="1642" spans="1:23" hidden="1" x14ac:dyDescent="0.35">
      <c r="A1642" s="596" t="s">
        <v>526</v>
      </c>
      <c r="B1642" s="596" t="s">
        <v>53</v>
      </c>
      <c r="C1642" s="596" t="s">
        <v>298</v>
      </c>
      <c r="D1642" s="596" t="s">
        <v>316</v>
      </c>
      <c r="E1642" s="596" t="s">
        <v>317</v>
      </c>
      <c r="F1642" s="596" t="s">
        <v>276</v>
      </c>
      <c r="G1642" s="596" t="s">
        <v>356</v>
      </c>
      <c r="H1642" s="596" t="s">
        <v>670</v>
      </c>
      <c r="I1642" s="596" t="s">
        <v>277</v>
      </c>
      <c r="J1642" s="596" t="s">
        <v>524</v>
      </c>
      <c r="K1642" s="596" t="s">
        <v>301</v>
      </c>
      <c r="L1642" s="596" t="s">
        <v>592</v>
      </c>
      <c r="M1642" s="596" t="s">
        <v>285</v>
      </c>
      <c r="N1642" s="596" t="s">
        <v>670</v>
      </c>
      <c r="O1642" s="596" t="s">
        <v>670</v>
      </c>
      <c r="P1642" s="596" t="s">
        <v>524</v>
      </c>
      <c r="Q1642" s="596" t="s">
        <v>670</v>
      </c>
      <c r="R1642" s="597">
        <v>45902</v>
      </c>
      <c r="S1642" s="596" t="s">
        <v>670</v>
      </c>
      <c r="T1642" s="597">
        <v>45900</v>
      </c>
      <c r="U1642" s="598">
        <v>0</v>
      </c>
      <c r="V1642" s="599">
        <v>112.78</v>
      </c>
      <c r="W1642" s="260">
        <v>45870</v>
      </c>
    </row>
    <row r="1643" spans="1:23" hidden="1" x14ac:dyDescent="0.35">
      <c r="A1643" s="596" t="s">
        <v>526</v>
      </c>
      <c r="B1643" s="596" t="s">
        <v>53</v>
      </c>
      <c r="C1643" s="596" t="s">
        <v>298</v>
      </c>
      <c r="D1643" s="596" t="s">
        <v>318</v>
      </c>
      <c r="E1643" s="596" t="s">
        <v>319</v>
      </c>
      <c r="F1643" s="596" t="s">
        <v>276</v>
      </c>
      <c r="G1643" s="596" t="s">
        <v>356</v>
      </c>
      <c r="H1643" s="596" t="s">
        <v>670</v>
      </c>
      <c r="I1643" s="596" t="s">
        <v>277</v>
      </c>
      <c r="J1643" s="596" t="s">
        <v>524</v>
      </c>
      <c r="K1643" s="596" t="s">
        <v>301</v>
      </c>
      <c r="L1643" s="596" t="s">
        <v>592</v>
      </c>
      <c r="M1643" s="596" t="s">
        <v>285</v>
      </c>
      <c r="N1643" s="596" t="s">
        <v>670</v>
      </c>
      <c r="O1643" s="596" t="s">
        <v>670</v>
      </c>
      <c r="P1643" s="596" t="s">
        <v>524</v>
      </c>
      <c r="Q1643" s="596" t="s">
        <v>670</v>
      </c>
      <c r="R1643" s="597">
        <v>45902</v>
      </c>
      <c r="S1643" s="596" t="s">
        <v>670</v>
      </c>
      <c r="T1643" s="597">
        <v>45900</v>
      </c>
      <c r="U1643" s="598">
        <v>0</v>
      </c>
      <c r="V1643" s="599">
        <v>0.31</v>
      </c>
      <c r="W1643" s="260">
        <v>45870</v>
      </c>
    </row>
    <row r="1644" spans="1:23" hidden="1" x14ac:dyDescent="0.35">
      <c r="A1644" s="596" t="s">
        <v>526</v>
      </c>
      <c r="B1644" s="596" t="s">
        <v>53</v>
      </c>
      <c r="C1644" s="596" t="s">
        <v>298</v>
      </c>
      <c r="D1644" s="596" t="s">
        <v>318</v>
      </c>
      <c r="E1644" s="596" t="s">
        <v>319</v>
      </c>
      <c r="F1644" s="596" t="s">
        <v>276</v>
      </c>
      <c r="G1644" s="596" t="s">
        <v>356</v>
      </c>
      <c r="H1644" s="596" t="s">
        <v>670</v>
      </c>
      <c r="I1644" s="596" t="s">
        <v>277</v>
      </c>
      <c r="J1644" s="596" t="s">
        <v>524</v>
      </c>
      <c r="K1644" s="596" t="s">
        <v>301</v>
      </c>
      <c r="L1644" s="596" t="s">
        <v>592</v>
      </c>
      <c r="M1644" s="596" t="s">
        <v>285</v>
      </c>
      <c r="N1644" s="596" t="s">
        <v>670</v>
      </c>
      <c r="O1644" s="596" t="s">
        <v>670</v>
      </c>
      <c r="P1644" s="596" t="s">
        <v>524</v>
      </c>
      <c r="Q1644" s="596" t="s">
        <v>670</v>
      </c>
      <c r="R1644" s="597">
        <v>45902</v>
      </c>
      <c r="S1644" s="596" t="s">
        <v>670</v>
      </c>
      <c r="T1644" s="597">
        <v>45900</v>
      </c>
      <c r="U1644" s="598">
        <v>0</v>
      </c>
      <c r="V1644" s="599">
        <v>4.24</v>
      </c>
      <c r="W1644" s="260">
        <v>45870</v>
      </c>
    </row>
    <row r="1645" spans="1:23" hidden="1" x14ac:dyDescent="0.35">
      <c r="A1645" s="596" t="s">
        <v>526</v>
      </c>
      <c r="B1645" s="596" t="s">
        <v>53</v>
      </c>
      <c r="C1645" s="596" t="s">
        <v>298</v>
      </c>
      <c r="D1645" s="596" t="s">
        <v>391</v>
      </c>
      <c r="E1645" s="596" t="s">
        <v>392</v>
      </c>
      <c r="F1645" s="596" t="s">
        <v>276</v>
      </c>
      <c r="G1645" s="596" t="s">
        <v>356</v>
      </c>
      <c r="H1645" s="596" t="s">
        <v>670</v>
      </c>
      <c r="I1645" s="596" t="s">
        <v>277</v>
      </c>
      <c r="J1645" s="596" t="s">
        <v>524</v>
      </c>
      <c r="K1645" s="596" t="s">
        <v>301</v>
      </c>
      <c r="L1645" s="596" t="s">
        <v>592</v>
      </c>
      <c r="M1645" s="596" t="s">
        <v>285</v>
      </c>
      <c r="N1645" s="596" t="s">
        <v>670</v>
      </c>
      <c r="O1645" s="596" t="s">
        <v>670</v>
      </c>
      <c r="P1645" s="596" t="s">
        <v>524</v>
      </c>
      <c r="Q1645" s="596" t="s">
        <v>670</v>
      </c>
      <c r="R1645" s="597">
        <v>45902</v>
      </c>
      <c r="S1645" s="596" t="s">
        <v>670</v>
      </c>
      <c r="T1645" s="597">
        <v>45900</v>
      </c>
      <c r="U1645" s="598">
        <v>0</v>
      </c>
      <c r="V1645" s="599">
        <v>0.31</v>
      </c>
      <c r="W1645" s="260">
        <v>45870</v>
      </c>
    </row>
    <row r="1646" spans="1:23" hidden="1" x14ac:dyDescent="0.35">
      <c r="A1646" s="596" t="s">
        <v>526</v>
      </c>
      <c r="B1646" s="596" t="s">
        <v>53</v>
      </c>
      <c r="C1646" s="596" t="s">
        <v>298</v>
      </c>
      <c r="D1646" s="596" t="s">
        <v>320</v>
      </c>
      <c r="E1646" s="596" t="s">
        <v>321</v>
      </c>
      <c r="F1646" s="596" t="s">
        <v>276</v>
      </c>
      <c r="G1646" s="596" t="s">
        <v>356</v>
      </c>
      <c r="H1646" s="596" t="s">
        <v>670</v>
      </c>
      <c r="I1646" s="596" t="s">
        <v>277</v>
      </c>
      <c r="J1646" s="596" t="s">
        <v>524</v>
      </c>
      <c r="K1646" s="596" t="s">
        <v>301</v>
      </c>
      <c r="L1646" s="596" t="s">
        <v>592</v>
      </c>
      <c r="M1646" s="596" t="s">
        <v>285</v>
      </c>
      <c r="N1646" s="596" t="s">
        <v>670</v>
      </c>
      <c r="O1646" s="596" t="s">
        <v>670</v>
      </c>
      <c r="P1646" s="596" t="s">
        <v>524</v>
      </c>
      <c r="Q1646" s="596" t="s">
        <v>670</v>
      </c>
      <c r="R1646" s="597">
        <v>45902</v>
      </c>
      <c r="S1646" s="596" t="s">
        <v>670</v>
      </c>
      <c r="T1646" s="597">
        <v>45900</v>
      </c>
      <c r="U1646" s="598">
        <v>0</v>
      </c>
      <c r="V1646" s="599">
        <v>0.06</v>
      </c>
      <c r="W1646" s="260">
        <v>45870</v>
      </c>
    </row>
    <row r="1647" spans="1:23" hidden="1" x14ac:dyDescent="0.35">
      <c r="A1647" s="596" t="s">
        <v>526</v>
      </c>
      <c r="B1647" s="596" t="s">
        <v>53</v>
      </c>
      <c r="C1647" s="596" t="s">
        <v>298</v>
      </c>
      <c r="D1647" s="596" t="s">
        <v>320</v>
      </c>
      <c r="E1647" s="596" t="s">
        <v>321</v>
      </c>
      <c r="F1647" s="596" t="s">
        <v>276</v>
      </c>
      <c r="G1647" s="596" t="s">
        <v>356</v>
      </c>
      <c r="H1647" s="596" t="s">
        <v>670</v>
      </c>
      <c r="I1647" s="596" t="s">
        <v>277</v>
      </c>
      <c r="J1647" s="596" t="s">
        <v>524</v>
      </c>
      <c r="K1647" s="596" t="s">
        <v>301</v>
      </c>
      <c r="L1647" s="596" t="s">
        <v>592</v>
      </c>
      <c r="M1647" s="596" t="s">
        <v>285</v>
      </c>
      <c r="N1647" s="596" t="s">
        <v>670</v>
      </c>
      <c r="O1647" s="596" t="s">
        <v>670</v>
      </c>
      <c r="P1647" s="596" t="s">
        <v>524</v>
      </c>
      <c r="Q1647" s="596" t="s">
        <v>670</v>
      </c>
      <c r="R1647" s="597">
        <v>45902</v>
      </c>
      <c r="S1647" s="596" t="s">
        <v>670</v>
      </c>
      <c r="T1647" s="597">
        <v>45900</v>
      </c>
      <c r="U1647" s="598">
        <v>0</v>
      </c>
      <c r="V1647" s="599">
        <v>97.24</v>
      </c>
      <c r="W1647" s="260">
        <v>45870</v>
      </c>
    </row>
    <row r="1648" spans="1:23" hidden="1" x14ac:dyDescent="0.35">
      <c r="A1648" s="596" t="s">
        <v>526</v>
      </c>
      <c r="B1648" s="596" t="s">
        <v>53</v>
      </c>
      <c r="C1648" s="596" t="s">
        <v>298</v>
      </c>
      <c r="D1648" s="596" t="s">
        <v>322</v>
      </c>
      <c r="E1648" s="596" t="s">
        <v>323</v>
      </c>
      <c r="F1648" s="596" t="s">
        <v>276</v>
      </c>
      <c r="G1648" s="596" t="s">
        <v>356</v>
      </c>
      <c r="H1648" s="596" t="s">
        <v>670</v>
      </c>
      <c r="I1648" s="596" t="s">
        <v>277</v>
      </c>
      <c r="J1648" s="596" t="s">
        <v>524</v>
      </c>
      <c r="K1648" s="596" t="s">
        <v>301</v>
      </c>
      <c r="L1648" s="596" t="s">
        <v>592</v>
      </c>
      <c r="M1648" s="596" t="s">
        <v>285</v>
      </c>
      <c r="N1648" s="596" t="s">
        <v>670</v>
      </c>
      <c r="O1648" s="596" t="s">
        <v>670</v>
      </c>
      <c r="P1648" s="596" t="s">
        <v>524</v>
      </c>
      <c r="Q1648" s="596" t="s">
        <v>670</v>
      </c>
      <c r="R1648" s="597">
        <v>45902</v>
      </c>
      <c r="S1648" s="596" t="s">
        <v>670</v>
      </c>
      <c r="T1648" s="597">
        <v>45900</v>
      </c>
      <c r="U1648" s="598">
        <v>0</v>
      </c>
      <c r="V1648" s="599">
        <v>-0.47</v>
      </c>
      <c r="W1648" s="260">
        <v>45870</v>
      </c>
    </row>
    <row r="1649" spans="1:23" hidden="1" x14ac:dyDescent="0.35">
      <c r="A1649" s="596" t="s">
        <v>526</v>
      </c>
      <c r="B1649" s="596" t="s">
        <v>53</v>
      </c>
      <c r="C1649" s="596" t="s">
        <v>298</v>
      </c>
      <c r="D1649" s="596" t="s">
        <v>322</v>
      </c>
      <c r="E1649" s="596" t="s">
        <v>323</v>
      </c>
      <c r="F1649" s="596" t="s">
        <v>276</v>
      </c>
      <c r="G1649" s="596" t="s">
        <v>356</v>
      </c>
      <c r="H1649" s="596" t="s">
        <v>670</v>
      </c>
      <c r="I1649" s="596" t="s">
        <v>277</v>
      </c>
      <c r="J1649" s="596" t="s">
        <v>524</v>
      </c>
      <c r="K1649" s="596" t="s">
        <v>301</v>
      </c>
      <c r="L1649" s="596" t="s">
        <v>592</v>
      </c>
      <c r="M1649" s="596" t="s">
        <v>285</v>
      </c>
      <c r="N1649" s="596" t="s">
        <v>670</v>
      </c>
      <c r="O1649" s="596" t="s">
        <v>670</v>
      </c>
      <c r="P1649" s="596" t="s">
        <v>524</v>
      </c>
      <c r="Q1649" s="596" t="s">
        <v>670</v>
      </c>
      <c r="R1649" s="597">
        <v>45902</v>
      </c>
      <c r="S1649" s="596" t="s">
        <v>670</v>
      </c>
      <c r="T1649" s="597">
        <v>45900</v>
      </c>
      <c r="U1649" s="598">
        <v>0</v>
      </c>
      <c r="V1649" s="599">
        <v>0.04</v>
      </c>
      <c r="W1649" s="260">
        <v>45870</v>
      </c>
    </row>
    <row r="1650" spans="1:23" hidden="1" x14ac:dyDescent="0.35">
      <c r="A1650" s="596" t="s">
        <v>526</v>
      </c>
      <c r="B1650" s="596" t="s">
        <v>53</v>
      </c>
      <c r="C1650" s="596" t="s">
        <v>298</v>
      </c>
      <c r="D1650" s="596" t="s">
        <v>324</v>
      </c>
      <c r="E1650" s="596" t="s">
        <v>325</v>
      </c>
      <c r="F1650" s="596" t="s">
        <v>276</v>
      </c>
      <c r="G1650" s="596" t="s">
        <v>356</v>
      </c>
      <c r="H1650" s="596" t="s">
        <v>670</v>
      </c>
      <c r="I1650" s="596" t="s">
        <v>277</v>
      </c>
      <c r="J1650" s="596" t="s">
        <v>524</v>
      </c>
      <c r="K1650" s="596" t="s">
        <v>301</v>
      </c>
      <c r="L1650" s="596" t="s">
        <v>592</v>
      </c>
      <c r="M1650" s="596" t="s">
        <v>285</v>
      </c>
      <c r="N1650" s="596" t="s">
        <v>670</v>
      </c>
      <c r="O1650" s="596" t="s">
        <v>670</v>
      </c>
      <c r="P1650" s="596" t="s">
        <v>524</v>
      </c>
      <c r="Q1650" s="596" t="s">
        <v>670</v>
      </c>
      <c r="R1650" s="597">
        <v>45902</v>
      </c>
      <c r="S1650" s="596" t="s">
        <v>670</v>
      </c>
      <c r="T1650" s="597">
        <v>45900</v>
      </c>
      <c r="U1650" s="598">
        <v>0</v>
      </c>
      <c r="V1650" s="599">
        <v>243.35</v>
      </c>
      <c r="W1650" s="260">
        <v>45870</v>
      </c>
    </row>
    <row r="1651" spans="1:23" hidden="1" x14ac:dyDescent="0.35">
      <c r="A1651" s="596" t="s">
        <v>526</v>
      </c>
      <c r="B1651" s="596" t="s">
        <v>53</v>
      </c>
      <c r="C1651" s="596" t="s">
        <v>298</v>
      </c>
      <c r="D1651" s="596" t="s">
        <v>326</v>
      </c>
      <c r="E1651" s="596" t="s">
        <v>327</v>
      </c>
      <c r="F1651" s="596" t="s">
        <v>276</v>
      </c>
      <c r="G1651" s="596" t="s">
        <v>356</v>
      </c>
      <c r="H1651" s="596" t="s">
        <v>670</v>
      </c>
      <c r="I1651" s="596" t="s">
        <v>277</v>
      </c>
      <c r="J1651" s="596" t="s">
        <v>524</v>
      </c>
      <c r="K1651" s="596" t="s">
        <v>301</v>
      </c>
      <c r="L1651" s="596" t="s">
        <v>592</v>
      </c>
      <c r="M1651" s="596" t="s">
        <v>285</v>
      </c>
      <c r="N1651" s="596" t="s">
        <v>670</v>
      </c>
      <c r="O1651" s="596" t="s">
        <v>670</v>
      </c>
      <c r="P1651" s="596" t="s">
        <v>524</v>
      </c>
      <c r="Q1651" s="596" t="s">
        <v>670</v>
      </c>
      <c r="R1651" s="597">
        <v>45902</v>
      </c>
      <c r="S1651" s="596" t="s">
        <v>670</v>
      </c>
      <c r="T1651" s="597">
        <v>45900</v>
      </c>
      <c r="U1651" s="598">
        <v>0</v>
      </c>
      <c r="V1651" s="599">
        <v>6.96</v>
      </c>
      <c r="W1651" s="260">
        <v>45870</v>
      </c>
    </row>
    <row r="1652" spans="1:23" hidden="1" x14ac:dyDescent="0.35">
      <c r="A1652" s="596" t="s">
        <v>526</v>
      </c>
      <c r="B1652" s="596" t="s">
        <v>53</v>
      </c>
      <c r="C1652" s="596" t="s">
        <v>298</v>
      </c>
      <c r="D1652" s="596" t="s">
        <v>393</v>
      </c>
      <c r="E1652" s="596" t="s">
        <v>394</v>
      </c>
      <c r="F1652" s="596" t="s">
        <v>276</v>
      </c>
      <c r="G1652" s="596" t="s">
        <v>356</v>
      </c>
      <c r="H1652" s="596" t="s">
        <v>670</v>
      </c>
      <c r="I1652" s="596" t="s">
        <v>277</v>
      </c>
      <c r="J1652" s="596" t="s">
        <v>524</v>
      </c>
      <c r="K1652" s="596" t="s">
        <v>301</v>
      </c>
      <c r="L1652" s="596" t="s">
        <v>592</v>
      </c>
      <c r="M1652" s="596" t="s">
        <v>285</v>
      </c>
      <c r="N1652" s="596" t="s">
        <v>670</v>
      </c>
      <c r="O1652" s="596" t="s">
        <v>670</v>
      </c>
      <c r="P1652" s="596" t="s">
        <v>524</v>
      </c>
      <c r="Q1652" s="596" t="s">
        <v>670</v>
      </c>
      <c r="R1652" s="597">
        <v>45902</v>
      </c>
      <c r="S1652" s="596" t="s">
        <v>670</v>
      </c>
      <c r="T1652" s="597">
        <v>45900</v>
      </c>
      <c r="U1652" s="598">
        <v>0</v>
      </c>
      <c r="V1652" s="599">
        <v>0.39</v>
      </c>
      <c r="W1652" s="260">
        <v>45870</v>
      </c>
    </row>
    <row r="1653" spans="1:23" hidden="1" x14ac:dyDescent="0.35">
      <c r="A1653" s="596" t="s">
        <v>526</v>
      </c>
      <c r="B1653" s="596" t="s">
        <v>53</v>
      </c>
      <c r="C1653" s="596" t="s">
        <v>298</v>
      </c>
      <c r="D1653" s="596" t="s">
        <v>328</v>
      </c>
      <c r="E1653" s="596" t="s">
        <v>329</v>
      </c>
      <c r="F1653" s="596" t="s">
        <v>276</v>
      </c>
      <c r="G1653" s="596" t="s">
        <v>356</v>
      </c>
      <c r="H1653" s="596" t="s">
        <v>670</v>
      </c>
      <c r="I1653" s="596" t="s">
        <v>277</v>
      </c>
      <c r="J1653" s="596" t="s">
        <v>524</v>
      </c>
      <c r="K1653" s="596" t="s">
        <v>301</v>
      </c>
      <c r="L1653" s="596" t="s">
        <v>592</v>
      </c>
      <c r="M1653" s="596" t="s">
        <v>285</v>
      </c>
      <c r="N1653" s="596" t="s">
        <v>670</v>
      </c>
      <c r="O1653" s="596" t="s">
        <v>670</v>
      </c>
      <c r="P1653" s="596" t="s">
        <v>524</v>
      </c>
      <c r="Q1653" s="596" t="s">
        <v>670</v>
      </c>
      <c r="R1653" s="597">
        <v>45902</v>
      </c>
      <c r="S1653" s="596" t="s">
        <v>670</v>
      </c>
      <c r="T1653" s="597">
        <v>45900</v>
      </c>
      <c r="U1653" s="598">
        <v>0</v>
      </c>
      <c r="V1653" s="599">
        <v>-82.95</v>
      </c>
      <c r="W1653" s="260">
        <v>45870</v>
      </c>
    </row>
    <row r="1654" spans="1:23" hidden="1" x14ac:dyDescent="0.35">
      <c r="A1654" s="596" t="s">
        <v>526</v>
      </c>
      <c r="B1654" s="596" t="s">
        <v>53</v>
      </c>
      <c r="C1654" s="596" t="s">
        <v>298</v>
      </c>
      <c r="D1654" s="596" t="s">
        <v>330</v>
      </c>
      <c r="E1654" s="596" t="s">
        <v>331</v>
      </c>
      <c r="F1654" s="596" t="s">
        <v>276</v>
      </c>
      <c r="G1654" s="596" t="s">
        <v>356</v>
      </c>
      <c r="H1654" s="596" t="s">
        <v>670</v>
      </c>
      <c r="I1654" s="596" t="s">
        <v>277</v>
      </c>
      <c r="J1654" s="596" t="s">
        <v>524</v>
      </c>
      <c r="K1654" s="596" t="s">
        <v>301</v>
      </c>
      <c r="L1654" s="596" t="s">
        <v>592</v>
      </c>
      <c r="M1654" s="596" t="s">
        <v>285</v>
      </c>
      <c r="N1654" s="596" t="s">
        <v>670</v>
      </c>
      <c r="O1654" s="596" t="s">
        <v>670</v>
      </c>
      <c r="P1654" s="596" t="s">
        <v>524</v>
      </c>
      <c r="Q1654" s="596" t="s">
        <v>670</v>
      </c>
      <c r="R1654" s="597">
        <v>45902</v>
      </c>
      <c r="S1654" s="596" t="s">
        <v>670</v>
      </c>
      <c r="T1654" s="597">
        <v>45900</v>
      </c>
      <c r="U1654" s="598">
        <v>0</v>
      </c>
      <c r="V1654" s="599">
        <v>-21.16</v>
      </c>
      <c r="W1654" s="260">
        <v>45870</v>
      </c>
    </row>
    <row r="1655" spans="1:23" hidden="1" x14ac:dyDescent="0.35">
      <c r="A1655" s="596" t="s">
        <v>526</v>
      </c>
      <c r="B1655" s="596" t="s">
        <v>53</v>
      </c>
      <c r="C1655" s="596" t="s">
        <v>298</v>
      </c>
      <c r="D1655" s="596" t="s">
        <v>332</v>
      </c>
      <c r="E1655" s="596" t="s">
        <v>333</v>
      </c>
      <c r="F1655" s="596" t="s">
        <v>276</v>
      </c>
      <c r="G1655" s="596" t="s">
        <v>356</v>
      </c>
      <c r="H1655" s="596" t="s">
        <v>670</v>
      </c>
      <c r="I1655" s="596" t="s">
        <v>277</v>
      </c>
      <c r="J1655" s="596" t="s">
        <v>524</v>
      </c>
      <c r="K1655" s="596" t="s">
        <v>301</v>
      </c>
      <c r="L1655" s="596" t="s">
        <v>592</v>
      </c>
      <c r="M1655" s="596" t="s">
        <v>285</v>
      </c>
      <c r="N1655" s="596" t="s">
        <v>670</v>
      </c>
      <c r="O1655" s="596" t="s">
        <v>670</v>
      </c>
      <c r="P1655" s="596" t="s">
        <v>524</v>
      </c>
      <c r="Q1655" s="596" t="s">
        <v>670</v>
      </c>
      <c r="R1655" s="597">
        <v>45902</v>
      </c>
      <c r="S1655" s="596" t="s">
        <v>670</v>
      </c>
      <c r="T1655" s="597">
        <v>45900</v>
      </c>
      <c r="U1655" s="598">
        <v>0</v>
      </c>
      <c r="V1655" s="599">
        <v>-61.76</v>
      </c>
      <c r="W1655" s="260">
        <v>45870</v>
      </c>
    </row>
    <row r="1656" spans="1:23" hidden="1" x14ac:dyDescent="0.35">
      <c r="A1656" s="596" t="s">
        <v>526</v>
      </c>
      <c r="B1656" s="596" t="s">
        <v>53</v>
      </c>
      <c r="C1656" s="596" t="s">
        <v>298</v>
      </c>
      <c r="D1656" s="596" t="s">
        <v>334</v>
      </c>
      <c r="E1656" s="596" t="s">
        <v>335</v>
      </c>
      <c r="F1656" s="596" t="s">
        <v>276</v>
      </c>
      <c r="G1656" s="596" t="s">
        <v>356</v>
      </c>
      <c r="H1656" s="596" t="s">
        <v>670</v>
      </c>
      <c r="I1656" s="596" t="s">
        <v>277</v>
      </c>
      <c r="J1656" s="596" t="s">
        <v>524</v>
      </c>
      <c r="K1656" s="596" t="s">
        <v>301</v>
      </c>
      <c r="L1656" s="596" t="s">
        <v>592</v>
      </c>
      <c r="M1656" s="596" t="s">
        <v>285</v>
      </c>
      <c r="N1656" s="596" t="s">
        <v>670</v>
      </c>
      <c r="O1656" s="596" t="s">
        <v>670</v>
      </c>
      <c r="P1656" s="596" t="s">
        <v>524</v>
      </c>
      <c r="Q1656" s="596" t="s">
        <v>670</v>
      </c>
      <c r="R1656" s="597">
        <v>45902</v>
      </c>
      <c r="S1656" s="596" t="s">
        <v>670</v>
      </c>
      <c r="T1656" s="597">
        <v>45900</v>
      </c>
      <c r="U1656" s="598">
        <v>0</v>
      </c>
      <c r="V1656" s="599">
        <v>-52.64</v>
      </c>
      <c r="W1656" s="260">
        <v>45870</v>
      </c>
    </row>
    <row r="1657" spans="1:23" hidden="1" x14ac:dyDescent="0.35">
      <c r="A1657" s="596" t="s">
        <v>526</v>
      </c>
      <c r="B1657" s="596" t="s">
        <v>53</v>
      </c>
      <c r="C1657" s="596" t="s">
        <v>298</v>
      </c>
      <c r="D1657" s="596" t="s">
        <v>336</v>
      </c>
      <c r="E1657" s="596" t="s">
        <v>337</v>
      </c>
      <c r="F1657" s="596" t="s">
        <v>276</v>
      </c>
      <c r="G1657" s="596" t="s">
        <v>356</v>
      </c>
      <c r="H1657" s="596" t="s">
        <v>670</v>
      </c>
      <c r="I1657" s="596" t="s">
        <v>277</v>
      </c>
      <c r="J1657" s="596" t="s">
        <v>524</v>
      </c>
      <c r="K1657" s="596" t="s">
        <v>301</v>
      </c>
      <c r="L1657" s="596" t="s">
        <v>592</v>
      </c>
      <c r="M1657" s="596" t="s">
        <v>285</v>
      </c>
      <c r="N1657" s="596" t="s">
        <v>670</v>
      </c>
      <c r="O1657" s="596" t="s">
        <v>670</v>
      </c>
      <c r="P1657" s="596" t="s">
        <v>524</v>
      </c>
      <c r="Q1657" s="596" t="s">
        <v>670</v>
      </c>
      <c r="R1657" s="597">
        <v>45902</v>
      </c>
      <c r="S1657" s="596" t="s">
        <v>670</v>
      </c>
      <c r="T1657" s="597">
        <v>45900</v>
      </c>
      <c r="U1657" s="598">
        <v>0</v>
      </c>
      <c r="V1657" s="599">
        <v>1.39</v>
      </c>
      <c r="W1657" s="260">
        <v>45870</v>
      </c>
    </row>
    <row r="1658" spans="1:23" hidden="1" x14ac:dyDescent="0.35">
      <c r="A1658" s="596" t="s">
        <v>526</v>
      </c>
      <c r="B1658" s="596" t="s">
        <v>53</v>
      </c>
      <c r="C1658" s="596" t="s">
        <v>298</v>
      </c>
      <c r="D1658" s="596" t="s">
        <v>397</v>
      </c>
      <c r="E1658" s="596" t="s">
        <v>398</v>
      </c>
      <c r="F1658" s="596" t="s">
        <v>276</v>
      </c>
      <c r="G1658" s="596" t="s">
        <v>356</v>
      </c>
      <c r="H1658" s="596" t="s">
        <v>670</v>
      </c>
      <c r="I1658" s="596" t="s">
        <v>277</v>
      </c>
      <c r="J1658" s="596" t="s">
        <v>524</v>
      </c>
      <c r="K1658" s="596" t="s">
        <v>301</v>
      </c>
      <c r="L1658" s="596" t="s">
        <v>592</v>
      </c>
      <c r="M1658" s="596" t="s">
        <v>285</v>
      </c>
      <c r="N1658" s="596" t="s">
        <v>670</v>
      </c>
      <c r="O1658" s="596" t="s">
        <v>670</v>
      </c>
      <c r="P1658" s="596" t="s">
        <v>524</v>
      </c>
      <c r="Q1658" s="596" t="s">
        <v>670</v>
      </c>
      <c r="R1658" s="597">
        <v>45902</v>
      </c>
      <c r="S1658" s="596" t="s">
        <v>670</v>
      </c>
      <c r="T1658" s="597">
        <v>45900</v>
      </c>
      <c r="U1658" s="598">
        <v>0</v>
      </c>
      <c r="V1658" s="599">
        <v>0.39</v>
      </c>
      <c r="W1658" s="260">
        <v>45870</v>
      </c>
    </row>
    <row r="1659" spans="1:23" hidden="1" x14ac:dyDescent="0.35">
      <c r="A1659" s="596" t="s">
        <v>526</v>
      </c>
      <c r="B1659" s="596" t="s">
        <v>53</v>
      </c>
      <c r="C1659" s="596" t="s">
        <v>298</v>
      </c>
      <c r="D1659" s="596" t="s">
        <v>338</v>
      </c>
      <c r="E1659" s="596" t="s">
        <v>339</v>
      </c>
      <c r="F1659" s="596" t="s">
        <v>276</v>
      </c>
      <c r="G1659" s="596" t="s">
        <v>356</v>
      </c>
      <c r="H1659" s="596" t="s">
        <v>670</v>
      </c>
      <c r="I1659" s="596" t="s">
        <v>277</v>
      </c>
      <c r="J1659" s="596" t="s">
        <v>524</v>
      </c>
      <c r="K1659" s="596" t="s">
        <v>301</v>
      </c>
      <c r="L1659" s="596" t="s">
        <v>592</v>
      </c>
      <c r="M1659" s="596" t="s">
        <v>285</v>
      </c>
      <c r="N1659" s="596" t="s">
        <v>670</v>
      </c>
      <c r="O1659" s="596" t="s">
        <v>670</v>
      </c>
      <c r="P1659" s="596" t="s">
        <v>524</v>
      </c>
      <c r="Q1659" s="596" t="s">
        <v>670</v>
      </c>
      <c r="R1659" s="597">
        <v>45902</v>
      </c>
      <c r="S1659" s="596" t="s">
        <v>670</v>
      </c>
      <c r="T1659" s="597">
        <v>45900</v>
      </c>
      <c r="U1659" s="598">
        <v>0</v>
      </c>
      <c r="V1659" s="599">
        <v>0.02</v>
      </c>
      <c r="W1659" s="260">
        <v>45870</v>
      </c>
    </row>
    <row r="1660" spans="1:23" hidden="1" x14ac:dyDescent="0.35">
      <c r="A1660" s="596" t="s">
        <v>526</v>
      </c>
      <c r="B1660" s="596" t="s">
        <v>53</v>
      </c>
      <c r="C1660" s="596" t="s">
        <v>281</v>
      </c>
      <c r="D1660" s="596" t="s">
        <v>340</v>
      </c>
      <c r="E1660" s="596" t="s">
        <v>283</v>
      </c>
      <c r="F1660" s="596" t="s">
        <v>276</v>
      </c>
      <c r="G1660" s="596" t="s">
        <v>356</v>
      </c>
      <c r="H1660" s="596" t="s">
        <v>670</v>
      </c>
      <c r="I1660" s="596" t="s">
        <v>277</v>
      </c>
      <c r="J1660" s="596" t="s">
        <v>524</v>
      </c>
      <c r="K1660" s="596" t="s">
        <v>284</v>
      </c>
      <c r="L1660" s="596" t="s">
        <v>592</v>
      </c>
      <c r="M1660" s="596" t="s">
        <v>285</v>
      </c>
      <c r="N1660" s="596" t="s">
        <v>670</v>
      </c>
      <c r="O1660" s="596" t="s">
        <v>670</v>
      </c>
      <c r="P1660" s="596" t="s">
        <v>524</v>
      </c>
      <c r="Q1660" s="596" t="s">
        <v>670</v>
      </c>
      <c r="R1660" s="597">
        <v>45902</v>
      </c>
      <c r="S1660" s="596" t="s">
        <v>670</v>
      </c>
      <c r="T1660" s="597">
        <v>45900</v>
      </c>
      <c r="U1660" s="598">
        <v>0</v>
      </c>
      <c r="V1660" s="599">
        <v>1256.74</v>
      </c>
      <c r="W1660" s="260">
        <v>45870</v>
      </c>
    </row>
    <row r="1661" spans="1:23" hidden="1" x14ac:dyDescent="0.35">
      <c r="A1661" s="596" t="s">
        <v>526</v>
      </c>
      <c r="B1661" s="596" t="s">
        <v>53</v>
      </c>
      <c r="C1661" s="596" t="s">
        <v>281</v>
      </c>
      <c r="D1661" s="596" t="s">
        <v>340</v>
      </c>
      <c r="E1661" s="596" t="s">
        <v>283</v>
      </c>
      <c r="F1661" s="596" t="s">
        <v>276</v>
      </c>
      <c r="G1661" s="596" t="s">
        <v>356</v>
      </c>
      <c r="H1661" s="596" t="s">
        <v>670</v>
      </c>
      <c r="I1661" s="596" t="s">
        <v>277</v>
      </c>
      <c r="J1661" s="596" t="s">
        <v>524</v>
      </c>
      <c r="K1661" s="596" t="s">
        <v>294</v>
      </c>
      <c r="L1661" s="596" t="s">
        <v>592</v>
      </c>
      <c r="M1661" s="596" t="s">
        <v>285</v>
      </c>
      <c r="N1661" s="596" t="s">
        <v>670</v>
      </c>
      <c r="O1661" s="596" t="s">
        <v>670</v>
      </c>
      <c r="P1661" s="596" t="s">
        <v>524</v>
      </c>
      <c r="Q1661" s="596" t="s">
        <v>670</v>
      </c>
      <c r="R1661" s="597">
        <v>45902</v>
      </c>
      <c r="S1661" s="596" t="s">
        <v>670</v>
      </c>
      <c r="T1661" s="597">
        <v>45900</v>
      </c>
      <c r="U1661" s="598">
        <v>0</v>
      </c>
      <c r="V1661" s="599">
        <v>-835.71</v>
      </c>
      <c r="W1661" s="260">
        <v>45870</v>
      </c>
    </row>
    <row r="1662" spans="1:23" hidden="1" x14ac:dyDescent="0.35">
      <c r="A1662" s="596" t="s">
        <v>526</v>
      </c>
      <c r="B1662" s="596" t="s">
        <v>53</v>
      </c>
      <c r="C1662" s="596" t="s">
        <v>302</v>
      </c>
      <c r="D1662" s="596" t="s">
        <v>340</v>
      </c>
      <c r="E1662" s="596" t="s">
        <v>283</v>
      </c>
      <c r="F1662" s="596" t="s">
        <v>276</v>
      </c>
      <c r="G1662" s="596" t="s">
        <v>356</v>
      </c>
      <c r="H1662" s="596" t="s">
        <v>670</v>
      </c>
      <c r="I1662" s="596" t="s">
        <v>277</v>
      </c>
      <c r="J1662" s="596" t="s">
        <v>524</v>
      </c>
      <c r="K1662" s="596" t="s">
        <v>303</v>
      </c>
      <c r="L1662" s="596" t="s">
        <v>592</v>
      </c>
      <c r="M1662" s="596" t="s">
        <v>285</v>
      </c>
      <c r="N1662" s="596" t="s">
        <v>670</v>
      </c>
      <c r="O1662" s="596" t="s">
        <v>670</v>
      </c>
      <c r="P1662" s="596" t="s">
        <v>524</v>
      </c>
      <c r="Q1662" s="596" t="s">
        <v>670</v>
      </c>
      <c r="R1662" s="597">
        <v>45903</v>
      </c>
      <c r="S1662" s="596" t="s">
        <v>670</v>
      </c>
      <c r="T1662" s="597">
        <v>45900</v>
      </c>
      <c r="U1662" s="598">
        <v>0</v>
      </c>
      <c r="V1662" s="599">
        <v>52.26</v>
      </c>
      <c r="W1662" s="260">
        <v>45870</v>
      </c>
    </row>
    <row r="1663" spans="1:23" hidden="1" x14ac:dyDescent="0.35">
      <c r="A1663" s="596" t="s">
        <v>526</v>
      </c>
      <c r="B1663" s="596" t="s">
        <v>53</v>
      </c>
      <c r="C1663" s="596" t="s">
        <v>302</v>
      </c>
      <c r="D1663" s="596" t="s">
        <v>340</v>
      </c>
      <c r="E1663" s="596" t="s">
        <v>283</v>
      </c>
      <c r="F1663" s="596" t="s">
        <v>276</v>
      </c>
      <c r="G1663" s="596" t="s">
        <v>356</v>
      </c>
      <c r="H1663" s="596" t="s">
        <v>670</v>
      </c>
      <c r="I1663" s="596" t="s">
        <v>277</v>
      </c>
      <c r="J1663" s="596" t="s">
        <v>524</v>
      </c>
      <c r="K1663" s="596" t="s">
        <v>303</v>
      </c>
      <c r="L1663" s="596" t="s">
        <v>592</v>
      </c>
      <c r="M1663" s="596" t="s">
        <v>285</v>
      </c>
      <c r="N1663" s="596" t="s">
        <v>670</v>
      </c>
      <c r="O1663" s="596" t="s">
        <v>670</v>
      </c>
      <c r="P1663" s="596" t="s">
        <v>524</v>
      </c>
      <c r="Q1663" s="596" t="s">
        <v>670</v>
      </c>
      <c r="R1663" s="597">
        <v>45903</v>
      </c>
      <c r="S1663" s="596" t="s">
        <v>670</v>
      </c>
      <c r="T1663" s="597">
        <v>45900</v>
      </c>
      <c r="U1663" s="598">
        <v>0</v>
      </c>
      <c r="V1663" s="599">
        <v>27.11</v>
      </c>
      <c r="W1663" s="260">
        <v>45870</v>
      </c>
    </row>
    <row r="1664" spans="1:23" hidden="1" x14ac:dyDescent="0.35">
      <c r="A1664" s="596" t="s">
        <v>526</v>
      </c>
      <c r="B1664" s="596" t="s">
        <v>53</v>
      </c>
      <c r="C1664" s="596" t="s">
        <v>286</v>
      </c>
      <c r="D1664" s="596" t="s">
        <v>341</v>
      </c>
      <c r="E1664" s="596" t="s">
        <v>288</v>
      </c>
      <c r="F1664" s="596" t="s">
        <v>276</v>
      </c>
      <c r="G1664" s="596" t="s">
        <v>356</v>
      </c>
      <c r="H1664" s="596" t="s">
        <v>670</v>
      </c>
      <c r="I1664" s="596" t="s">
        <v>277</v>
      </c>
      <c r="J1664" s="596" t="s">
        <v>524</v>
      </c>
      <c r="K1664" s="596" t="s">
        <v>289</v>
      </c>
      <c r="L1664" s="596" t="s">
        <v>592</v>
      </c>
      <c r="M1664" s="596" t="s">
        <v>285</v>
      </c>
      <c r="N1664" s="596" t="s">
        <v>670</v>
      </c>
      <c r="O1664" s="596" t="s">
        <v>670</v>
      </c>
      <c r="P1664" s="596" t="s">
        <v>524</v>
      </c>
      <c r="Q1664" s="596" t="s">
        <v>670</v>
      </c>
      <c r="R1664" s="597">
        <v>45902</v>
      </c>
      <c r="S1664" s="596" t="s">
        <v>670</v>
      </c>
      <c r="T1664" s="597">
        <v>45900</v>
      </c>
      <c r="U1664" s="598">
        <v>0</v>
      </c>
      <c r="V1664" s="599">
        <v>62.94</v>
      </c>
      <c r="W1664" s="260">
        <v>45870</v>
      </c>
    </row>
    <row r="1665" spans="1:23" hidden="1" x14ac:dyDescent="0.35">
      <c r="A1665" s="596" t="s">
        <v>526</v>
      </c>
      <c r="B1665" s="596" t="s">
        <v>53</v>
      </c>
      <c r="C1665" s="596" t="s">
        <v>302</v>
      </c>
      <c r="D1665" s="596" t="s">
        <v>341</v>
      </c>
      <c r="E1665" s="596" t="s">
        <v>288</v>
      </c>
      <c r="F1665" s="596" t="s">
        <v>276</v>
      </c>
      <c r="G1665" s="596" t="s">
        <v>356</v>
      </c>
      <c r="H1665" s="596" t="s">
        <v>670</v>
      </c>
      <c r="I1665" s="596" t="s">
        <v>277</v>
      </c>
      <c r="J1665" s="596" t="s">
        <v>524</v>
      </c>
      <c r="K1665" s="596" t="s">
        <v>303</v>
      </c>
      <c r="L1665" s="596" t="s">
        <v>592</v>
      </c>
      <c r="M1665" s="596" t="s">
        <v>285</v>
      </c>
      <c r="N1665" s="596" t="s">
        <v>670</v>
      </c>
      <c r="O1665" s="596" t="s">
        <v>670</v>
      </c>
      <c r="P1665" s="596" t="s">
        <v>524</v>
      </c>
      <c r="Q1665" s="596" t="s">
        <v>670</v>
      </c>
      <c r="R1665" s="597">
        <v>45903</v>
      </c>
      <c r="S1665" s="596" t="s">
        <v>670</v>
      </c>
      <c r="T1665" s="597">
        <v>45900</v>
      </c>
      <c r="U1665" s="598">
        <v>0</v>
      </c>
      <c r="V1665" s="599">
        <v>146.58000000000001</v>
      </c>
      <c r="W1665" s="260">
        <v>45870</v>
      </c>
    </row>
    <row r="1666" spans="1:23" hidden="1" x14ac:dyDescent="0.35">
      <c r="A1666" s="596" t="s">
        <v>526</v>
      </c>
      <c r="B1666" s="596" t="s">
        <v>53</v>
      </c>
      <c r="C1666" s="596" t="s">
        <v>302</v>
      </c>
      <c r="D1666" s="596" t="s">
        <v>341</v>
      </c>
      <c r="E1666" s="596" t="s">
        <v>288</v>
      </c>
      <c r="F1666" s="596" t="s">
        <v>276</v>
      </c>
      <c r="G1666" s="596" t="s">
        <v>356</v>
      </c>
      <c r="H1666" s="596" t="s">
        <v>670</v>
      </c>
      <c r="I1666" s="596" t="s">
        <v>277</v>
      </c>
      <c r="J1666" s="596" t="s">
        <v>524</v>
      </c>
      <c r="K1666" s="596" t="s">
        <v>303</v>
      </c>
      <c r="L1666" s="596" t="s">
        <v>592</v>
      </c>
      <c r="M1666" s="596" t="s">
        <v>285</v>
      </c>
      <c r="N1666" s="596" t="s">
        <v>670</v>
      </c>
      <c r="O1666" s="596" t="s">
        <v>670</v>
      </c>
      <c r="P1666" s="596" t="s">
        <v>524</v>
      </c>
      <c r="Q1666" s="596" t="s">
        <v>670</v>
      </c>
      <c r="R1666" s="597">
        <v>45903</v>
      </c>
      <c r="S1666" s="596" t="s">
        <v>670</v>
      </c>
      <c r="T1666" s="597">
        <v>45900</v>
      </c>
      <c r="U1666" s="598">
        <v>0</v>
      </c>
      <c r="V1666" s="599">
        <v>4.05</v>
      </c>
      <c r="W1666" s="260">
        <v>45870</v>
      </c>
    </row>
    <row r="1667" spans="1:23" hidden="1" x14ac:dyDescent="0.35">
      <c r="A1667" s="596" t="s">
        <v>526</v>
      </c>
      <c r="B1667" s="596" t="s">
        <v>53</v>
      </c>
      <c r="C1667" s="596" t="s">
        <v>281</v>
      </c>
      <c r="D1667" s="596" t="s">
        <v>342</v>
      </c>
      <c r="E1667" s="596" t="s">
        <v>291</v>
      </c>
      <c r="F1667" s="596" t="s">
        <v>276</v>
      </c>
      <c r="G1667" s="596" t="s">
        <v>356</v>
      </c>
      <c r="H1667" s="596" t="s">
        <v>670</v>
      </c>
      <c r="I1667" s="596" t="s">
        <v>277</v>
      </c>
      <c r="J1667" s="596" t="s">
        <v>524</v>
      </c>
      <c r="K1667" s="596" t="s">
        <v>284</v>
      </c>
      <c r="L1667" s="596" t="s">
        <v>592</v>
      </c>
      <c r="M1667" s="596" t="s">
        <v>285</v>
      </c>
      <c r="N1667" s="596" t="s">
        <v>670</v>
      </c>
      <c r="O1667" s="596" t="s">
        <v>670</v>
      </c>
      <c r="P1667" s="596" t="s">
        <v>524</v>
      </c>
      <c r="Q1667" s="596" t="s">
        <v>670</v>
      </c>
      <c r="R1667" s="597">
        <v>45902</v>
      </c>
      <c r="S1667" s="596" t="s">
        <v>670</v>
      </c>
      <c r="T1667" s="597">
        <v>45900</v>
      </c>
      <c r="U1667" s="598">
        <v>0</v>
      </c>
      <c r="V1667" s="599">
        <v>-451.36</v>
      </c>
      <c r="W1667" s="260">
        <v>45870</v>
      </c>
    </row>
    <row r="1668" spans="1:23" hidden="1" x14ac:dyDescent="0.35">
      <c r="A1668" s="596" t="s">
        <v>526</v>
      </c>
      <c r="B1668" s="596" t="s">
        <v>53</v>
      </c>
      <c r="C1668" s="596" t="s">
        <v>302</v>
      </c>
      <c r="D1668" s="596" t="s">
        <v>342</v>
      </c>
      <c r="E1668" s="596" t="s">
        <v>291</v>
      </c>
      <c r="F1668" s="596" t="s">
        <v>276</v>
      </c>
      <c r="G1668" s="596" t="s">
        <v>356</v>
      </c>
      <c r="H1668" s="596" t="s">
        <v>670</v>
      </c>
      <c r="I1668" s="596" t="s">
        <v>277</v>
      </c>
      <c r="J1668" s="596" t="s">
        <v>524</v>
      </c>
      <c r="K1668" s="596" t="s">
        <v>303</v>
      </c>
      <c r="L1668" s="596" t="s">
        <v>592</v>
      </c>
      <c r="M1668" s="596" t="s">
        <v>285</v>
      </c>
      <c r="N1668" s="596" t="s">
        <v>670</v>
      </c>
      <c r="O1668" s="596" t="s">
        <v>670</v>
      </c>
      <c r="P1668" s="596" t="s">
        <v>524</v>
      </c>
      <c r="Q1668" s="596" t="s">
        <v>670</v>
      </c>
      <c r="R1668" s="597">
        <v>45903</v>
      </c>
      <c r="S1668" s="596" t="s">
        <v>670</v>
      </c>
      <c r="T1668" s="597">
        <v>45900</v>
      </c>
      <c r="U1668" s="598">
        <v>0</v>
      </c>
      <c r="V1668" s="599">
        <v>33.770000000000003</v>
      </c>
      <c r="W1668" s="260">
        <v>45870</v>
      </c>
    </row>
    <row r="1669" spans="1:23" hidden="1" x14ac:dyDescent="0.35">
      <c r="A1669" s="596" t="s">
        <v>526</v>
      </c>
      <c r="B1669" s="596" t="s">
        <v>53</v>
      </c>
      <c r="C1669" s="596" t="s">
        <v>302</v>
      </c>
      <c r="D1669" s="596" t="s">
        <v>342</v>
      </c>
      <c r="E1669" s="596" t="s">
        <v>291</v>
      </c>
      <c r="F1669" s="596" t="s">
        <v>276</v>
      </c>
      <c r="G1669" s="596" t="s">
        <v>356</v>
      </c>
      <c r="H1669" s="596" t="s">
        <v>670</v>
      </c>
      <c r="I1669" s="596" t="s">
        <v>277</v>
      </c>
      <c r="J1669" s="596" t="s">
        <v>524</v>
      </c>
      <c r="K1669" s="596" t="s">
        <v>303</v>
      </c>
      <c r="L1669" s="596" t="s">
        <v>592</v>
      </c>
      <c r="M1669" s="596" t="s">
        <v>285</v>
      </c>
      <c r="N1669" s="596" t="s">
        <v>670</v>
      </c>
      <c r="O1669" s="596" t="s">
        <v>670</v>
      </c>
      <c r="P1669" s="596" t="s">
        <v>524</v>
      </c>
      <c r="Q1669" s="596" t="s">
        <v>670</v>
      </c>
      <c r="R1669" s="597">
        <v>45903</v>
      </c>
      <c r="S1669" s="596" t="s">
        <v>670</v>
      </c>
      <c r="T1669" s="597">
        <v>45900</v>
      </c>
      <c r="U1669" s="598">
        <v>0</v>
      </c>
      <c r="V1669" s="599">
        <v>-29.06</v>
      </c>
      <c r="W1669" s="260">
        <v>45870</v>
      </c>
    </row>
    <row r="1670" spans="1:23" hidden="1" x14ac:dyDescent="0.35">
      <c r="A1670" s="596" t="s">
        <v>526</v>
      </c>
      <c r="B1670" s="596" t="s">
        <v>53</v>
      </c>
      <c r="C1670" s="596" t="s">
        <v>281</v>
      </c>
      <c r="D1670" s="596" t="s">
        <v>343</v>
      </c>
      <c r="E1670" s="596" t="s">
        <v>293</v>
      </c>
      <c r="F1670" s="596" t="s">
        <v>276</v>
      </c>
      <c r="G1670" s="596" t="s">
        <v>356</v>
      </c>
      <c r="H1670" s="596" t="s">
        <v>670</v>
      </c>
      <c r="I1670" s="596" t="s">
        <v>277</v>
      </c>
      <c r="J1670" s="596" t="s">
        <v>524</v>
      </c>
      <c r="K1670" s="596" t="s">
        <v>294</v>
      </c>
      <c r="L1670" s="596" t="s">
        <v>592</v>
      </c>
      <c r="M1670" s="596" t="s">
        <v>285</v>
      </c>
      <c r="N1670" s="596" t="s">
        <v>670</v>
      </c>
      <c r="O1670" s="596" t="s">
        <v>670</v>
      </c>
      <c r="P1670" s="596" t="s">
        <v>524</v>
      </c>
      <c r="Q1670" s="596" t="s">
        <v>670</v>
      </c>
      <c r="R1670" s="597">
        <v>45902</v>
      </c>
      <c r="S1670" s="596" t="s">
        <v>670</v>
      </c>
      <c r="T1670" s="597">
        <v>45900</v>
      </c>
      <c r="U1670" s="598">
        <v>0</v>
      </c>
      <c r="V1670" s="599">
        <v>-32.97</v>
      </c>
      <c r="W1670" s="260">
        <v>45870</v>
      </c>
    </row>
    <row r="1671" spans="1:23" hidden="1" x14ac:dyDescent="0.35">
      <c r="A1671" s="596" t="s">
        <v>526</v>
      </c>
      <c r="B1671" s="596" t="s">
        <v>53</v>
      </c>
      <c r="C1671" s="596" t="s">
        <v>302</v>
      </c>
      <c r="D1671" s="596" t="s">
        <v>343</v>
      </c>
      <c r="E1671" s="596" t="s">
        <v>293</v>
      </c>
      <c r="F1671" s="596" t="s">
        <v>276</v>
      </c>
      <c r="G1671" s="596" t="s">
        <v>356</v>
      </c>
      <c r="H1671" s="596" t="s">
        <v>670</v>
      </c>
      <c r="I1671" s="596" t="s">
        <v>277</v>
      </c>
      <c r="J1671" s="596" t="s">
        <v>524</v>
      </c>
      <c r="K1671" s="596" t="s">
        <v>303</v>
      </c>
      <c r="L1671" s="596" t="s">
        <v>592</v>
      </c>
      <c r="M1671" s="596" t="s">
        <v>285</v>
      </c>
      <c r="N1671" s="596" t="s">
        <v>670</v>
      </c>
      <c r="O1671" s="596" t="s">
        <v>670</v>
      </c>
      <c r="P1671" s="596" t="s">
        <v>524</v>
      </c>
      <c r="Q1671" s="596" t="s">
        <v>670</v>
      </c>
      <c r="R1671" s="597">
        <v>45903</v>
      </c>
      <c r="S1671" s="596" t="s">
        <v>670</v>
      </c>
      <c r="T1671" s="597">
        <v>45900</v>
      </c>
      <c r="U1671" s="598">
        <v>0</v>
      </c>
      <c r="V1671" s="599">
        <v>37.340000000000003</v>
      </c>
      <c r="W1671" s="260">
        <v>45870</v>
      </c>
    </row>
    <row r="1672" spans="1:23" hidden="1" x14ac:dyDescent="0.35">
      <c r="A1672" s="596" t="s">
        <v>526</v>
      </c>
      <c r="B1672" s="596" t="s">
        <v>53</v>
      </c>
      <c r="C1672" s="596" t="s">
        <v>302</v>
      </c>
      <c r="D1672" s="596" t="s">
        <v>343</v>
      </c>
      <c r="E1672" s="596" t="s">
        <v>293</v>
      </c>
      <c r="F1672" s="596" t="s">
        <v>276</v>
      </c>
      <c r="G1672" s="596" t="s">
        <v>356</v>
      </c>
      <c r="H1672" s="596" t="s">
        <v>670</v>
      </c>
      <c r="I1672" s="596" t="s">
        <v>277</v>
      </c>
      <c r="J1672" s="596" t="s">
        <v>524</v>
      </c>
      <c r="K1672" s="596" t="s">
        <v>303</v>
      </c>
      <c r="L1672" s="596" t="s">
        <v>592</v>
      </c>
      <c r="M1672" s="596" t="s">
        <v>285</v>
      </c>
      <c r="N1672" s="596" t="s">
        <v>670</v>
      </c>
      <c r="O1672" s="596" t="s">
        <v>670</v>
      </c>
      <c r="P1672" s="596" t="s">
        <v>524</v>
      </c>
      <c r="Q1672" s="596" t="s">
        <v>670</v>
      </c>
      <c r="R1672" s="597">
        <v>45903</v>
      </c>
      <c r="S1672" s="596" t="s">
        <v>670</v>
      </c>
      <c r="T1672" s="597">
        <v>45900</v>
      </c>
      <c r="U1672" s="598">
        <v>0</v>
      </c>
      <c r="V1672" s="599">
        <v>-2.12</v>
      </c>
      <c r="W1672" s="260">
        <v>45870</v>
      </c>
    </row>
    <row r="1673" spans="1:23" hidden="1" x14ac:dyDescent="0.35">
      <c r="A1673" s="596" t="s">
        <v>526</v>
      </c>
      <c r="B1673" s="596" t="s">
        <v>53</v>
      </c>
      <c r="C1673" s="596" t="s">
        <v>286</v>
      </c>
      <c r="D1673" s="596" t="s">
        <v>344</v>
      </c>
      <c r="E1673" s="596" t="s">
        <v>296</v>
      </c>
      <c r="F1673" s="596" t="s">
        <v>276</v>
      </c>
      <c r="G1673" s="596" t="s">
        <v>356</v>
      </c>
      <c r="H1673" s="596" t="s">
        <v>670</v>
      </c>
      <c r="I1673" s="596" t="s">
        <v>277</v>
      </c>
      <c r="J1673" s="596" t="s">
        <v>524</v>
      </c>
      <c r="K1673" s="596" t="s">
        <v>297</v>
      </c>
      <c r="L1673" s="596" t="s">
        <v>592</v>
      </c>
      <c r="M1673" s="596" t="s">
        <v>285</v>
      </c>
      <c r="N1673" s="596" t="s">
        <v>670</v>
      </c>
      <c r="O1673" s="596" t="s">
        <v>670</v>
      </c>
      <c r="P1673" s="596" t="s">
        <v>524</v>
      </c>
      <c r="Q1673" s="596" t="s">
        <v>670</v>
      </c>
      <c r="R1673" s="597">
        <v>45902</v>
      </c>
      <c r="S1673" s="596" t="s">
        <v>670</v>
      </c>
      <c r="T1673" s="597">
        <v>45900</v>
      </c>
      <c r="U1673" s="598">
        <v>0</v>
      </c>
      <c r="V1673" s="599">
        <v>24.51</v>
      </c>
      <c r="W1673" s="260">
        <v>45870</v>
      </c>
    </row>
    <row r="1674" spans="1:23" hidden="1" x14ac:dyDescent="0.35">
      <c r="A1674" s="596" t="s">
        <v>526</v>
      </c>
      <c r="B1674" s="596" t="s">
        <v>53</v>
      </c>
      <c r="C1674" s="596" t="s">
        <v>302</v>
      </c>
      <c r="D1674" s="596" t="s">
        <v>344</v>
      </c>
      <c r="E1674" s="596" t="s">
        <v>296</v>
      </c>
      <c r="F1674" s="596" t="s">
        <v>276</v>
      </c>
      <c r="G1674" s="596" t="s">
        <v>356</v>
      </c>
      <c r="H1674" s="596" t="s">
        <v>670</v>
      </c>
      <c r="I1674" s="596" t="s">
        <v>277</v>
      </c>
      <c r="J1674" s="596" t="s">
        <v>524</v>
      </c>
      <c r="K1674" s="596" t="s">
        <v>303</v>
      </c>
      <c r="L1674" s="596" t="s">
        <v>592</v>
      </c>
      <c r="M1674" s="596" t="s">
        <v>285</v>
      </c>
      <c r="N1674" s="596" t="s">
        <v>670</v>
      </c>
      <c r="O1674" s="596" t="s">
        <v>670</v>
      </c>
      <c r="P1674" s="596" t="s">
        <v>524</v>
      </c>
      <c r="Q1674" s="596" t="s">
        <v>670</v>
      </c>
      <c r="R1674" s="597">
        <v>45903</v>
      </c>
      <c r="S1674" s="596" t="s">
        <v>670</v>
      </c>
      <c r="T1674" s="597">
        <v>45900</v>
      </c>
      <c r="U1674" s="598">
        <v>0</v>
      </c>
      <c r="V1674" s="599">
        <v>79.91</v>
      </c>
      <c r="W1674" s="260">
        <v>45870</v>
      </c>
    </row>
    <row r="1675" spans="1:23" hidden="1" x14ac:dyDescent="0.35">
      <c r="A1675" s="596" t="s">
        <v>526</v>
      </c>
      <c r="B1675" s="596" t="s">
        <v>53</v>
      </c>
      <c r="C1675" s="596" t="s">
        <v>302</v>
      </c>
      <c r="D1675" s="596" t="s">
        <v>344</v>
      </c>
      <c r="E1675" s="596" t="s">
        <v>296</v>
      </c>
      <c r="F1675" s="596" t="s">
        <v>276</v>
      </c>
      <c r="G1675" s="596" t="s">
        <v>356</v>
      </c>
      <c r="H1675" s="596" t="s">
        <v>670</v>
      </c>
      <c r="I1675" s="596" t="s">
        <v>277</v>
      </c>
      <c r="J1675" s="596" t="s">
        <v>524</v>
      </c>
      <c r="K1675" s="596" t="s">
        <v>303</v>
      </c>
      <c r="L1675" s="596" t="s">
        <v>592</v>
      </c>
      <c r="M1675" s="596" t="s">
        <v>285</v>
      </c>
      <c r="N1675" s="596" t="s">
        <v>670</v>
      </c>
      <c r="O1675" s="596" t="s">
        <v>670</v>
      </c>
      <c r="P1675" s="596" t="s">
        <v>524</v>
      </c>
      <c r="Q1675" s="596" t="s">
        <v>670</v>
      </c>
      <c r="R1675" s="597">
        <v>45903</v>
      </c>
      <c r="S1675" s="596" t="s">
        <v>670</v>
      </c>
      <c r="T1675" s="597">
        <v>45900</v>
      </c>
      <c r="U1675" s="598">
        <v>0</v>
      </c>
      <c r="V1675" s="599">
        <v>1.58</v>
      </c>
      <c r="W1675" s="260">
        <v>45870</v>
      </c>
    </row>
    <row r="1676" spans="1:23" hidden="1" x14ac:dyDescent="0.35">
      <c r="A1676" s="596" t="s">
        <v>526</v>
      </c>
      <c r="B1676" s="596" t="s">
        <v>53</v>
      </c>
      <c r="C1676" s="596" t="s">
        <v>298</v>
      </c>
      <c r="D1676" s="596" t="s">
        <v>345</v>
      </c>
      <c r="E1676" s="596" t="s">
        <v>346</v>
      </c>
      <c r="F1676" s="596" t="s">
        <v>276</v>
      </c>
      <c r="G1676" s="596" t="s">
        <v>356</v>
      </c>
      <c r="H1676" s="596" t="s">
        <v>670</v>
      </c>
      <c r="I1676" s="596" t="s">
        <v>277</v>
      </c>
      <c r="J1676" s="596" t="s">
        <v>524</v>
      </c>
      <c r="K1676" s="596" t="s">
        <v>301</v>
      </c>
      <c r="L1676" s="596" t="s">
        <v>592</v>
      </c>
      <c r="M1676" s="596" t="s">
        <v>285</v>
      </c>
      <c r="N1676" s="596" t="s">
        <v>670</v>
      </c>
      <c r="O1676" s="596" t="s">
        <v>670</v>
      </c>
      <c r="P1676" s="596" t="s">
        <v>524</v>
      </c>
      <c r="Q1676" s="596" t="s">
        <v>670</v>
      </c>
      <c r="R1676" s="597">
        <v>45902</v>
      </c>
      <c r="S1676" s="596" t="s">
        <v>670</v>
      </c>
      <c r="T1676" s="597">
        <v>45900</v>
      </c>
      <c r="U1676" s="598">
        <v>0</v>
      </c>
      <c r="V1676" s="599">
        <v>-0.52</v>
      </c>
      <c r="W1676" s="260">
        <v>45870</v>
      </c>
    </row>
    <row r="1677" spans="1:23" hidden="1" x14ac:dyDescent="0.35">
      <c r="A1677" s="596" t="s">
        <v>526</v>
      </c>
      <c r="B1677" s="596" t="s">
        <v>53</v>
      </c>
      <c r="C1677" s="596" t="s">
        <v>298</v>
      </c>
      <c r="D1677" s="596" t="s">
        <v>347</v>
      </c>
      <c r="E1677" s="596" t="s">
        <v>348</v>
      </c>
      <c r="F1677" s="596" t="s">
        <v>276</v>
      </c>
      <c r="G1677" s="596" t="s">
        <v>356</v>
      </c>
      <c r="H1677" s="596" t="s">
        <v>670</v>
      </c>
      <c r="I1677" s="596" t="s">
        <v>277</v>
      </c>
      <c r="J1677" s="596" t="s">
        <v>524</v>
      </c>
      <c r="K1677" s="596" t="s">
        <v>301</v>
      </c>
      <c r="L1677" s="596" t="s">
        <v>592</v>
      </c>
      <c r="M1677" s="596" t="s">
        <v>285</v>
      </c>
      <c r="N1677" s="596" t="s">
        <v>670</v>
      </c>
      <c r="O1677" s="596" t="s">
        <v>670</v>
      </c>
      <c r="P1677" s="596" t="s">
        <v>524</v>
      </c>
      <c r="Q1677" s="596" t="s">
        <v>670</v>
      </c>
      <c r="R1677" s="597">
        <v>45902</v>
      </c>
      <c r="S1677" s="596" t="s">
        <v>670</v>
      </c>
      <c r="T1677" s="597">
        <v>45900</v>
      </c>
      <c r="U1677" s="598">
        <v>0</v>
      </c>
      <c r="V1677" s="599">
        <v>2.25</v>
      </c>
      <c r="W1677" s="260">
        <v>45870</v>
      </c>
    </row>
    <row r="1678" spans="1:23" hidden="1" x14ac:dyDescent="0.35">
      <c r="A1678" s="596" t="s">
        <v>526</v>
      </c>
      <c r="B1678" s="596" t="s">
        <v>53</v>
      </c>
      <c r="C1678" s="596" t="s">
        <v>298</v>
      </c>
      <c r="D1678" s="596" t="s">
        <v>347</v>
      </c>
      <c r="E1678" s="596" t="s">
        <v>348</v>
      </c>
      <c r="F1678" s="596" t="s">
        <v>276</v>
      </c>
      <c r="G1678" s="596" t="s">
        <v>356</v>
      </c>
      <c r="H1678" s="596" t="s">
        <v>670</v>
      </c>
      <c r="I1678" s="596" t="s">
        <v>277</v>
      </c>
      <c r="J1678" s="596" t="s">
        <v>524</v>
      </c>
      <c r="K1678" s="596" t="s">
        <v>301</v>
      </c>
      <c r="L1678" s="596" t="s">
        <v>592</v>
      </c>
      <c r="M1678" s="596" t="s">
        <v>285</v>
      </c>
      <c r="N1678" s="596" t="s">
        <v>670</v>
      </c>
      <c r="O1678" s="596" t="s">
        <v>670</v>
      </c>
      <c r="P1678" s="596" t="s">
        <v>524</v>
      </c>
      <c r="Q1678" s="596" t="s">
        <v>670</v>
      </c>
      <c r="R1678" s="597">
        <v>45902</v>
      </c>
      <c r="S1678" s="596" t="s">
        <v>670</v>
      </c>
      <c r="T1678" s="597">
        <v>45900</v>
      </c>
      <c r="U1678" s="598">
        <v>0</v>
      </c>
      <c r="V1678" s="599">
        <v>-0.14000000000000001</v>
      </c>
      <c r="W1678" s="260">
        <v>45870</v>
      </c>
    </row>
    <row r="1679" spans="1:23" hidden="1" x14ac:dyDescent="0.35">
      <c r="A1679" s="596" t="s">
        <v>526</v>
      </c>
      <c r="B1679" s="596" t="s">
        <v>53</v>
      </c>
      <c r="C1679" s="596" t="s">
        <v>298</v>
      </c>
      <c r="D1679" s="596" t="s">
        <v>349</v>
      </c>
      <c r="E1679" s="596" t="s">
        <v>350</v>
      </c>
      <c r="F1679" s="596" t="s">
        <v>276</v>
      </c>
      <c r="G1679" s="596" t="s">
        <v>356</v>
      </c>
      <c r="H1679" s="596" t="s">
        <v>670</v>
      </c>
      <c r="I1679" s="596" t="s">
        <v>277</v>
      </c>
      <c r="J1679" s="596" t="s">
        <v>524</v>
      </c>
      <c r="K1679" s="596" t="s">
        <v>301</v>
      </c>
      <c r="L1679" s="596" t="s">
        <v>592</v>
      </c>
      <c r="M1679" s="596" t="s">
        <v>285</v>
      </c>
      <c r="N1679" s="596" t="s">
        <v>670</v>
      </c>
      <c r="O1679" s="596" t="s">
        <v>670</v>
      </c>
      <c r="P1679" s="596" t="s">
        <v>524</v>
      </c>
      <c r="Q1679" s="596" t="s">
        <v>670</v>
      </c>
      <c r="R1679" s="597">
        <v>45902</v>
      </c>
      <c r="S1679" s="596" t="s">
        <v>670</v>
      </c>
      <c r="T1679" s="597">
        <v>45900</v>
      </c>
      <c r="U1679" s="598">
        <v>0</v>
      </c>
      <c r="V1679" s="599">
        <v>-0.06</v>
      </c>
      <c r="W1679" s="260">
        <v>45870</v>
      </c>
    </row>
    <row r="1680" spans="1:23" hidden="1" x14ac:dyDescent="0.35">
      <c r="A1680" s="596" t="s">
        <v>526</v>
      </c>
      <c r="B1680" s="596" t="s">
        <v>53</v>
      </c>
      <c r="C1680" s="596" t="s">
        <v>298</v>
      </c>
      <c r="D1680" s="596" t="s">
        <v>351</v>
      </c>
      <c r="E1680" s="596" t="s">
        <v>352</v>
      </c>
      <c r="F1680" s="596" t="s">
        <v>276</v>
      </c>
      <c r="G1680" s="596" t="s">
        <v>356</v>
      </c>
      <c r="H1680" s="596" t="s">
        <v>670</v>
      </c>
      <c r="I1680" s="596" t="s">
        <v>277</v>
      </c>
      <c r="J1680" s="596" t="s">
        <v>524</v>
      </c>
      <c r="K1680" s="596" t="s">
        <v>301</v>
      </c>
      <c r="L1680" s="596" t="s">
        <v>592</v>
      </c>
      <c r="M1680" s="596" t="s">
        <v>285</v>
      </c>
      <c r="N1680" s="596" t="s">
        <v>670</v>
      </c>
      <c r="O1680" s="596" t="s">
        <v>670</v>
      </c>
      <c r="P1680" s="596" t="s">
        <v>524</v>
      </c>
      <c r="Q1680" s="596" t="s">
        <v>670</v>
      </c>
      <c r="R1680" s="597">
        <v>45902</v>
      </c>
      <c r="S1680" s="596" t="s">
        <v>670</v>
      </c>
      <c r="T1680" s="597">
        <v>45900</v>
      </c>
      <c r="U1680" s="598">
        <v>0</v>
      </c>
      <c r="V1680" s="599">
        <v>1.23</v>
      </c>
      <c r="W1680" s="260">
        <v>45870</v>
      </c>
    </row>
    <row r="1681" spans="1:24" hidden="1" x14ac:dyDescent="0.35">
      <c r="A1681" s="596" t="s">
        <v>526</v>
      </c>
      <c r="B1681" s="596" t="s">
        <v>53</v>
      </c>
      <c r="C1681" s="596" t="s">
        <v>298</v>
      </c>
      <c r="D1681" s="596" t="s">
        <v>351</v>
      </c>
      <c r="E1681" s="596" t="s">
        <v>352</v>
      </c>
      <c r="F1681" s="596" t="s">
        <v>276</v>
      </c>
      <c r="G1681" s="596" t="s">
        <v>356</v>
      </c>
      <c r="H1681" s="596" t="s">
        <v>670</v>
      </c>
      <c r="I1681" s="596" t="s">
        <v>277</v>
      </c>
      <c r="J1681" s="596" t="s">
        <v>524</v>
      </c>
      <c r="K1681" s="596" t="s">
        <v>301</v>
      </c>
      <c r="L1681" s="596" t="s">
        <v>592</v>
      </c>
      <c r="M1681" s="596" t="s">
        <v>285</v>
      </c>
      <c r="N1681" s="596" t="s">
        <v>670</v>
      </c>
      <c r="O1681" s="596" t="s">
        <v>670</v>
      </c>
      <c r="P1681" s="596" t="s">
        <v>524</v>
      </c>
      <c r="Q1681" s="596" t="s">
        <v>670</v>
      </c>
      <c r="R1681" s="597">
        <v>45902</v>
      </c>
      <c r="S1681" s="596" t="s">
        <v>670</v>
      </c>
      <c r="T1681" s="597">
        <v>45900</v>
      </c>
      <c r="U1681" s="598">
        <v>0</v>
      </c>
      <c r="V1681" s="599">
        <v>-0.06</v>
      </c>
      <c r="W1681" s="260">
        <v>45870</v>
      </c>
    </row>
    <row r="1682" spans="1:24" hidden="1" x14ac:dyDescent="0.35">
      <c r="A1682" s="596" t="s">
        <v>526</v>
      </c>
      <c r="B1682" s="596" t="s">
        <v>53</v>
      </c>
      <c r="C1682" s="596" t="s">
        <v>298</v>
      </c>
      <c r="D1682" s="596" t="s">
        <v>354</v>
      </c>
      <c r="E1682" s="596" t="s">
        <v>355</v>
      </c>
      <c r="F1682" s="596" t="s">
        <v>276</v>
      </c>
      <c r="G1682" s="596" t="s">
        <v>356</v>
      </c>
      <c r="H1682" s="596" t="s">
        <v>670</v>
      </c>
      <c r="I1682" s="596" t="s">
        <v>277</v>
      </c>
      <c r="J1682" s="596" t="s">
        <v>524</v>
      </c>
      <c r="K1682" s="596" t="s">
        <v>301</v>
      </c>
      <c r="L1682" s="596" t="s">
        <v>592</v>
      </c>
      <c r="M1682" s="596" t="s">
        <v>285</v>
      </c>
      <c r="N1682" s="596" t="s">
        <v>670</v>
      </c>
      <c r="O1682" s="596" t="s">
        <v>670</v>
      </c>
      <c r="P1682" s="596" t="s">
        <v>524</v>
      </c>
      <c r="Q1682" s="596" t="s">
        <v>670</v>
      </c>
      <c r="R1682" s="597">
        <v>45902</v>
      </c>
      <c r="S1682" s="596" t="s">
        <v>670</v>
      </c>
      <c r="T1682" s="597">
        <v>45900</v>
      </c>
      <c r="U1682" s="598">
        <v>0</v>
      </c>
      <c r="V1682" s="599">
        <v>0.36</v>
      </c>
      <c r="W1682" s="260">
        <v>45870</v>
      </c>
    </row>
    <row r="1683" spans="1:24" hidden="1" x14ac:dyDescent="0.35">
      <c r="A1683" s="596" t="s">
        <v>526</v>
      </c>
      <c r="B1683" s="596" t="s">
        <v>53</v>
      </c>
      <c r="C1683" s="596" t="s">
        <v>530</v>
      </c>
      <c r="D1683" s="596" t="s">
        <v>531</v>
      </c>
      <c r="E1683" s="596" t="s">
        <v>532</v>
      </c>
      <c r="F1683" s="596" t="s">
        <v>276</v>
      </c>
      <c r="G1683" s="596" t="s">
        <v>356</v>
      </c>
      <c r="H1683" s="596" t="s">
        <v>565</v>
      </c>
      <c r="I1683" s="596" t="s">
        <v>277</v>
      </c>
      <c r="J1683" s="596" t="s">
        <v>524</v>
      </c>
      <c r="K1683" s="596" t="s">
        <v>534</v>
      </c>
      <c r="L1683" s="596" t="s">
        <v>592</v>
      </c>
      <c r="M1683" s="596" t="s">
        <v>566</v>
      </c>
      <c r="N1683" s="596" t="s">
        <v>670</v>
      </c>
      <c r="O1683" s="596" t="s">
        <v>670</v>
      </c>
      <c r="P1683" s="596" t="s">
        <v>524</v>
      </c>
      <c r="Q1683" s="596" t="s">
        <v>670</v>
      </c>
      <c r="R1683" s="597">
        <v>45866</v>
      </c>
      <c r="S1683" s="596" t="s">
        <v>278</v>
      </c>
      <c r="T1683" s="597">
        <v>45872</v>
      </c>
      <c r="U1683" s="598">
        <v>8</v>
      </c>
      <c r="V1683" s="599">
        <v>741.2</v>
      </c>
      <c r="W1683" s="260">
        <v>45870</v>
      </c>
      <c r="X1683" s="845"/>
    </row>
    <row r="1684" spans="1:24" hidden="1" x14ac:dyDescent="0.35">
      <c r="A1684" s="596" t="s">
        <v>526</v>
      </c>
      <c r="B1684" s="596" t="s">
        <v>53</v>
      </c>
      <c r="C1684" s="596" t="s">
        <v>530</v>
      </c>
      <c r="D1684" s="596" t="s">
        <v>531</v>
      </c>
      <c r="E1684" s="596" t="s">
        <v>532</v>
      </c>
      <c r="F1684" s="596" t="s">
        <v>276</v>
      </c>
      <c r="G1684" s="596" t="s">
        <v>356</v>
      </c>
      <c r="H1684" s="596" t="s">
        <v>565</v>
      </c>
      <c r="I1684" s="596" t="s">
        <v>277</v>
      </c>
      <c r="J1684" s="596" t="s">
        <v>524</v>
      </c>
      <c r="K1684" s="596" t="s">
        <v>534</v>
      </c>
      <c r="L1684" s="596" t="s">
        <v>592</v>
      </c>
      <c r="M1684" s="596" t="s">
        <v>566</v>
      </c>
      <c r="N1684" s="596" t="s">
        <v>670</v>
      </c>
      <c r="O1684" s="596" t="s">
        <v>670</v>
      </c>
      <c r="P1684" s="596" t="s">
        <v>524</v>
      </c>
      <c r="Q1684" s="596" t="s">
        <v>670</v>
      </c>
      <c r="R1684" s="597">
        <v>45867</v>
      </c>
      <c r="S1684" s="596" t="s">
        <v>278</v>
      </c>
      <c r="T1684" s="597">
        <v>45872</v>
      </c>
      <c r="U1684" s="598">
        <v>6</v>
      </c>
      <c r="V1684" s="599">
        <v>555.9</v>
      </c>
      <c r="W1684" s="260">
        <v>45870</v>
      </c>
      <c r="X1684" s="845"/>
    </row>
    <row r="1685" spans="1:24" hidden="1" x14ac:dyDescent="0.35">
      <c r="A1685" s="596" t="s">
        <v>526</v>
      </c>
      <c r="B1685" s="596" t="s">
        <v>53</v>
      </c>
      <c r="C1685" s="596" t="s">
        <v>530</v>
      </c>
      <c r="D1685" s="596" t="s">
        <v>531</v>
      </c>
      <c r="E1685" s="596" t="s">
        <v>532</v>
      </c>
      <c r="F1685" s="596" t="s">
        <v>276</v>
      </c>
      <c r="G1685" s="596" t="s">
        <v>356</v>
      </c>
      <c r="H1685" s="596" t="s">
        <v>565</v>
      </c>
      <c r="I1685" s="596" t="s">
        <v>277</v>
      </c>
      <c r="J1685" s="596" t="s">
        <v>524</v>
      </c>
      <c r="K1685" s="596" t="s">
        <v>534</v>
      </c>
      <c r="L1685" s="596" t="s">
        <v>592</v>
      </c>
      <c r="M1685" s="596" t="s">
        <v>566</v>
      </c>
      <c r="N1685" s="596" t="s">
        <v>670</v>
      </c>
      <c r="O1685" s="596" t="s">
        <v>670</v>
      </c>
      <c r="P1685" s="596" t="s">
        <v>524</v>
      </c>
      <c r="Q1685" s="596" t="s">
        <v>670</v>
      </c>
      <c r="R1685" s="597">
        <v>45868</v>
      </c>
      <c r="S1685" s="596" t="s">
        <v>278</v>
      </c>
      <c r="T1685" s="597">
        <v>45872</v>
      </c>
      <c r="U1685" s="598">
        <v>6</v>
      </c>
      <c r="V1685" s="599">
        <v>555.9</v>
      </c>
      <c r="W1685" s="260">
        <v>45870</v>
      </c>
      <c r="X1685" s="845"/>
    </row>
    <row r="1686" spans="1:24" hidden="1" x14ac:dyDescent="0.35">
      <c r="A1686" s="596" t="s">
        <v>526</v>
      </c>
      <c r="B1686" s="596" t="s">
        <v>53</v>
      </c>
      <c r="C1686" s="596" t="s">
        <v>530</v>
      </c>
      <c r="D1686" s="596" t="s">
        <v>531</v>
      </c>
      <c r="E1686" s="596" t="s">
        <v>532</v>
      </c>
      <c r="F1686" s="596" t="s">
        <v>276</v>
      </c>
      <c r="G1686" s="596" t="s">
        <v>356</v>
      </c>
      <c r="H1686" s="596" t="s">
        <v>565</v>
      </c>
      <c r="I1686" s="596" t="s">
        <v>277</v>
      </c>
      <c r="J1686" s="596" t="s">
        <v>524</v>
      </c>
      <c r="K1686" s="596" t="s">
        <v>534</v>
      </c>
      <c r="L1686" s="596" t="s">
        <v>592</v>
      </c>
      <c r="M1686" s="596" t="s">
        <v>566</v>
      </c>
      <c r="N1686" s="596" t="s">
        <v>670</v>
      </c>
      <c r="O1686" s="596" t="s">
        <v>670</v>
      </c>
      <c r="P1686" s="596" t="s">
        <v>524</v>
      </c>
      <c r="Q1686" s="596" t="s">
        <v>670</v>
      </c>
      <c r="R1686" s="597">
        <v>45870</v>
      </c>
      <c r="S1686" s="596" t="s">
        <v>278</v>
      </c>
      <c r="T1686" s="597">
        <v>45872</v>
      </c>
      <c r="U1686" s="598">
        <v>7</v>
      </c>
      <c r="V1686" s="599">
        <v>648.54999999999995</v>
      </c>
      <c r="W1686" s="260">
        <v>45870</v>
      </c>
      <c r="X1686" s="845"/>
    </row>
    <row r="1687" spans="1:24" hidden="1" x14ac:dyDescent="0.35">
      <c r="A1687" s="596" t="s">
        <v>526</v>
      </c>
      <c r="B1687" s="596" t="s">
        <v>53</v>
      </c>
      <c r="C1687" s="596" t="s">
        <v>530</v>
      </c>
      <c r="D1687" s="596" t="s">
        <v>531</v>
      </c>
      <c r="E1687" s="596" t="s">
        <v>532</v>
      </c>
      <c r="F1687" s="596" t="s">
        <v>276</v>
      </c>
      <c r="G1687" s="596" t="s">
        <v>356</v>
      </c>
      <c r="H1687" s="596" t="s">
        <v>565</v>
      </c>
      <c r="I1687" s="596" t="s">
        <v>277</v>
      </c>
      <c r="J1687" s="596" t="s">
        <v>524</v>
      </c>
      <c r="K1687" s="596" t="s">
        <v>534</v>
      </c>
      <c r="L1687" s="596" t="s">
        <v>592</v>
      </c>
      <c r="M1687" s="596" t="s">
        <v>566</v>
      </c>
      <c r="N1687" s="596" t="s">
        <v>670</v>
      </c>
      <c r="O1687" s="596" t="s">
        <v>670</v>
      </c>
      <c r="P1687" s="596" t="s">
        <v>524</v>
      </c>
      <c r="Q1687" s="596" t="s">
        <v>670</v>
      </c>
      <c r="R1687" s="597">
        <v>45877</v>
      </c>
      <c r="S1687" s="596" t="s">
        <v>278</v>
      </c>
      <c r="T1687" s="597">
        <v>45888</v>
      </c>
      <c r="U1687" s="598">
        <v>8</v>
      </c>
      <c r="V1687" s="599">
        <v>741.2</v>
      </c>
      <c r="W1687" s="260">
        <v>45870</v>
      </c>
      <c r="X1687" s="845"/>
    </row>
    <row r="1688" spans="1:24" hidden="1" x14ac:dyDescent="0.35">
      <c r="A1688" s="596" t="s">
        <v>526</v>
      </c>
      <c r="B1688" s="596" t="s">
        <v>53</v>
      </c>
      <c r="C1688" s="596" t="s">
        <v>530</v>
      </c>
      <c r="D1688" s="596" t="s">
        <v>531</v>
      </c>
      <c r="E1688" s="596" t="s">
        <v>532</v>
      </c>
      <c r="F1688" s="596" t="s">
        <v>276</v>
      </c>
      <c r="G1688" s="596" t="s">
        <v>356</v>
      </c>
      <c r="H1688" s="596" t="s">
        <v>565</v>
      </c>
      <c r="I1688" s="596" t="s">
        <v>277</v>
      </c>
      <c r="J1688" s="596" t="s">
        <v>524</v>
      </c>
      <c r="K1688" s="596" t="s">
        <v>534</v>
      </c>
      <c r="L1688" s="596" t="s">
        <v>592</v>
      </c>
      <c r="M1688" s="596" t="s">
        <v>566</v>
      </c>
      <c r="N1688" s="596" t="s">
        <v>670</v>
      </c>
      <c r="O1688" s="596" t="s">
        <v>670</v>
      </c>
      <c r="P1688" s="596" t="s">
        <v>524</v>
      </c>
      <c r="Q1688" s="596" t="s">
        <v>670</v>
      </c>
      <c r="R1688" s="597">
        <v>45876</v>
      </c>
      <c r="S1688" s="596" t="s">
        <v>278</v>
      </c>
      <c r="T1688" s="597">
        <v>45888</v>
      </c>
      <c r="U1688" s="598">
        <v>6</v>
      </c>
      <c r="V1688" s="599">
        <v>555.9</v>
      </c>
      <c r="W1688" s="260">
        <v>45870</v>
      </c>
      <c r="X1688" s="845"/>
    </row>
    <row r="1689" spans="1:24" hidden="1" x14ac:dyDescent="0.35">
      <c r="A1689" s="596" t="s">
        <v>526</v>
      </c>
      <c r="B1689" s="596" t="s">
        <v>53</v>
      </c>
      <c r="C1689" s="596" t="s">
        <v>530</v>
      </c>
      <c r="D1689" s="596" t="s">
        <v>531</v>
      </c>
      <c r="E1689" s="596" t="s">
        <v>532</v>
      </c>
      <c r="F1689" s="596" t="s">
        <v>276</v>
      </c>
      <c r="G1689" s="596" t="s">
        <v>356</v>
      </c>
      <c r="H1689" s="596" t="s">
        <v>565</v>
      </c>
      <c r="I1689" s="596" t="s">
        <v>277</v>
      </c>
      <c r="J1689" s="596" t="s">
        <v>524</v>
      </c>
      <c r="K1689" s="596" t="s">
        <v>534</v>
      </c>
      <c r="L1689" s="596" t="s">
        <v>592</v>
      </c>
      <c r="M1689" s="596" t="s">
        <v>566</v>
      </c>
      <c r="N1689" s="596" t="s">
        <v>670</v>
      </c>
      <c r="O1689" s="596" t="s">
        <v>670</v>
      </c>
      <c r="P1689" s="596" t="s">
        <v>524</v>
      </c>
      <c r="Q1689" s="596" t="s">
        <v>670</v>
      </c>
      <c r="R1689" s="597">
        <v>45875</v>
      </c>
      <c r="S1689" s="596" t="s">
        <v>278</v>
      </c>
      <c r="T1689" s="597">
        <v>45888</v>
      </c>
      <c r="U1689" s="598">
        <v>7</v>
      </c>
      <c r="V1689" s="599">
        <v>648.54999999999995</v>
      </c>
      <c r="W1689" s="260">
        <v>45870</v>
      </c>
      <c r="X1689" s="845"/>
    </row>
    <row r="1690" spans="1:24" hidden="1" x14ac:dyDescent="0.35">
      <c r="A1690" s="596" t="s">
        <v>526</v>
      </c>
      <c r="B1690" s="596" t="s">
        <v>53</v>
      </c>
      <c r="C1690" s="596" t="s">
        <v>530</v>
      </c>
      <c r="D1690" s="596" t="s">
        <v>531</v>
      </c>
      <c r="E1690" s="596" t="s">
        <v>532</v>
      </c>
      <c r="F1690" s="596" t="s">
        <v>276</v>
      </c>
      <c r="G1690" s="596" t="s">
        <v>356</v>
      </c>
      <c r="H1690" s="596" t="s">
        <v>565</v>
      </c>
      <c r="I1690" s="596" t="s">
        <v>277</v>
      </c>
      <c r="J1690" s="596" t="s">
        <v>524</v>
      </c>
      <c r="K1690" s="596" t="s">
        <v>534</v>
      </c>
      <c r="L1690" s="596" t="s">
        <v>592</v>
      </c>
      <c r="M1690" s="596" t="s">
        <v>566</v>
      </c>
      <c r="N1690" s="596" t="s">
        <v>670</v>
      </c>
      <c r="O1690" s="596" t="s">
        <v>670</v>
      </c>
      <c r="P1690" s="596" t="s">
        <v>524</v>
      </c>
      <c r="Q1690" s="596" t="s">
        <v>670</v>
      </c>
      <c r="R1690" s="597">
        <v>45874</v>
      </c>
      <c r="S1690" s="596" t="s">
        <v>278</v>
      </c>
      <c r="T1690" s="597">
        <v>45888</v>
      </c>
      <c r="U1690" s="598">
        <v>6</v>
      </c>
      <c r="V1690" s="599">
        <v>555.9</v>
      </c>
      <c r="W1690" s="260">
        <v>45870</v>
      </c>
      <c r="X1690" s="845"/>
    </row>
    <row r="1691" spans="1:24" hidden="1" x14ac:dyDescent="0.35">
      <c r="A1691" s="596" t="s">
        <v>526</v>
      </c>
      <c r="B1691" s="596" t="s">
        <v>53</v>
      </c>
      <c r="C1691" s="596" t="s">
        <v>530</v>
      </c>
      <c r="D1691" s="596" t="s">
        <v>531</v>
      </c>
      <c r="E1691" s="596" t="s">
        <v>532</v>
      </c>
      <c r="F1691" s="596" t="s">
        <v>276</v>
      </c>
      <c r="G1691" s="596" t="s">
        <v>356</v>
      </c>
      <c r="H1691" s="596" t="s">
        <v>565</v>
      </c>
      <c r="I1691" s="596" t="s">
        <v>277</v>
      </c>
      <c r="J1691" s="596" t="s">
        <v>524</v>
      </c>
      <c r="K1691" s="596" t="s">
        <v>534</v>
      </c>
      <c r="L1691" s="596" t="s">
        <v>592</v>
      </c>
      <c r="M1691" s="596" t="s">
        <v>566</v>
      </c>
      <c r="N1691" s="596" t="s">
        <v>670</v>
      </c>
      <c r="O1691" s="596" t="s">
        <v>670</v>
      </c>
      <c r="P1691" s="596" t="s">
        <v>524</v>
      </c>
      <c r="Q1691" s="596" t="s">
        <v>670</v>
      </c>
      <c r="R1691" s="597">
        <v>45873</v>
      </c>
      <c r="S1691" s="596" t="s">
        <v>278</v>
      </c>
      <c r="T1691" s="597">
        <v>45888</v>
      </c>
      <c r="U1691" s="598">
        <v>8</v>
      </c>
      <c r="V1691" s="599">
        <v>741.2</v>
      </c>
      <c r="W1691" s="260">
        <v>45870</v>
      </c>
      <c r="X1691" s="845"/>
    </row>
    <row r="1692" spans="1:24" hidden="1" x14ac:dyDescent="0.35">
      <c r="A1692" s="596" t="s">
        <v>526</v>
      </c>
      <c r="B1692" s="596" t="s">
        <v>53</v>
      </c>
      <c r="C1692" s="596" t="s">
        <v>530</v>
      </c>
      <c r="D1692" s="596" t="s">
        <v>531</v>
      </c>
      <c r="E1692" s="596" t="s">
        <v>532</v>
      </c>
      <c r="F1692" s="596" t="s">
        <v>276</v>
      </c>
      <c r="G1692" s="596" t="s">
        <v>356</v>
      </c>
      <c r="H1692" s="596" t="s">
        <v>565</v>
      </c>
      <c r="I1692" s="596" t="s">
        <v>277</v>
      </c>
      <c r="J1692" s="596" t="s">
        <v>524</v>
      </c>
      <c r="K1692" s="596" t="s">
        <v>534</v>
      </c>
      <c r="L1692" s="596" t="s">
        <v>592</v>
      </c>
      <c r="M1692" s="596" t="s">
        <v>566</v>
      </c>
      <c r="N1692" s="596" t="s">
        <v>670</v>
      </c>
      <c r="O1692" s="596" t="s">
        <v>670</v>
      </c>
      <c r="P1692" s="596" t="s">
        <v>524</v>
      </c>
      <c r="Q1692" s="596" t="s">
        <v>670</v>
      </c>
      <c r="R1692" s="597">
        <v>45884</v>
      </c>
      <c r="S1692" s="596" t="s">
        <v>278</v>
      </c>
      <c r="T1692" s="597">
        <v>45888</v>
      </c>
      <c r="U1692" s="598">
        <v>8</v>
      </c>
      <c r="V1692" s="599">
        <v>741.2</v>
      </c>
      <c r="W1692" s="260">
        <v>45870</v>
      </c>
      <c r="X1692" s="845"/>
    </row>
    <row r="1693" spans="1:24" hidden="1" x14ac:dyDescent="0.35">
      <c r="A1693" s="596" t="s">
        <v>526</v>
      </c>
      <c r="B1693" s="596" t="s">
        <v>53</v>
      </c>
      <c r="C1693" s="596" t="s">
        <v>530</v>
      </c>
      <c r="D1693" s="596" t="s">
        <v>531</v>
      </c>
      <c r="E1693" s="596" t="s">
        <v>532</v>
      </c>
      <c r="F1693" s="596" t="s">
        <v>276</v>
      </c>
      <c r="G1693" s="596" t="s">
        <v>356</v>
      </c>
      <c r="H1693" s="596" t="s">
        <v>565</v>
      </c>
      <c r="I1693" s="596" t="s">
        <v>277</v>
      </c>
      <c r="J1693" s="596" t="s">
        <v>524</v>
      </c>
      <c r="K1693" s="596" t="s">
        <v>534</v>
      </c>
      <c r="L1693" s="596" t="s">
        <v>592</v>
      </c>
      <c r="M1693" s="596" t="s">
        <v>566</v>
      </c>
      <c r="N1693" s="596" t="s">
        <v>670</v>
      </c>
      <c r="O1693" s="596" t="s">
        <v>670</v>
      </c>
      <c r="P1693" s="596" t="s">
        <v>524</v>
      </c>
      <c r="Q1693" s="596" t="s">
        <v>670</v>
      </c>
      <c r="R1693" s="597">
        <v>45880</v>
      </c>
      <c r="S1693" s="596" t="s">
        <v>278</v>
      </c>
      <c r="T1693" s="597">
        <v>45888</v>
      </c>
      <c r="U1693" s="598">
        <v>7</v>
      </c>
      <c r="V1693" s="599">
        <v>648.54999999999995</v>
      </c>
      <c r="W1693" s="260">
        <v>45870</v>
      </c>
      <c r="X1693" s="845"/>
    </row>
    <row r="1694" spans="1:24" hidden="1" x14ac:dyDescent="0.35">
      <c r="A1694" s="596" t="s">
        <v>526</v>
      </c>
      <c r="B1694" s="596" t="s">
        <v>53</v>
      </c>
      <c r="C1694" s="596" t="s">
        <v>530</v>
      </c>
      <c r="D1694" s="596" t="s">
        <v>531</v>
      </c>
      <c r="E1694" s="596" t="s">
        <v>532</v>
      </c>
      <c r="F1694" s="596" t="s">
        <v>276</v>
      </c>
      <c r="G1694" s="596" t="s">
        <v>356</v>
      </c>
      <c r="H1694" s="596" t="s">
        <v>565</v>
      </c>
      <c r="I1694" s="596" t="s">
        <v>277</v>
      </c>
      <c r="J1694" s="596" t="s">
        <v>524</v>
      </c>
      <c r="K1694" s="596" t="s">
        <v>534</v>
      </c>
      <c r="L1694" s="596" t="s">
        <v>592</v>
      </c>
      <c r="M1694" s="596" t="s">
        <v>566</v>
      </c>
      <c r="N1694" s="596" t="s">
        <v>670</v>
      </c>
      <c r="O1694" s="596" t="s">
        <v>670</v>
      </c>
      <c r="P1694" s="596" t="s">
        <v>524</v>
      </c>
      <c r="Q1694" s="596" t="s">
        <v>670</v>
      </c>
      <c r="R1694" s="597">
        <v>45882</v>
      </c>
      <c r="S1694" s="596" t="s">
        <v>278</v>
      </c>
      <c r="T1694" s="597">
        <v>45888</v>
      </c>
      <c r="U1694" s="598">
        <v>6</v>
      </c>
      <c r="V1694" s="599">
        <v>555.9</v>
      </c>
      <c r="W1694" s="260">
        <v>45870</v>
      </c>
      <c r="X1694" s="845"/>
    </row>
    <row r="1695" spans="1:24" hidden="1" x14ac:dyDescent="0.35">
      <c r="A1695" s="596" t="s">
        <v>526</v>
      </c>
      <c r="B1695" s="596" t="s">
        <v>53</v>
      </c>
      <c r="C1695" s="596" t="s">
        <v>530</v>
      </c>
      <c r="D1695" s="596" t="s">
        <v>531</v>
      </c>
      <c r="E1695" s="596" t="s">
        <v>532</v>
      </c>
      <c r="F1695" s="596" t="s">
        <v>276</v>
      </c>
      <c r="G1695" s="596" t="s">
        <v>356</v>
      </c>
      <c r="H1695" s="596" t="s">
        <v>565</v>
      </c>
      <c r="I1695" s="596" t="s">
        <v>277</v>
      </c>
      <c r="J1695" s="596" t="s">
        <v>524</v>
      </c>
      <c r="K1695" s="596" t="s">
        <v>534</v>
      </c>
      <c r="L1695" s="596" t="s">
        <v>592</v>
      </c>
      <c r="M1695" s="596" t="s">
        <v>566</v>
      </c>
      <c r="N1695" s="596" t="s">
        <v>670</v>
      </c>
      <c r="O1695" s="596" t="s">
        <v>670</v>
      </c>
      <c r="P1695" s="596" t="s">
        <v>524</v>
      </c>
      <c r="Q1695" s="596" t="s">
        <v>670</v>
      </c>
      <c r="R1695" s="597">
        <v>45883</v>
      </c>
      <c r="S1695" s="596" t="s">
        <v>278</v>
      </c>
      <c r="T1695" s="597">
        <v>45888</v>
      </c>
      <c r="U1695" s="598">
        <v>6</v>
      </c>
      <c r="V1695" s="599">
        <v>555.9</v>
      </c>
      <c r="W1695" s="260">
        <v>45870</v>
      </c>
      <c r="X1695" s="845"/>
    </row>
    <row r="1696" spans="1:24" hidden="1" x14ac:dyDescent="0.35">
      <c r="A1696" s="596" t="s">
        <v>526</v>
      </c>
      <c r="B1696" s="596" t="s">
        <v>53</v>
      </c>
      <c r="C1696" s="596" t="s">
        <v>530</v>
      </c>
      <c r="D1696" s="596" t="s">
        <v>531</v>
      </c>
      <c r="E1696" s="596" t="s">
        <v>532</v>
      </c>
      <c r="F1696" s="596" t="s">
        <v>276</v>
      </c>
      <c r="G1696" s="596" t="s">
        <v>356</v>
      </c>
      <c r="H1696" s="596" t="s">
        <v>565</v>
      </c>
      <c r="I1696" s="596" t="s">
        <v>277</v>
      </c>
      <c r="J1696" s="596" t="s">
        <v>524</v>
      </c>
      <c r="K1696" s="596" t="s">
        <v>534</v>
      </c>
      <c r="L1696" s="596" t="s">
        <v>592</v>
      </c>
      <c r="M1696" s="596" t="s">
        <v>566</v>
      </c>
      <c r="N1696" s="596" t="s">
        <v>670</v>
      </c>
      <c r="O1696" s="596" t="s">
        <v>670</v>
      </c>
      <c r="P1696" s="596" t="s">
        <v>524</v>
      </c>
      <c r="Q1696" s="596" t="s">
        <v>670</v>
      </c>
      <c r="R1696" s="597">
        <v>45891</v>
      </c>
      <c r="S1696" s="596" t="s">
        <v>278</v>
      </c>
      <c r="T1696" s="597">
        <v>45895</v>
      </c>
      <c r="U1696" s="598">
        <v>7</v>
      </c>
      <c r="V1696" s="599">
        <v>648.54999999999995</v>
      </c>
      <c r="W1696" s="260">
        <v>45870</v>
      </c>
      <c r="X1696" s="845"/>
    </row>
    <row r="1697" spans="1:24" hidden="1" x14ac:dyDescent="0.35">
      <c r="A1697" s="596" t="s">
        <v>526</v>
      </c>
      <c r="B1697" s="596" t="s">
        <v>53</v>
      </c>
      <c r="C1697" s="596" t="s">
        <v>530</v>
      </c>
      <c r="D1697" s="596" t="s">
        <v>531</v>
      </c>
      <c r="E1697" s="596" t="s">
        <v>532</v>
      </c>
      <c r="F1697" s="596" t="s">
        <v>276</v>
      </c>
      <c r="G1697" s="596" t="s">
        <v>356</v>
      </c>
      <c r="H1697" s="596" t="s">
        <v>565</v>
      </c>
      <c r="I1697" s="596" t="s">
        <v>277</v>
      </c>
      <c r="J1697" s="596" t="s">
        <v>524</v>
      </c>
      <c r="K1697" s="596" t="s">
        <v>534</v>
      </c>
      <c r="L1697" s="596" t="s">
        <v>592</v>
      </c>
      <c r="M1697" s="596" t="s">
        <v>566</v>
      </c>
      <c r="N1697" s="596" t="s">
        <v>670</v>
      </c>
      <c r="O1697" s="596" t="s">
        <v>670</v>
      </c>
      <c r="P1697" s="596" t="s">
        <v>524</v>
      </c>
      <c r="Q1697" s="596" t="s">
        <v>670</v>
      </c>
      <c r="R1697" s="597">
        <v>45890</v>
      </c>
      <c r="S1697" s="596" t="s">
        <v>278</v>
      </c>
      <c r="T1697" s="597">
        <v>45895</v>
      </c>
      <c r="U1697" s="598">
        <v>6</v>
      </c>
      <c r="V1697" s="599">
        <v>555.9</v>
      </c>
      <c r="W1697" s="260">
        <v>45870</v>
      </c>
      <c r="X1697" s="845"/>
    </row>
    <row r="1698" spans="1:24" hidden="1" x14ac:dyDescent="0.35">
      <c r="A1698" s="596" t="s">
        <v>526</v>
      </c>
      <c r="B1698" s="596" t="s">
        <v>53</v>
      </c>
      <c r="C1698" s="596" t="s">
        <v>530</v>
      </c>
      <c r="D1698" s="596" t="s">
        <v>531</v>
      </c>
      <c r="E1698" s="596" t="s">
        <v>532</v>
      </c>
      <c r="F1698" s="596" t="s">
        <v>276</v>
      </c>
      <c r="G1698" s="596" t="s">
        <v>356</v>
      </c>
      <c r="H1698" s="596" t="s">
        <v>565</v>
      </c>
      <c r="I1698" s="596" t="s">
        <v>277</v>
      </c>
      <c r="J1698" s="596" t="s">
        <v>524</v>
      </c>
      <c r="K1698" s="596" t="s">
        <v>534</v>
      </c>
      <c r="L1698" s="596" t="s">
        <v>592</v>
      </c>
      <c r="M1698" s="596" t="s">
        <v>566</v>
      </c>
      <c r="N1698" s="596" t="s">
        <v>670</v>
      </c>
      <c r="O1698" s="596" t="s">
        <v>670</v>
      </c>
      <c r="P1698" s="596" t="s">
        <v>524</v>
      </c>
      <c r="Q1698" s="596" t="s">
        <v>670</v>
      </c>
      <c r="R1698" s="597">
        <v>45889</v>
      </c>
      <c r="S1698" s="596" t="s">
        <v>278</v>
      </c>
      <c r="T1698" s="597">
        <v>45895</v>
      </c>
      <c r="U1698" s="598">
        <v>8</v>
      </c>
      <c r="V1698" s="599">
        <v>741.2</v>
      </c>
      <c r="W1698" s="260">
        <v>45870</v>
      </c>
      <c r="X1698" s="845"/>
    </row>
    <row r="1699" spans="1:24" hidden="1" x14ac:dyDescent="0.35">
      <c r="A1699" s="596" t="s">
        <v>526</v>
      </c>
      <c r="B1699" s="596" t="s">
        <v>53</v>
      </c>
      <c r="C1699" s="596" t="s">
        <v>530</v>
      </c>
      <c r="D1699" s="596" t="s">
        <v>531</v>
      </c>
      <c r="E1699" s="596" t="s">
        <v>532</v>
      </c>
      <c r="F1699" s="596" t="s">
        <v>276</v>
      </c>
      <c r="G1699" s="596" t="s">
        <v>356</v>
      </c>
      <c r="H1699" s="596" t="s">
        <v>565</v>
      </c>
      <c r="I1699" s="596" t="s">
        <v>277</v>
      </c>
      <c r="J1699" s="596" t="s">
        <v>524</v>
      </c>
      <c r="K1699" s="596" t="s">
        <v>534</v>
      </c>
      <c r="L1699" s="596" t="s">
        <v>592</v>
      </c>
      <c r="M1699" s="596" t="s">
        <v>566</v>
      </c>
      <c r="N1699" s="596" t="s">
        <v>670</v>
      </c>
      <c r="O1699" s="596" t="s">
        <v>670</v>
      </c>
      <c r="P1699" s="596" t="s">
        <v>524</v>
      </c>
      <c r="Q1699" s="596" t="s">
        <v>670</v>
      </c>
      <c r="R1699" s="597">
        <v>45888</v>
      </c>
      <c r="S1699" s="596" t="s">
        <v>278</v>
      </c>
      <c r="T1699" s="597">
        <v>45895</v>
      </c>
      <c r="U1699" s="598">
        <v>6</v>
      </c>
      <c r="V1699" s="599">
        <v>555.9</v>
      </c>
      <c r="W1699" s="260">
        <v>45870</v>
      </c>
      <c r="X1699" s="845"/>
    </row>
    <row r="1700" spans="1:24" hidden="1" x14ac:dyDescent="0.35">
      <c r="A1700" s="596" t="s">
        <v>526</v>
      </c>
      <c r="B1700" s="596" t="s">
        <v>53</v>
      </c>
      <c r="C1700" s="596" t="s">
        <v>530</v>
      </c>
      <c r="D1700" s="596" t="s">
        <v>531</v>
      </c>
      <c r="E1700" s="596" t="s">
        <v>532</v>
      </c>
      <c r="F1700" s="596" t="s">
        <v>276</v>
      </c>
      <c r="G1700" s="596" t="s">
        <v>356</v>
      </c>
      <c r="H1700" s="596" t="s">
        <v>565</v>
      </c>
      <c r="I1700" s="596" t="s">
        <v>277</v>
      </c>
      <c r="J1700" s="596" t="s">
        <v>524</v>
      </c>
      <c r="K1700" s="596" t="s">
        <v>534</v>
      </c>
      <c r="L1700" s="596" t="s">
        <v>592</v>
      </c>
      <c r="M1700" s="596" t="s">
        <v>566</v>
      </c>
      <c r="N1700" s="596" t="s">
        <v>670</v>
      </c>
      <c r="O1700" s="596" t="s">
        <v>670</v>
      </c>
      <c r="P1700" s="596" t="s">
        <v>524</v>
      </c>
      <c r="Q1700" s="596" t="s">
        <v>670</v>
      </c>
      <c r="R1700" s="597">
        <v>45887</v>
      </c>
      <c r="S1700" s="596" t="s">
        <v>278</v>
      </c>
      <c r="T1700" s="597">
        <v>45895</v>
      </c>
      <c r="U1700" s="598">
        <v>6</v>
      </c>
      <c r="V1700" s="599">
        <v>555.9</v>
      </c>
      <c r="W1700" s="260">
        <v>45870</v>
      </c>
      <c r="X1700" s="845"/>
    </row>
    <row r="1701" spans="1:24" hidden="1" x14ac:dyDescent="0.35">
      <c r="A1701" s="618" t="s">
        <v>748</v>
      </c>
      <c r="B1701" s="618" t="s">
        <v>53</v>
      </c>
      <c r="C1701" s="618"/>
      <c r="D1701" s="618" t="s">
        <v>385</v>
      </c>
      <c r="E1701" s="618" t="s">
        <v>386</v>
      </c>
      <c r="F1701" s="618" t="s">
        <v>276</v>
      </c>
      <c r="G1701" s="618" t="s">
        <v>356</v>
      </c>
      <c r="H1701" s="618"/>
      <c r="I1701" s="618" t="s">
        <v>277</v>
      </c>
      <c r="J1701" s="618" t="s">
        <v>654</v>
      </c>
      <c r="K1701" s="618"/>
      <c r="L1701" s="618" t="s">
        <v>592</v>
      </c>
      <c r="M1701" s="618" t="s">
        <v>285</v>
      </c>
      <c r="N1701" s="645" t="s">
        <v>747</v>
      </c>
      <c r="O1701" s="618">
        <v>5000060473</v>
      </c>
      <c r="P1701" s="618" t="s">
        <v>654</v>
      </c>
      <c r="Q1701" s="618" t="s">
        <v>387</v>
      </c>
      <c r="R1701" s="619">
        <v>45875</v>
      </c>
      <c r="S1701" s="618" t="s">
        <v>388</v>
      </c>
      <c r="T1701" s="619">
        <v>45889</v>
      </c>
      <c r="U1701" s="620">
        <v>1</v>
      </c>
      <c r="V1701" s="621">
        <v>4620</v>
      </c>
      <c r="W1701" s="260">
        <v>45870</v>
      </c>
    </row>
    <row r="1702" spans="1:24" hidden="1" x14ac:dyDescent="0.35">
      <c r="A1702" s="618" t="s">
        <v>748</v>
      </c>
      <c r="B1702" s="618" t="s">
        <v>53</v>
      </c>
      <c r="C1702" s="618"/>
      <c r="D1702" s="618" t="s">
        <v>385</v>
      </c>
      <c r="E1702" s="618" t="s">
        <v>386</v>
      </c>
      <c r="F1702" s="618" t="s">
        <v>276</v>
      </c>
      <c r="G1702" s="618" t="s">
        <v>356</v>
      </c>
      <c r="H1702" s="618"/>
      <c r="I1702" s="618" t="s">
        <v>277</v>
      </c>
      <c r="J1702" s="618" t="s">
        <v>654</v>
      </c>
      <c r="K1702" s="618"/>
      <c r="L1702" s="618" t="s">
        <v>597</v>
      </c>
      <c r="M1702" s="618" t="s">
        <v>285</v>
      </c>
      <c r="N1702" s="618" t="s">
        <v>747</v>
      </c>
      <c r="O1702" s="618" t="s">
        <v>675</v>
      </c>
      <c r="P1702" s="618" t="s">
        <v>654</v>
      </c>
      <c r="Q1702" s="618" t="s">
        <v>387</v>
      </c>
      <c r="R1702" s="619">
        <v>45908</v>
      </c>
      <c r="S1702" s="618" t="s">
        <v>388</v>
      </c>
      <c r="T1702" s="619">
        <v>45923</v>
      </c>
      <c r="U1702" s="620">
        <v>1</v>
      </c>
      <c r="V1702" s="621">
        <v>4410</v>
      </c>
      <c r="W1702" s="627">
        <v>45901</v>
      </c>
    </row>
    <row r="1703" spans="1:24" hidden="1" x14ac:dyDescent="0.35">
      <c r="A1703" s="622" t="s">
        <v>526</v>
      </c>
      <c r="B1703" s="622" t="s">
        <v>53</v>
      </c>
      <c r="C1703" s="622" t="s">
        <v>670</v>
      </c>
      <c r="D1703" s="622" t="s">
        <v>385</v>
      </c>
      <c r="E1703" s="622" t="s">
        <v>386</v>
      </c>
      <c r="F1703" s="622" t="s">
        <v>276</v>
      </c>
      <c r="G1703" s="622" t="s">
        <v>356</v>
      </c>
      <c r="H1703" s="622" t="s">
        <v>670</v>
      </c>
      <c r="I1703" s="622" t="s">
        <v>277</v>
      </c>
      <c r="J1703" s="622" t="s">
        <v>577</v>
      </c>
      <c r="K1703" s="622" t="s">
        <v>670</v>
      </c>
      <c r="L1703" s="622" t="s">
        <v>597</v>
      </c>
      <c r="M1703" s="622" t="s">
        <v>285</v>
      </c>
      <c r="N1703" s="622" t="s">
        <v>733</v>
      </c>
      <c r="O1703" s="762">
        <v>7000001145</v>
      </c>
      <c r="P1703" s="763" t="s">
        <v>577</v>
      </c>
      <c r="Q1703" s="763" t="s">
        <v>387</v>
      </c>
      <c r="R1703" s="764">
        <v>45909</v>
      </c>
      <c r="S1703" s="763" t="s">
        <v>388</v>
      </c>
      <c r="T1703" s="764">
        <v>45926</v>
      </c>
      <c r="U1703" s="765">
        <v>1</v>
      </c>
      <c r="V1703" s="766">
        <v>1792</v>
      </c>
      <c r="W1703" s="627">
        <v>45901</v>
      </c>
    </row>
    <row r="1704" spans="1:24" ht="15" hidden="1" thickBot="1" x14ac:dyDescent="0.4">
      <c r="A1704" s="622" t="s">
        <v>526</v>
      </c>
      <c r="B1704" s="622" t="s">
        <v>53</v>
      </c>
      <c r="C1704" s="622" t="s">
        <v>670</v>
      </c>
      <c r="D1704" s="622" t="s">
        <v>385</v>
      </c>
      <c r="E1704" s="622" t="s">
        <v>386</v>
      </c>
      <c r="F1704" s="622" t="s">
        <v>276</v>
      </c>
      <c r="G1704" s="622" t="s">
        <v>356</v>
      </c>
      <c r="H1704" s="622" t="s">
        <v>670</v>
      </c>
      <c r="I1704" s="622" t="s">
        <v>277</v>
      </c>
      <c r="J1704" s="622" t="s">
        <v>577</v>
      </c>
      <c r="K1704" s="622" t="s">
        <v>670</v>
      </c>
      <c r="L1704" s="622" t="s">
        <v>597</v>
      </c>
      <c r="M1704" s="622" t="s">
        <v>285</v>
      </c>
      <c r="N1704" s="622" t="s">
        <v>733</v>
      </c>
      <c r="O1704" s="767">
        <v>7000001145</v>
      </c>
      <c r="P1704" s="767" t="s">
        <v>577</v>
      </c>
      <c r="Q1704" s="767" t="s">
        <v>387</v>
      </c>
      <c r="R1704" s="768">
        <v>45853</v>
      </c>
      <c r="S1704" s="767" t="s">
        <v>388</v>
      </c>
      <c r="T1704" s="768">
        <v>45926</v>
      </c>
      <c r="U1704" s="769">
        <v>1</v>
      </c>
      <c r="V1704" s="770">
        <v>3584</v>
      </c>
      <c r="W1704" s="771">
        <v>45901</v>
      </c>
    </row>
    <row r="1705" spans="1:24" hidden="1" x14ac:dyDescent="0.35">
      <c r="A1705" s="622" t="s">
        <v>526</v>
      </c>
      <c r="B1705" s="622" t="s">
        <v>159</v>
      </c>
      <c r="C1705" s="622" t="s">
        <v>281</v>
      </c>
      <c r="D1705" s="622" t="s">
        <v>282</v>
      </c>
      <c r="E1705" s="622" t="s">
        <v>283</v>
      </c>
      <c r="F1705" s="622" t="s">
        <v>276</v>
      </c>
      <c r="G1705" s="622" t="s">
        <v>356</v>
      </c>
      <c r="H1705" s="622" t="s">
        <v>670</v>
      </c>
      <c r="I1705" s="622" t="s">
        <v>277</v>
      </c>
      <c r="J1705" s="622" t="s">
        <v>522</v>
      </c>
      <c r="K1705" s="622" t="s">
        <v>284</v>
      </c>
      <c r="L1705" s="622" t="s">
        <v>597</v>
      </c>
      <c r="M1705" s="622" t="s">
        <v>285</v>
      </c>
      <c r="N1705" s="622" t="s">
        <v>670</v>
      </c>
      <c r="O1705" s="622" t="s">
        <v>670</v>
      </c>
      <c r="P1705" s="622" t="s">
        <v>522</v>
      </c>
      <c r="Q1705" s="622" t="s">
        <v>670</v>
      </c>
      <c r="R1705" s="623">
        <v>45931</v>
      </c>
      <c r="S1705" s="622" t="s">
        <v>670</v>
      </c>
      <c r="T1705" s="623">
        <v>45930</v>
      </c>
      <c r="U1705" s="624">
        <v>0</v>
      </c>
      <c r="V1705" s="625">
        <v>725.1</v>
      </c>
      <c r="W1705" s="627">
        <v>45901</v>
      </c>
    </row>
    <row r="1706" spans="1:24" hidden="1" x14ac:dyDescent="0.35">
      <c r="A1706" s="622" t="s">
        <v>526</v>
      </c>
      <c r="B1706" s="622" t="s">
        <v>159</v>
      </c>
      <c r="C1706" s="622" t="s">
        <v>286</v>
      </c>
      <c r="D1706" s="622" t="s">
        <v>287</v>
      </c>
      <c r="E1706" s="622" t="s">
        <v>288</v>
      </c>
      <c r="F1706" s="622" t="s">
        <v>276</v>
      </c>
      <c r="G1706" s="622" t="s">
        <v>356</v>
      </c>
      <c r="H1706" s="622" t="s">
        <v>670</v>
      </c>
      <c r="I1706" s="622" t="s">
        <v>277</v>
      </c>
      <c r="J1706" s="622" t="s">
        <v>522</v>
      </c>
      <c r="K1706" s="622" t="s">
        <v>289</v>
      </c>
      <c r="L1706" s="622" t="s">
        <v>597</v>
      </c>
      <c r="M1706" s="622" t="s">
        <v>285</v>
      </c>
      <c r="N1706" s="622" t="s">
        <v>670</v>
      </c>
      <c r="O1706" s="622" t="s">
        <v>670</v>
      </c>
      <c r="P1706" s="622" t="s">
        <v>522</v>
      </c>
      <c r="Q1706" s="622" t="s">
        <v>670</v>
      </c>
      <c r="R1706" s="623">
        <v>45931</v>
      </c>
      <c r="S1706" s="622" t="s">
        <v>670</v>
      </c>
      <c r="T1706" s="623">
        <v>45930</v>
      </c>
      <c r="U1706" s="624">
        <v>0</v>
      </c>
      <c r="V1706" s="625">
        <v>2033.91</v>
      </c>
      <c r="W1706" s="627">
        <v>45901</v>
      </c>
    </row>
    <row r="1707" spans="1:24" hidden="1" x14ac:dyDescent="0.35">
      <c r="A1707" s="622" t="s">
        <v>526</v>
      </c>
      <c r="B1707" s="622" t="s">
        <v>159</v>
      </c>
      <c r="C1707" s="622" t="s">
        <v>281</v>
      </c>
      <c r="D1707" s="622" t="s">
        <v>290</v>
      </c>
      <c r="E1707" s="622" t="s">
        <v>291</v>
      </c>
      <c r="F1707" s="622" t="s">
        <v>276</v>
      </c>
      <c r="G1707" s="622" t="s">
        <v>356</v>
      </c>
      <c r="H1707" s="622" t="s">
        <v>670</v>
      </c>
      <c r="I1707" s="622" t="s">
        <v>277</v>
      </c>
      <c r="J1707" s="622" t="s">
        <v>522</v>
      </c>
      <c r="K1707" s="622" t="s">
        <v>284</v>
      </c>
      <c r="L1707" s="622" t="s">
        <v>597</v>
      </c>
      <c r="M1707" s="622" t="s">
        <v>285</v>
      </c>
      <c r="N1707" s="622" t="s">
        <v>670</v>
      </c>
      <c r="O1707" s="622" t="s">
        <v>670</v>
      </c>
      <c r="P1707" s="622" t="s">
        <v>522</v>
      </c>
      <c r="Q1707" s="622" t="s">
        <v>670</v>
      </c>
      <c r="R1707" s="623">
        <v>45931</v>
      </c>
      <c r="S1707" s="622" t="s">
        <v>670</v>
      </c>
      <c r="T1707" s="623">
        <v>45930</v>
      </c>
      <c r="U1707" s="624">
        <v>0</v>
      </c>
      <c r="V1707" s="625">
        <v>468.59</v>
      </c>
      <c r="W1707" s="627">
        <v>45901</v>
      </c>
    </row>
    <row r="1708" spans="1:24" hidden="1" x14ac:dyDescent="0.35">
      <c r="A1708" s="622" t="s">
        <v>526</v>
      </c>
      <c r="B1708" s="622" t="s">
        <v>159</v>
      </c>
      <c r="C1708" s="622" t="s">
        <v>281</v>
      </c>
      <c r="D1708" s="622" t="s">
        <v>292</v>
      </c>
      <c r="E1708" s="622" t="s">
        <v>293</v>
      </c>
      <c r="F1708" s="622" t="s">
        <v>276</v>
      </c>
      <c r="G1708" s="622" t="s">
        <v>356</v>
      </c>
      <c r="H1708" s="622" t="s">
        <v>670</v>
      </c>
      <c r="I1708" s="622" t="s">
        <v>277</v>
      </c>
      <c r="J1708" s="622" t="s">
        <v>522</v>
      </c>
      <c r="K1708" s="622" t="s">
        <v>294</v>
      </c>
      <c r="L1708" s="622" t="s">
        <v>597</v>
      </c>
      <c r="M1708" s="622" t="s">
        <v>285</v>
      </c>
      <c r="N1708" s="622" t="s">
        <v>670</v>
      </c>
      <c r="O1708" s="622" t="s">
        <v>670</v>
      </c>
      <c r="P1708" s="622" t="s">
        <v>522</v>
      </c>
      <c r="Q1708" s="622" t="s">
        <v>670</v>
      </c>
      <c r="R1708" s="623">
        <v>45931</v>
      </c>
      <c r="S1708" s="622" t="s">
        <v>670</v>
      </c>
      <c r="T1708" s="623">
        <v>45930</v>
      </c>
      <c r="U1708" s="624">
        <v>0</v>
      </c>
      <c r="V1708" s="625">
        <v>518.07000000000005</v>
      </c>
      <c r="W1708" s="627">
        <v>45901</v>
      </c>
    </row>
    <row r="1709" spans="1:24" hidden="1" x14ac:dyDescent="0.35">
      <c r="A1709" s="622" t="s">
        <v>526</v>
      </c>
      <c r="B1709" s="622" t="s">
        <v>159</v>
      </c>
      <c r="C1709" s="622" t="s">
        <v>286</v>
      </c>
      <c r="D1709" s="622" t="s">
        <v>295</v>
      </c>
      <c r="E1709" s="622" t="s">
        <v>296</v>
      </c>
      <c r="F1709" s="622" t="s">
        <v>276</v>
      </c>
      <c r="G1709" s="622" t="s">
        <v>356</v>
      </c>
      <c r="H1709" s="622" t="s">
        <v>670</v>
      </c>
      <c r="I1709" s="622" t="s">
        <v>277</v>
      </c>
      <c r="J1709" s="622" t="s">
        <v>522</v>
      </c>
      <c r="K1709" s="622" t="s">
        <v>297</v>
      </c>
      <c r="L1709" s="622" t="s">
        <v>597</v>
      </c>
      <c r="M1709" s="622" t="s">
        <v>285</v>
      </c>
      <c r="N1709" s="622" t="s">
        <v>670</v>
      </c>
      <c r="O1709" s="622" t="s">
        <v>670</v>
      </c>
      <c r="P1709" s="622" t="s">
        <v>522</v>
      </c>
      <c r="Q1709" s="622" t="s">
        <v>670</v>
      </c>
      <c r="R1709" s="623">
        <v>45931</v>
      </c>
      <c r="S1709" s="622" t="s">
        <v>670</v>
      </c>
      <c r="T1709" s="623">
        <v>45930</v>
      </c>
      <c r="U1709" s="624">
        <v>0</v>
      </c>
      <c r="V1709" s="625">
        <v>1108.8499999999999</v>
      </c>
      <c r="W1709" s="627">
        <v>45901</v>
      </c>
    </row>
    <row r="1710" spans="1:24" hidden="1" x14ac:dyDescent="0.35">
      <c r="A1710" s="622" t="s">
        <v>526</v>
      </c>
      <c r="B1710" s="622" t="s">
        <v>159</v>
      </c>
      <c r="C1710" s="622" t="s">
        <v>298</v>
      </c>
      <c r="D1710" s="622" t="s">
        <v>299</v>
      </c>
      <c r="E1710" s="622" t="s">
        <v>300</v>
      </c>
      <c r="F1710" s="622" t="s">
        <v>276</v>
      </c>
      <c r="G1710" s="622" t="s">
        <v>356</v>
      </c>
      <c r="H1710" s="622" t="s">
        <v>670</v>
      </c>
      <c r="I1710" s="622" t="s">
        <v>277</v>
      </c>
      <c r="J1710" s="622" t="s">
        <v>522</v>
      </c>
      <c r="K1710" s="622" t="s">
        <v>301</v>
      </c>
      <c r="L1710" s="622" t="s">
        <v>597</v>
      </c>
      <c r="M1710" s="622" t="s">
        <v>285</v>
      </c>
      <c r="N1710" s="622" t="s">
        <v>670</v>
      </c>
      <c r="O1710" s="622" t="s">
        <v>670</v>
      </c>
      <c r="P1710" s="622" t="s">
        <v>522</v>
      </c>
      <c r="Q1710" s="622" t="s">
        <v>670</v>
      </c>
      <c r="R1710" s="623">
        <v>45932</v>
      </c>
      <c r="S1710" s="622" t="s">
        <v>670</v>
      </c>
      <c r="T1710" s="623">
        <v>45930</v>
      </c>
      <c r="U1710" s="624">
        <v>0</v>
      </c>
      <c r="V1710" s="625">
        <v>0.01</v>
      </c>
      <c r="W1710" s="627">
        <v>45901</v>
      </c>
    </row>
    <row r="1711" spans="1:24" hidden="1" x14ac:dyDescent="0.35">
      <c r="A1711" s="622" t="s">
        <v>526</v>
      </c>
      <c r="B1711" s="622" t="s">
        <v>159</v>
      </c>
      <c r="C1711" s="622" t="s">
        <v>298</v>
      </c>
      <c r="D1711" s="622" t="s">
        <v>299</v>
      </c>
      <c r="E1711" s="622" t="s">
        <v>300</v>
      </c>
      <c r="F1711" s="622" t="s">
        <v>276</v>
      </c>
      <c r="G1711" s="622" t="s">
        <v>356</v>
      </c>
      <c r="H1711" s="622" t="s">
        <v>670</v>
      </c>
      <c r="I1711" s="622" t="s">
        <v>277</v>
      </c>
      <c r="J1711" s="622" t="s">
        <v>522</v>
      </c>
      <c r="K1711" s="622" t="s">
        <v>301</v>
      </c>
      <c r="L1711" s="622" t="s">
        <v>597</v>
      </c>
      <c r="M1711" s="622" t="s">
        <v>285</v>
      </c>
      <c r="N1711" s="622" t="s">
        <v>670</v>
      </c>
      <c r="O1711" s="622" t="s">
        <v>670</v>
      </c>
      <c r="P1711" s="622" t="s">
        <v>522</v>
      </c>
      <c r="Q1711" s="622" t="s">
        <v>670</v>
      </c>
      <c r="R1711" s="623">
        <v>45932</v>
      </c>
      <c r="S1711" s="622" t="s">
        <v>670</v>
      </c>
      <c r="T1711" s="623">
        <v>45930</v>
      </c>
      <c r="U1711" s="624">
        <v>0</v>
      </c>
      <c r="V1711" s="625">
        <v>0.81</v>
      </c>
      <c r="W1711" s="627">
        <v>45901</v>
      </c>
    </row>
    <row r="1712" spans="1:24" hidden="1" x14ac:dyDescent="0.35">
      <c r="A1712" s="622" t="s">
        <v>526</v>
      </c>
      <c r="B1712" s="622" t="s">
        <v>159</v>
      </c>
      <c r="C1712" s="622" t="s">
        <v>298</v>
      </c>
      <c r="D1712" s="622" t="s">
        <v>304</v>
      </c>
      <c r="E1712" s="622" t="s">
        <v>305</v>
      </c>
      <c r="F1712" s="622" t="s">
        <v>276</v>
      </c>
      <c r="G1712" s="622" t="s">
        <v>356</v>
      </c>
      <c r="H1712" s="622" t="s">
        <v>670</v>
      </c>
      <c r="I1712" s="622" t="s">
        <v>277</v>
      </c>
      <c r="J1712" s="622" t="s">
        <v>522</v>
      </c>
      <c r="K1712" s="622" t="s">
        <v>301</v>
      </c>
      <c r="L1712" s="622" t="s">
        <v>597</v>
      </c>
      <c r="M1712" s="622" t="s">
        <v>285</v>
      </c>
      <c r="N1712" s="622" t="s">
        <v>670</v>
      </c>
      <c r="O1712" s="622" t="s">
        <v>670</v>
      </c>
      <c r="P1712" s="622" t="s">
        <v>522</v>
      </c>
      <c r="Q1712" s="622" t="s">
        <v>670</v>
      </c>
      <c r="R1712" s="623">
        <v>45932</v>
      </c>
      <c r="S1712" s="622" t="s">
        <v>670</v>
      </c>
      <c r="T1712" s="623">
        <v>45930</v>
      </c>
      <c r="U1712" s="624">
        <v>0</v>
      </c>
      <c r="V1712" s="625">
        <v>0.89</v>
      </c>
      <c r="W1712" s="627">
        <v>45901</v>
      </c>
    </row>
    <row r="1713" spans="1:23" hidden="1" x14ac:dyDescent="0.35">
      <c r="A1713" s="622" t="s">
        <v>526</v>
      </c>
      <c r="B1713" s="622" t="s">
        <v>159</v>
      </c>
      <c r="C1713" s="622" t="s">
        <v>298</v>
      </c>
      <c r="D1713" s="622" t="s">
        <v>306</v>
      </c>
      <c r="E1713" s="622" t="s">
        <v>307</v>
      </c>
      <c r="F1713" s="622" t="s">
        <v>276</v>
      </c>
      <c r="G1713" s="622" t="s">
        <v>356</v>
      </c>
      <c r="H1713" s="622" t="s">
        <v>670</v>
      </c>
      <c r="I1713" s="622" t="s">
        <v>277</v>
      </c>
      <c r="J1713" s="622" t="s">
        <v>522</v>
      </c>
      <c r="K1713" s="622" t="s">
        <v>301</v>
      </c>
      <c r="L1713" s="622" t="s">
        <v>597</v>
      </c>
      <c r="M1713" s="622" t="s">
        <v>285</v>
      </c>
      <c r="N1713" s="622" t="s">
        <v>670</v>
      </c>
      <c r="O1713" s="622" t="s">
        <v>670</v>
      </c>
      <c r="P1713" s="622" t="s">
        <v>522</v>
      </c>
      <c r="Q1713" s="622" t="s">
        <v>670</v>
      </c>
      <c r="R1713" s="623">
        <v>45932</v>
      </c>
      <c r="S1713" s="622" t="s">
        <v>670</v>
      </c>
      <c r="T1713" s="623">
        <v>45930</v>
      </c>
      <c r="U1713" s="624">
        <v>0</v>
      </c>
      <c r="V1713" s="625">
        <v>0.02</v>
      </c>
      <c r="W1713" s="627">
        <v>45901</v>
      </c>
    </row>
    <row r="1714" spans="1:23" hidden="1" x14ac:dyDescent="0.35">
      <c r="A1714" s="622" t="s">
        <v>526</v>
      </c>
      <c r="B1714" s="622" t="s">
        <v>159</v>
      </c>
      <c r="C1714" s="622" t="s">
        <v>298</v>
      </c>
      <c r="D1714" s="622" t="s">
        <v>306</v>
      </c>
      <c r="E1714" s="622" t="s">
        <v>307</v>
      </c>
      <c r="F1714" s="622" t="s">
        <v>276</v>
      </c>
      <c r="G1714" s="622" t="s">
        <v>356</v>
      </c>
      <c r="H1714" s="622" t="s">
        <v>670</v>
      </c>
      <c r="I1714" s="622" t="s">
        <v>277</v>
      </c>
      <c r="J1714" s="622" t="s">
        <v>522</v>
      </c>
      <c r="K1714" s="622" t="s">
        <v>301</v>
      </c>
      <c r="L1714" s="622" t="s">
        <v>597</v>
      </c>
      <c r="M1714" s="622" t="s">
        <v>285</v>
      </c>
      <c r="N1714" s="622" t="s">
        <v>670</v>
      </c>
      <c r="O1714" s="622" t="s">
        <v>670</v>
      </c>
      <c r="P1714" s="622" t="s">
        <v>522</v>
      </c>
      <c r="Q1714" s="622" t="s">
        <v>670</v>
      </c>
      <c r="R1714" s="623">
        <v>45932</v>
      </c>
      <c r="S1714" s="622" t="s">
        <v>670</v>
      </c>
      <c r="T1714" s="623">
        <v>45930</v>
      </c>
      <c r="U1714" s="624">
        <v>0</v>
      </c>
      <c r="V1714" s="625">
        <v>1.25</v>
      </c>
      <c r="W1714" s="627">
        <v>45901</v>
      </c>
    </row>
    <row r="1715" spans="1:23" hidden="1" x14ac:dyDescent="0.35">
      <c r="A1715" s="622" t="s">
        <v>526</v>
      </c>
      <c r="B1715" s="622" t="s">
        <v>159</v>
      </c>
      <c r="C1715" s="622" t="s">
        <v>298</v>
      </c>
      <c r="D1715" s="622" t="s">
        <v>308</v>
      </c>
      <c r="E1715" s="622" t="s">
        <v>309</v>
      </c>
      <c r="F1715" s="622" t="s">
        <v>276</v>
      </c>
      <c r="G1715" s="622" t="s">
        <v>356</v>
      </c>
      <c r="H1715" s="622" t="s">
        <v>670</v>
      </c>
      <c r="I1715" s="622" t="s">
        <v>277</v>
      </c>
      <c r="J1715" s="622" t="s">
        <v>522</v>
      </c>
      <c r="K1715" s="622" t="s">
        <v>301</v>
      </c>
      <c r="L1715" s="622" t="s">
        <v>597</v>
      </c>
      <c r="M1715" s="622" t="s">
        <v>285</v>
      </c>
      <c r="N1715" s="622" t="s">
        <v>670</v>
      </c>
      <c r="O1715" s="622" t="s">
        <v>670</v>
      </c>
      <c r="P1715" s="622" t="s">
        <v>522</v>
      </c>
      <c r="Q1715" s="622" t="s">
        <v>670</v>
      </c>
      <c r="R1715" s="623">
        <v>45932</v>
      </c>
      <c r="S1715" s="622" t="s">
        <v>670</v>
      </c>
      <c r="T1715" s="623">
        <v>45930</v>
      </c>
      <c r="U1715" s="624">
        <v>0</v>
      </c>
      <c r="V1715" s="625">
        <v>214.63</v>
      </c>
      <c r="W1715" s="627">
        <v>45901</v>
      </c>
    </row>
    <row r="1716" spans="1:23" hidden="1" x14ac:dyDescent="0.35">
      <c r="A1716" s="622" t="s">
        <v>526</v>
      </c>
      <c r="B1716" s="622" t="s">
        <v>159</v>
      </c>
      <c r="C1716" s="622" t="s">
        <v>302</v>
      </c>
      <c r="D1716" s="622" t="s">
        <v>308</v>
      </c>
      <c r="E1716" s="622" t="s">
        <v>309</v>
      </c>
      <c r="F1716" s="622" t="s">
        <v>276</v>
      </c>
      <c r="G1716" s="622" t="s">
        <v>356</v>
      </c>
      <c r="H1716" s="622" t="s">
        <v>670</v>
      </c>
      <c r="I1716" s="622" t="s">
        <v>277</v>
      </c>
      <c r="J1716" s="622" t="s">
        <v>522</v>
      </c>
      <c r="K1716" s="622" t="s">
        <v>303</v>
      </c>
      <c r="L1716" s="622" t="s">
        <v>597</v>
      </c>
      <c r="M1716" s="622" t="s">
        <v>285</v>
      </c>
      <c r="N1716" s="622" t="s">
        <v>670</v>
      </c>
      <c r="O1716" s="622" t="s">
        <v>670</v>
      </c>
      <c r="P1716" s="622" t="s">
        <v>522</v>
      </c>
      <c r="Q1716" s="622" t="s">
        <v>670</v>
      </c>
      <c r="R1716" s="623">
        <v>45932</v>
      </c>
      <c r="S1716" s="622" t="s">
        <v>670</v>
      </c>
      <c r="T1716" s="623">
        <v>45930</v>
      </c>
      <c r="U1716" s="624">
        <v>0</v>
      </c>
      <c r="V1716" s="625">
        <v>566.63</v>
      </c>
      <c r="W1716" s="627">
        <v>45901</v>
      </c>
    </row>
    <row r="1717" spans="1:23" hidden="1" x14ac:dyDescent="0.35">
      <c r="A1717" s="622" t="s">
        <v>526</v>
      </c>
      <c r="B1717" s="622" t="s">
        <v>159</v>
      </c>
      <c r="C1717" s="622" t="s">
        <v>302</v>
      </c>
      <c r="D1717" s="622" t="s">
        <v>310</v>
      </c>
      <c r="E1717" s="622" t="s">
        <v>311</v>
      </c>
      <c r="F1717" s="622" t="s">
        <v>276</v>
      </c>
      <c r="G1717" s="622" t="s">
        <v>356</v>
      </c>
      <c r="H1717" s="622" t="s">
        <v>670</v>
      </c>
      <c r="I1717" s="622" t="s">
        <v>277</v>
      </c>
      <c r="J1717" s="622" t="s">
        <v>522</v>
      </c>
      <c r="K1717" s="622" t="s">
        <v>303</v>
      </c>
      <c r="L1717" s="622" t="s">
        <v>597</v>
      </c>
      <c r="M1717" s="622" t="s">
        <v>285</v>
      </c>
      <c r="N1717" s="622" t="s">
        <v>670</v>
      </c>
      <c r="O1717" s="622" t="s">
        <v>670</v>
      </c>
      <c r="P1717" s="622" t="s">
        <v>522</v>
      </c>
      <c r="Q1717" s="622" t="s">
        <v>670</v>
      </c>
      <c r="R1717" s="623">
        <v>45932</v>
      </c>
      <c r="S1717" s="622" t="s">
        <v>670</v>
      </c>
      <c r="T1717" s="623">
        <v>45930</v>
      </c>
      <c r="U1717" s="624">
        <v>0</v>
      </c>
      <c r="V1717" s="625">
        <v>1033.6099999999999</v>
      </c>
      <c r="W1717" s="627">
        <v>45901</v>
      </c>
    </row>
    <row r="1718" spans="1:23" hidden="1" x14ac:dyDescent="0.35">
      <c r="A1718" s="622" t="s">
        <v>526</v>
      </c>
      <c r="B1718" s="622" t="s">
        <v>159</v>
      </c>
      <c r="C1718" s="622" t="s">
        <v>298</v>
      </c>
      <c r="D1718" s="622" t="s">
        <v>312</v>
      </c>
      <c r="E1718" s="622" t="s">
        <v>313</v>
      </c>
      <c r="F1718" s="622" t="s">
        <v>276</v>
      </c>
      <c r="G1718" s="622" t="s">
        <v>356</v>
      </c>
      <c r="H1718" s="622" t="s">
        <v>670</v>
      </c>
      <c r="I1718" s="622" t="s">
        <v>277</v>
      </c>
      <c r="J1718" s="622" t="s">
        <v>522</v>
      </c>
      <c r="K1718" s="622" t="s">
        <v>301</v>
      </c>
      <c r="L1718" s="622" t="s">
        <v>597</v>
      </c>
      <c r="M1718" s="622" t="s">
        <v>285</v>
      </c>
      <c r="N1718" s="622" t="s">
        <v>670</v>
      </c>
      <c r="O1718" s="622" t="s">
        <v>670</v>
      </c>
      <c r="P1718" s="622" t="s">
        <v>522</v>
      </c>
      <c r="Q1718" s="622" t="s">
        <v>670</v>
      </c>
      <c r="R1718" s="623">
        <v>45932</v>
      </c>
      <c r="S1718" s="622" t="s">
        <v>670</v>
      </c>
      <c r="T1718" s="623">
        <v>45930</v>
      </c>
      <c r="U1718" s="624">
        <v>0</v>
      </c>
      <c r="V1718" s="625">
        <v>64.599999999999994</v>
      </c>
      <c r="W1718" s="627">
        <v>45901</v>
      </c>
    </row>
    <row r="1719" spans="1:23" hidden="1" x14ac:dyDescent="0.35">
      <c r="A1719" s="622" t="s">
        <v>526</v>
      </c>
      <c r="B1719" s="622" t="s">
        <v>159</v>
      </c>
      <c r="C1719" s="622" t="s">
        <v>298</v>
      </c>
      <c r="D1719" s="622" t="s">
        <v>314</v>
      </c>
      <c r="E1719" s="622" t="s">
        <v>315</v>
      </c>
      <c r="F1719" s="622" t="s">
        <v>276</v>
      </c>
      <c r="G1719" s="622" t="s">
        <v>356</v>
      </c>
      <c r="H1719" s="622" t="s">
        <v>670</v>
      </c>
      <c r="I1719" s="622" t="s">
        <v>277</v>
      </c>
      <c r="J1719" s="622" t="s">
        <v>522</v>
      </c>
      <c r="K1719" s="622" t="s">
        <v>301</v>
      </c>
      <c r="L1719" s="622" t="s">
        <v>597</v>
      </c>
      <c r="M1719" s="622" t="s">
        <v>285</v>
      </c>
      <c r="N1719" s="622" t="s">
        <v>670</v>
      </c>
      <c r="O1719" s="622" t="s">
        <v>670</v>
      </c>
      <c r="P1719" s="622" t="s">
        <v>522</v>
      </c>
      <c r="Q1719" s="622" t="s">
        <v>670</v>
      </c>
      <c r="R1719" s="623">
        <v>45932</v>
      </c>
      <c r="S1719" s="622" t="s">
        <v>670</v>
      </c>
      <c r="T1719" s="623">
        <v>45930</v>
      </c>
      <c r="U1719" s="624">
        <v>0</v>
      </c>
      <c r="V1719" s="625">
        <v>81.45</v>
      </c>
      <c r="W1719" s="627">
        <v>45901</v>
      </c>
    </row>
    <row r="1720" spans="1:23" hidden="1" x14ac:dyDescent="0.35">
      <c r="A1720" s="622" t="s">
        <v>526</v>
      </c>
      <c r="B1720" s="622" t="s">
        <v>159</v>
      </c>
      <c r="C1720" s="622" t="s">
        <v>298</v>
      </c>
      <c r="D1720" s="622" t="s">
        <v>316</v>
      </c>
      <c r="E1720" s="622" t="s">
        <v>317</v>
      </c>
      <c r="F1720" s="622" t="s">
        <v>276</v>
      </c>
      <c r="G1720" s="622" t="s">
        <v>356</v>
      </c>
      <c r="H1720" s="622" t="s">
        <v>670</v>
      </c>
      <c r="I1720" s="622" t="s">
        <v>277</v>
      </c>
      <c r="J1720" s="622" t="s">
        <v>522</v>
      </c>
      <c r="K1720" s="622" t="s">
        <v>301</v>
      </c>
      <c r="L1720" s="622" t="s">
        <v>597</v>
      </c>
      <c r="M1720" s="622" t="s">
        <v>285</v>
      </c>
      <c r="N1720" s="622" t="s">
        <v>670</v>
      </c>
      <c r="O1720" s="622" t="s">
        <v>670</v>
      </c>
      <c r="P1720" s="622" t="s">
        <v>522</v>
      </c>
      <c r="Q1720" s="622" t="s">
        <v>670</v>
      </c>
      <c r="R1720" s="623">
        <v>45932</v>
      </c>
      <c r="S1720" s="622" t="s">
        <v>670</v>
      </c>
      <c r="T1720" s="623">
        <v>45930</v>
      </c>
      <c r="U1720" s="624">
        <v>0</v>
      </c>
      <c r="V1720" s="625">
        <v>106.45</v>
      </c>
      <c r="W1720" s="627">
        <v>45901</v>
      </c>
    </row>
    <row r="1721" spans="1:23" hidden="1" x14ac:dyDescent="0.35">
      <c r="A1721" s="622" t="s">
        <v>526</v>
      </c>
      <c r="B1721" s="622" t="s">
        <v>159</v>
      </c>
      <c r="C1721" s="622" t="s">
        <v>298</v>
      </c>
      <c r="D1721" s="622" t="s">
        <v>318</v>
      </c>
      <c r="E1721" s="622" t="s">
        <v>319</v>
      </c>
      <c r="F1721" s="622" t="s">
        <v>276</v>
      </c>
      <c r="G1721" s="622" t="s">
        <v>356</v>
      </c>
      <c r="H1721" s="622" t="s">
        <v>670</v>
      </c>
      <c r="I1721" s="622" t="s">
        <v>277</v>
      </c>
      <c r="J1721" s="622" t="s">
        <v>522</v>
      </c>
      <c r="K1721" s="622" t="s">
        <v>301</v>
      </c>
      <c r="L1721" s="622" t="s">
        <v>597</v>
      </c>
      <c r="M1721" s="622" t="s">
        <v>285</v>
      </c>
      <c r="N1721" s="622" t="s">
        <v>670</v>
      </c>
      <c r="O1721" s="622" t="s">
        <v>670</v>
      </c>
      <c r="P1721" s="622" t="s">
        <v>522</v>
      </c>
      <c r="Q1721" s="622" t="s">
        <v>670</v>
      </c>
      <c r="R1721" s="623">
        <v>45932</v>
      </c>
      <c r="S1721" s="622" t="s">
        <v>670</v>
      </c>
      <c r="T1721" s="623">
        <v>45930</v>
      </c>
      <c r="U1721" s="624">
        <v>0</v>
      </c>
      <c r="V1721" s="625">
        <v>0.27</v>
      </c>
      <c r="W1721" s="627">
        <v>45901</v>
      </c>
    </row>
    <row r="1722" spans="1:23" hidden="1" x14ac:dyDescent="0.35">
      <c r="A1722" s="622" t="s">
        <v>526</v>
      </c>
      <c r="B1722" s="622" t="s">
        <v>159</v>
      </c>
      <c r="C1722" s="622" t="s">
        <v>298</v>
      </c>
      <c r="D1722" s="622" t="s">
        <v>318</v>
      </c>
      <c r="E1722" s="622" t="s">
        <v>319</v>
      </c>
      <c r="F1722" s="622" t="s">
        <v>276</v>
      </c>
      <c r="G1722" s="622" t="s">
        <v>356</v>
      </c>
      <c r="H1722" s="622" t="s">
        <v>670</v>
      </c>
      <c r="I1722" s="622" t="s">
        <v>277</v>
      </c>
      <c r="J1722" s="622" t="s">
        <v>522</v>
      </c>
      <c r="K1722" s="622" t="s">
        <v>301</v>
      </c>
      <c r="L1722" s="622" t="s">
        <v>597</v>
      </c>
      <c r="M1722" s="622" t="s">
        <v>285</v>
      </c>
      <c r="N1722" s="622" t="s">
        <v>670</v>
      </c>
      <c r="O1722" s="622" t="s">
        <v>670</v>
      </c>
      <c r="P1722" s="622" t="s">
        <v>522</v>
      </c>
      <c r="Q1722" s="622" t="s">
        <v>670</v>
      </c>
      <c r="R1722" s="623">
        <v>45932</v>
      </c>
      <c r="S1722" s="622" t="s">
        <v>670</v>
      </c>
      <c r="T1722" s="623">
        <v>45930</v>
      </c>
      <c r="U1722" s="624">
        <v>0</v>
      </c>
      <c r="V1722" s="625">
        <v>6.88</v>
      </c>
      <c r="W1722" s="627">
        <v>45901</v>
      </c>
    </row>
    <row r="1723" spans="1:23" hidden="1" x14ac:dyDescent="0.35">
      <c r="A1723" s="622" t="s">
        <v>526</v>
      </c>
      <c r="B1723" s="622" t="s">
        <v>159</v>
      </c>
      <c r="C1723" s="622" t="s">
        <v>298</v>
      </c>
      <c r="D1723" s="622" t="s">
        <v>391</v>
      </c>
      <c r="E1723" s="622" t="s">
        <v>392</v>
      </c>
      <c r="F1723" s="622" t="s">
        <v>276</v>
      </c>
      <c r="G1723" s="622" t="s">
        <v>356</v>
      </c>
      <c r="H1723" s="622" t="s">
        <v>670</v>
      </c>
      <c r="I1723" s="622" t="s">
        <v>277</v>
      </c>
      <c r="J1723" s="622" t="s">
        <v>522</v>
      </c>
      <c r="K1723" s="622" t="s">
        <v>301</v>
      </c>
      <c r="L1723" s="622" t="s">
        <v>597</v>
      </c>
      <c r="M1723" s="622" t="s">
        <v>285</v>
      </c>
      <c r="N1723" s="622" t="s">
        <v>670</v>
      </c>
      <c r="O1723" s="622" t="s">
        <v>670</v>
      </c>
      <c r="P1723" s="622" t="s">
        <v>522</v>
      </c>
      <c r="Q1723" s="622" t="s">
        <v>670</v>
      </c>
      <c r="R1723" s="623">
        <v>45932</v>
      </c>
      <c r="S1723" s="622" t="s">
        <v>670</v>
      </c>
      <c r="T1723" s="623">
        <v>45930</v>
      </c>
      <c r="U1723" s="624">
        <v>0</v>
      </c>
      <c r="V1723" s="625">
        <v>0.22</v>
      </c>
      <c r="W1723" s="627">
        <v>45901</v>
      </c>
    </row>
    <row r="1724" spans="1:23" hidden="1" x14ac:dyDescent="0.35">
      <c r="A1724" s="622" t="s">
        <v>526</v>
      </c>
      <c r="B1724" s="622" t="s">
        <v>159</v>
      </c>
      <c r="C1724" s="622" t="s">
        <v>298</v>
      </c>
      <c r="D1724" s="622" t="s">
        <v>320</v>
      </c>
      <c r="E1724" s="622" t="s">
        <v>321</v>
      </c>
      <c r="F1724" s="622" t="s">
        <v>276</v>
      </c>
      <c r="G1724" s="622" t="s">
        <v>356</v>
      </c>
      <c r="H1724" s="622" t="s">
        <v>670</v>
      </c>
      <c r="I1724" s="622" t="s">
        <v>277</v>
      </c>
      <c r="J1724" s="622" t="s">
        <v>522</v>
      </c>
      <c r="K1724" s="622" t="s">
        <v>301</v>
      </c>
      <c r="L1724" s="622" t="s">
        <v>597</v>
      </c>
      <c r="M1724" s="622" t="s">
        <v>285</v>
      </c>
      <c r="N1724" s="622" t="s">
        <v>670</v>
      </c>
      <c r="O1724" s="622" t="s">
        <v>670</v>
      </c>
      <c r="P1724" s="622" t="s">
        <v>522</v>
      </c>
      <c r="Q1724" s="622" t="s">
        <v>670</v>
      </c>
      <c r="R1724" s="623">
        <v>45932</v>
      </c>
      <c r="S1724" s="622" t="s">
        <v>670</v>
      </c>
      <c r="T1724" s="623">
        <v>45930</v>
      </c>
      <c r="U1724" s="624">
        <v>0</v>
      </c>
      <c r="V1724" s="625">
        <v>63.5</v>
      </c>
      <c r="W1724" s="627">
        <v>45901</v>
      </c>
    </row>
    <row r="1725" spans="1:23" hidden="1" x14ac:dyDescent="0.35">
      <c r="A1725" s="622" t="s">
        <v>526</v>
      </c>
      <c r="B1725" s="622" t="s">
        <v>159</v>
      </c>
      <c r="C1725" s="622" t="s">
        <v>298</v>
      </c>
      <c r="D1725" s="622" t="s">
        <v>322</v>
      </c>
      <c r="E1725" s="622" t="s">
        <v>323</v>
      </c>
      <c r="F1725" s="622" t="s">
        <v>276</v>
      </c>
      <c r="G1725" s="622" t="s">
        <v>356</v>
      </c>
      <c r="H1725" s="622" t="s">
        <v>670</v>
      </c>
      <c r="I1725" s="622" t="s">
        <v>277</v>
      </c>
      <c r="J1725" s="622" t="s">
        <v>522</v>
      </c>
      <c r="K1725" s="622" t="s">
        <v>301</v>
      </c>
      <c r="L1725" s="622" t="s">
        <v>597</v>
      </c>
      <c r="M1725" s="622" t="s">
        <v>285</v>
      </c>
      <c r="N1725" s="622" t="s">
        <v>670</v>
      </c>
      <c r="O1725" s="622" t="s">
        <v>670</v>
      </c>
      <c r="P1725" s="622" t="s">
        <v>522</v>
      </c>
      <c r="Q1725" s="622" t="s">
        <v>670</v>
      </c>
      <c r="R1725" s="623">
        <v>45932</v>
      </c>
      <c r="S1725" s="622" t="s">
        <v>670</v>
      </c>
      <c r="T1725" s="623">
        <v>45930</v>
      </c>
      <c r="U1725" s="624">
        <v>0</v>
      </c>
      <c r="V1725" s="625">
        <v>1.02</v>
      </c>
      <c r="W1725" s="627">
        <v>45901</v>
      </c>
    </row>
    <row r="1726" spans="1:23" hidden="1" x14ac:dyDescent="0.35">
      <c r="A1726" s="622" t="s">
        <v>526</v>
      </c>
      <c r="B1726" s="622" t="s">
        <v>159</v>
      </c>
      <c r="C1726" s="622" t="s">
        <v>298</v>
      </c>
      <c r="D1726" s="622" t="s">
        <v>322</v>
      </c>
      <c r="E1726" s="622" t="s">
        <v>323</v>
      </c>
      <c r="F1726" s="622" t="s">
        <v>276</v>
      </c>
      <c r="G1726" s="622" t="s">
        <v>356</v>
      </c>
      <c r="H1726" s="622" t="s">
        <v>670</v>
      </c>
      <c r="I1726" s="622" t="s">
        <v>277</v>
      </c>
      <c r="J1726" s="622" t="s">
        <v>522</v>
      </c>
      <c r="K1726" s="622" t="s">
        <v>301</v>
      </c>
      <c r="L1726" s="622" t="s">
        <v>597</v>
      </c>
      <c r="M1726" s="622" t="s">
        <v>285</v>
      </c>
      <c r="N1726" s="622" t="s">
        <v>670</v>
      </c>
      <c r="O1726" s="622" t="s">
        <v>670</v>
      </c>
      <c r="P1726" s="622" t="s">
        <v>522</v>
      </c>
      <c r="Q1726" s="622" t="s">
        <v>670</v>
      </c>
      <c r="R1726" s="623">
        <v>45932</v>
      </c>
      <c r="S1726" s="622" t="s">
        <v>670</v>
      </c>
      <c r="T1726" s="623">
        <v>45930</v>
      </c>
      <c r="U1726" s="624">
        <v>0</v>
      </c>
      <c r="V1726" s="625">
        <v>0.05</v>
      </c>
      <c r="W1726" s="627">
        <v>45901</v>
      </c>
    </row>
    <row r="1727" spans="1:23" hidden="1" x14ac:dyDescent="0.35">
      <c r="A1727" s="622" t="s">
        <v>526</v>
      </c>
      <c r="B1727" s="622" t="s">
        <v>159</v>
      </c>
      <c r="C1727" s="622" t="s">
        <v>298</v>
      </c>
      <c r="D1727" s="622" t="s">
        <v>324</v>
      </c>
      <c r="E1727" s="622" t="s">
        <v>325</v>
      </c>
      <c r="F1727" s="622" t="s">
        <v>276</v>
      </c>
      <c r="G1727" s="622" t="s">
        <v>356</v>
      </c>
      <c r="H1727" s="622" t="s">
        <v>670</v>
      </c>
      <c r="I1727" s="622" t="s">
        <v>277</v>
      </c>
      <c r="J1727" s="622" t="s">
        <v>522</v>
      </c>
      <c r="K1727" s="622" t="s">
        <v>301</v>
      </c>
      <c r="L1727" s="622" t="s">
        <v>597</v>
      </c>
      <c r="M1727" s="622" t="s">
        <v>285</v>
      </c>
      <c r="N1727" s="622" t="s">
        <v>670</v>
      </c>
      <c r="O1727" s="622" t="s">
        <v>670</v>
      </c>
      <c r="P1727" s="622" t="s">
        <v>522</v>
      </c>
      <c r="Q1727" s="622" t="s">
        <v>670</v>
      </c>
      <c r="R1727" s="623">
        <v>45932</v>
      </c>
      <c r="S1727" s="622" t="s">
        <v>670</v>
      </c>
      <c r="T1727" s="623">
        <v>45930</v>
      </c>
      <c r="U1727" s="624">
        <v>0</v>
      </c>
      <c r="V1727" s="625">
        <v>542.42999999999995</v>
      </c>
      <c r="W1727" s="627">
        <v>45901</v>
      </c>
    </row>
    <row r="1728" spans="1:23" hidden="1" x14ac:dyDescent="0.35">
      <c r="A1728" s="622" t="s">
        <v>526</v>
      </c>
      <c r="B1728" s="622" t="s">
        <v>159</v>
      </c>
      <c r="C1728" s="622" t="s">
        <v>298</v>
      </c>
      <c r="D1728" s="622" t="s">
        <v>326</v>
      </c>
      <c r="E1728" s="622" t="s">
        <v>327</v>
      </c>
      <c r="F1728" s="622" t="s">
        <v>276</v>
      </c>
      <c r="G1728" s="622" t="s">
        <v>356</v>
      </c>
      <c r="H1728" s="622" t="s">
        <v>670</v>
      </c>
      <c r="I1728" s="622" t="s">
        <v>277</v>
      </c>
      <c r="J1728" s="622" t="s">
        <v>522</v>
      </c>
      <c r="K1728" s="622" t="s">
        <v>301</v>
      </c>
      <c r="L1728" s="622" t="s">
        <v>597</v>
      </c>
      <c r="M1728" s="622" t="s">
        <v>285</v>
      </c>
      <c r="N1728" s="622" t="s">
        <v>670</v>
      </c>
      <c r="O1728" s="622" t="s">
        <v>670</v>
      </c>
      <c r="P1728" s="622" t="s">
        <v>522</v>
      </c>
      <c r="Q1728" s="622" t="s">
        <v>670</v>
      </c>
      <c r="R1728" s="623">
        <v>45932</v>
      </c>
      <c r="S1728" s="622" t="s">
        <v>670</v>
      </c>
      <c r="T1728" s="623">
        <v>45930</v>
      </c>
      <c r="U1728" s="624">
        <v>0</v>
      </c>
      <c r="V1728" s="625">
        <v>10.42</v>
      </c>
      <c r="W1728" s="627">
        <v>45901</v>
      </c>
    </row>
    <row r="1729" spans="1:23" hidden="1" x14ac:dyDescent="0.35">
      <c r="A1729" s="622" t="s">
        <v>526</v>
      </c>
      <c r="B1729" s="622" t="s">
        <v>159</v>
      </c>
      <c r="C1729" s="622" t="s">
        <v>298</v>
      </c>
      <c r="D1729" s="622" t="s">
        <v>393</v>
      </c>
      <c r="E1729" s="622" t="s">
        <v>394</v>
      </c>
      <c r="F1729" s="622" t="s">
        <v>276</v>
      </c>
      <c r="G1729" s="622" t="s">
        <v>356</v>
      </c>
      <c r="H1729" s="622" t="s">
        <v>670</v>
      </c>
      <c r="I1729" s="622" t="s">
        <v>277</v>
      </c>
      <c r="J1729" s="622" t="s">
        <v>522</v>
      </c>
      <c r="K1729" s="622" t="s">
        <v>301</v>
      </c>
      <c r="L1729" s="622" t="s">
        <v>597</v>
      </c>
      <c r="M1729" s="622" t="s">
        <v>285</v>
      </c>
      <c r="N1729" s="622" t="s">
        <v>670</v>
      </c>
      <c r="O1729" s="622" t="s">
        <v>670</v>
      </c>
      <c r="P1729" s="622" t="s">
        <v>522</v>
      </c>
      <c r="Q1729" s="622" t="s">
        <v>670</v>
      </c>
      <c r="R1729" s="623">
        <v>45932</v>
      </c>
      <c r="S1729" s="622" t="s">
        <v>670</v>
      </c>
      <c r="T1729" s="623">
        <v>45930</v>
      </c>
      <c r="U1729" s="624">
        <v>0</v>
      </c>
      <c r="V1729" s="625">
        <v>0.05</v>
      </c>
      <c r="W1729" s="627">
        <v>45901</v>
      </c>
    </row>
    <row r="1730" spans="1:23" hidden="1" x14ac:dyDescent="0.35">
      <c r="A1730" s="622" t="s">
        <v>526</v>
      </c>
      <c r="B1730" s="622" t="s">
        <v>159</v>
      </c>
      <c r="C1730" s="622" t="s">
        <v>298</v>
      </c>
      <c r="D1730" s="622" t="s">
        <v>328</v>
      </c>
      <c r="E1730" s="622" t="s">
        <v>329</v>
      </c>
      <c r="F1730" s="622" t="s">
        <v>276</v>
      </c>
      <c r="G1730" s="622" t="s">
        <v>356</v>
      </c>
      <c r="H1730" s="622" t="s">
        <v>670</v>
      </c>
      <c r="I1730" s="622" t="s">
        <v>277</v>
      </c>
      <c r="J1730" s="622" t="s">
        <v>522</v>
      </c>
      <c r="K1730" s="622" t="s">
        <v>301</v>
      </c>
      <c r="L1730" s="622" t="s">
        <v>597</v>
      </c>
      <c r="M1730" s="622" t="s">
        <v>285</v>
      </c>
      <c r="N1730" s="622" t="s">
        <v>670</v>
      </c>
      <c r="O1730" s="622" t="s">
        <v>670</v>
      </c>
      <c r="P1730" s="622" t="s">
        <v>522</v>
      </c>
      <c r="Q1730" s="622" t="s">
        <v>670</v>
      </c>
      <c r="R1730" s="623">
        <v>45932</v>
      </c>
      <c r="S1730" s="622" t="s">
        <v>670</v>
      </c>
      <c r="T1730" s="623">
        <v>45930</v>
      </c>
      <c r="U1730" s="624">
        <v>0</v>
      </c>
      <c r="V1730" s="625">
        <v>1251.96</v>
      </c>
      <c r="W1730" s="627">
        <v>45901</v>
      </c>
    </row>
    <row r="1731" spans="1:23" hidden="1" x14ac:dyDescent="0.35">
      <c r="A1731" s="622" t="s">
        <v>526</v>
      </c>
      <c r="B1731" s="622" t="s">
        <v>159</v>
      </c>
      <c r="C1731" s="622" t="s">
        <v>298</v>
      </c>
      <c r="D1731" s="622" t="s">
        <v>330</v>
      </c>
      <c r="E1731" s="622" t="s">
        <v>331</v>
      </c>
      <c r="F1731" s="622" t="s">
        <v>276</v>
      </c>
      <c r="G1731" s="622" t="s">
        <v>356</v>
      </c>
      <c r="H1731" s="622" t="s">
        <v>670</v>
      </c>
      <c r="I1731" s="622" t="s">
        <v>277</v>
      </c>
      <c r="J1731" s="622" t="s">
        <v>522</v>
      </c>
      <c r="K1731" s="622" t="s">
        <v>301</v>
      </c>
      <c r="L1731" s="622" t="s">
        <v>597</v>
      </c>
      <c r="M1731" s="622" t="s">
        <v>285</v>
      </c>
      <c r="N1731" s="622" t="s">
        <v>670</v>
      </c>
      <c r="O1731" s="622" t="s">
        <v>670</v>
      </c>
      <c r="P1731" s="622" t="s">
        <v>522</v>
      </c>
      <c r="Q1731" s="622" t="s">
        <v>670</v>
      </c>
      <c r="R1731" s="623">
        <v>45932</v>
      </c>
      <c r="S1731" s="622" t="s">
        <v>670</v>
      </c>
      <c r="T1731" s="623">
        <v>45930</v>
      </c>
      <c r="U1731" s="624">
        <v>0</v>
      </c>
      <c r="V1731" s="625">
        <v>16.73</v>
      </c>
      <c r="W1731" s="627">
        <v>45901</v>
      </c>
    </row>
    <row r="1732" spans="1:23" hidden="1" x14ac:dyDescent="0.35">
      <c r="A1732" s="622" t="s">
        <v>526</v>
      </c>
      <c r="B1732" s="622" t="s">
        <v>159</v>
      </c>
      <c r="C1732" s="622" t="s">
        <v>298</v>
      </c>
      <c r="D1732" s="622" t="s">
        <v>332</v>
      </c>
      <c r="E1732" s="622" t="s">
        <v>333</v>
      </c>
      <c r="F1732" s="622" t="s">
        <v>276</v>
      </c>
      <c r="G1732" s="622" t="s">
        <v>356</v>
      </c>
      <c r="H1732" s="622" t="s">
        <v>670</v>
      </c>
      <c r="I1732" s="622" t="s">
        <v>277</v>
      </c>
      <c r="J1732" s="622" t="s">
        <v>522</v>
      </c>
      <c r="K1732" s="622" t="s">
        <v>301</v>
      </c>
      <c r="L1732" s="622" t="s">
        <v>597</v>
      </c>
      <c r="M1732" s="622" t="s">
        <v>285</v>
      </c>
      <c r="N1732" s="622" t="s">
        <v>670</v>
      </c>
      <c r="O1732" s="622" t="s">
        <v>670</v>
      </c>
      <c r="P1732" s="622" t="s">
        <v>522</v>
      </c>
      <c r="Q1732" s="622" t="s">
        <v>670</v>
      </c>
      <c r="R1732" s="623">
        <v>45932</v>
      </c>
      <c r="S1732" s="622" t="s">
        <v>670</v>
      </c>
      <c r="T1732" s="623">
        <v>45930</v>
      </c>
      <c r="U1732" s="624">
        <v>0</v>
      </c>
      <c r="V1732" s="625">
        <v>596.12</v>
      </c>
      <c r="W1732" s="627">
        <v>45901</v>
      </c>
    </row>
    <row r="1733" spans="1:23" hidden="1" x14ac:dyDescent="0.35">
      <c r="A1733" s="622" t="s">
        <v>526</v>
      </c>
      <c r="B1733" s="622" t="s">
        <v>159</v>
      </c>
      <c r="C1733" s="622" t="s">
        <v>298</v>
      </c>
      <c r="D1733" s="622" t="s">
        <v>334</v>
      </c>
      <c r="E1733" s="622" t="s">
        <v>335</v>
      </c>
      <c r="F1733" s="622" t="s">
        <v>276</v>
      </c>
      <c r="G1733" s="622" t="s">
        <v>356</v>
      </c>
      <c r="H1733" s="622" t="s">
        <v>670</v>
      </c>
      <c r="I1733" s="622" t="s">
        <v>277</v>
      </c>
      <c r="J1733" s="622" t="s">
        <v>522</v>
      </c>
      <c r="K1733" s="622" t="s">
        <v>301</v>
      </c>
      <c r="L1733" s="622" t="s">
        <v>597</v>
      </c>
      <c r="M1733" s="622" t="s">
        <v>285</v>
      </c>
      <c r="N1733" s="622" t="s">
        <v>670</v>
      </c>
      <c r="O1733" s="622" t="s">
        <v>670</v>
      </c>
      <c r="P1733" s="622" t="s">
        <v>522</v>
      </c>
      <c r="Q1733" s="622" t="s">
        <v>670</v>
      </c>
      <c r="R1733" s="623">
        <v>45932</v>
      </c>
      <c r="S1733" s="622" t="s">
        <v>670</v>
      </c>
      <c r="T1733" s="623">
        <v>45930</v>
      </c>
      <c r="U1733" s="624">
        <v>0</v>
      </c>
      <c r="V1733" s="625">
        <v>27.48</v>
      </c>
      <c r="W1733" s="627">
        <v>45901</v>
      </c>
    </row>
    <row r="1734" spans="1:23" hidden="1" x14ac:dyDescent="0.35">
      <c r="A1734" s="622" t="s">
        <v>526</v>
      </c>
      <c r="B1734" s="622" t="s">
        <v>159</v>
      </c>
      <c r="C1734" s="622" t="s">
        <v>298</v>
      </c>
      <c r="D1734" s="622" t="s">
        <v>336</v>
      </c>
      <c r="E1734" s="622" t="s">
        <v>337</v>
      </c>
      <c r="F1734" s="622" t="s">
        <v>276</v>
      </c>
      <c r="G1734" s="622" t="s">
        <v>356</v>
      </c>
      <c r="H1734" s="622" t="s">
        <v>670</v>
      </c>
      <c r="I1734" s="622" t="s">
        <v>277</v>
      </c>
      <c r="J1734" s="622" t="s">
        <v>522</v>
      </c>
      <c r="K1734" s="622" t="s">
        <v>301</v>
      </c>
      <c r="L1734" s="622" t="s">
        <v>597</v>
      </c>
      <c r="M1734" s="622" t="s">
        <v>285</v>
      </c>
      <c r="N1734" s="622" t="s">
        <v>670</v>
      </c>
      <c r="O1734" s="622" t="s">
        <v>670</v>
      </c>
      <c r="P1734" s="622" t="s">
        <v>522</v>
      </c>
      <c r="Q1734" s="622" t="s">
        <v>670</v>
      </c>
      <c r="R1734" s="623">
        <v>45932</v>
      </c>
      <c r="S1734" s="622" t="s">
        <v>670</v>
      </c>
      <c r="T1734" s="623">
        <v>45930</v>
      </c>
      <c r="U1734" s="624">
        <v>0</v>
      </c>
      <c r="V1734" s="625">
        <v>-2.87</v>
      </c>
      <c r="W1734" s="627">
        <v>45901</v>
      </c>
    </row>
    <row r="1735" spans="1:23" hidden="1" x14ac:dyDescent="0.35">
      <c r="A1735" s="622" t="s">
        <v>526</v>
      </c>
      <c r="B1735" s="622" t="s">
        <v>159</v>
      </c>
      <c r="C1735" s="622" t="s">
        <v>298</v>
      </c>
      <c r="D1735" s="622" t="s">
        <v>397</v>
      </c>
      <c r="E1735" s="622" t="s">
        <v>398</v>
      </c>
      <c r="F1735" s="622" t="s">
        <v>276</v>
      </c>
      <c r="G1735" s="622" t="s">
        <v>356</v>
      </c>
      <c r="H1735" s="622" t="s">
        <v>670</v>
      </c>
      <c r="I1735" s="622" t="s">
        <v>277</v>
      </c>
      <c r="J1735" s="622" t="s">
        <v>522</v>
      </c>
      <c r="K1735" s="622" t="s">
        <v>301</v>
      </c>
      <c r="L1735" s="622" t="s">
        <v>597</v>
      </c>
      <c r="M1735" s="622" t="s">
        <v>285</v>
      </c>
      <c r="N1735" s="622" t="s">
        <v>670</v>
      </c>
      <c r="O1735" s="622" t="s">
        <v>670</v>
      </c>
      <c r="P1735" s="622" t="s">
        <v>522</v>
      </c>
      <c r="Q1735" s="622" t="s">
        <v>670</v>
      </c>
      <c r="R1735" s="623">
        <v>45932</v>
      </c>
      <c r="S1735" s="622" t="s">
        <v>670</v>
      </c>
      <c r="T1735" s="623">
        <v>45930</v>
      </c>
      <c r="U1735" s="624">
        <v>0</v>
      </c>
      <c r="V1735" s="625">
        <v>-0.52</v>
      </c>
      <c r="W1735" s="627">
        <v>45901</v>
      </c>
    </row>
    <row r="1736" spans="1:23" hidden="1" x14ac:dyDescent="0.35">
      <c r="A1736" s="622" t="s">
        <v>526</v>
      </c>
      <c r="B1736" s="622" t="s">
        <v>159</v>
      </c>
      <c r="C1736" s="622" t="s">
        <v>298</v>
      </c>
      <c r="D1736" s="622" t="s">
        <v>338</v>
      </c>
      <c r="E1736" s="622" t="s">
        <v>339</v>
      </c>
      <c r="F1736" s="622" t="s">
        <v>276</v>
      </c>
      <c r="G1736" s="622" t="s">
        <v>356</v>
      </c>
      <c r="H1736" s="622" t="s">
        <v>670</v>
      </c>
      <c r="I1736" s="622" t="s">
        <v>277</v>
      </c>
      <c r="J1736" s="622" t="s">
        <v>522</v>
      </c>
      <c r="K1736" s="622" t="s">
        <v>301</v>
      </c>
      <c r="L1736" s="622" t="s">
        <v>597</v>
      </c>
      <c r="M1736" s="622" t="s">
        <v>285</v>
      </c>
      <c r="N1736" s="622" t="s">
        <v>670</v>
      </c>
      <c r="O1736" s="622" t="s">
        <v>670</v>
      </c>
      <c r="P1736" s="622" t="s">
        <v>522</v>
      </c>
      <c r="Q1736" s="622" t="s">
        <v>670</v>
      </c>
      <c r="R1736" s="623">
        <v>45932</v>
      </c>
      <c r="S1736" s="622" t="s">
        <v>670</v>
      </c>
      <c r="T1736" s="623">
        <v>45930</v>
      </c>
      <c r="U1736" s="624">
        <v>0</v>
      </c>
      <c r="V1736" s="625">
        <v>-0.33</v>
      </c>
      <c r="W1736" s="627">
        <v>45901</v>
      </c>
    </row>
    <row r="1737" spans="1:23" hidden="1" x14ac:dyDescent="0.35">
      <c r="A1737" s="622" t="s">
        <v>526</v>
      </c>
      <c r="B1737" s="622" t="s">
        <v>159</v>
      </c>
      <c r="C1737" s="622" t="s">
        <v>281</v>
      </c>
      <c r="D1737" s="622" t="s">
        <v>340</v>
      </c>
      <c r="E1737" s="622" t="s">
        <v>283</v>
      </c>
      <c r="F1737" s="622" t="s">
        <v>276</v>
      </c>
      <c r="G1737" s="622" t="s">
        <v>356</v>
      </c>
      <c r="H1737" s="622" t="s">
        <v>670</v>
      </c>
      <c r="I1737" s="622" t="s">
        <v>277</v>
      </c>
      <c r="J1737" s="622" t="s">
        <v>522</v>
      </c>
      <c r="K1737" s="622" t="s">
        <v>284</v>
      </c>
      <c r="L1737" s="622" t="s">
        <v>597</v>
      </c>
      <c r="M1737" s="622" t="s">
        <v>285</v>
      </c>
      <c r="N1737" s="622" t="s">
        <v>670</v>
      </c>
      <c r="O1737" s="622" t="s">
        <v>670</v>
      </c>
      <c r="P1737" s="622" t="s">
        <v>522</v>
      </c>
      <c r="Q1737" s="622" t="s">
        <v>670</v>
      </c>
      <c r="R1737" s="623">
        <v>45931</v>
      </c>
      <c r="S1737" s="622" t="s">
        <v>670</v>
      </c>
      <c r="T1737" s="623">
        <v>45930</v>
      </c>
      <c r="U1737" s="624">
        <v>0</v>
      </c>
      <c r="V1737" s="625">
        <v>1166.4100000000001</v>
      </c>
      <c r="W1737" s="627">
        <v>45901</v>
      </c>
    </row>
    <row r="1738" spans="1:23" hidden="1" x14ac:dyDescent="0.35">
      <c r="A1738" s="622" t="s">
        <v>526</v>
      </c>
      <c r="B1738" s="622" t="s">
        <v>159</v>
      </c>
      <c r="C1738" s="622" t="s">
        <v>302</v>
      </c>
      <c r="D1738" s="622" t="s">
        <v>340</v>
      </c>
      <c r="E1738" s="622" t="s">
        <v>283</v>
      </c>
      <c r="F1738" s="622" t="s">
        <v>276</v>
      </c>
      <c r="G1738" s="622" t="s">
        <v>356</v>
      </c>
      <c r="H1738" s="622" t="s">
        <v>670</v>
      </c>
      <c r="I1738" s="622" t="s">
        <v>277</v>
      </c>
      <c r="J1738" s="622" t="s">
        <v>522</v>
      </c>
      <c r="K1738" s="622" t="s">
        <v>303</v>
      </c>
      <c r="L1738" s="622" t="s">
        <v>597</v>
      </c>
      <c r="M1738" s="622" t="s">
        <v>285</v>
      </c>
      <c r="N1738" s="622" t="s">
        <v>670</v>
      </c>
      <c r="O1738" s="622" t="s">
        <v>670</v>
      </c>
      <c r="P1738" s="622" t="s">
        <v>522</v>
      </c>
      <c r="Q1738" s="622" t="s">
        <v>670</v>
      </c>
      <c r="R1738" s="623">
        <v>45932</v>
      </c>
      <c r="S1738" s="622" t="s">
        <v>670</v>
      </c>
      <c r="T1738" s="623">
        <v>45930</v>
      </c>
      <c r="U1738" s="624">
        <v>0</v>
      </c>
      <c r="V1738" s="625">
        <v>40.68</v>
      </c>
      <c r="W1738" s="627">
        <v>45901</v>
      </c>
    </row>
    <row r="1739" spans="1:23" hidden="1" x14ac:dyDescent="0.35">
      <c r="A1739" s="622" t="s">
        <v>526</v>
      </c>
      <c r="B1739" s="622" t="s">
        <v>159</v>
      </c>
      <c r="C1739" s="622" t="s">
        <v>302</v>
      </c>
      <c r="D1739" s="622" t="s">
        <v>340</v>
      </c>
      <c r="E1739" s="622" t="s">
        <v>283</v>
      </c>
      <c r="F1739" s="622" t="s">
        <v>276</v>
      </c>
      <c r="G1739" s="622" t="s">
        <v>356</v>
      </c>
      <c r="H1739" s="622" t="s">
        <v>670</v>
      </c>
      <c r="I1739" s="622" t="s">
        <v>277</v>
      </c>
      <c r="J1739" s="622" t="s">
        <v>522</v>
      </c>
      <c r="K1739" s="622" t="s">
        <v>303</v>
      </c>
      <c r="L1739" s="622" t="s">
        <v>597</v>
      </c>
      <c r="M1739" s="622" t="s">
        <v>285</v>
      </c>
      <c r="N1739" s="622" t="s">
        <v>670</v>
      </c>
      <c r="O1739" s="622" t="s">
        <v>670</v>
      </c>
      <c r="P1739" s="622" t="s">
        <v>522</v>
      </c>
      <c r="Q1739" s="622" t="s">
        <v>670</v>
      </c>
      <c r="R1739" s="623">
        <v>45932</v>
      </c>
      <c r="S1739" s="622" t="s">
        <v>670</v>
      </c>
      <c r="T1739" s="623">
        <v>45930</v>
      </c>
      <c r="U1739" s="624">
        <v>0</v>
      </c>
      <c r="V1739" s="625">
        <v>65.45</v>
      </c>
      <c r="W1739" s="627">
        <v>45901</v>
      </c>
    </row>
    <row r="1740" spans="1:23" hidden="1" x14ac:dyDescent="0.35">
      <c r="A1740" s="622" t="s">
        <v>526</v>
      </c>
      <c r="B1740" s="622" t="s">
        <v>159</v>
      </c>
      <c r="C1740" s="622" t="s">
        <v>286</v>
      </c>
      <c r="D1740" s="622" t="s">
        <v>341</v>
      </c>
      <c r="E1740" s="622" t="s">
        <v>288</v>
      </c>
      <c r="F1740" s="622" t="s">
        <v>276</v>
      </c>
      <c r="G1740" s="622" t="s">
        <v>356</v>
      </c>
      <c r="H1740" s="622" t="s">
        <v>670</v>
      </c>
      <c r="I1740" s="622" t="s">
        <v>277</v>
      </c>
      <c r="J1740" s="622" t="s">
        <v>522</v>
      </c>
      <c r="K1740" s="622" t="s">
        <v>289</v>
      </c>
      <c r="L1740" s="622" t="s">
        <v>597</v>
      </c>
      <c r="M1740" s="622" t="s">
        <v>285</v>
      </c>
      <c r="N1740" s="622" t="s">
        <v>670</v>
      </c>
      <c r="O1740" s="622" t="s">
        <v>670</v>
      </c>
      <c r="P1740" s="622" t="s">
        <v>522</v>
      </c>
      <c r="Q1740" s="622" t="s">
        <v>670</v>
      </c>
      <c r="R1740" s="623">
        <v>45931</v>
      </c>
      <c r="S1740" s="622" t="s">
        <v>670</v>
      </c>
      <c r="T1740" s="623">
        <v>45930</v>
      </c>
      <c r="U1740" s="624">
        <v>0</v>
      </c>
      <c r="V1740" s="625">
        <v>1030.67</v>
      </c>
      <c r="W1740" s="627">
        <v>45901</v>
      </c>
    </row>
    <row r="1741" spans="1:23" hidden="1" x14ac:dyDescent="0.35">
      <c r="A1741" s="622" t="s">
        <v>526</v>
      </c>
      <c r="B1741" s="622" t="s">
        <v>159</v>
      </c>
      <c r="C1741" s="622" t="s">
        <v>302</v>
      </c>
      <c r="D1741" s="622" t="s">
        <v>341</v>
      </c>
      <c r="E1741" s="622" t="s">
        <v>288</v>
      </c>
      <c r="F1741" s="622" t="s">
        <v>276</v>
      </c>
      <c r="G1741" s="622" t="s">
        <v>356</v>
      </c>
      <c r="H1741" s="622" t="s">
        <v>670</v>
      </c>
      <c r="I1741" s="622" t="s">
        <v>277</v>
      </c>
      <c r="J1741" s="622" t="s">
        <v>522</v>
      </c>
      <c r="K1741" s="622" t="s">
        <v>303</v>
      </c>
      <c r="L1741" s="622" t="s">
        <v>597</v>
      </c>
      <c r="M1741" s="622" t="s">
        <v>285</v>
      </c>
      <c r="N1741" s="622" t="s">
        <v>670</v>
      </c>
      <c r="O1741" s="622" t="s">
        <v>670</v>
      </c>
      <c r="P1741" s="622" t="s">
        <v>522</v>
      </c>
      <c r="Q1741" s="622" t="s">
        <v>670</v>
      </c>
      <c r="R1741" s="623">
        <v>45932</v>
      </c>
      <c r="S1741" s="622" t="s">
        <v>670</v>
      </c>
      <c r="T1741" s="623">
        <v>45930</v>
      </c>
      <c r="U1741" s="624">
        <v>0</v>
      </c>
      <c r="V1741" s="625">
        <v>114.12</v>
      </c>
      <c r="W1741" s="627">
        <v>45901</v>
      </c>
    </row>
    <row r="1742" spans="1:23" hidden="1" x14ac:dyDescent="0.35">
      <c r="A1742" s="622" t="s">
        <v>526</v>
      </c>
      <c r="B1742" s="622" t="s">
        <v>159</v>
      </c>
      <c r="C1742" s="622" t="s">
        <v>302</v>
      </c>
      <c r="D1742" s="622" t="s">
        <v>341</v>
      </c>
      <c r="E1742" s="622" t="s">
        <v>288</v>
      </c>
      <c r="F1742" s="622" t="s">
        <v>276</v>
      </c>
      <c r="G1742" s="622" t="s">
        <v>356</v>
      </c>
      <c r="H1742" s="622" t="s">
        <v>670</v>
      </c>
      <c r="I1742" s="622" t="s">
        <v>277</v>
      </c>
      <c r="J1742" s="622" t="s">
        <v>522</v>
      </c>
      <c r="K1742" s="622" t="s">
        <v>303</v>
      </c>
      <c r="L1742" s="622" t="s">
        <v>597</v>
      </c>
      <c r="M1742" s="622" t="s">
        <v>285</v>
      </c>
      <c r="N1742" s="622" t="s">
        <v>670</v>
      </c>
      <c r="O1742" s="622" t="s">
        <v>670</v>
      </c>
      <c r="P1742" s="622" t="s">
        <v>522</v>
      </c>
      <c r="Q1742" s="622" t="s">
        <v>670</v>
      </c>
      <c r="R1742" s="623">
        <v>45932</v>
      </c>
      <c r="S1742" s="622" t="s">
        <v>670</v>
      </c>
      <c r="T1742" s="623">
        <v>45930</v>
      </c>
      <c r="U1742" s="624">
        <v>0</v>
      </c>
      <c r="V1742" s="625">
        <v>57.83</v>
      </c>
      <c r="W1742" s="627">
        <v>45901</v>
      </c>
    </row>
    <row r="1743" spans="1:23" hidden="1" x14ac:dyDescent="0.35">
      <c r="A1743" s="622" t="s">
        <v>526</v>
      </c>
      <c r="B1743" s="622" t="s">
        <v>159</v>
      </c>
      <c r="C1743" s="622" t="s">
        <v>281</v>
      </c>
      <c r="D1743" s="622" t="s">
        <v>342</v>
      </c>
      <c r="E1743" s="622" t="s">
        <v>291</v>
      </c>
      <c r="F1743" s="622" t="s">
        <v>276</v>
      </c>
      <c r="G1743" s="622" t="s">
        <v>356</v>
      </c>
      <c r="H1743" s="622" t="s">
        <v>670</v>
      </c>
      <c r="I1743" s="622" t="s">
        <v>277</v>
      </c>
      <c r="J1743" s="622" t="s">
        <v>522</v>
      </c>
      <c r="K1743" s="622" t="s">
        <v>284</v>
      </c>
      <c r="L1743" s="622" t="s">
        <v>597</v>
      </c>
      <c r="M1743" s="622" t="s">
        <v>285</v>
      </c>
      <c r="N1743" s="622" t="s">
        <v>670</v>
      </c>
      <c r="O1743" s="622" t="s">
        <v>670</v>
      </c>
      <c r="P1743" s="622" t="s">
        <v>522</v>
      </c>
      <c r="Q1743" s="622" t="s">
        <v>670</v>
      </c>
      <c r="R1743" s="623">
        <v>45931</v>
      </c>
      <c r="S1743" s="622" t="s">
        <v>670</v>
      </c>
      <c r="T1743" s="623">
        <v>45930</v>
      </c>
      <c r="U1743" s="624">
        <v>0</v>
      </c>
      <c r="V1743" s="625">
        <v>610.74</v>
      </c>
      <c r="W1743" s="627">
        <v>45901</v>
      </c>
    </row>
    <row r="1744" spans="1:23" hidden="1" x14ac:dyDescent="0.35">
      <c r="A1744" s="622" t="s">
        <v>526</v>
      </c>
      <c r="B1744" s="622" t="s">
        <v>159</v>
      </c>
      <c r="C1744" s="622" t="s">
        <v>302</v>
      </c>
      <c r="D1744" s="622" t="s">
        <v>342</v>
      </c>
      <c r="E1744" s="622" t="s">
        <v>291</v>
      </c>
      <c r="F1744" s="622" t="s">
        <v>276</v>
      </c>
      <c r="G1744" s="622" t="s">
        <v>356</v>
      </c>
      <c r="H1744" s="622" t="s">
        <v>670</v>
      </c>
      <c r="I1744" s="622" t="s">
        <v>277</v>
      </c>
      <c r="J1744" s="622" t="s">
        <v>522</v>
      </c>
      <c r="K1744" s="622" t="s">
        <v>303</v>
      </c>
      <c r="L1744" s="622" t="s">
        <v>597</v>
      </c>
      <c r="M1744" s="622" t="s">
        <v>285</v>
      </c>
      <c r="N1744" s="622" t="s">
        <v>670</v>
      </c>
      <c r="O1744" s="622" t="s">
        <v>670</v>
      </c>
      <c r="P1744" s="622" t="s">
        <v>522</v>
      </c>
      <c r="Q1744" s="622" t="s">
        <v>670</v>
      </c>
      <c r="R1744" s="623">
        <v>45932</v>
      </c>
      <c r="S1744" s="622" t="s">
        <v>670</v>
      </c>
      <c r="T1744" s="623">
        <v>45930</v>
      </c>
      <c r="U1744" s="624">
        <v>0</v>
      </c>
      <c r="V1744" s="625">
        <v>26.29</v>
      </c>
      <c r="W1744" s="627">
        <v>45901</v>
      </c>
    </row>
    <row r="1745" spans="1:24" hidden="1" x14ac:dyDescent="0.35">
      <c r="A1745" s="622" t="s">
        <v>526</v>
      </c>
      <c r="B1745" s="622" t="s">
        <v>159</v>
      </c>
      <c r="C1745" s="622" t="s">
        <v>302</v>
      </c>
      <c r="D1745" s="622" t="s">
        <v>342</v>
      </c>
      <c r="E1745" s="622" t="s">
        <v>291</v>
      </c>
      <c r="F1745" s="622" t="s">
        <v>276</v>
      </c>
      <c r="G1745" s="622" t="s">
        <v>356</v>
      </c>
      <c r="H1745" s="622" t="s">
        <v>670</v>
      </c>
      <c r="I1745" s="622" t="s">
        <v>277</v>
      </c>
      <c r="J1745" s="622" t="s">
        <v>522</v>
      </c>
      <c r="K1745" s="622" t="s">
        <v>303</v>
      </c>
      <c r="L1745" s="622" t="s">
        <v>597</v>
      </c>
      <c r="M1745" s="622" t="s">
        <v>285</v>
      </c>
      <c r="N1745" s="622" t="s">
        <v>670</v>
      </c>
      <c r="O1745" s="622" t="s">
        <v>670</v>
      </c>
      <c r="P1745" s="622" t="s">
        <v>522</v>
      </c>
      <c r="Q1745" s="622" t="s">
        <v>670</v>
      </c>
      <c r="R1745" s="623">
        <v>45932</v>
      </c>
      <c r="S1745" s="622" t="s">
        <v>670</v>
      </c>
      <c r="T1745" s="623">
        <v>45930</v>
      </c>
      <c r="U1745" s="624">
        <v>0</v>
      </c>
      <c r="V1745" s="625">
        <v>34.270000000000003</v>
      </c>
      <c r="W1745" s="627">
        <v>45901</v>
      </c>
    </row>
    <row r="1746" spans="1:24" hidden="1" x14ac:dyDescent="0.35">
      <c r="A1746" s="622" t="s">
        <v>526</v>
      </c>
      <c r="B1746" s="622" t="s">
        <v>159</v>
      </c>
      <c r="C1746" s="622" t="s">
        <v>281</v>
      </c>
      <c r="D1746" s="622" t="s">
        <v>343</v>
      </c>
      <c r="E1746" s="622" t="s">
        <v>293</v>
      </c>
      <c r="F1746" s="622" t="s">
        <v>276</v>
      </c>
      <c r="G1746" s="622" t="s">
        <v>356</v>
      </c>
      <c r="H1746" s="622" t="s">
        <v>670</v>
      </c>
      <c r="I1746" s="622" t="s">
        <v>277</v>
      </c>
      <c r="J1746" s="622" t="s">
        <v>522</v>
      </c>
      <c r="K1746" s="622" t="s">
        <v>294</v>
      </c>
      <c r="L1746" s="622" t="s">
        <v>597</v>
      </c>
      <c r="M1746" s="622" t="s">
        <v>285</v>
      </c>
      <c r="N1746" s="622" t="s">
        <v>670</v>
      </c>
      <c r="O1746" s="622" t="s">
        <v>670</v>
      </c>
      <c r="P1746" s="622" t="s">
        <v>522</v>
      </c>
      <c r="Q1746" s="622" t="s">
        <v>670</v>
      </c>
      <c r="R1746" s="623">
        <v>45931</v>
      </c>
      <c r="S1746" s="622" t="s">
        <v>670</v>
      </c>
      <c r="T1746" s="623">
        <v>45930</v>
      </c>
      <c r="U1746" s="624">
        <v>0</v>
      </c>
      <c r="V1746" s="625">
        <v>120.1</v>
      </c>
      <c r="W1746" s="627">
        <v>45901</v>
      </c>
    </row>
    <row r="1747" spans="1:24" hidden="1" x14ac:dyDescent="0.35">
      <c r="A1747" s="622" t="s">
        <v>526</v>
      </c>
      <c r="B1747" s="622" t="s">
        <v>159</v>
      </c>
      <c r="C1747" s="622" t="s">
        <v>302</v>
      </c>
      <c r="D1747" s="622" t="s">
        <v>343</v>
      </c>
      <c r="E1747" s="622" t="s">
        <v>293</v>
      </c>
      <c r="F1747" s="622" t="s">
        <v>276</v>
      </c>
      <c r="G1747" s="622" t="s">
        <v>356</v>
      </c>
      <c r="H1747" s="622" t="s">
        <v>670</v>
      </c>
      <c r="I1747" s="622" t="s">
        <v>277</v>
      </c>
      <c r="J1747" s="622" t="s">
        <v>522</v>
      </c>
      <c r="K1747" s="622" t="s">
        <v>303</v>
      </c>
      <c r="L1747" s="622" t="s">
        <v>597</v>
      </c>
      <c r="M1747" s="622" t="s">
        <v>285</v>
      </c>
      <c r="N1747" s="622" t="s">
        <v>670</v>
      </c>
      <c r="O1747" s="622" t="s">
        <v>670</v>
      </c>
      <c r="P1747" s="622" t="s">
        <v>522</v>
      </c>
      <c r="Q1747" s="622" t="s">
        <v>670</v>
      </c>
      <c r="R1747" s="623">
        <v>45932</v>
      </c>
      <c r="S1747" s="622" t="s">
        <v>670</v>
      </c>
      <c r="T1747" s="623">
        <v>45930</v>
      </c>
      <c r="U1747" s="624">
        <v>0</v>
      </c>
      <c r="V1747" s="625">
        <v>29.07</v>
      </c>
      <c r="W1747" s="627">
        <v>45901</v>
      </c>
    </row>
    <row r="1748" spans="1:24" hidden="1" x14ac:dyDescent="0.35">
      <c r="A1748" s="622" t="s">
        <v>526</v>
      </c>
      <c r="B1748" s="622" t="s">
        <v>159</v>
      </c>
      <c r="C1748" s="622" t="s">
        <v>302</v>
      </c>
      <c r="D1748" s="622" t="s">
        <v>343</v>
      </c>
      <c r="E1748" s="622" t="s">
        <v>293</v>
      </c>
      <c r="F1748" s="622" t="s">
        <v>276</v>
      </c>
      <c r="G1748" s="622" t="s">
        <v>356</v>
      </c>
      <c r="H1748" s="622" t="s">
        <v>670</v>
      </c>
      <c r="I1748" s="622" t="s">
        <v>277</v>
      </c>
      <c r="J1748" s="622" t="s">
        <v>522</v>
      </c>
      <c r="K1748" s="622" t="s">
        <v>303</v>
      </c>
      <c r="L1748" s="622" t="s">
        <v>597</v>
      </c>
      <c r="M1748" s="622" t="s">
        <v>285</v>
      </c>
      <c r="N1748" s="622" t="s">
        <v>670</v>
      </c>
      <c r="O1748" s="622" t="s">
        <v>670</v>
      </c>
      <c r="P1748" s="622" t="s">
        <v>522</v>
      </c>
      <c r="Q1748" s="622" t="s">
        <v>670</v>
      </c>
      <c r="R1748" s="623">
        <v>45932</v>
      </c>
      <c r="S1748" s="622" t="s">
        <v>670</v>
      </c>
      <c r="T1748" s="623">
        <v>45930</v>
      </c>
      <c r="U1748" s="624">
        <v>0</v>
      </c>
      <c r="V1748" s="625">
        <v>6.74</v>
      </c>
      <c r="W1748" s="627">
        <v>45901</v>
      </c>
    </row>
    <row r="1749" spans="1:24" hidden="1" x14ac:dyDescent="0.35">
      <c r="A1749" s="622" t="s">
        <v>526</v>
      </c>
      <c r="B1749" s="622" t="s">
        <v>159</v>
      </c>
      <c r="C1749" s="622" t="s">
        <v>286</v>
      </c>
      <c r="D1749" s="622" t="s">
        <v>344</v>
      </c>
      <c r="E1749" s="622" t="s">
        <v>296</v>
      </c>
      <c r="F1749" s="622" t="s">
        <v>276</v>
      </c>
      <c r="G1749" s="622" t="s">
        <v>356</v>
      </c>
      <c r="H1749" s="622" t="s">
        <v>670</v>
      </c>
      <c r="I1749" s="622" t="s">
        <v>277</v>
      </c>
      <c r="J1749" s="622" t="s">
        <v>522</v>
      </c>
      <c r="K1749" s="622" t="s">
        <v>297</v>
      </c>
      <c r="L1749" s="622" t="s">
        <v>597</v>
      </c>
      <c r="M1749" s="622" t="s">
        <v>285</v>
      </c>
      <c r="N1749" s="622" t="s">
        <v>670</v>
      </c>
      <c r="O1749" s="622" t="s">
        <v>670</v>
      </c>
      <c r="P1749" s="622" t="s">
        <v>522</v>
      </c>
      <c r="Q1749" s="622" t="s">
        <v>670</v>
      </c>
      <c r="R1749" s="623">
        <v>45931</v>
      </c>
      <c r="S1749" s="622" t="s">
        <v>670</v>
      </c>
      <c r="T1749" s="623">
        <v>45930</v>
      </c>
      <c r="U1749" s="624">
        <v>0</v>
      </c>
      <c r="V1749" s="625">
        <v>364.9</v>
      </c>
      <c r="W1749" s="627">
        <v>45901</v>
      </c>
    </row>
    <row r="1750" spans="1:24" hidden="1" x14ac:dyDescent="0.35">
      <c r="A1750" s="622" t="s">
        <v>526</v>
      </c>
      <c r="B1750" s="622" t="s">
        <v>159</v>
      </c>
      <c r="C1750" s="622" t="s">
        <v>302</v>
      </c>
      <c r="D1750" s="622" t="s">
        <v>344</v>
      </c>
      <c r="E1750" s="622" t="s">
        <v>296</v>
      </c>
      <c r="F1750" s="622" t="s">
        <v>276</v>
      </c>
      <c r="G1750" s="622" t="s">
        <v>356</v>
      </c>
      <c r="H1750" s="622" t="s">
        <v>670</v>
      </c>
      <c r="I1750" s="622" t="s">
        <v>277</v>
      </c>
      <c r="J1750" s="622" t="s">
        <v>522</v>
      </c>
      <c r="K1750" s="622" t="s">
        <v>303</v>
      </c>
      <c r="L1750" s="622" t="s">
        <v>597</v>
      </c>
      <c r="M1750" s="622" t="s">
        <v>285</v>
      </c>
      <c r="N1750" s="622" t="s">
        <v>670</v>
      </c>
      <c r="O1750" s="622" t="s">
        <v>670</v>
      </c>
      <c r="P1750" s="622" t="s">
        <v>522</v>
      </c>
      <c r="Q1750" s="622" t="s">
        <v>670</v>
      </c>
      <c r="R1750" s="623">
        <v>45932</v>
      </c>
      <c r="S1750" s="622" t="s">
        <v>670</v>
      </c>
      <c r="T1750" s="623">
        <v>45930</v>
      </c>
      <c r="U1750" s="624">
        <v>0</v>
      </c>
      <c r="V1750" s="625">
        <v>62.22</v>
      </c>
      <c r="W1750" s="627">
        <v>45901</v>
      </c>
    </row>
    <row r="1751" spans="1:24" hidden="1" x14ac:dyDescent="0.35">
      <c r="A1751" s="622" t="s">
        <v>526</v>
      </c>
      <c r="B1751" s="622" t="s">
        <v>159</v>
      </c>
      <c r="C1751" s="622" t="s">
        <v>302</v>
      </c>
      <c r="D1751" s="622" t="s">
        <v>344</v>
      </c>
      <c r="E1751" s="622" t="s">
        <v>296</v>
      </c>
      <c r="F1751" s="622" t="s">
        <v>276</v>
      </c>
      <c r="G1751" s="622" t="s">
        <v>356</v>
      </c>
      <c r="H1751" s="622" t="s">
        <v>670</v>
      </c>
      <c r="I1751" s="622" t="s">
        <v>277</v>
      </c>
      <c r="J1751" s="622" t="s">
        <v>522</v>
      </c>
      <c r="K1751" s="622" t="s">
        <v>303</v>
      </c>
      <c r="L1751" s="622" t="s">
        <v>597</v>
      </c>
      <c r="M1751" s="622" t="s">
        <v>285</v>
      </c>
      <c r="N1751" s="622" t="s">
        <v>670</v>
      </c>
      <c r="O1751" s="622" t="s">
        <v>670</v>
      </c>
      <c r="P1751" s="622" t="s">
        <v>522</v>
      </c>
      <c r="Q1751" s="622" t="s">
        <v>670</v>
      </c>
      <c r="R1751" s="623">
        <v>45932</v>
      </c>
      <c r="S1751" s="622" t="s">
        <v>670</v>
      </c>
      <c r="T1751" s="623">
        <v>45930</v>
      </c>
      <c r="U1751" s="624">
        <v>0</v>
      </c>
      <c r="V1751" s="625">
        <v>20.47</v>
      </c>
      <c r="W1751" s="627">
        <v>45901</v>
      </c>
    </row>
    <row r="1752" spans="1:24" hidden="1" x14ac:dyDescent="0.35">
      <c r="A1752" s="622" t="s">
        <v>526</v>
      </c>
      <c r="B1752" s="622" t="s">
        <v>159</v>
      </c>
      <c r="C1752" s="622" t="s">
        <v>298</v>
      </c>
      <c r="D1752" s="622" t="s">
        <v>345</v>
      </c>
      <c r="E1752" s="622" t="s">
        <v>346</v>
      </c>
      <c r="F1752" s="622" t="s">
        <v>276</v>
      </c>
      <c r="G1752" s="622" t="s">
        <v>356</v>
      </c>
      <c r="H1752" s="622" t="s">
        <v>670</v>
      </c>
      <c r="I1752" s="622" t="s">
        <v>277</v>
      </c>
      <c r="J1752" s="622" t="s">
        <v>522</v>
      </c>
      <c r="K1752" s="622" t="s">
        <v>301</v>
      </c>
      <c r="L1752" s="622" t="s">
        <v>597</v>
      </c>
      <c r="M1752" s="622" t="s">
        <v>285</v>
      </c>
      <c r="N1752" s="622" t="s">
        <v>670</v>
      </c>
      <c r="O1752" s="622" t="s">
        <v>670</v>
      </c>
      <c r="P1752" s="622" t="s">
        <v>522</v>
      </c>
      <c r="Q1752" s="622" t="s">
        <v>670</v>
      </c>
      <c r="R1752" s="623">
        <v>45932</v>
      </c>
      <c r="S1752" s="622" t="s">
        <v>670</v>
      </c>
      <c r="T1752" s="623">
        <v>45930</v>
      </c>
      <c r="U1752" s="624">
        <v>0</v>
      </c>
      <c r="V1752" s="625">
        <v>0.7</v>
      </c>
      <c r="W1752" s="627">
        <v>45901</v>
      </c>
    </row>
    <row r="1753" spans="1:24" hidden="1" x14ac:dyDescent="0.35">
      <c r="A1753" s="622" t="s">
        <v>526</v>
      </c>
      <c r="B1753" s="622" t="s">
        <v>159</v>
      </c>
      <c r="C1753" s="622" t="s">
        <v>298</v>
      </c>
      <c r="D1753" s="622" t="s">
        <v>347</v>
      </c>
      <c r="E1753" s="622" t="s">
        <v>348</v>
      </c>
      <c r="F1753" s="622" t="s">
        <v>276</v>
      </c>
      <c r="G1753" s="622" t="s">
        <v>356</v>
      </c>
      <c r="H1753" s="622" t="s">
        <v>670</v>
      </c>
      <c r="I1753" s="622" t="s">
        <v>277</v>
      </c>
      <c r="J1753" s="622" t="s">
        <v>522</v>
      </c>
      <c r="K1753" s="622" t="s">
        <v>301</v>
      </c>
      <c r="L1753" s="622" t="s">
        <v>597</v>
      </c>
      <c r="M1753" s="622" t="s">
        <v>285</v>
      </c>
      <c r="N1753" s="622" t="s">
        <v>670</v>
      </c>
      <c r="O1753" s="622" t="s">
        <v>670</v>
      </c>
      <c r="P1753" s="622" t="s">
        <v>522</v>
      </c>
      <c r="Q1753" s="622" t="s">
        <v>670</v>
      </c>
      <c r="R1753" s="623">
        <v>45932</v>
      </c>
      <c r="S1753" s="622" t="s">
        <v>670</v>
      </c>
      <c r="T1753" s="623">
        <v>45930</v>
      </c>
      <c r="U1753" s="624">
        <v>0</v>
      </c>
      <c r="V1753" s="625">
        <v>3.48</v>
      </c>
      <c r="W1753" s="627">
        <v>45901</v>
      </c>
    </row>
    <row r="1754" spans="1:24" hidden="1" x14ac:dyDescent="0.35">
      <c r="A1754" s="622" t="s">
        <v>526</v>
      </c>
      <c r="B1754" s="622" t="s">
        <v>159</v>
      </c>
      <c r="C1754" s="622" t="s">
        <v>298</v>
      </c>
      <c r="D1754" s="622" t="s">
        <v>347</v>
      </c>
      <c r="E1754" s="622" t="s">
        <v>348</v>
      </c>
      <c r="F1754" s="622" t="s">
        <v>276</v>
      </c>
      <c r="G1754" s="622" t="s">
        <v>356</v>
      </c>
      <c r="H1754" s="622" t="s">
        <v>670</v>
      </c>
      <c r="I1754" s="622" t="s">
        <v>277</v>
      </c>
      <c r="J1754" s="622" t="s">
        <v>522</v>
      </c>
      <c r="K1754" s="622" t="s">
        <v>301</v>
      </c>
      <c r="L1754" s="622" t="s">
        <v>597</v>
      </c>
      <c r="M1754" s="622" t="s">
        <v>285</v>
      </c>
      <c r="N1754" s="622" t="s">
        <v>670</v>
      </c>
      <c r="O1754" s="622" t="s">
        <v>670</v>
      </c>
      <c r="P1754" s="622" t="s">
        <v>522</v>
      </c>
      <c r="Q1754" s="622" t="s">
        <v>670</v>
      </c>
      <c r="R1754" s="623">
        <v>45932</v>
      </c>
      <c r="S1754" s="622" t="s">
        <v>670</v>
      </c>
      <c r="T1754" s="623">
        <v>45930</v>
      </c>
      <c r="U1754" s="624">
        <v>0</v>
      </c>
      <c r="V1754" s="625">
        <v>0.43</v>
      </c>
      <c r="W1754" s="627">
        <v>45901</v>
      </c>
    </row>
    <row r="1755" spans="1:24" hidden="1" x14ac:dyDescent="0.35">
      <c r="A1755" s="622" t="s">
        <v>526</v>
      </c>
      <c r="B1755" s="622" t="s">
        <v>159</v>
      </c>
      <c r="C1755" s="622" t="s">
        <v>298</v>
      </c>
      <c r="D1755" s="622" t="s">
        <v>349</v>
      </c>
      <c r="E1755" s="622" t="s">
        <v>350</v>
      </c>
      <c r="F1755" s="622" t="s">
        <v>276</v>
      </c>
      <c r="G1755" s="622" t="s">
        <v>356</v>
      </c>
      <c r="H1755" s="622" t="s">
        <v>670</v>
      </c>
      <c r="I1755" s="622" t="s">
        <v>277</v>
      </c>
      <c r="J1755" s="622" t="s">
        <v>522</v>
      </c>
      <c r="K1755" s="622" t="s">
        <v>301</v>
      </c>
      <c r="L1755" s="622" t="s">
        <v>597</v>
      </c>
      <c r="M1755" s="622" t="s">
        <v>285</v>
      </c>
      <c r="N1755" s="622" t="s">
        <v>670</v>
      </c>
      <c r="O1755" s="622" t="s">
        <v>670</v>
      </c>
      <c r="P1755" s="622" t="s">
        <v>522</v>
      </c>
      <c r="Q1755" s="622" t="s">
        <v>670</v>
      </c>
      <c r="R1755" s="623">
        <v>45932</v>
      </c>
      <c r="S1755" s="622" t="s">
        <v>670</v>
      </c>
      <c r="T1755" s="623">
        <v>45930</v>
      </c>
      <c r="U1755" s="624">
        <v>0</v>
      </c>
      <c r="V1755" s="625">
        <v>-7.0000000000000007E-2</v>
      </c>
      <c r="W1755" s="627">
        <v>45901</v>
      </c>
    </row>
    <row r="1756" spans="1:24" hidden="1" x14ac:dyDescent="0.35">
      <c r="A1756" s="622" t="s">
        <v>526</v>
      </c>
      <c r="B1756" s="622" t="s">
        <v>159</v>
      </c>
      <c r="C1756" s="622" t="s">
        <v>298</v>
      </c>
      <c r="D1756" s="622" t="s">
        <v>351</v>
      </c>
      <c r="E1756" s="622" t="s">
        <v>352</v>
      </c>
      <c r="F1756" s="622" t="s">
        <v>276</v>
      </c>
      <c r="G1756" s="622" t="s">
        <v>356</v>
      </c>
      <c r="H1756" s="622" t="s">
        <v>670</v>
      </c>
      <c r="I1756" s="622" t="s">
        <v>277</v>
      </c>
      <c r="J1756" s="622" t="s">
        <v>522</v>
      </c>
      <c r="K1756" s="622" t="s">
        <v>301</v>
      </c>
      <c r="L1756" s="622" t="s">
        <v>597</v>
      </c>
      <c r="M1756" s="622" t="s">
        <v>285</v>
      </c>
      <c r="N1756" s="622" t="s">
        <v>670</v>
      </c>
      <c r="O1756" s="622" t="s">
        <v>670</v>
      </c>
      <c r="P1756" s="622" t="s">
        <v>522</v>
      </c>
      <c r="Q1756" s="622" t="s">
        <v>670</v>
      </c>
      <c r="R1756" s="623">
        <v>45932</v>
      </c>
      <c r="S1756" s="622" t="s">
        <v>670</v>
      </c>
      <c r="T1756" s="623">
        <v>45930</v>
      </c>
      <c r="U1756" s="624">
        <v>0</v>
      </c>
      <c r="V1756" s="625">
        <v>1.9</v>
      </c>
      <c r="W1756" s="627">
        <v>45901</v>
      </c>
    </row>
    <row r="1757" spans="1:24" hidden="1" x14ac:dyDescent="0.35">
      <c r="A1757" s="622" t="s">
        <v>526</v>
      </c>
      <c r="B1757" s="622" t="s">
        <v>159</v>
      </c>
      <c r="C1757" s="622" t="s">
        <v>298</v>
      </c>
      <c r="D1757" s="622" t="s">
        <v>351</v>
      </c>
      <c r="E1757" s="622" t="s">
        <v>352</v>
      </c>
      <c r="F1757" s="622" t="s">
        <v>276</v>
      </c>
      <c r="G1757" s="622" t="s">
        <v>356</v>
      </c>
      <c r="H1757" s="622" t="s">
        <v>670</v>
      </c>
      <c r="I1757" s="622" t="s">
        <v>277</v>
      </c>
      <c r="J1757" s="622" t="s">
        <v>522</v>
      </c>
      <c r="K1757" s="622" t="s">
        <v>301</v>
      </c>
      <c r="L1757" s="622" t="s">
        <v>597</v>
      </c>
      <c r="M1757" s="622" t="s">
        <v>285</v>
      </c>
      <c r="N1757" s="622" t="s">
        <v>670</v>
      </c>
      <c r="O1757" s="622" t="s">
        <v>670</v>
      </c>
      <c r="P1757" s="622" t="s">
        <v>522</v>
      </c>
      <c r="Q1757" s="622" t="s">
        <v>670</v>
      </c>
      <c r="R1757" s="623">
        <v>45932</v>
      </c>
      <c r="S1757" s="622" t="s">
        <v>670</v>
      </c>
      <c r="T1757" s="623">
        <v>45930</v>
      </c>
      <c r="U1757" s="624">
        <v>0</v>
      </c>
      <c r="V1757" s="625">
        <v>-0.03</v>
      </c>
      <c r="W1757" s="627">
        <v>45901</v>
      </c>
    </row>
    <row r="1758" spans="1:24" hidden="1" x14ac:dyDescent="0.35">
      <c r="A1758" s="622" t="s">
        <v>526</v>
      </c>
      <c r="B1758" s="622" t="s">
        <v>159</v>
      </c>
      <c r="C1758" s="622" t="s">
        <v>298</v>
      </c>
      <c r="D1758" s="622" t="s">
        <v>354</v>
      </c>
      <c r="E1758" s="622" t="s">
        <v>355</v>
      </c>
      <c r="F1758" s="622" t="s">
        <v>276</v>
      </c>
      <c r="G1758" s="622" t="s">
        <v>356</v>
      </c>
      <c r="H1758" s="622" t="s">
        <v>670</v>
      </c>
      <c r="I1758" s="622" t="s">
        <v>277</v>
      </c>
      <c r="J1758" s="622" t="s">
        <v>522</v>
      </c>
      <c r="K1758" s="622" t="s">
        <v>301</v>
      </c>
      <c r="L1758" s="622" t="s">
        <v>597</v>
      </c>
      <c r="M1758" s="622" t="s">
        <v>285</v>
      </c>
      <c r="N1758" s="622" t="s">
        <v>670</v>
      </c>
      <c r="O1758" s="622" t="s">
        <v>670</v>
      </c>
      <c r="P1758" s="622" t="s">
        <v>522</v>
      </c>
      <c r="Q1758" s="622" t="s">
        <v>670</v>
      </c>
      <c r="R1758" s="623">
        <v>45932</v>
      </c>
      <c r="S1758" s="622" t="s">
        <v>670</v>
      </c>
      <c r="T1758" s="623">
        <v>45930</v>
      </c>
      <c r="U1758" s="624">
        <v>0</v>
      </c>
      <c r="V1758" s="625">
        <v>1.41</v>
      </c>
      <c r="W1758" s="627">
        <v>45901</v>
      </c>
    </row>
    <row r="1759" spans="1:24" hidden="1" x14ac:dyDescent="0.35">
      <c r="A1759" s="622" t="s">
        <v>526</v>
      </c>
      <c r="B1759" s="622" t="s">
        <v>159</v>
      </c>
      <c r="C1759" s="622" t="s">
        <v>530</v>
      </c>
      <c r="D1759" s="622" t="s">
        <v>531</v>
      </c>
      <c r="E1759" s="622" t="s">
        <v>532</v>
      </c>
      <c r="F1759" s="622" t="s">
        <v>276</v>
      </c>
      <c r="G1759" s="622" t="s">
        <v>356</v>
      </c>
      <c r="H1759" s="622" t="s">
        <v>567</v>
      </c>
      <c r="I1759" s="622" t="s">
        <v>277</v>
      </c>
      <c r="J1759" s="622" t="s">
        <v>522</v>
      </c>
      <c r="K1759" s="622" t="s">
        <v>534</v>
      </c>
      <c r="L1759" s="622" t="s">
        <v>597</v>
      </c>
      <c r="M1759" s="622" t="s">
        <v>568</v>
      </c>
      <c r="N1759" s="622" t="s">
        <v>670</v>
      </c>
      <c r="O1759" s="622" t="s">
        <v>670</v>
      </c>
      <c r="P1759" s="622" t="s">
        <v>522</v>
      </c>
      <c r="Q1759" s="622" t="s">
        <v>670</v>
      </c>
      <c r="R1759" s="623">
        <v>45895</v>
      </c>
      <c r="S1759" s="622" t="s">
        <v>278</v>
      </c>
      <c r="T1759" s="623">
        <v>45905</v>
      </c>
      <c r="U1759" s="624">
        <v>1</v>
      </c>
      <c r="V1759" s="625">
        <v>92.65</v>
      </c>
      <c r="W1759" s="627">
        <v>45901</v>
      </c>
      <c r="X1759" s="845"/>
    </row>
    <row r="1760" spans="1:24" hidden="1" x14ac:dyDescent="0.35">
      <c r="A1760" s="622" t="s">
        <v>526</v>
      </c>
      <c r="B1760" s="622" t="s">
        <v>159</v>
      </c>
      <c r="C1760" s="622" t="s">
        <v>530</v>
      </c>
      <c r="D1760" s="622" t="s">
        <v>531</v>
      </c>
      <c r="E1760" s="622" t="s">
        <v>532</v>
      </c>
      <c r="F1760" s="622" t="s">
        <v>276</v>
      </c>
      <c r="G1760" s="622" t="s">
        <v>356</v>
      </c>
      <c r="H1760" s="622" t="s">
        <v>567</v>
      </c>
      <c r="I1760" s="622" t="s">
        <v>277</v>
      </c>
      <c r="J1760" s="622" t="s">
        <v>522</v>
      </c>
      <c r="K1760" s="622" t="s">
        <v>534</v>
      </c>
      <c r="L1760" s="622" t="s">
        <v>597</v>
      </c>
      <c r="M1760" s="622" t="s">
        <v>568</v>
      </c>
      <c r="N1760" s="622" t="s">
        <v>670</v>
      </c>
      <c r="O1760" s="622" t="s">
        <v>670</v>
      </c>
      <c r="P1760" s="622" t="s">
        <v>522</v>
      </c>
      <c r="Q1760" s="622" t="s">
        <v>670</v>
      </c>
      <c r="R1760" s="623">
        <v>45888</v>
      </c>
      <c r="S1760" s="622" t="s">
        <v>278</v>
      </c>
      <c r="T1760" s="623">
        <v>45905</v>
      </c>
      <c r="U1760" s="624">
        <v>1</v>
      </c>
      <c r="V1760" s="625">
        <v>92.65</v>
      </c>
      <c r="W1760" s="627">
        <v>45901</v>
      </c>
      <c r="X1760" s="845"/>
    </row>
    <row r="1761" spans="1:24" hidden="1" x14ac:dyDescent="0.35">
      <c r="A1761" s="622" t="s">
        <v>526</v>
      </c>
      <c r="B1761" s="622" t="s">
        <v>159</v>
      </c>
      <c r="C1761" s="622" t="s">
        <v>530</v>
      </c>
      <c r="D1761" s="622" t="s">
        <v>531</v>
      </c>
      <c r="E1761" s="622" t="s">
        <v>532</v>
      </c>
      <c r="F1761" s="622" t="s">
        <v>276</v>
      </c>
      <c r="G1761" s="622" t="s">
        <v>356</v>
      </c>
      <c r="H1761" s="622" t="s">
        <v>567</v>
      </c>
      <c r="I1761" s="622" t="s">
        <v>277</v>
      </c>
      <c r="J1761" s="622" t="s">
        <v>522</v>
      </c>
      <c r="K1761" s="622" t="s">
        <v>534</v>
      </c>
      <c r="L1761" s="622" t="s">
        <v>597</v>
      </c>
      <c r="M1761" s="622" t="s">
        <v>568</v>
      </c>
      <c r="N1761" s="622" t="s">
        <v>670</v>
      </c>
      <c r="O1761" s="622" t="s">
        <v>670</v>
      </c>
      <c r="P1761" s="622" t="s">
        <v>522</v>
      </c>
      <c r="Q1761" s="622" t="s">
        <v>670</v>
      </c>
      <c r="R1761" s="623">
        <v>45881</v>
      </c>
      <c r="S1761" s="622" t="s">
        <v>278</v>
      </c>
      <c r="T1761" s="623">
        <v>45905</v>
      </c>
      <c r="U1761" s="624">
        <v>1</v>
      </c>
      <c r="V1761" s="625">
        <v>92.65</v>
      </c>
      <c r="W1761" s="627">
        <v>45901</v>
      </c>
      <c r="X1761" s="845"/>
    </row>
    <row r="1762" spans="1:24" hidden="1" x14ac:dyDescent="0.35">
      <c r="A1762" s="622" t="s">
        <v>526</v>
      </c>
      <c r="B1762" s="622" t="s">
        <v>159</v>
      </c>
      <c r="C1762" s="622" t="s">
        <v>530</v>
      </c>
      <c r="D1762" s="622" t="s">
        <v>531</v>
      </c>
      <c r="E1762" s="622" t="s">
        <v>532</v>
      </c>
      <c r="F1762" s="622" t="s">
        <v>276</v>
      </c>
      <c r="G1762" s="622" t="s">
        <v>356</v>
      </c>
      <c r="H1762" s="622" t="s">
        <v>567</v>
      </c>
      <c r="I1762" s="622" t="s">
        <v>277</v>
      </c>
      <c r="J1762" s="622" t="s">
        <v>522</v>
      </c>
      <c r="K1762" s="622" t="s">
        <v>534</v>
      </c>
      <c r="L1762" s="622" t="s">
        <v>597</v>
      </c>
      <c r="M1762" s="622" t="s">
        <v>568</v>
      </c>
      <c r="N1762" s="622" t="s">
        <v>670</v>
      </c>
      <c r="O1762" s="622" t="s">
        <v>670</v>
      </c>
      <c r="P1762" s="622" t="s">
        <v>522</v>
      </c>
      <c r="Q1762" s="622" t="s">
        <v>670</v>
      </c>
      <c r="R1762" s="623">
        <v>45902</v>
      </c>
      <c r="S1762" s="622" t="s">
        <v>278</v>
      </c>
      <c r="T1762" s="623">
        <v>45909</v>
      </c>
      <c r="U1762" s="624">
        <v>1</v>
      </c>
      <c r="V1762" s="625">
        <v>92.65</v>
      </c>
      <c r="W1762" s="627">
        <v>45901</v>
      </c>
      <c r="X1762" s="845"/>
    </row>
    <row r="1763" spans="1:24" hidden="1" x14ac:dyDescent="0.35">
      <c r="A1763" s="622" t="s">
        <v>526</v>
      </c>
      <c r="B1763" s="622" t="s">
        <v>159</v>
      </c>
      <c r="C1763" s="622" t="s">
        <v>530</v>
      </c>
      <c r="D1763" s="622" t="s">
        <v>531</v>
      </c>
      <c r="E1763" s="622" t="s">
        <v>532</v>
      </c>
      <c r="F1763" s="622" t="s">
        <v>276</v>
      </c>
      <c r="G1763" s="622" t="s">
        <v>356</v>
      </c>
      <c r="H1763" s="622" t="s">
        <v>565</v>
      </c>
      <c r="I1763" s="622" t="s">
        <v>277</v>
      </c>
      <c r="J1763" s="622" t="s">
        <v>522</v>
      </c>
      <c r="K1763" s="622" t="s">
        <v>534</v>
      </c>
      <c r="L1763" s="622" t="s">
        <v>597</v>
      </c>
      <c r="M1763" s="622" t="s">
        <v>566</v>
      </c>
      <c r="N1763" s="622" t="s">
        <v>670</v>
      </c>
      <c r="O1763" s="622" t="s">
        <v>670</v>
      </c>
      <c r="P1763" s="622" t="s">
        <v>522</v>
      </c>
      <c r="Q1763" s="622" t="s">
        <v>670</v>
      </c>
      <c r="R1763" s="623">
        <v>45908</v>
      </c>
      <c r="S1763" s="622" t="s">
        <v>278</v>
      </c>
      <c r="T1763" s="623">
        <v>45923</v>
      </c>
      <c r="U1763" s="624">
        <v>6</v>
      </c>
      <c r="V1763" s="625">
        <v>555.9</v>
      </c>
      <c r="W1763" s="627">
        <v>45901</v>
      </c>
      <c r="X1763" s="845"/>
    </row>
    <row r="1764" spans="1:24" hidden="1" x14ac:dyDescent="0.35">
      <c r="A1764" s="622" t="s">
        <v>526</v>
      </c>
      <c r="B1764" s="622" t="s">
        <v>159</v>
      </c>
      <c r="C1764" s="622" t="s">
        <v>530</v>
      </c>
      <c r="D1764" s="622" t="s">
        <v>531</v>
      </c>
      <c r="E1764" s="622" t="s">
        <v>532</v>
      </c>
      <c r="F1764" s="622" t="s">
        <v>276</v>
      </c>
      <c r="G1764" s="622" t="s">
        <v>356</v>
      </c>
      <c r="H1764" s="622" t="s">
        <v>565</v>
      </c>
      <c r="I1764" s="622" t="s">
        <v>277</v>
      </c>
      <c r="J1764" s="622" t="s">
        <v>522</v>
      </c>
      <c r="K1764" s="622" t="s">
        <v>534</v>
      </c>
      <c r="L1764" s="622" t="s">
        <v>597</v>
      </c>
      <c r="M1764" s="622" t="s">
        <v>566</v>
      </c>
      <c r="N1764" s="622" t="s">
        <v>670</v>
      </c>
      <c r="O1764" s="622" t="s">
        <v>670</v>
      </c>
      <c r="P1764" s="622" t="s">
        <v>522</v>
      </c>
      <c r="Q1764" s="622" t="s">
        <v>670</v>
      </c>
      <c r="R1764" s="623">
        <v>45910</v>
      </c>
      <c r="S1764" s="622" t="s">
        <v>278</v>
      </c>
      <c r="T1764" s="623">
        <v>45923</v>
      </c>
      <c r="U1764" s="624">
        <v>6</v>
      </c>
      <c r="V1764" s="625">
        <v>555.9</v>
      </c>
      <c r="W1764" s="627">
        <v>45901</v>
      </c>
      <c r="X1764" s="845"/>
    </row>
    <row r="1765" spans="1:24" hidden="1" x14ac:dyDescent="0.35">
      <c r="A1765" s="622" t="s">
        <v>526</v>
      </c>
      <c r="B1765" s="622" t="s">
        <v>159</v>
      </c>
      <c r="C1765" s="622" t="s">
        <v>530</v>
      </c>
      <c r="D1765" s="622" t="s">
        <v>531</v>
      </c>
      <c r="E1765" s="622" t="s">
        <v>532</v>
      </c>
      <c r="F1765" s="622" t="s">
        <v>276</v>
      </c>
      <c r="G1765" s="622" t="s">
        <v>356</v>
      </c>
      <c r="H1765" s="622" t="s">
        <v>565</v>
      </c>
      <c r="I1765" s="622" t="s">
        <v>277</v>
      </c>
      <c r="J1765" s="622" t="s">
        <v>522</v>
      </c>
      <c r="K1765" s="622" t="s">
        <v>534</v>
      </c>
      <c r="L1765" s="622" t="s">
        <v>597</v>
      </c>
      <c r="M1765" s="622" t="s">
        <v>566</v>
      </c>
      <c r="N1765" s="622" t="s">
        <v>670</v>
      </c>
      <c r="O1765" s="622" t="s">
        <v>670</v>
      </c>
      <c r="P1765" s="622" t="s">
        <v>522</v>
      </c>
      <c r="Q1765" s="622" t="s">
        <v>670</v>
      </c>
      <c r="R1765" s="623">
        <v>45911</v>
      </c>
      <c r="S1765" s="622" t="s">
        <v>278</v>
      </c>
      <c r="T1765" s="623">
        <v>45923</v>
      </c>
      <c r="U1765" s="624">
        <v>6</v>
      </c>
      <c r="V1765" s="625">
        <v>555.9</v>
      </c>
      <c r="W1765" s="627">
        <v>45901</v>
      </c>
      <c r="X1765" s="845"/>
    </row>
    <row r="1766" spans="1:24" hidden="1" x14ac:dyDescent="0.35">
      <c r="A1766" s="622" t="s">
        <v>526</v>
      </c>
      <c r="B1766" s="622" t="s">
        <v>159</v>
      </c>
      <c r="C1766" s="622" t="s">
        <v>530</v>
      </c>
      <c r="D1766" s="622" t="s">
        <v>531</v>
      </c>
      <c r="E1766" s="622" t="s">
        <v>532</v>
      </c>
      <c r="F1766" s="622" t="s">
        <v>276</v>
      </c>
      <c r="G1766" s="622" t="s">
        <v>356</v>
      </c>
      <c r="H1766" s="622" t="s">
        <v>565</v>
      </c>
      <c r="I1766" s="622" t="s">
        <v>277</v>
      </c>
      <c r="J1766" s="622" t="s">
        <v>522</v>
      </c>
      <c r="K1766" s="622" t="s">
        <v>534</v>
      </c>
      <c r="L1766" s="622" t="s">
        <v>597</v>
      </c>
      <c r="M1766" s="622" t="s">
        <v>566</v>
      </c>
      <c r="N1766" s="622" t="s">
        <v>670</v>
      </c>
      <c r="O1766" s="622" t="s">
        <v>670</v>
      </c>
      <c r="P1766" s="622" t="s">
        <v>522</v>
      </c>
      <c r="Q1766" s="622" t="s">
        <v>670</v>
      </c>
      <c r="R1766" s="623">
        <v>45912</v>
      </c>
      <c r="S1766" s="622" t="s">
        <v>278</v>
      </c>
      <c r="T1766" s="623">
        <v>45923</v>
      </c>
      <c r="U1766" s="624">
        <v>4</v>
      </c>
      <c r="V1766" s="625">
        <v>370.6</v>
      </c>
      <c r="W1766" s="627">
        <v>45901</v>
      </c>
      <c r="X1766" s="845"/>
    </row>
    <row r="1767" spans="1:24" hidden="1" x14ac:dyDescent="0.35">
      <c r="A1767" s="622" t="s">
        <v>526</v>
      </c>
      <c r="B1767" s="622" t="s">
        <v>159</v>
      </c>
      <c r="C1767" s="622" t="s">
        <v>530</v>
      </c>
      <c r="D1767" s="622" t="s">
        <v>531</v>
      </c>
      <c r="E1767" s="622" t="s">
        <v>532</v>
      </c>
      <c r="F1767" s="622" t="s">
        <v>276</v>
      </c>
      <c r="G1767" s="622" t="s">
        <v>356</v>
      </c>
      <c r="H1767" s="622" t="s">
        <v>565</v>
      </c>
      <c r="I1767" s="622" t="s">
        <v>277</v>
      </c>
      <c r="J1767" s="622" t="s">
        <v>522</v>
      </c>
      <c r="K1767" s="622" t="s">
        <v>534</v>
      </c>
      <c r="L1767" s="622" t="s">
        <v>597</v>
      </c>
      <c r="M1767" s="622" t="s">
        <v>566</v>
      </c>
      <c r="N1767" s="622" t="s">
        <v>670</v>
      </c>
      <c r="O1767" s="622" t="s">
        <v>670</v>
      </c>
      <c r="P1767" s="622" t="s">
        <v>522</v>
      </c>
      <c r="Q1767" s="622" t="s">
        <v>670</v>
      </c>
      <c r="R1767" s="623">
        <v>45902</v>
      </c>
      <c r="S1767" s="622" t="s">
        <v>278</v>
      </c>
      <c r="T1767" s="623">
        <v>45923</v>
      </c>
      <c r="U1767" s="624">
        <v>4</v>
      </c>
      <c r="V1767" s="625">
        <v>370.6</v>
      </c>
      <c r="W1767" s="627">
        <v>45901</v>
      </c>
      <c r="X1767" s="845"/>
    </row>
    <row r="1768" spans="1:24" hidden="1" x14ac:dyDescent="0.35">
      <c r="A1768" s="622" t="s">
        <v>526</v>
      </c>
      <c r="B1768" s="622" t="s">
        <v>159</v>
      </c>
      <c r="C1768" s="622" t="s">
        <v>530</v>
      </c>
      <c r="D1768" s="622" t="s">
        <v>531</v>
      </c>
      <c r="E1768" s="622" t="s">
        <v>532</v>
      </c>
      <c r="F1768" s="622" t="s">
        <v>276</v>
      </c>
      <c r="G1768" s="622" t="s">
        <v>356</v>
      </c>
      <c r="H1768" s="622" t="s">
        <v>565</v>
      </c>
      <c r="I1768" s="622" t="s">
        <v>277</v>
      </c>
      <c r="J1768" s="622" t="s">
        <v>522</v>
      </c>
      <c r="K1768" s="622" t="s">
        <v>534</v>
      </c>
      <c r="L1768" s="622" t="s">
        <v>597</v>
      </c>
      <c r="M1768" s="622" t="s">
        <v>566</v>
      </c>
      <c r="N1768" s="622" t="s">
        <v>670</v>
      </c>
      <c r="O1768" s="622" t="s">
        <v>670</v>
      </c>
      <c r="P1768" s="622" t="s">
        <v>522</v>
      </c>
      <c r="Q1768" s="622" t="s">
        <v>670</v>
      </c>
      <c r="R1768" s="623">
        <v>45903</v>
      </c>
      <c r="S1768" s="622" t="s">
        <v>278</v>
      </c>
      <c r="T1768" s="623">
        <v>45923</v>
      </c>
      <c r="U1768" s="624">
        <v>6</v>
      </c>
      <c r="V1768" s="625">
        <v>555.9</v>
      </c>
      <c r="W1768" s="627">
        <v>45901</v>
      </c>
      <c r="X1768" s="845"/>
    </row>
    <row r="1769" spans="1:24" hidden="1" x14ac:dyDescent="0.35">
      <c r="A1769" s="622" t="s">
        <v>526</v>
      </c>
      <c r="B1769" s="622" t="s">
        <v>159</v>
      </c>
      <c r="C1769" s="622" t="s">
        <v>530</v>
      </c>
      <c r="D1769" s="622" t="s">
        <v>531</v>
      </c>
      <c r="E1769" s="622" t="s">
        <v>532</v>
      </c>
      <c r="F1769" s="622" t="s">
        <v>276</v>
      </c>
      <c r="G1769" s="622" t="s">
        <v>356</v>
      </c>
      <c r="H1769" s="622" t="s">
        <v>565</v>
      </c>
      <c r="I1769" s="622" t="s">
        <v>277</v>
      </c>
      <c r="J1769" s="622" t="s">
        <v>522</v>
      </c>
      <c r="K1769" s="622" t="s">
        <v>534</v>
      </c>
      <c r="L1769" s="622" t="s">
        <v>597</v>
      </c>
      <c r="M1769" s="622" t="s">
        <v>566</v>
      </c>
      <c r="N1769" s="622" t="s">
        <v>670</v>
      </c>
      <c r="O1769" s="622" t="s">
        <v>670</v>
      </c>
      <c r="P1769" s="622" t="s">
        <v>522</v>
      </c>
      <c r="Q1769" s="622" t="s">
        <v>670</v>
      </c>
      <c r="R1769" s="623">
        <v>45904</v>
      </c>
      <c r="S1769" s="622" t="s">
        <v>278</v>
      </c>
      <c r="T1769" s="623">
        <v>45923</v>
      </c>
      <c r="U1769" s="624">
        <v>6</v>
      </c>
      <c r="V1769" s="625">
        <v>555.9</v>
      </c>
      <c r="W1769" s="627">
        <v>45901</v>
      </c>
      <c r="X1769" s="845"/>
    </row>
    <row r="1770" spans="1:24" hidden="1" x14ac:dyDescent="0.35">
      <c r="A1770" s="622" t="s">
        <v>526</v>
      </c>
      <c r="B1770" s="622" t="s">
        <v>159</v>
      </c>
      <c r="C1770" s="622" t="s">
        <v>530</v>
      </c>
      <c r="D1770" s="622" t="s">
        <v>531</v>
      </c>
      <c r="E1770" s="622" t="s">
        <v>532</v>
      </c>
      <c r="F1770" s="622" t="s">
        <v>276</v>
      </c>
      <c r="G1770" s="622" t="s">
        <v>356</v>
      </c>
      <c r="H1770" s="622" t="s">
        <v>565</v>
      </c>
      <c r="I1770" s="622" t="s">
        <v>277</v>
      </c>
      <c r="J1770" s="622" t="s">
        <v>522</v>
      </c>
      <c r="K1770" s="622" t="s">
        <v>534</v>
      </c>
      <c r="L1770" s="622" t="s">
        <v>597</v>
      </c>
      <c r="M1770" s="622" t="s">
        <v>566</v>
      </c>
      <c r="N1770" s="622" t="s">
        <v>670</v>
      </c>
      <c r="O1770" s="622" t="s">
        <v>670</v>
      </c>
      <c r="P1770" s="622" t="s">
        <v>522</v>
      </c>
      <c r="Q1770" s="622" t="s">
        <v>670</v>
      </c>
      <c r="R1770" s="623">
        <v>45905</v>
      </c>
      <c r="S1770" s="622" t="s">
        <v>278</v>
      </c>
      <c r="T1770" s="623">
        <v>45923</v>
      </c>
      <c r="U1770" s="624">
        <v>4</v>
      </c>
      <c r="V1770" s="625">
        <v>370.6</v>
      </c>
      <c r="W1770" s="627">
        <v>45901</v>
      </c>
      <c r="X1770" s="845"/>
    </row>
    <row r="1771" spans="1:24" hidden="1" x14ac:dyDescent="0.35">
      <c r="A1771" s="622" t="s">
        <v>526</v>
      </c>
      <c r="B1771" s="622" t="s">
        <v>159</v>
      </c>
      <c r="C1771" s="622" t="s">
        <v>530</v>
      </c>
      <c r="D1771" s="622" t="s">
        <v>531</v>
      </c>
      <c r="E1771" s="622" t="s">
        <v>532</v>
      </c>
      <c r="F1771" s="622" t="s">
        <v>276</v>
      </c>
      <c r="G1771" s="622" t="s">
        <v>356</v>
      </c>
      <c r="H1771" s="622" t="s">
        <v>565</v>
      </c>
      <c r="I1771" s="622" t="s">
        <v>277</v>
      </c>
      <c r="J1771" s="622" t="s">
        <v>522</v>
      </c>
      <c r="K1771" s="622" t="s">
        <v>534</v>
      </c>
      <c r="L1771" s="622" t="s">
        <v>597</v>
      </c>
      <c r="M1771" s="622" t="s">
        <v>566</v>
      </c>
      <c r="N1771" s="622" t="s">
        <v>670</v>
      </c>
      <c r="O1771" s="622" t="s">
        <v>670</v>
      </c>
      <c r="P1771" s="622" t="s">
        <v>522</v>
      </c>
      <c r="Q1771" s="622" t="s">
        <v>670</v>
      </c>
      <c r="R1771" s="623">
        <v>45915</v>
      </c>
      <c r="S1771" s="622" t="s">
        <v>278</v>
      </c>
      <c r="T1771" s="623">
        <v>45923</v>
      </c>
      <c r="U1771" s="624">
        <v>6</v>
      </c>
      <c r="V1771" s="625">
        <v>555.9</v>
      </c>
      <c r="W1771" s="627">
        <v>45901</v>
      </c>
      <c r="X1771" s="845"/>
    </row>
    <row r="1772" spans="1:24" hidden="1" x14ac:dyDescent="0.35">
      <c r="A1772" s="622" t="s">
        <v>526</v>
      </c>
      <c r="B1772" s="622" t="s">
        <v>159</v>
      </c>
      <c r="C1772" s="622" t="s">
        <v>530</v>
      </c>
      <c r="D1772" s="622" t="s">
        <v>531</v>
      </c>
      <c r="E1772" s="622" t="s">
        <v>532</v>
      </c>
      <c r="F1772" s="622" t="s">
        <v>276</v>
      </c>
      <c r="G1772" s="622" t="s">
        <v>356</v>
      </c>
      <c r="H1772" s="622" t="s">
        <v>565</v>
      </c>
      <c r="I1772" s="622" t="s">
        <v>277</v>
      </c>
      <c r="J1772" s="622" t="s">
        <v>522</v>
      </c>
      <c r="K1772" s="622" t="s">
        <v>534</v>
      </c>
      <c r="L1772" s="622" t="s">
        <v>597</v>
      </c>
      <c r="M1772" s="622" t="s">
        <v>566</v>
      </c>
      <c r="N1772" s="622" t="s">
        <v>670</v>
      </c>
      <c r="O1772" s="622" t="s">
        <v>670</v>
      </c>
      <c r="P1772" s="622" t="s">
        <v>522</v>
      </c>
      <c r="Q1772" s="622" t="s">
        <v>670</v>
      </c>
      <c r="R1772" s="623">
        <v>45916</v>
      </c>
      <c r="S1772" s="622" t="s">
        <v>278</v>
      </c>
      <c r="T1772" s="623">
        <v>45923</v>
      </c>
      <c r="U1772" s="624">
        <v>4</v>
      </c>
      <c r="V1772" s="625">
        <v>370.6</v>
      </c>
      <c r="W1772" s="627">
        <v>45901</v>
      </c>
      <c r="X1772" s="845"/>
    </row>
    <row r="1773" spans="1:24" hidden="1" x14ac:dyDescent="0.35">
      <c r="A1773" s="622" t="s">
        <v>526</v>
      </c>
      <c r="B1773" s="622" t="s">
        <v>159</v>
      </c>
      <c r="C1773" s="622" t="s">
        <v>530</v>
      </c>
      <c r="D1773" s="622" t="s">
        <v>531</v>
      </c>
      <c r="E1773" s="622" t="s">
        <v>532</v>
      </c>
      <c r="F1773" s="622" t="s">
        <v>276</v>
      </c>
      <c r="G1773" s="622" t="s">
        <v>356</v>
      </c>
      <c r="H1773" s="622" t="s">
        <v>565</v>
      </c>
      <c r="I1773" s="622" t="s">
        <v>277</v>
      </c>
      <c r="J1773" s="622" t="s">
        <v>522</v>
      </c>
      <c r="K1773" s="622" t="s">
        <v>534</v>
      </c>
      <c r="L1773" s="622" t="s">
        <v>597</v>
      </c>
      <c r="M1773" s="622" t="s">
        <v>566</v>
      </c>
      <c r="N1773" s="622" t="s">
        <v>670</v>
      </c>
      <c r="O1773" s="622" t="s">
        <v>670</v>
      </c>
      <c r="P1773" s="622" t="s">
        <v>522</v>
      </c>
      <c r="Q1773" s="622" t="s">
        <v>670</v>
      </c>
      <c r="R1773" s="623">
        <v>45917</v>
      </c>
      <c r="S1773" s="622" t="s">
        <v>278</v>
      </c>
      <c r="T1773" s="623">
        <v>45923</v>
      </c>
      <c r="U1773" s="624">
        <v>6</v>
      </c>
      <c r="V1773" s="625">
        <v>555.9</v>
      </c>
      <c r="W1773" s="627">
        <v>45901</v>
      </c>
      <c r="X1773" s="845"/>
    </row>
    <row r="1774" spans="1:24" hidden="1" x14ac:dyDescent="0.35">
      <c r="A1774" s="622" t="s">
        <v>526</v>
      </c>
      <c r="B1774" s="622" t="s">
        <v>159</v>
      </c>
      <c r="C1774" s="622" t="s">
        <v>530</v>
      </c>
      <c r="D1774" s="622" t="s">
        <v>531</v>
      </c>
      <c r="E1774" s="622" t="s">
        <v>532</v>
      </c>
      <c r="F1774" s="622" t="s">
        <v>276</v>
      </c>
      <c r="G1774" s="622" t="s">
        <v>356</v>
      </c>
      <c r="H1774" s="622" t="s">
        <v>565</v>
      </c>
      <c r="I1774" s="622" t="s">
        <v>277</v>
      </c>
      <c r="J1774" s="622" t="s">
        <v>522</v>
      </c>
      <c r="K1774" s="622" t="s">
        <v>534</v>
      </c>
      <c r="L1774" s="622" t="s">
        <v>597</v>
      </c>
      <c r="M1774" s="622" t="s">
        <v>566</v>
      </c>
      <c r="N1774" s="622" t="s">
        <v>670</v>
      </c>
      <c r="O1774" s="622" t="s">
        <v>670</v>
      </c>
      <c r="P1774" s="622" t="s">
        <v>522</v>
      </c>
      <c r="Q1774" s="622" t="s">
        <v>670</v>
      </c>
      <c r="R1774" s="623">
        <v>45918</v>
      </c>
      <c r="S1774" s="622" t="s">
        <v>278</v>
      </c>
      <c r="T1774" s="623">
        <v>45923</v>
      </c>
      <c r="U1774" s="624">
        <v>6</v>
      </c>
      <c r="V1774" s="625">
        <v>555.9</v>
      </c>
      <c r="W1774" s="627">
        <v>45901</v>
      </c>
      <c r="X1774" s="845"/>
    </row>
    <row r="1775" spans="1:24" hidden="1" x14ac:dyDescent="0.35">
      <c r="A1775" s="622" t="s">
        <v>526</v>
      </c>
      <c r="B1775" s="622" t="s">
        <v>159</v>
      </c>
      <c r="C1775" s="622" t="s">
        <v>530</v>
      </c>
      <c r="D1775" s="622" t="s">
        <v>531</v>
      </c>
      <c r="E1775" s="622" t="s">
        <v>532</v>
      </c>
      <c r="F1775" s="622" t="s">
        <v>276</v>
      </c>
      <c r="G1775" s="622" t="s">
        <v>356</v>
      </c>
      <c r="H1775" s="622" t="s">
        <v>565</v>
      </c>
      <c r="I1775" s="622" t="s">
        <v>277</v>
      </c>
      <c r="J1775" s="622" t="s">
        <v>522</v>
      </c>
      <c r="K1775" s="622" t="s">
        <v>534</v>
      </c>
      <c r="L1775" s="622" t="s">
        <v>597</v>
      </c>
      <c r="M1775" s="622" t="s">
        <v>566</v>
      </c>
      <c r="N1775" s="622" t="s">
        <v>670</v>
      </c>
      <c r="O1775" s="622" t="s">
        <v>670</v>
      </c>
      <c r="P1775" s="622" t="s">
        <v>522</v>
      </c>
      <c r="Q1775" s="622" t="s">
        <v>670</v>
      </c>
      <c r="R1775" s="623">
        <v>45919</v>
      </c>
      <c r="S1775" s="622" t="s">
        <v>278</v>
      </c>
      <c r="T1775" s="623">
        <v>45923</v>
      </c>
      <c r="U1775" s="624">
        <v>6</v>
      </c>
      <c r="V1775" s="625">
        <v>555.9</v>
      </c>
      <c r="W1775" s="627">
        <v>45901</v>
      </c>
      <c r="X1775" s="845"/>
    </row>
    <row r="1776" spans="1:24" hidden="1" x14ac:dyDescent="0.35">
      <c r="A1776" s="622" t="s">
        <v>526</v>
      </c>
      <c r="B1776" s="622" t="s">
        <v>159</v>
      </c>
      <c r="C1776" s="622" t="s">
        <v>530</v>
      </c>
      <c r="D1776" s="622" t="s">
        <v>531</v>
      </c>
      <c r="E1776" s="622" t="s">
        <v>532</v>
      </c>
      <c r="F1776" s="622" t="s">
        <v>276</v>
      </c>
      <c r="G1776" s="622" t="s">
        <v>356</v>
      </c>
      <c r="H1776" s="622" t="s">
        <v>567</v>
      </c>
      <c r="I1776" s="622" t="s">
        <v>277</v>
      </c>
      <c r="J1776" s="622" t="s">
        <v>522</v>
      </c>
      <c r="K1776" s="622" t="s">
        <v>534</v>
      </c>
      <c r="L1776" s="622" t="s">
        <v>597</v>
      </c>
      <c r="M1776" s="622" t="s">
        <v>568</v>
      </c>
      <c r="N1776" s="622" t="s">
        <v>670</v>
      </c>
      <c r="O1776" s="622" t="s">
        <v>670</v>
      </c>
      <c r="P1776" s="622" t="s">
        <v>522</v>
      </c>
      <c r="Q1776" s="622" t="s">
        <v>670</v>
      </c>
      <c r="R1776" s="623">
        <v>45909</v>
      </c>
      <c r="S1776" s="622" t="s">
        <v>278</v>
      </c>
      <c r="T1776" s="623">
        <v>45930</v>
      </c>
      <c r="U1776" s="624">
        <v>1</v>
      </c>
      <c r="V1776" s="625">
        <v>92.65</v>
      </c>
      <c r="W1776" s="627">
        <v>45901</v>
      </c>
      <c r="X1776" s="845"/>
    </row>
    <row r="1777" spans="1:24" hidden="1" x14ac:dyDescent="0.35">
      <c r="A1777" s="622" t="s">
        <v>526</v>
      </c>
      <c r="B1777" s="622" t="s">
        <v>159</v>
      </c>
      <c r="C1777" s="622" t="s">
        <v>530</v>
      </c>
      <c r="D1777" s="622" t="s">
        <v>531</v>
      </c>
      <c r="E1777" s="622" t="s">
        <v>532</v>
      </c>
      <c r="F1777" s="622" t="s">
        <v>276</v>
      </c>
      <c r="G1777" s="622" t="s">
        <v>356</v>
      </c>
      <c r="H1777" s="622" t="s">
        <v>565</v>
      </c>
      <c r="I1777" s="622" t="s">
        <v>277</v>
      </c>
      <c r="J1777" s="622" t="s">
        <v>522</v>
      </c>
      <c r="K1777" s="622" t="s">
        <v>534</v>
      </c>
      <c r="L1777" s="622" t="s">
        <v>597</v>
      </c>
      <c r="M1777" s="622" t="s">
        <v>566</v>
      </c>
      <c r="N1777" s="622" t="s">
        <v>670</v>
      </c>
      <c r="O1777" s="622" t="s">
        <v>670</v>
      </c>
      <c r="P1777" s="622" t="s">
        <v>522</v>
      </c>
      <c r="Q1777" s="622" t="s">
        <v>670</v>
      </c>
      <c r="R1777" s="623">
        <v>45922</v>
      </c>
      <c r="S1777" s="622" t="s">
        <v>278</v>
      </c>
      <c r="T1777" s="623">
        <v>45930</v>
      </c>
      <c r="U1777" s="624">
        <v>6</v>
      </c>
      <c r="V1777" s="625">
        <v>555.9</v>
      </c>
      <c r="W1777" s="627">
        <v>45901</v>
      </c>
      <c r="X1777" s="845"/>
    </row>
    <row r="1778" spans="1:24" hidden="1" x14ac:dyDescent="0.35">
      <c r="A1778" s="622" t="s">
        <v>526</v>
      </c>
      <c r="B1778" s="622" t="s">
        <v>159</v>
      </c>
      <c r="C1778" s="622" t="s">
        <v>530</v>
      </c>
      <c r="D1778" s="622" t="s">
        <v>531</v>
      </c>
      <c r="E1778" s="622" t="s">
        <v>532</v>
      </c>
      <c r="F1778" s="622" t="s">
        <v>276</v>
      </c>
      <c r="G1778" s="622" t="s">
        <v>356</v>
      </c>
      <c r="H1778" s="622" t="s">
        <v>565</v>
      </c>
      <c r="I1778" s="622" t="s">
        <v>277</v>
      </c>
      <c r="J1778" s="622" t="s">
        <v>522</v>
      </c>
      <c r="K1778" s="622" t="s">
        <v>534</v>
      </c>
      <c r="L1778" s="622" t="s">
        <v>597</v>
      </c>
      <c r="M1778" s="622" t="s">
        <v>566</v>
      </c>
      <c r="N1778" s="622" t="s">
        <v>670</v>
      </c>
      <c r="O1778" s="622" t="s">
        <v>670</v>
      </c>
      <c r="P1778" s="622" t="s">
        <v>522</v>
      </c>
      <c r="Q1778" s="622" t="s">
        <v>670</v>
      </c>
      <c r="R1778" s="623">
        <v>45923</v>
      </c>
      <c r="S1778" s="622" t="s">
        <v>278</v>
      </c>
      <c r="T1778" s="623">
        <v>45930</v>
      </c>
      <c r="U1778" s="624">
        <v>4</v>
      </c>
      <c r="V1778" s="625">
        <v>370.6</v>
      </c>
      <c r="W1778" s="627">
        <v>45901</v>
      </c>
      <c r="X1778" s="845"/>
    </row>
    <row r="1779" spans="1:24" hidden="1" x14ac:dyDescent="0.35">
      <c r="A1779" s="622" t="s">
        <v>526</v>
      </c>
      <c r="B1779" s="622" t="s">
        <v>159</v>
      </c>
      <c r="C1779" s="622" t="s">
        <v>530</v>
      </c>
      <c r="D1779" s="622" t="s">
        <v>531</v>
      </c>
      <c r="E1779" s="622" t="s">
        <v>532</v>
      </c>
      <c r="F1779" s="622" t="s">
        <v>276</v>
      </c>
      <c r="G1779" s="622" t="s">
        <v>356</v>
      </c>
      <c r="H1779" s="622" t="s">
        <v>565</v>
      </c>
      <c r="I1779" s="622" t="s">
        <v>277</v>
      </c>
      <c r="J1779" s="622" t="s">
        <v>522</v>
      </c>
      <c r="K1779" s="622" t="s">
        <v>534</v>
      </c>
      <c r="L1779" s="622" t="s">
        <v>597</v>
      </c>
      <c r="M1779" s="622" t="s">
        <v>566</v>
      </c>
      <c r="N1779" s="622" t="s">
        <v>670</v>
      </c>
      <c r="O1779" s="622" t="s">
        <v>670</v>
      </c>
      <c r="P1779" s="622" t="s">
        <v>522</v>
      </c>
      <c r="Q1779" s="622" t="s">
        <v>670</v>
      </c>
      <c r="R1779" s="623">
        <v>45924</v>
      </c>
      <c r="S1779" s="622" t="s">
        <v>278</v>
      </c>
      <c r="T1779" s="623">
        <v>45930</v>
      </c>
      <c r="U1779" s="624">
        <v>6</v>
      </c>
      <c r="V1779" s="625">
        <v>555.9</v>
      </c>
      <c r="W1779" s="627">
        <v>45901</v>
      </c>
      <c r="X1779" s="845"/>
    </row>
    <row r="1780" spans="1:24" hidden="1" x14ac:dyDescent="0.35">
      <c r="A1780" s="622" t="s">
        <v>526</v>
      </c>
      <c r="B1780" s="622" t="s">
        <v>159</v>
      </c>
      <c r="C1780" s="622" t="s">
        <v>530</v>
      </c>
      <c r="D1780" s="622" t="s">
        <v>531</v>
      </c>
      <c r="E1780" s="622" t="s">
        <v>532</v>
      </c>
      <c r="F1780" s="622" t="s">
        <v>276</v>
      </c>
      <c r="G1780" s="622" t="s">
        <v>356</v>
      </c>
      <c r="H1780" s="622" t="s">
        <v>565</v>
      </c>
      <c r="I1780" s="622" t="s">
        <v>277</v>
      </c>
      <c r="J1780" s="622" t="s">
        <v>522</v>
      </c>
      <c r="K1780" s="622" t="s">
        <v>534</v>
      </c>
      <c r="L1780" s="622" t="s">
        <v>597</v>
      </c>
      <c r="M1780" s="622" t="s">
        <v>566</v>
      </c>
      <c r="N1780" s="622" t="s">
        <v>670</v>
      </c>
      <c r="O1780" s="622" t="s">
        <v>670</v>
      </c>
      <c r="P1780" s="622" t="s">
        <v>522</v>
      </c>
      <c r="Q1780" s="622" t="s">
        <v>670</v>
      </c>
      <c r="R1780" s="623">
        <v>45925</v>
      </c>
      <c r="S1780" s="622" t="s">
        <v>278</v>
      </c>
      <c r="T1780" s="623">
        <v>45930</v>
      </c>
      <c r="U1780" s="624">
        <v>3</v>
      </c>
      <c r="V1780" s="625">
        <v>277.95</v>
      </c>
      <c r="W1780" s="627">
        <v>45901</v>
      </c>
      <c r="X1780" s="845"/>
    </row>
    <row r="1781" spans="1:24" hidden="1" x14ac:dyDescent="0.35">
      <c r="A1781" s="622" t="s">
        <v>526</v>
      </c>
      <c r="B1781" s="622" t="s">
        <v>159</v>
      </c>
      <c r="C1781" s="622" t="s">
        <v>530</v>
      </c>
      <c r="D1781" s="622" t="s">
        <v>531</v>
      </c>
      <c r="E1781" s="622" t="s">
        <v>532</v>
      </c>
      <c r="F1781" s="622" t="s">
        <v>276</v>
      </c>
      <c r="G1781" s="622" t="s">
        <v>356</v>
      </c>
      <c r="H1781" s="622" t="s">
        <v>565</v>
      </c>
      <c r="I1781" s="622" t="s">
        <v>277</v>
      </c>
      <c r="J1781" s="622" t="s">
        <v>522</v>
      </c>
      <c r="K1781" s="622" t="s">
        <v>534</v>
      </c>
      <c r="L1781" s="622" t="s">
        <v>597</v>
      </c>
      <c r="M1781" s="622" t="s">
        <v>566</v>
      </c>
      <c r="N1781" s="622" t="s">
        <v>670</v>
      </c>
      <c r="O1781" s="622" t="s">
        <v>670</v>
      </c>
      <c r="P1781" s="622" t="s">
        <v>522</v>
      </c>
      <c r="Q1781" s="622" t="s">
        <v>670</v>
      </c>
      <c r="R1781" s="623">
        <v>45926</v>
      </c>
      <c r="S1781" s="622" t="s">
        <v>278</v>
      </c>
      <c r="T1781" s="623">
        <v>45930</v>
      </c>
      <c r="U1781" s="624">
        <v>6</v>
      </c>
      <c r="V1781" s="625">
        <v>555.9</v>
      </c>
      <c r="W1781" s="627">
        <v>45901</v>
      </c>
      <c r="X1781" s="845"/>
    </row>
    <row r="1782" spans="1:24" hidden="1" x14ac:dyDescent="0.35">
      <c r="A1782" s="622" t="s">
        <v>526</v>
      </c>
      <c r="B1782" s="622" t="s">
        <v>159</v>
      </c>
      <c r="C1782" s="622" t="s">
        <v>530</v>
      </c>
      <c r="D1782" s="622" t="s">
        <v>531</v>
      </c>
      <c r="E1782" s="622" t="s">
        <v>532</v>
      </c>
      <c r="F1782" s="622" t="s">
        <v>276</v>
      </c>
      <c r="G1782" s="622" t="s">
        <v>356</v>
      </c>
      <c r="H1782" s="622" t="s">
        <v>567</v>
      </c>
      <c r="I1782" s="622" t="s">
        <v>277</v>
      </c>
      <c r="J1782" s="622" t="s">
        <v>522</v>
      </c>
      <c r="K1782" s="622" t="s">
        <v>534</v>
      </c>
      <c r="L1782" s="622" t="s">
        <v>597</v>
      </c>
      <c r="M1782" s="622" t="s">
        <v>568</v>
      </c>
      <c r="N1782" s="622" t="s">
        <v>670</v>
      </c>
      <c r="O1782" s="622" t="s">
        <v>670</v>
      </c>
      <c r="P1782" s="622" t="s">
        <v>522</v>
      </c>
      <c r="Q1782" s="622" t="s">
        <v>670</v>
      </c>
      <c r="R1782" s="623">
        <v>45922</v>
      </c>
      <c r="S1782" s="622" t="s">
        <v>278</v>
      </c>
      <c r="T1782" s="623">
        <v>45930</v>
      </c>
      <c r="U1782" s="624">
        <v>2</v>
      </c>
      <c r="V1782" s="625">
        <v>185.3</v>
      </c>
      <c r="W1782" s="627">
        <v>45901</v>
      </c>
      <c r="X1782" s="845"/>
    </row>
    <row r="1783" spans="1:24" hidden="1" x14ac:dyDescent="0.35">
      <c r="A1783" s="622" t="s">
        <v>526</v>
      </c>
      <c r="B1783" s="622" t="s">
        <v>159</v>
      </c>
      <c r="C1783" s="622" t="s">
        <v>530</v>
      </c>
      <c r="D1783" s="622" t="s">
        <v>531</v>
      </c>
      <c r="E1783" s="622" t="s">
        <v>532</v>
      </c>
      <c r="F1783" s="622" t="s">
        <v>276</v>
      </c>
      <c r="G1783" s="622" t="s">
        <v>356</v>
      </c>
      <c r="H1783" s="622" t="s">
        <v>567</v>
      </c>
      <c r="I1783" s="622" t="s">
        <v>277</v>
      </c>
      <c r="J1783" s="622" t="s">
        <v>522</v>
      </c>
      <c r="K1783" s="622" t="s">
        <v>534</v>
      </c>
      <c r="L1783" s="622" t="s">
        <v>597</v>
      </c>
      <c r="M1783" s="622" t="s">
        <v>568</v>
      </c>
      <c r="N1783" s="622" t="s">
        <v>670</v>
      </c>
      <c r="O1783" s="622" t="s">
        <v>670</v>
      </c>
      <c r="P1783" s="622" t="s">
        <v>522</v>
      </c>
      <c r="Q1783" s="622" t="s">
        <v>670</v>
      </c>
      <c r="R1783" s="623">
        <v>45923</v>
      </c>
      <c r="S1783" s="622" t="s">
        <v>278</v>
      </c>
      <c r="T1783" s="623">
        <v>45930</v>
      </c>
      <c r="U1783" s="624">
        <v>1</v>
      </c>
      <c r="V1783" s="625">
        <v>92.65</v>
      </c>
      <c r="W1783" s="627">
        <v>45901</v>
      </c>
      <c r="X1783" s="845"/>
    </row>
    <row r="1784" spans="1:24" hidden="1" x14ac:dyDescent="0.35">
      <c r="A1784" s="622" t="s">
        <v>526</v>
      </c>
      <c r="B1784" s="622" t="s">
        <v>159</v>
      </c>
      <c r="C1784" s="622" t="s">
        <v>530</v>
      </c>
      <c r="D1784" s="622" t="s">
        <v>531</v>
      </c>
      <c r="E1784" s="622" t="s">
        <v>532</v>
      </c>
      <c r="F1784" s="622" t="s">
        <v>276</v>
      </c>
      <c r="G1784" s="622" t="s">
        <v>356</v>
      </c>
      <c r="H1784" s="622" t="s">
        <v>567</v>
      </c>
      <c r="I1784" s="622" t="s">
        <v>277</v>
      </c>
      <c r="J1784" s="622" t="s">
        <v>522</v>
      </c>
      <c r="K1784" s="622" t="s">
        <v>534</v>
      </c>
      <c r="L1784" s="622" t="s">
        <v>597</v>
      </c>
      <c r="M1784" s="622" t="s">
        <v>568</v>
      </c>
      <c r="N1784" s="622" t="s">
        <v>670</v>
      </c>
      <c r="O1784" s="622" t="s">
        <v>670</v>
      </c>
      <c r="P1784" s="622" t="s">
        <v>522</v>
      </c>
      <c r="Q1784" s="622" t="s">
        <v>670</v>
      </c>
      <c r="R1784" s="623">
        <v>45925</v>
      </c>
      <c r="S1784" s="622" t="s">
        <v>278</v>
      </c>
      <c r="T1784" s="623">
        <v>45930</v>
      </c>
      <c r="U1784" s="624">
        <v>2</v>
      </c>
      <c r="V1784" s="625">
        <v>185.3</v>
      </c>
      <c r="W1784" s="627">
        <v>45901</v>
      </c>
      <c r="X1784" s="845"/>
    </row>
    <row r="1785" spans="1:24" hidden="1" x14ac:dyDescent="0.35">
      <c r="A1785" s="622" t="s">
        <v>526</v>
      </c>
      <c r="B1785" s="622" t="s">
        <v>159</v>
      </c>
      <c r="C1785" s="622" t="s">
        <v>530</v>
      </c>
      <c r="D1785" s="622" t="s">
        <v>531</v>
      </c>
      <c r="E1785" s="622" t="s">
        <v>532</v>
      </c>
      <c r="F1785" s="622" t="s">
        <v>276</v>
      </c>
      <c r="G1785" s="622" t="s">
        <v>356</v>
      </c>
      <c r="H1785" s="622" t="s">
        <v>567</v>
      </c>
      <c r="I1785" s="622" t="s">
        <v>277</v>
      </c>
      <c r="J1785" s="622" t="s">
        <v>522</v>
      </c>
      <c r="K1785" s="622" t="s">
        <v>534</v>
      </c>
      <c r="L1785" s="622" t="s">
        <v>597</v>
      </c>
      <c r="M1785" s="622" t="s">
        <v>568</v>
      </c>
      <c r="N1785" s="622" t="s">
        <v>670</v>
      </c>
      <c r="O1785" s="622" t="s">
        <v>670</v>
      </c>
      <c r="P1785" s="622" t="s">
        <v>522</v>
      </c>
      <c r="Q1785" s="622" t="s">
        <v>670</v>
      </c>
      <c r="R1785" s="623">
        <v>45912</v>
      </c>
      <c r="S1785" s="622" t="s">
        <v>278</v>
      </c>
      <c r="T1785" s="623">
        <v>45930</v>
      </c>
      <c r="U1785" s="624">
        <v>1</v>
      </c>
      <c r="V1785" s="625">
        <v>92.65</v>
      </c>
      <c r="W1785" s="627">
        <v>45901</v>
      </c>
      <c r="X1785" s="845"/>
    </row>
    <row r="1786" spans="1:24" hidden="1" x14ac:dyDescent="0.35">
      <c r="A1786" s="622" t="s">
        <v>526</v>
      </c>
      <c r="B1786" s="622" t="s">
        <v>159</v>
      </c>
      <c r="C1786" s="622" t="s">
        <v>530</v>
      </c>
      <c r="D1786" s="622" t="s">
        <v>531</v>
      </c>
      <c r="E1786" s="622" t="s">
        <v>532</v>
      </c>
      <c r="F1786" s="622" t="s">
        <v>276</v>
      </c>
      <c r="G1786" s="622" t="s">
        <v>356</v>
      </c>
      <c r="H1786" s="622" t="s">
        <v>567</v>
      </c>
      <c r="I1786" s="622" t="s">
        <v>277</v>
      </c>
      <c r="J1786" s="622" t="s">
        <v>522</v>
      </c>
      <c r="K1786" s="622" t="s">
        <v>534</v>
      </c>
      <c r="L1786" s="622" t="s">
        <v>597</v>
      </c>
      <c r="M1786" s="622" t="s">
        <v>568</v>
      </c>
      <c r="N1786" s="622" t="s">
        <v>670</v>
      </c>
      <c r="O1786" s="622" t="s">
        <v>670</v>
      </c>
      <c r="P1786" s="622" t="s">
        <v>522</v>
      </c>
      <c r="Q1786" s="622" t="s">
        <v>670</v>
      </c>
      <c r="R1786" s="623">
        <v>45915</v>
      </c>
      <c r="S1786" s="622" t="s">
        <v>278</v>
      </c>
      <c r="T1786" s="623">
        <v>45930</v>
      </c>
      <c r="U1786" s="624">
        <v>1</v>
      </c>
      <c r="V1786" s="625">
        <v>92.65</v>
      </c>
      <c r="W1786" s="627">
        <v>45901</v>
      </c>
      <c r="X1786" s="845"/>
    </row>
    <row r="1787" spans="1:24" hidden="1" x14ac:dyDescent="0.35">
      <c r="A1787" s="622" t="s">
        <v>526</v>
      </c>
      <c r="B1787" s="622" t="s">
        <v>159</v>
      </c>
      <c r="C1787" s="622" t="s">
        <v>530</v>
      </c>
      <c r="D1787" s="622" t="s">
        <v>531</v>
      </c>
      <c r="E1787" s="622" t="s">
        <v>532</v>
      </c>
      <c r="F1787" s="622" t="s">
        <v>276</v>
      </c>
      <c r="G1787" s="622" t="s">
        <v>356</v>
      </c>
      <c r="H1787" s="622" t="s">
        <v>567</v>
      </c>
      <c r="I1787" s="622" t="s">
        <v>277</v>
      </c>
      <c r="J1787" s="622" t="s">
        <v>522</v>
      </c>
      <c r="K1787" s="622" t="s">
        <v>534</v>
      </c>
      <c r="L1787" s="622" t="s">
        <v>597</v>
      </c>
      <c r="M1787" s="622" t="s">
        <v>568</v>
      </c>
      <c r="N1787" s="622" t="s">
        <v>670</v>
      </c>
      <c r="O1787" s="622" t="s">
        <v>670</v>
      </c>
      <c r="P1787" s="622" t="s">
        <v>522</v>
      </c>
      <c r="Q1787" s="622" t="s">
        <v>670</v>
      </c>
      <c r="R1787" s="623">
        <v>45916</v>
      </c>
      <c r="S1787" s="622" t="s">
        <v>278</v>
      </c>
      <c r="T1787" s="623">
        <v>45930</v>
      </c>
      <c r="U1787" s="624">
        <v>2</v>
      </c>
      <c r="V1787" s="625">
        <v>185.3</v>
      </c>
      <c r="W1787" s="627">
        <v>45901</v>
      </c>
      <c r="X1787" s="845"/>
    </row>
    <row r="1788" spans="1:24" hidden="1" x14ac:dyDescent="0.35">
      <c r="A1788" s="622" t="s">
        <v>526</v>
      </c>
      <c r="B1788" s="622" t="s">
        <v>160</v>
      </c>
      <c r="C1788" s="622" t="s">
        <v>670</v>
      </c>
      <c r="D1788" s="622" t="s">
        <v>633</v>
      </c>
      <c r="E1788" s="622" t="s">
        <v>634</v>
      </c>
      <c r="F1788" s="622" t="s">
        <v>276</v>
      </c>
      <c r="G1788" s="622" t="s">
        <v>356</v>
      </c>
      <c r="H1788" s="622" t="s">
        <v>670</v>
      </c>
      <c r="I1788" s="622" t="s">
        <v>277</v>
      </c>
      <c r="J1788" s="622" t="s">
        <v>523</v>
      </c>
      <c r="K1788" s="622" t="s">
        <v>670</v>
      </c>
      <c r="L1788" s="622" t="s">
        <v>597</v>
      </c>
      <c r="M1788" s="622" t="s">
        <v>285</v>
      </c>
      <c r="N1788" s="622" t="s">
        <v>750</v>
      </c>
      <c r="O1788" s="622" t="s">
        <v>751</v>
      </c>
      <c r="P1788" s="622" t="s">
        <v>523</v>
      </c>
      <c r="Q1788" s="622" t="s">
        <v>387</v>
      </c>
      <c r="R1788" s="623">
        <v>45894</v>
      </c>
      <c r="S1788" s="622" t="s">
        <v>388</v>
      </c>
      <c r="T1788" s="623">
        <v>45909</v>
      </c>
      <c r="U1788" s="626">
        <v>1</v>
      </c>
      <c r="V1788" s="625">
        <v>4111.92</v>
      </c>
      <c r="W1788" s="627">
        <v>45901</v>
      </c>
    </row>
    <row r="1789" spans="1:24" hidden="1" x14ac:dyDescent="0.35">
      <c r="A1789" s="622" t="s">
        <v>526</v>
      </c>
      <c r="B1789" s="622" t="s">
        <v>160</v>
      </c>
      <c r="C1789" s="622" t="s">
        <v>670</v>
      </c>
      <c r="D1789" s="622" t="s">
        <v>633</v>
      </c>
      <c r="E1789" s="622" t="s">
        <v>634</v>
      </c>
      <c r="F1789" s="622" t="s">
        <v>276</v>
      </c>
      <c r="G1789" s="622" t="s">
        <v>356</v>
      </c>
      <c r="H1789" s="622" t="s">
        <v>670</v>
      </c>
      <c r="I1789" s="622" t="s">
        <v>277</v>
      </c>
      <c r="J1789" s="622" t="s">
        <v>523</v>
      </c>
      <c r="K1789" s="622" t="s">
        <v>670</v>
      </c>
      <c r="L1789" s="622" t="s">
        <v>597</v>
      </c>
      <c r="M1789" s="622" t="s">
        <v>285</v>
      </c>
      <c r="N1789" s="622" t="s">
        <v>752</v>
      </c>
      <c r="O1789" s="622" t="s">
        <v>751</v>
      </c>
      <c r="P1789" s="622" t="s">
        <v>523</v>
      </c>
      <c r="Q1789" s="622" t="s">
        <v>387</v>
      </c>
      <c r="R1789" s="623">
        <v>45894</v>
      </c>
      <c r="S1789" s="622" t="s">
        <v>388</v>
      </c>
      <c r="T1789" s="623">
        <v>45909</v>
      </c>
      <c r="U1789" s="626">
        <v>1</v>
      </c>
      <c r="V1789" s="625">
        <v>201.76</v>
      </c>
      <c r="W1789" s="627">
        <v>45901</v>
      </c>
    </row>
    <row r="1790" spans="1:24" hidden="1" x14ac:dyDescent="0.35">
      <c r="A1790" s="622" t="s">
        <v>526</v>
      </c>
      <c r="B1790" s="622" t="s">
        <v>160</v>
      </c>
      <c r="C1790" s="622" t="s">
        <v>670</v>
      </c>
      <c r="D1790" s="622" t="s">
        <v>633</v>
      </c>
      <c r="E1790" s="622" t="s">
        <v>634</v>
      </c>
      <c r="F1790" s="622" t="s">
        <v>276</v>
      </c>
      <c r="G1790" s="622" t="s">
        <v>356</v>
      </c>
      <c r="H1790" s="622" t="s">
        <v>670</v>
      </c>
      <c r="I1790" s="622" t="s">
        <v>277</v>
      </c>
      <c r="J1790" s="622" t="s">
        <v>523</v>
      </c>
      <c r="K1790" s="622" t="s">
        <v>670</v>
      </c>
      <c r="L1790" s="622" t="s">
        <v>597</v>
      </c>
      <c r="M1790" s="622" t="s">
        <v>285</v>
      </c>
      <c r="N1790" s="622" t="s">
        <v>753</v>
      </c>
      <c r="O1790" s="622" t="s">
        <v>751</v>
      </c>
      <c r="P1790" s="622" t="s">
        <v>523</v>
      </c>
      <c r="Q1790" s="622" t="s">
        <v>387</v>
      </c>
      <c r="R1790" s="623">
        <v>45894</v>
      </c>
      <c r="S1790" s="622" t="s">
        <v>388</v>
      </c>
      <c r="T1790" s="623">
        <v>45909</v>
      </c>
      <c r="U1790" s="626">
        <v>1</v>
      </c>
      <c r="V1790" s="625">
        <v>833.68</v>
      </c>
      <c r="W1790" s="627">
        <v>45901</v>
      </c>
    </row>
    <row r="1791" spans="1:24" hidden="1" x14ac:dyDescent="0.35">
      <c r="A1791" s="622" t="s">
        <v>526</v>
      </c>
      <c r="B1791" s="622" t="s">
        <v>160</v>
      </c>
      <c r="C1791" s="622" t="s">
        <v>670</v>
      </c>
      <c r="D1791" s="622" t="s">
        <v>633</v>
      </c>
      <c r="E1791" s="622" t="s">
        <v>634</v>
      </c>
      <c r="F1791" s="622" t="s">
        <v>276</v>
      </c>
      <c r="G1791" s="622" t="s">
        <v>356</v>
      </c>
      <c r="H1791" s="622" t="s">
        <v>670</v>
      </c>
      <c r="I1791" s="622" t="s">
        <v>277</v>
      </c>
      <c r="J1791" s="622" t="s">
        <v>523</v>
      </c>
      <c r="K1791" s="622" t="s">
        <v>670</v>
      </c>
      <c r="L1791" s="622" t="s">
        <v>597</v>
      </c>
      <c r="M1791" s="622" t="s">
        <v>285</v>
      </c>
      <c r="N1791" s="622" t="s">
        <v>754</v>
      </c>
      <c r="O1791" s="622" t="s">
        <v>751</v>
      </c>
      <c r="P1791" s="622" t="s">
        <v>523</v>
      </c>
      <c r="Q1791" s="622" t="s">
        <v>387</v>
      </c>
      <c r="R1791" s="623">
        <v>45894</v>
      </c>
      <c r="S1791" s="622" t="s">
        <v>388</v>
      </c>
      <c r="T1791" s="623">
        <v>45909</v>
      </c>
      <c r="U1791" s="626">
        <v>1</v>
      </c>
      <c r="V1791" s="625">
        <v>2526.06</v>
      </c>
      <c r="W1791" s="627">
        <v>45901</v>
      </c>
    </row>
    <row r="1792" spans="1:24" hidden="1" x14ac:dyDescent="0.35">
      <c r="A1792" s="622" t="s">
        <v>526</v>
      </c>
      <c r="B1792" s="622" t="s">
        <v>160</v>
      </c>
      <c r="C1792" s="622" t="s">
        <v>670</v>
      </c>
      <c r="D1792" s="622" t="s">
        <v>633</v>
      </c>
      <c r="E1792" s="622" t="s">
        <v>634</v>
      </c>
      <c r="F1792" s="622" t="s">
        <v>276</v>
      </c>
      <c r="G1792" s="622" t="s">
        <v>356</v>
      </c>
      <c r="H1792" s="622" t="s">
        <v>670</v>
      </c>
      <c r="I1792" s="622" t="s">
        <v>277</v>
      </c>
      <c r="J1792" s="622" t="s">
        <v>523</v>
      </c>
      <c r="K1792" s="622" t="s">
        <v>670</v>
      </c>
      <c r="L1792" s="622" t="s">
        <v>597</v>
      </c>
      <c r="M1792" s="622" t="s">
        <v>285</v>
      </c>
      <c r="N1792" s="622" t="s">
        <v>755</v>
      </c>
      <c r="O1792" s="622" t="s">
        <v>756</v>
      </c>
      <c r="P1792" s="622" t="s">
        <v>523</v>
      </c>
      <c r="Q1792" s="622" t="s">
        <v>387</v>
      </c>
      <c r="R1792" s="623">
        <v>45902</v>
      </c>
      <c r="S1792" s="622" t="s">
        <v>388</v>
      </c>
      <c r="T1792" s="623">
        <v>45912</v>
      </c>
      <c r="U1792" s="626">
        <v>1</v>
      </c>
      <c r="V1792" s="625">
        <v>17647.2</v>
      </c>
      <c r="W1792" s="627">
        <v>45901</v>
      </c>
    </row>
    <row r="1793" spans="1:23" hidden="1" x14ac:dyDescent="0.35">
      <c r="A1793" s="622" t="s">
        <v>526</v>
      </c>
      <c r="B1793" s="622" t="s">
        <v>160</v>
      </c>
      <c r="C1793" s="622" t="s">
        <v>670</v>
      </c>
      <c r="D1793" s="622" t="s">
        <v>633</v>
      </c>
      <c r="E1793" s="622" t="s">
        <v>634</v>
      </c>
      <c r="F1793" s="622" t="s">
        <v>276</v>
      </c>
      <c r="G1793" s="622" t="s">
        <v>356</v>
      </c>
      <c r="H1793" s="622" t="s">
        <v>670</v>
      </c>
      <c r="I1793" s="622" t="s">
        <v>277</v>
      </c>
      <c r="J1793" s="622" t="s">
        <v>523</v>
      </c>
      <c r="K1793" s="622" t="s">
        <v>670</v>
      </c>
      <c r="L1793" s="622" t="s">
        <v>597</v>
      </c>
      <c r="M1793" s="622" t="s">
        <v>285</v>
      </c>
      <c r="N1793" s="622" t="s">
        <v>757</v>
      </c>
      <c r="O1793" s="622" t="s">
        <v>756</v>
      </c>
      <c r="P1793" s="622" t="s">
        <v>523</v>
      </c>
      <c r="Q1793" s="622" t="s">
        <v>387</v>
      </c>
      <c r="R1793" s="623">
        <v>45902</v>
      </c>
      <c r="S1793" s="622" t="s">
        <v>388</v>
      </c>
      <c r="T1793" s="623">
        <v>45912</v>
      </c>
      <c r="U1793" s="626">
        <v>1</v>
      </c>
      <c r="V1793" s="625">
        <v>10267.200000000001</v>
      </c>
      <c r="W1793" s="627">
        <v>45901</v>
      </c>
    </row>
    <row r="1794" spans="1:23" hidden="1" x14ac:dyDescent="0.35">
      <c r="A1794" s="622" t="s">
        <v>526</v>
      </c>
      <c r="B1794" s="622" t="s">
        <v>160</v>
      </c>
      <c r="C1794" s="622" t="s">
        <v>670</v>
      </c>
      <c r="D1794" s="622" t="s">
        <v>633</v>
      </c>
      <c r="E1794" s="622" t="s">
        <v>634</v>
      </c>
      <c r="F1794" s="622" t="s">
        <v>276</v>
      </c>
      <c r="G1794" s="622" t="s">
        <v>356</v>
      </c>
      <c r="H1794" s="622" t="s">
        <v>670</v>
      </c>
      <c r="I1794" s="622" t="s">
        <v>277</v>
      </c>
      <c r="J1794" s="622" t="s">
        <v>523</v>
      </c>
      <c r="K1794" s="622" t="s">
        <v>670</v>
      </c>
      <c r="L1794" s="622" t="s">
        <v>597</v>
      </c>
      <c r="M1794" s="622" t="s">
        <v>285</v>
      </c>
      <c r="N1794" s="622" t="s">
        <v>758</v>
      </c>
      <c r="O1794" s="622" t="s">
        <v>756</v>
      </c>
      <c r="P1794" s="622" t="s">
        <v>523</v>
      </c>
      <c r="Q1794" s="622" t="s">
        <v>387</v>
      </c>
      <c r="R1794" s="623">
        <v>45902</v>
      </c>
      <c r="S1794" s="622" t="s">
        <v>388</v>
      </c>
      <c r="T1794" s="623">
        <v>45912</v>
      </c>
      <c r="U1794" s="626">
        <v>1</v>
      </c>
      <c r="V1794" s="625">
        <v>1607.6</v>
      </c>
      <c r="W1794" s="627">
        <v>45901</v>
      </c>
    </row>
    <row r="1795" spans="1:23" hidden="1" x14ac:dyDescent="0.35">
      <c r="A1795" s="622" t="s">
        <v>526</v>
      </c>
      <c r="B1795" s="622" t="s">
        <v>160</v>
      </c>
      <c r="C1795" s="622" t="s">
        <v>670</v>
      </c>
      <c r="D1795" s="622" t="s">
        <v>633</v>
      </c>
      <c r="E1795" s="622" t="s">
        <v>634</v>
      </c>
      <c r="F1795" s="622" t="s">
        <v>276</v>
      </c>
      <c r="G1795" s="622" t="s">
        <v>356</v>
      </c>
      <c r="H1795" s="622" t="s">
        <v>670</v>
      </c>
      <c r="I1795" s="622" t="s">
        <v>277</v>
      </c>
      <c r="J1795" s="622" t="s">
        <v>523</v>
      </c>
      <c r="K1795" s="622" t="s">
        <v>670</v>
      </c>
      <c r="L1795" s="622" t="s">
        <v>597</v>
      </c>
      <c r="M1795" s="622" t="s">
        <v>285</v>
      </c>
      <c r="N1795" s="622" t="s">
        <v>759</v>
      </c>
      <c r="O1795" s="622" t="s">
        <v>756</v>
      </c>
      <c r="P1795" s="622" t="s">
        <v>523</v>
      </c>
      <c r="Q1795" s="622" t="s">
        <v>387</v>
      </c>
      <c r="R1795" s="623">
        <v>45902</v>
      </c>
      <c r="S1795" s="622" t="s">
        <v>388</v>
      </c>
      <c r="T1795" s="623">
        <v>45912</v>
      </c>
      <c r="U1795" s="626">
        <v>1</v>
      </c>
      <c r="V1795" s="625">
        <v>1141.2</v>
      </c>
      <c r="W1795" s="627">
        <v>45901</v>
      </c>
    </row>
    <row r="1796" spans="1:23" hidden="1" x14ac:dyDescent="0.35">
      <c r="A1796" s="622" t="s">
        <v>526</v>
      </c>
      <c r="B1796" s="622" t="s">
        <v>160</v>
      </c>
      <c r="C1796" s="622" t="s">
        <v>670</v>
      </c>
      <c r="D1796" s="622" t="s">
        <v>633</v>
      </c>
      <c r="E1796" s="622" t="s">
        <v>634</v>
      </c>
      <c r="F1796" s="622" t="s">
        <v>276</v>
      </c>
      <c r="G1796" s="622" t="s">
        <v>356</v>
      </c>
      <c r="H1796" s="622" t="s">
        <v>670</v>
      </c>
      <c r="I1796" s="622" t="s">
        <v>277</v>
      </c>
      <c r="J1796" s="622" t="s">
        <v>523</v>
      </c>
      <c r="K1796" s="622" t="s">
        <v>670</v>
      </c>
      <c r="L1796" s="622" t="s">
        <v>597</v>
      </c>
      <c r="M1796" s="622" t="s">
        <v>285</v>
      </c>
      <c r="N1796" s="622" t="s">
        <v>760</v>
      </c>
      <c r="O1796" s="622" t="s">
        <v>756</v>
      </c>
      <c r="P1796" s="622" t="s">
        <v>523</v>
      </c>
      <c r="Q1796" s="622" t="s">
        <v>387</v>
      </c>
      <c r="R1796" s="623">
        <v>45902</v>
      </c>
      <c r="S1796" s="622" t="s">
        <v>388</v>
      </c>
      <c r="T1796" s="623">
        <v>45912</v>
      </c>
      <c r="U1796" s="626">
        <v>1</v>
      </c>
      <c r="V1796" s="625">
        <v>157.19999999999999</v>
      </c>
      <c r="W1796" s="627">
        <v>45901</v>
      </c>
    </row>
    <row r="1797" spans="1:23" hidden="1" x14ac:dyDescent="0.35">
      <c r="A1797" s="622" t="s">
        <v>526</v>
      </c>
      <c r="B1797" s="622" t="s">
        <v>160</v>
      </c>
      <c r="C1797" s="622" t="s">
        <v>670</v>
      </c>
      <c r="D1797" s="622" t="s">
        <v>633</v>
      </c>
      <c r="E1797" s="622" t="s">
        <v>634</v>
      </c>
      <c r="F1797" s="622" t="s">
        <v>276</v>
      </c>
      <c r="G1797" s="622" t="s">
        <v>356</v>
      </c>
      <c r="H1797" s="622" t="s">
        <v>670</v>
      </c>
      <c r="I1797" s="622" t="s">
        <v>277</v>
      </c>
      <c r="J1797" s="622" t="s">
        <v>523</v>
      </c>
      <c r="K1797" s="622" t="s">
        <v>670</v>
      </c>
      <c r="L1797" s="622" t="s">
        <v>597</v>
      </c>
      <c r="M1797" s="622" t="s">
        <v>285</v>
      </c>
      <c r="N1797" s="622" t="s">
        <v>793</v>
      </c>
      <c r="O1797" s="622" t="s">
        <v>794</v>
      </c>
      <c r="P1797" s="622" t="s">
        <v>523</v>
      </c>
      <c r="Q1797" s="622" t="s">
        <v>387</v>
      </c>
      <c r="R1797" s="623">
        <v>45894</v>
      </c>
      <c r="S1797" s="622" t="s">
        <v>388</v>
      </c>
      <c r="T1797" s="623">
        <v>45919</v>
      </c>
      <c r="U1797" s="626">
        <v>1</v>
      </c>
      <c r="V1797" s="625">
        <v>1367.1</v>
      </c>
      <c r="W1797" s="627">
        <v>45901</v>
      </c>
    </row>
    <row r="1798" spans="1:23" hidden="1" x14ac:dyDescent="0.35">
      <c r="A1798" s="622" t="s">
        <v>526</v>
      </c>
      <c r="B1798" s="622" t="s">
        <v>160</v>
      </c>
      <c r="C1798" s="622" t="s">
        <v>670</v>
      </c>
      <c r="D1798" s="622" t="s">
        <v>633</v>
      </c>
      <c r="E1798" s="622" t="s">
        <v>634</v>
      </c>
      <c r="F1798" s="622" t="s">
        <v>276</v>
      </c>
      <c r="G1798" s="622" t="s">
        <v>356</v>
      </c>
      <c r="H1798" s="622" t="s">
        <v>670</v>
      </c>
      <c r="I1798" s="622" t="s">
        <v>277</v>
      </c>
      <c r="J1798" s="622" t="s">
        <v>523</v>
      </c>
      <c r="K1798" s="622" t="s">
        <v>670</v>
      </c>
      <c r="L1798" s="622" t="s">
        <v>597</v>
      </c>
      <c r="M1798" s="622" t="s">
        <v>285</v>
      </c>
      <c r="N1798" s="622" t="s">
        <v>795</v>
      </c>
      <c r="O1798" s="622" t="s">
        <v>794</v>
      </c>
      <c r="P1798" s="622" t="s">
        <v>523</v>
      </c>
      <c r="Q1798" s="622" t="s">
        <v>387</v>
      </c>
      <c r="R1798" s="623">
        <v>45883</v>
      </c>
      <c r="S1798" s="622" t="s">
        <v>388</v>
      </c>
      <c r="T1798" s="623">
        <v>45919</v>
      </c>
      <c r="U1798" s="626">
        <v>1</v>
      </c>
      <c r="V1798" s="625">
        <v>544.72</v>
      </c>
      <c r="W1798" s="627">
        <v>45901</v>
      </c>
    </row>
    <row r="1799" spans="1:23" hidden="1" x14ac:dyDescent="0.35">
      <c r="A1799" s="622" t="s">
        <v>526</v>
      </c>
      <c r="B1799" s="622" t="s">
        <v>160</v>
      </c>
      <c r="C1799" s="622" t="s">
        <v>670</v>
      </c>
      <c r="D1799" s="622" t="s">
        <v>603</v>
      </c>
      <c r="E1799" s="622" t="s">
        <v>604</v>
      </c>
      <c r="F1799" s="622" t="s">
        <v>588</v>
      </c>
      <c r="G1799" s="622" t="s">
        <v>356</v>
      </c>
      <c r="H1799" s="622" t="s">
        <v>670</v>
      </c>
      <c r="I1799" s="622" t="s">
        <v>277</v>
      </c>
      <c r="J1799" s="622" t="s">
        <v>523</v>
      </c>
      <c r="K1799" s="622" t="s">
        <v>670</v>
      </c>
      <c r="L1799" s="622" t="s">
        <v>597</v>
      </c>
      <c r="M1799" s="622" t="s">
        <v>285</v>
      </c>
      <c r="N1799" s="622" t="s">
        <v>670</v>
      </c>
      <c r="O1799" s="622">
        <v>7000001415</v>
      </c>
      <c r="P1799" s="622" t="s">
        <v>523</v>
      </c>
      <c r="Q1799" s="622" t="s">
        <v>589</v>
      </c>
      <c r="R1799" s="623">
        <v>45896</v>
      </c>
      <c r="S1799" s="622" t="s">
        <v>670</v>
      </c>
      <c r="T1799" s="623">
        <v>45901</v>
      </c>
      <c r="U1799" s="624">
        <v>0</v>
      </c>
      <c r="V1799" s="625">
        <v>-572074</v>
      </c>
      <c r="W1799" s="627">
        <v>45901</v>
      </c>
    </row>
    <row r="1800" spans="1:23" hidden="1" x14ac:dyDescent="0.35">
      <c r="A1800" s="622" t="s">
        <v>526</v>
      </c>
      <c r="B1800" s="622" t="s">
        <v>53</v>
      </c>
      <c r="C1800" s="622" t="s">
        <v>670</v>
      </c>
      <c r="D1800" s="622" t="s">
        <v>385</v>
      </c>
      <c r="E1800" s="622" t="s">
        <v>386</v>
      </c>
      <c r="F1800" s="622" t="s">
        <v>588</v>
      </c>
      <c r="G1800" s="622" t="s">
        <v>356</v>
      </c>
      <c r="H1800" s="622" t="s">
        <v>670</v>
      </c>
      <c r="I1800" s="622" t="s">
        <v>277</v>
      </c>
      <c r="J1800" s="622" t="s">
        <v>524</v>
      </c>
      <c r="K1800" s="622" t="s">
        <v>670</v>
      </c>
      <c r="L1800" s="622" t="s">
        <v>597</v>
      </c>
      <c r="M1800" s="622" t="s">
        <v>285</v>
      </c>
      <c r="N1800" s="622" t="s">
        <v>670</v>
      </c>
      <c r="O1800" s="622">
        <v>7000001175</v>
      </c>
      <c r="P1800" s="622" t="s">
        <v>523</v>
      </c>
      <c r="Q1800" s="622" t="s">
        <v>589</v>
      </c>
      <c r="R1800" s="623">
        <v>45896</v>
      </c>
      <c r="S1800" s="622" t="s">
        <v>670</v>
      </c>
      <c r="T1800" s="623">
        <v>45901</v>
      </c>
      <c r="U1800" s="624">
        <v>0</v>
      </c>
      <c r="V1800" s="625">
        <v>-190575</v>
      </c>
      <c r="W1800" s="627">
        <v>45901</v>
      </c>
    </row>
    <row r="1801" spans="1:23" hidden="1" x14ac:dyDescent="0.35">
      <c r="A1801" s="622" t="s">
        <v>526</v>
      </c>
      <c r="B1801" s="622" t="s">
        <v>53</v>
      </c>
      <c r="C1801" s="622" t="s">
        <v>670</v>
      </c>
      <c r="D1801" s="622" t="s">
        <v>385</v>
      </c>
      <c r="E1801" s="622" t="s">
        <v>386</v>
      </c>
      <c r="F1801" s="622" t="s">
        <v>588</v>
      </c>
      <c r="G1801" s="622" t="s">
        <v>356</v>
      </c>
      <c r="H1801" s="622" t="s">
        <v>670</v>
      </c>
      <c r="I1801" s="622" t="s">
        <v>277</v>
      </c>
      <c r="J1801" s="622" t="s">
        <v>524</v>
      </c>
      <c r="K1801" s="622" t="s">
        <v>670</v>
      </c>
      <c r="L1801" s="622" t="s">
        <v>597</v>
      </c>
      <c r="M1801" s="622" t="s">
        <v>285</v>
      </c>
      <c r="N1801" s="622" t="s">
        <v>670</v>
      </c>
      <c r="O1801" s="622" t="s">
        <v>687</v>
      </c>
      <c r="P1801" s="622" t="s">
        <v>524</v>
      </c>
      <c r="Q1801" s="622" t="s">
        <v>589</v>
      </c>
      <c r="R1801" s="623">
        <v>45896</v>
      </c>
      <c r="S1801" s="622" t="s">
        <v>670</v>
      </c>
      <c r="T1801" s="623">
        <v>45901</v>
      </c>
      <c r="U1801" s="624">
        <v>0</v>
      </c>
      <c r="V1801" s="625">
        <v>-22000</v>
      </c>
      <c r="W1801" s="627">
        <v>45901</v>
      </c>
    </row>
    <row r="1802" spans="1:23" hidden="1" x14ac:dyDescent="0.35">
      <c r="A1802" s="622" t="s">
        <v>526</v>
      </c>
      <c r="B1802" s="622" t="s">
        <v>53</v>
      </c>
      <c r="C1802" s="622" t="s">
        <v>670</v>
      </c>
      <c r="D1802" s="622" t="s">
        <v>385</v>
      </c>
      <c r="E1802" s="622" t="s">
        <v>386</v>
      </c>
      <c r="F1802" s="622" t="s">
        <v>276</v>
      </c>
      <c r="G1802" s="622" t="s">
        <v>356</v>
      </c>
      <c r="H1802" s="622" t="s">
        <v>670</v>
      </c>
      <c r="I1802" s="622" t="s">
        <v>277</v>
      </c>
      <c r="J1802" s="622" t="s">
        <v>524</v>
      </c>
      <c r="K1802" s="622" t="s">
        <v>670</v>
      </c>
      <c r="L1802" s="622" t="s">
        <v>597</v>
      </c>
      <c r="M1802" s="622" t="s">
        <v>285</v>
      </c>
      <c r="N1802" s="622" t="s">
        <v>796</v>
      </c>
      <c r="O1802" s="622" t="s">
        <v>684</v>
      </c>
      <c r="P1802" s="622" t="s">
        <v>524</v>
      </c>
      <c r="Q1802" s="622" t="s">
        <v>387</v>
      </c>
      <c r="R1802" s="623">
        <v>45894</v>
      </c>
      <c r="S1802" s="622" t="s">
        <v>388</v>
      </c>
      <c r="T1802" s="623">
        <v>45923</v>
      </c>
      <c r="U1802" s="626">
        <v>1</v>
      </c>
      <c r="V1802" s="625">
        <v>164596</v>
      </c>
      <c r="W1802" s="627">
        <v>45901</v>
      </c>
    </row>
    <row r="1803" spans="1:23" hidden="1" x14ac:dyDescent="0.35">
      <c r="A1803" s="622" t="s">
        <v>526</v>
      </c>
      <c r="B1803" s="622" t="s">
        <v>53</v>
      </c>
      <c r="C1803" s="622" t="s">
        <v>670</v>
      </c>
      <c r="D1803" s="622" t="s">
        <v>385</v>
      </c>
      <c r="E1803" s="622" t="s">
        <v>386</v>
      </c>
      <c r="F1803" s="622" t="s">
        <v>276</v>
      </c>
      <c r="G1803" s="622" t="s">
        <v>356</v>
      </c>
      <c r="H1803" s="622" t="s">
        <v>670</v>
      </c>
      <c r="I1803" s="622" t="s">
        <v>277</v>
      </c>
      <c r="J1803" s="622" t="s">
        <v>524</v>
      </c>
      <c r="K1803" s="622" t="s">
        <v>670</v>
      </c>
      <c r="L1803" s="622" t="s">
        <v>597</v>
      </c>
      <c r="M1803" s="622" t="s">
        <v>285</v>
      </c>
      <c r="N1803" s="622" t="s">
        <v>796</v>
      </c>
      <c r="O1803" s="622" t="s">
        <v>684</v>
      </c>
      <c r="P1803" s="622" t="s">
        <v>524</v>
      </c>
      <c r="Q1803" s="622" t="s">
        <v>387</v>
      </c>
      <c r="R1803" s="623">
        <v>45910</v>
      </c>
      <c r="S1803" s="622" t="s">
        <v>388</v>
      </c>
      <c r="T1803" s="623">
        <v>45923</v>
      </c>
      <c r="U1803" s="626">
        <v>1</v>
      </c>
      <c r="V1803" s="625">
        <v>5500</v>
      </c>
      <c r="W1803" s="627">
        <v>45901</v>
      </c>
    </row>
    <row r="1804" spans="1:23" hidden="1" x14ac:dyDescent="0.35">
      <c r="A1804" s="622" t="s">
        <v>526</v>
      </c>
      <c r="B1804" s="622" t="s">
        <v>53</v>
      </c>
      <c r="C1804" s="622" t="s">
        <v>670</v>
      </c>
      <c r="D1804" s="622" t="s">
        <v>385</v>
      </c>
      <c r="E1804" s="622" t="s">
        <v>386</v>
      </c>
      <c r="F1804" s="622" t="s">
        <v>276</v>
      </c>
      <c r="G1804" s="622" t="s">
        <v>356</v>
      </c>
      <c r="H1804" s="622" t="s">
        <v>670</v>
      </c>
      <c r="I1804" s="622" t="s">
        <v>277</v>
      </c>
      <c r="J1804" s="622" t="s">
        <v>524</v>
      </c>
      <c r="K1804" s="622" t="s">
        <v>670</v>
      </c>
      <c r="L1804" s="622" t="s">
        <v>597</v>
      </c>
      <c r="M1804" s="622" t="s">
        <v>285</v>
      </c>
      <c r="N1804" s="622" t="s">
        <v>797</v>
      </c>
      <c r="O1804" s="622" t="s">
        <v>684</v>
      </c>
      <c r="P1804" s="622" t="s">
        <v>524</v>
      </c>
      <c r="Q1804" s="622" t="s">
        <v>387</v>
      </c>
      <c r="R1804" s="623">
        <v>45918</v>
      </c>
      <c r="S1804" s="622" t="s">
        <v>388</v>
      </c>
      <c r="T1804" s="623">
        <v>45923</v>
      </c>
      <c r="U1804" s="626">
        <v>1</v>
      </c>
      <c r="V1804" s="625">
        <v>29</v>
      </c>
      <c r="W1804" s="627">
        <v>45901</v>
      </c>
    </row>
    <row r="1805" spans="1:23" hidden="1" x14ac:dyDescent="0.35">
      <c r="A1805" s="622" t="s">
        <v>526</v>
      </c>
      <c r="B1805" s="622" t="s">
        <v>53</v>
      </c>
      <c r="C1805" s="622" t="s">
        <v>670</v>
      </c>
      <c r="D1805" s="622" t="s">
        <v>385</v>
      </c>
      <c r="E1805" s="622" t="s">
        <v>386</v>
      </c>
      <c r="F1805" s="622" t="s">
        <v>276</v>
      </c>
      <c r="G1805" s="622" t="s">
        <v>356</v>
      </c>
      <c r="H1805" s="622" t="s">
        <v>670</v>
      </c>
      <c r="I1805" s="622" t="s">
        <v>277</v>
      </c>
      <c r="J1805" s="622" t="s">
        <v>524</v>
      </c>
      <c r="K1805" s="622" t="s">
        <v>670</v>
      </c>
      <c r="L1805" s="622" t="s">
        <v>597</v>
      </c>
      <c r="M1805" s="622" t="s">
        <v>285</v>
      </c>
      <c r="N1805" s="622" t="s">
        <v>798</v>
      </c>
      <c r="O1805" s="622" t="s">
        <v>684</v>
      </c>
      <c r="P1805" s="622" t="s">
        <v>524</v>
      </c>
      <c r="Q1805" s="622" t="s">
        <v>387</v>
      </c>
      <c r="R1805" s="623">
        <v>45918</v>
      </c>
      <c r="S1805" s="622" t="s">
        <v>388</v>
      </c>
      <c r="T1805" s="623">
        <v>45923</v>
      </c>
      <c r="U1805" s="626">
        <v>1</v>
      </c>
      <c r="V1805" s="625">
        <v>51250</v>
      </c>
      <c r="W1805" s="627">
        <v>45901</v>
      </c>
    </row>
    <row r="1806" spans="1:23" hidden="1" x14ac:dyDescent="0.35">
      <c r="A1806" s="622" t="s">
        <v>526</v>
      </c>
      <c r="B1806" s="622" t="s">
        <v>53</v>
      </c>
      <c r="C1806" s="622" t="s">
        <v>670</v>
      </c>
      <c r="D1806" s="622" t="s">
        <v>385</v>
      </c>
      <c r="E1806" s="622" t="s">
        <v>386</v>
      </c>
      <c r="F1806" s="622" t="s">
        <v>276</v>
      </c>
      <c r="G1806" s="622" t="s">
        <v>356</v>
      </c>
      <c r="H1806" s="622" t="s">
        <v>670</v>
      </c>
      <c r="I1806" s="622" t="s">
        <v>277</v>
      </c>
      <c r="J1806" s="622" t="s">
        <v>524</v>
      </c>
      <c r="K1806" s="622" t="s">
        <v>670</v>
      </c>
      <c r="L1806" s="622" t="s">
        <v>597</v>
      </c>
      <c r="M1806" s="622" t="s">
        <v>285</v>
      </c>
      <c r="N1806" s="622" t="s">
        <v>670</v>
      </c>
      <c r="O1806" s="622">
        <v>7000001527</v>
      </c>
      <c r="P1806" s="622" t="s">
        <v>524</v>
      </c>
      <c r="Q1806" s="622" t="s">
        <v>400</v>
      </c>
      <c r="R1806" s="623">
        <v>45929</v>
      </c>
      <c r="S1806" s="622" t="s">
        <v>670</v>
      </c>
      <c r="T1806" s="623">
        <v>45930</v>
      </c>
      <c r="U1806" s="624">
        <v>0</v>
      </c>
      <c r="V1806" s="625">
        <v>5931</v>
      </c>
      <c r="W1806" s="627">
        <v>45901</v>
      </c>
    </row>
    <row r="1807" spans="1:23" hidden="1" x14ac:dyDescent="0.35">
      <c r="A1807" s="622" t="s">
        <v>526</v>
      </c>
      <c r="B1807" s="622" t="s">
        <v>53</v>
      </c>
      <c r="C1807" s="622" t="s">
        <v>670</v>
      </c>
      <c r="D1807" s="622" t="s">
        <v>385</v>
      </c>
      <c r="E1807" s="622" t="s">
        <v>386</v>
      </c>
      <c r="F1807" s="622" t="s">
        <v>276</v>
      </c>
      <c r="G1807" s="622" t="s">
        <v>356</v>
      </c>
      <c r="H1807" s="622" t="s">
        <v>670</v>
      </c>
      <c r="I1807" s="622" t="s">
        <v>277</v>
      </c>
      <c r="J1807" s="622" t="s">
        <v>524</v>
      </c>
      <c r="K1807" s="622" t="s">
        <v>670</v>
      </c>
      <c r="L1807" s="622" t="s">
        <v>597</v>
      </c>
      <c r="M1807" s="622" t="s">
        <v>285</v>
      </c>
      <c r="N1807" s="622" t="s">
        <v>670</v>
      </c>
      <c r="O1807" s="622">
        <v>7000001204</v>
      </c>
      <c r="P1807" s="622" t="s">
        <v>523</v>
      </c>
      <c r="Q1807" s="622" t="s">
        <v>400</v>
      </c>
      <c r="R1807" s="623">
        <v>45929</v>
      </c>
      <c r="S1807" s="622" t="s">
        <v>670</v>
      </c>
      <c r="T1807" s="623">
        <v>45930</v>
      </c>
      <c r="U1807" s="624">
        <v>0</v>
      </c>
      <c r="V1807" s="625">
        <v>123095</v>
      </c>
      <c r="W1807" s="627">
        <v>45901</v>
      </c>
    </row>
    <row r="1808" spans="1:23" hidden="1" x14ac:dyDescent="0.35">
      <c r="A1808" s="622" t="s">
        <v>526</v>
      </c>
      <c r="B1808" s="622" t="s">
        <v>53</v>
      </c>
      <c r="C1808" s="622" t="s">
        <v>670</v>
      </c>
      <c r="D1808" s="622" t="s">
        <v>385</v>
      </c>
      <c r="E1808" s="622" t="s">
        <v>386</v>
      </c>
      <c r="F1808" s="622" t="s">
        <v>276</v>
      </c>
      <c r="G1808" s="622" t="s">
        <v>356</v>
      </c>
      <c r="H1808" s="622" t="s">
        <v>670</v>
      </c>
      <c r="I1808" s="622" t="s">
        <v>277</v>
      </c>
      <c r="J1808" s="622" t="s">
        <v>524</v>
      </c>
      <c r="K1808" s="622" t="s">
        <v>670</v>
      </c>
      <c r="L1808" s="622" t="s">
        <v>597</v>
      </c>
      <c r="M1808" s="622" t="s">
        <v>285</v>
      </c>
      <c r="N1808" s="622" t="s">
        <v>670</v>
      </c>
      <c r="O1808" s="622">
        <v>7000001415</v>
      </c>
      <c r="P1808" s="622" t="s">
        <v>524</v>
      </c>
      <c r="Q1808" s="622" t="s">
        <v>400</v>
      </c>
      <c r="R1808" s="623">
        <v>45929</v>
      </c>
      <c r="S1808" s="622" t="s">
        <v>670</v>
      </c>
      <c r="T1808" s="623">
        <v>45930</v>
      </c>
      <c r="U1808" s="624">
        <v>0</v>
      </c>
      <c r="V1808" s="625">
        <v>498544</v>
      </c>
      <c r="W1808" s="627">
        <v>45901</v>
      </c>
    </row>
    <row r="1809" spans="1:23" hidden="1" x14ac:dyDescent="0.35">
      <c r="A1809" s="622" t="s">
        <v>526</v>
      </c>
      <c r="B1809" s="622" t="s">
        <v>53</v>
      </c>
      <c r="C1809" s="622" t="s">
        <v>670</v>
      </c>
      <c r="D1809" s="622" t="s">
        <v>385</v>
      </c>
      <c r="E1809" s="622" t="s">
        <v>386</v>
      </c>
      <c r="F1809" s="622" t="s">
        <v>276</v>
      </c>
      <c r="G1809" s="622" t="s">
        <v>356</v>
      </c>
      <c r="H1809" s="622" t="s">
        <v>670</v>
      </c>
      <c r="I1809" s="622" t="s">
        <v>277</v>
      </c>
      <c r="J1809" s="622" t="s">
        <v>524</v>
      </c>
      <c r="K1809" s="622" t="s">
        <v>670</v>
      </c>
      <c r="L1809" s="622" t="s">
        <v>597</v>
      </c>
      <c r="M1809" s="622" t="s">
        <v>285</v>
      </c>
      <c r="N1809" s="622" t="s">
        <v>670</v>
      </c>
      <c r="O1809" s="622">
        <v>7000002000</v>
      </c>
      <c r="P1809" s="622" t="s">
        <v>524</v>
      </c>
      <c r="Q1809" s="622" t="s">
        <v>400</v>
      </c>
      <c r="R1809" s="623">
        <v>45929</v>
      </c>
      <c r="S1809" s="622" t="s">
        <v>670</v>
      </c>
      <c r="T1809" s="623">
        <v>45930</v>
      </c>
      <c r="U1809" s="624">
        <v>0</v>
      </c>
      <c r="V1809" s="625">
        <v>7250</v>
      </c>
      <c r="W1809" s="627">
        <v>45901</v>
      </c>
    </row>
    <row r="1810" spans="1:23" hidden="1" x14ac:dyDescent="0.35">
      <c r="A1810" s="622" t="s">
        <v>526</v>
      </c>
      <c r="B1810" s="622" t="s">
        <v>53</v>
      </c>
      <c r="C1810" s="622" t="s">
        <v>799</v>
      </c>
      <c r="D1810" s="622" t="s">
        <v>385</v>
      </c>
      <c r="E1810" s="622" t="s">
        <v>386</v>
      </c>
      <c r="F1810" s="622" t="s">
        <v>276</v>
      </c>
      <c r="G1810" s="622" t="s">
        <v>356</v>
      </c>
      <c r="H1810" s="622" t="s">
        <v>670</v>
      </c>
      <c r="I1810" s="622" t="s">
        <v>277</v>
      </c>
      <c r="J1810" s="622" t="s">
        <v>524</v>
      </c>
      <c r="K1810" s="622" t="s">
        <v>800</v>
      </c>
      <c r="L1810" s="622" t="s">
        <v>597</v>
      </c>
      <c r="M1810" s="622" t="s">
        <v>285</v>
      </c>
      <c r="N1810" s="622" t="s">
        <v>670</v>
      </c>
      <c r="O1810" s="622" t="s">
        <v>670</v>
      </c>
      <c r="P1810" s="622" t="s">
        <v>524</v>
      </c>
      <c r="Q1810" s="622" t="s">
        <v>670</v>
      </c>
      <c r="R1810" s="623">
        <v>45931</v>
      </c>
      <c r="S1810" s="622" t="s">
        <v>670</v>
      </c>
      <c r="T1810" s="623">
        <v>45930</v>
      </c>
      <c r="U1810" s="624">
        <v>0</v>
      </c>
      <c r="V1810" s="625">
        <v>4396.5</v>
      </c>
      <c r="W1810" s="627">
        <v>45901</v>
      </c>
    </row>
    <row r="1811" spans="1:23" hidden="1" x14ac:dyDescent="0.35">
      <c r="A1811" s="622" t="s">
        <v>526</v>
      </c>
      <c r="B1811" s="622" t="s">
        <v>53</v>
      </c>
      <c r="C1811" s="622" t="s">
        <v>670</v>
      </c>
      <c r="D1811" s="622" t="s">
        <v>693</v>
      </c>
      <c r="E1811" s="622" t="s">
        <v>694</v>
      </c>
      <c r="F1811" s="622" t="s">
        <v>276</v>
      </c>
      <c r="G1811" s="622" t="s">
        <v>356</v>
      </c>
      <c r="H1811" s="622" t="s">
        <v>670</v>
      </c>
      <c r="I1811" s="622" t="s">
        <v>277</v>
      </c>
      <c r="J1811" s="622" t="s">
        <v>524</v>
      </c>
      <c r="K1811" s="622" t="s">
        <v>670</v>
      </c>
      <c r="L1811" s="622" t="s">
        <v>597</v>
      </c>
      <c r="M1811" s="622" t="s">
        <v>285</v>
      </c>
      <c r="N1811" s="622" t="s">
        <v>665</v>
      </c>
      <c r="O1811" s="622" t="s">
        <v>684</v>
      </c>
      <c r="P1811" s="622" t="s">
        <v>524</v>
      </c>
      <c r="Q1811" s="622" t="s">
        <v>387</v>
      </c>
      <c r="R1811" s="623">
        <v>45863</v>
      </c>
      <c r="S1811" s="622" t="s">
        <v>388</v>
      </c>
      <c r="T1811" s="623">
        <v>45904</v>
      </c>
      <c r="U1811" s="626">
        <v>1</v>
      </c>
      <c r="V1811" s="625">
        <v>149068</v>
      </c>
      <c r="W1811" s="627">
        <v>45901</v>
      </c>
    </row>
    <row r="1812" spans="1:23" hidden="1" x14ac:dyDescent="0.35">
      <c r="A1812" s="622" t="s">
        <v>526</v>
      </c>
      <c r="B1812" s="622" t="s">
        <v>53</v>
      </c>
      <c r="C1812" s="622" t="s">
        <v>670</v>
      </c>
      <c r="D1812" s="622" t="s">
        <v>693</v>
      </c>
      <c r="E1812" s="622" t="s">
        <v>694</v>
      </c>
      <c r="F1812" s="622" t="s">
        <v>276</v>
      </c>
      <c r="G1812" s="622" t="s">
        <v>356</v>
      </c>
      <c r="H1812" s="622" t="s">
        <v>670</v>
      </c>
      <c r="I1812" s="622" t="s">
        <v>277</v>
      </c>
      <c r="J1812" s="622" t="s">
        <v>524</v>
      </c>
      <c r="K1812" s="622" t="s">
        <v>670</v>
      </c>
      <c r="L1812" s="622" t="s">
        <v>597</v>
      </c>
      <c r="M1812" s="622" t="s">
        <v>285</v>
      </c>
      <c r="N1812" s="622" t="s">
        <v>665</v>
      </c>
      <c r="O1812" s="622" t="s">
        <v>684</v>
      </c>
      <c r="P1812" s="622" t="s">
        <v>524</v>
      </c>
      <c r="Q1812" s="622" t="s">
        <v>387</v>
      </c>
      <c r="R1812" s="623">
        <v>45834</v>
      </c>
      <c r="S1812" s="622" t="s">
        <v>388</v>
      </c>
      <c r="T1812" s="623">
        <v>45904</v>
      </c>
      <c r="U1812" s="626">
        <v>1</v>
      </c>
      <c r="V1812" s="625">
        <v>100170</v>
      </c>
      <c r="W1812" s="627">
        <v>45901</v>
      </c>
    </row>
    <row r="1813" spans="1:23" hidden="1" x14ac:dyDescent="0.35">
      <c r="A1813" s="622" t="s">
        <v>526</v>
      </c>
      <c r="B1813" s="622" t="s">
        <v>53</v>
      </c>
      <c r="C1813" s="622" t="s">
        <v>670</v>
      </c>
      <c r="D1813" s="622" t="s">
        <v>693</v>
      </c>
      <c r="E1813" s="622" t="s">
        <v>694</v>
      </c>
      <c r="F1813" s="622" t="s">
        <v>276</v>
      </c>
      <c r="G1813" s="622" t="s">
        <v>356</v>
      </c>
      <c r="H1813" s="622" t="s">
        <v>670</v>
      </c>
      <c r="I1813" s="622" t="s">
        <v>277</v>
      </c>
      <c r="J1813" s="622" t="s">
        <v>524</v>
      </c>
      <c r="K1813" s="622" t="s">
        <v>670</v>
      </c>
      <c r="L1813" s="622" t="s">
        <v>597</v>
      </c>
      <c r="M1813" s="622" t="s">
        <v>285</v>
      </c>
      <c r="N1813" s="622" t="s">
        <v>695</v>
      </c>
      <c r="O1813" s="622" t="s">
        <v>687</v>
      </c>
      <c r="P1813" s="622" t="s">
        <v>524</v>
      </c>
      <c r="Q1813" s="622" t="s">
        <v>387</v>
      </c>
      <c r="R1813" s="623">
        <v>45852</v>
      </c>
      <c r="S1813" s="622" t="s">
        <v>388</v>
      </c>
      <c r="T1813" s="623">
        <v>45904</v>
      </c>
      <c r="U1813" s="626">
        <v>1</v>
      </c>
      <c r="V1813" s="625">
        <v>5500</v>
      </c>
      <c r="W1813" s="627">
        <v>45901</v>
      </c>
    </row>
    <row r="1814" spans="1:23" hidden="1" x14ac:dyDescent="0.35">
      <c r="A1814" s="622" t="s">
        <v>526</v>
      </c>
      <c r="B1814" s="622" t="s">
        <v>53</v>
      </c>
      <c r="C1814" s="622" t="s">
        <v>670</v>
      </c>
      <c r="D1814" s="622" t="s">
        <v>693</v>
      </c>
      <c r="E1814" s="622" t="s">
        <v>694</v>
      </c>
      <c r="F1814" s="622" t="s">
        <v>276</v>
      </c>
      <c r="G1814" s="622" t="s">
        <v>356</v>
      </c>
      <c r="H1814" s="622" t="s">
        <v>670</v>
      </c>
      <c r="I1814" s="622" t="s">
        <v>277</v>
      </c>
      <c r="J1814" s="622" t="s">
        <v>524</v>
      </c>
      <c r="K1814" s="622" t="s">
        <v>670</v>
      </c>
      <c r="L1814" s="622" t="s">
        <v>597</v>
      </c>
      <c r="M1814" s="622" t="s">
        <v>285</v>
      </c>
      <c r="N1814" s="622" t="s">
        <v>695</v>
      </c>
      <c r="O1814" s="622" t="s">
        <v>687</v>
      </c>
      <c r="P1814" s="622" t="s">
        <v>524</v>
      </c>
      <c r="Q1814" s="622" t="s">
        <v>387</v>
      </c>
      <c r="R1814" s="623">
        <v>45820</v>
      </c>
      <c r="S1814" s="622" t="s">
        <v>388</v>
      </c>
      <c r="T1814" s="623">
        <v>45904</v>
      </c>
      <c r="U1814" s="626">
        <v>1</v>
      </c>
      <c r="V1814" s="625">
        <v>5500</v>
      </c>
      <c r="W1814" s="627">
        <v>45901</v>
      </c>
    </row>
    <row r="1815" spans="1:23" hidden="1" x14ac:dyDescent="0.35">
      <c r="A1815" s="622" t="s">
        <v>526</v>
      </c>
      <c r="B1815" s="622" t="s">
        <v>53</v>
      </c>
      <c r="C1815" s="622" t="s">
        <v>670</v>
      </c>
      <c r="D1815" s="622" t="s">
        <v>693</v>
      </c>
      <c r="E1815" s="622" t="s">
        <v>694</v>
      </c>
      <c r="F1815" s="622" t="s">
        <v>276</v>
      </c>
      <c r="G1815" s="622" t="s">
        <v>356</v>
      </c>
      <c r="H1815" s="622" t="s">
        <v>670</v>
      </c>
      <c r="I1815" s="622" t="s">
        <v>277</v>
      </c>
      <c r="J1815" s="622" t="s">
        <v>524</v>
      </c>
      <c r="K1815" s="622" t="s">
        <v>670</v>
      </c>
      <c r="L1815" s="622" t="s">
        <v>597</v>
      </c>
      <c r="M1815" s="622" t="s">
        <v>285</v>
      </c>
      <c r="N1815" s="622" t="s">
        <v>761</v>
      </c>
      <c r="O1815" s="622" t="s">
        <v>684</v>
      </c>
      <c r="P1815" s="622" t="s">
        <v>524</v>
      </c>
      <c r="Q1815" s="622" t="s">
        <v>387</v>
      </c>
      <c r="R1815" s="623">
        <v>45765</v>
      </c>
      <c r="S1815" s="622" t="s">
        <v>388</v>
      </c>
      <c r="T1815" s="623">
        <v>45904</v>
      </c>
      <c r="U1815" s="626">
        <v>1</v>
      </c>
      <c r="V1815" s="625">
        <v>12750</v>
      </c>
      <c r="W1815" s="627">
        <v>45901</v>
      </c>
    </row>
    <row r="1816" spans="1:23" hidden="1" x14ac:dyDescent="0.35">
      <c r="A1816" s="622" t="s">
        <v>526</v>
      </c>
      <c r="B1816" s="622" t="s">
        <v>53</v>
      </c>
      <c r="C1816" s="622" t="s">
        <v>670</v>
      </c>
      <c r="D1816" s="622" t="s">
        <v>693</v>
      </c>
      <c r="E1816" s="622" t="s">
        <v>694</v>
      </c>
      <c r="F1816" s="622" t="s">
        <v>276</v>
      </c>
      <c r="G1816" s="622" t="s">
        <v>356</v>
      </c>
      <c r="H1816" s="622" t="s">
        <v>670</v>
      </c>
      <c r="I1816" s="622" t="s">
        <v>277</v>
      </c>
      <c r="J1816" s="622" t="s">
        <v>524</v>
      </c>
      <c r="K1816" s="622" t="s">
        <v>670</v>
      </c>
      <c r="L1816" s="622" t="s">
        <v>597</v>
      </c>
      <c r="M1816" s="622" t="s">
        <v>285</v>
      </c>
      <c r="N1816" s="622" t="s">
        <v>665</v>
      </c>
      <c r="O1816" s="622" t="s">
        <v>684</v>
      </c>
      <c r="P1816" s="622" t="s">
        <v>524</v>
      </c>
      <c r="Q1816" s="622" t="s">
        <v>387</v>
      </c>
      <c r="R1816" s="623">
        <v>45765</v>
      </c>
      <c r="S1816" s="622" t="s">
        <v>388</v>
      </c>
      <c r="T1816" s="623">
        <v>45904</v>
      </c>
      <c r="U1816" s="626">
        <v>1</v>
      </c>
      <c r="V1816" s="625">
        <v>126447</v>
      </c>
      <c r="W1816" s="627">
        <v>45901</v>
      </c>
    </row>
    <row r="1817" spans="1:23" hidden="1" x14ac:dyDescent="0.35">
      <c r="A1817" s="622" t="s">
        <v>526</v>
      </c>
      <c r="B1817" s="622" t="s">
        <v>53</v>
      </c>
      <c r="C1817" s="622" t="s">
        <v>799</v>
      </c>
      <c r="D1817" s="622" t="s">
        <v>801</v>
      </c>
      <c r="E1817" s="622" t="s">
        <v>802</v>
      </c>
      <c r="F1817" s="622" t="s">
        <v>276</v>
      </c>
      <c r="G1817" s="622" t="s">
        <v>356</v>
      </c>
      <c r="H1817" s="622" t="s">
        <v>670</v>
      </c>
      <c r="I1817" s="622" t="s">
        <v>277</v>
      </c>
      <c r="J1817" s="622" t="s">
        <v>524</v>
      </c>
      <c r="K1817" s="622" t="s">
        <v>800</v>
      </c>
      <c r="L1817" s="622" t="s">
        <v>597</v>
      </c>
      <c r="M1817" s="622" t="s">
        <v>285</v>
      </c>
      <c r="N1817" s="622" t="s">
        <v>670</v>
      </c>
      <c r="O1817" s="622" t="s">
        <v>670</v>
      </c>
      <c r="P1817" s="622" t="s">
        <v>524</v>
      </c>
      <c r="Q1817" s="622" t="s">
        <v>670</v>
      </c>
      <c r="R1817" s="623">
        <v>45931</v>
      </c>
      <c r="S1817" s="622" t="s">
        <v>670</v>
      </c>
      <c r="T1817" s="623">
        <v>45930</v>
      </c>
      <c r="U1817" s="624">
        <v>0</v>
      </c>
      <c r="V1817" s="625">
        <v>319.2</v>
      </c>
      <c r="W1817" s="627">
        <v>45901</v>
      </c>
    </row>
    <row r="1818" spans="1:23" hidden="1" x14ac:dyDescent="0.35">
      <c r="A1818" s="622" t="s">
        <v>526</v>
      </c>
      <c r="B1818" s="622" t="s">
        <v>53</v>
      </c>
      <c r="C1818" s="622" t="s">
        <v>670</v>
      </c>
      <c r="D1818" s="622" t="s">
        <v>762</v>
      </c>
      <c r="E1818" s="622" t="s">
        <v>763</v>
      </c>
      <c r="F1818" s="622" t="s">
        <v>276</v>
      </c>
      <c r="G1818" s="622" t="s">
        <v>356</v>
      </c>
      <c r="H1818" s="622" t="s">
        <v>670</v>
      </c>
      <c r="I1818" s="622" t="s">
        <v>277</v>
      </c>
      <c r="J1818" s="622" t="s">
        <v>524</v>
      </c>
      <c r="K1818" s="622" t="s">
        <v>670</v>
      </c>
      <c r="L1818" s="622" t="s">
        <v>597</v>
      </c>
      <c r="M1818" s="622" t="s">
        <v>285</v>
      </c>
      <c r="N1818" s="622" t="s">
        <v>764</v>
      </c>
      <c r="O1818" s="622" t="s">
        <v>765</v>
      </c>
      <c r="P1818" s="622" t="s">
        <v>524</v>
      </c>
      <c r="Q1818" s="622" t="s">
        <v>387</v>
      </c>
      <c r="R1818" s="623">
        <v>45905</v>
      </c>
      <c r="S1818" s="622" t="s">
        <v>388</v>
      </c>
      <c r="T1818" s="623">
        <v>45912</v>
      </c>
      <c r="U1818" s="626">
        <v>1</v>
      </c>
      <c r="V1818" s="625">
        <v>18270</v>
      </c>
      <c r="W1818" s="627">
        <v>45901</v>
      </c>
    </row>
    <row r="1819" spans="1:23" hidden="1" x14ac:dyDescent="0.35">
      <c r="A1819" s="622" t="s">
        <v>526</v>
      </c>
      <c r="B1819" s="622" t="s">
        <v>53</v>
      </c>
      <c r="C1819" s="622" t="s">
        <v>521</v>
      </c>
      <c r="D1819" s="622" t="s">
        <v>681</v>
      </c>
      <c r="E1819" s="622" t="s">
        <v>682</v>
      </c>
      <c r="F1819" s="622" t="s">
        <v>276</v>
      </c>
      <c r="G1819" s="622" t="s">
        <v>356</v>
      </c>
      <c r="H1819" s="622" t="s">
        <v>670</v>
      </c>
      <c r="I1819" s="622" t="s">
        <v>277</v>
      </c>
      <c r="J1819" s="622" t="s">
        <v>524</v>
      </c>
      <c r="K1819" s="868" t="s">
        <v>683</v>
      </c>
      <c r="L1819" s="622" t="s">
        <v>597</v>
      </c>
      <c r="M1819" s="622" t="s">
        <v>285</v>
      </c>
      <c r="N1819" s="622" t="s">
        <v>670</v>
      </c>
      <c r="O1819" s="622" t="s">
        <v>670</v>
      </c>
      <c r="P1819" s="622" t="s">
        <v>524</v>
      </c>
      <c r="Q1819" s="622" t="s">
        <v>670</v>
      </c>
      <c r="R1819" s="623">
        <v>45931</v>
      </c>
      <c r="S1819" s="622" t="s">
        <v>670</v>
      </c>
      <c r="T1819" s="623">
        <v>45930</v>
      </c>
      <c r="U1819" s="624">
        <v>0</v>
      </c>
      <c r="V1819" s="625">
        <v>4410</v>
      </c>
      <c r="W1819" s="627">
        <v>45901</v>
      </c>
    </row>
    <row r="1820" spans="1:23" hidden="1" x14ac:dyDescent="0.35">
      <c r="A1820" s="622" t="s">
        <v>526</v>
      </c>
      <c r="B1820" s="622" t="s">
        <v>53</v>
      </c>
      <c r="C1820" s="622" t="s">
        <v>670</v>
      </c>
      <c r="D1820" s="622" t="s">
        <v>575</v>
      </c>
      <c r="E1820" s="622" t="s">
        <v>576</v>
      </c>
      <c r="F1820" s="622" t="s">
        <v>588</v>
      </c>
      <c r="G1820" s="622" t="s">
        <v>356</v>
      </c>
      <c r="H1820" s="622" t="s">
        <v>670</v>
      </c>
      <c r="I1820" s="622" t="s">
        <v>277</v>
      </c>
      <c r="J1820" s="622" t="s">
        <v>524</v>
      </c>
      <c r="K1820" s="622" t="s">
        <v>670</v>
      </c>
      <c r="L1820" s="622" t="s">
        <v>597</v>
      </c>
      <c r="M1820" s="622" t="s">
        <v>285</v>
      </c>
      <c r="N1820" s="622" t="s">
        <v>670</v>
      </c>
      <c r="O1820" s="622" t="s">
        <v>675</v>
      </c>
      <c r="P1820" s="622" t="s">
        <v>524</v>
      </c>
      <c r="Q1820" s="622" t="s">
        <v>589</v>
      </c>
      <c r="R1820" s="623">
        <v>45896</v>
      </c>
      <c r="S1820" s="622" t="s">
        <v>670</v>
      </c>
      <c r="T1820" s="623">
        <v>45901</v>
      </c>
      <c r="U1820" s="624">
        <v>0</v>
      </c>
      <c r="V1820" s="625">
        <v>-4200</v>
      </c>
      <c r="W1820" s="627">
        <v>45901</v>
      </c>
    </row>
    <row r="1821" spans="1:23" hidden="1" x14ac:dyDescent="0.35">
      <c r="A1821" s="622" t="s">
        <v>526</v>
      </c>
      <c r="B1821" s="622" t="s">
        <v>53</v>
      </c>
      <c r="C1821" s="622" t="s">
        <v>670</v>
      </c>
      <c r="D1821" s="622" t="s">
        <v>575</v>
      </c>
      <c r="E1821" s="622" t="s">
        <v>576</v>
      </c>
      <c r="F1821" s="622" t="s">
        <v>588</v>
      </c>
      <c r="G1821" s="622" t="s">
        <v>356</v>
      </c>
      <c r="H1821" s="622" t="s">
        <v>670</v>
      </c>
      <c r="I1821" s="622" t="s">
        <v>277</v>
      </c>
      <c r="J1821" s="622" t="s">
        <v>524</v>
      </c>
      <c r="K1821" s="622" t="s">
        <v>670</v>
      </c>
      <c r="L1821" s="622" t="s">
        <v>597</v>
      </c>
      <c r="M1821" s="622" t="s">
        <v>285</v>
      </c>
      <c r="N1821" s="622" t="s">
        <v>670</v>
      </c>
      <c r="O1821" s="622" t="s">
        <v>676</v>
      </c>
      <c r="P1821" s="622" t="s">
        <v>524</v>
      </c>
      <c r="Q1821" s="622" t="s">
        <v>589</v>
      </c>
      <c r="R1821" s="623">
        <v>45896</v>
      </c>
      <c r="S1821" s="622" t="s">
        <v>670</v>
      </c>
      <c r="T1821" s="623">
        <v>45901</v>
      </c>
      <c r="U1821" s="624">
        <v>0</v>
      </c>
      <c r="V1821" s="625">
        <v>-2604</v>
      </c>
      <c r="W1821" s="627">
        <v>45901</v>
      </c>
    </row>
    <row r="1822" spans="1:23" hidden="1" x14ac:dyDescent="0.35">
      <c r="A1822" s="622" t="s">
        <v>526</v>
      </c>
      <c r="B1822" s="622" t="s">
        <v>53</v>
      </c>
      <c r="C1822" s="622" t="s">
        <v>281</v>
      </c>
      <c r="D1822" s="622" t="s">
        <v>282</v>
      </c>
      <c r="E1822" s="622" t="s">
        <v>283</v>
      </c>
      <c r="F1822" s="622" t="s">
        <v>276</v>
      </c>
      <c r="G1822" s="622" t="s">
        <v>356</v>
      </c>
      <c r="H1822" s="622" t="s">
        <v>670</v>
      </c>
      <c r="I1822" s="622" t="s">
        <v>277</v>
      </c>
      <c r="J1822" s="622" t="s">
        <v>524</v>
      </c>
      <c r="K1822" s="622" t="s">
        <v>284</v>
      </c>
      <c r="L1822" s="622" t="s">
        <v>597</v>
      </c>
      <c r="M1822" s="622" t="s">
        <v>285</v>
      </c>
      <c r="N1822" s="622" t="s">
        <v>670</v>
      </c>
      <c r="O1822" s="622" t="s">
        <v>670</v>
      </c>
      <c r="P1822" s="622" t="s">
        <v>524</v>
      </c>
      <c r="Q1822" s="622" t="s">
        <v>670</v>
      </c>
      <c r="R1822" s="623">
        <v>45931</v>
      </c>
      <c r="S1822" s="622" t="s">
        <v>670</v>
      </c>
      <c r="T1822" s="623">
        <v>45930</v>
      </c>
      <c r="U1822" s="624">
        <v>0</v>
      </c>
      <c r="V1822" s="625">
        <v>252.79</v>
      </c>
      <c r="W1822" s="627">
        <v>45901</v>
      </c>
    </row>
    <row r="1823" spans="1:23" hidden="1" x14ac:dyDescent="0.35">
      <c r="A1823" s="622" t="s">
        <v>526</v>
      </c>
      <c r="B1823" s="622" t="s">
        <v>53</v>
      </c>
      <c r="C1823" s="622" t="s">
        <v>286</v>
      </c>
      <c r="D1823" s="622" t="s">
        <v>287</v>
      </c>
      <c r="E1823" s="622" t="s">
        <v>288</v>
      </c>
      <c r="F1823" s="622" t="s">
        <v>276</v>
      </c>
      <c r="G1823" s="622" t="s">
        <v>356</v>
      </c>
      <c r="H1823" s="622" t="s">
        <v>670</v>
      </c>
      <c r="I1823" s="622" t="s">
        <v>277</v>
      </c>
      <c r="J1823" s="622" t="s">
        <v>524</v>
      </c>
      <c r="K1823" s="622" t="s">
        <v>289</v>
      </c>
      <c r="L1823" s="622" t="s">
        <v>597</v>
      </c>
      <c r="M1823" s="622" t="s">
        <v>285</v>
      </c>
      <c r="N1823" s="622" t="s">
        <v>670</v>
      </c>
      <c r="O1823" s="622" t="s">
        <v>670</v>
      </c>
      <c r="P1823" s="622" t="s">
        <v>524</v>
      </c>
      <c r="Q1823" s="622" t="s">
        <v>670</v>
      </c>
      <c r="R1823" s="623">
        <v>45931</v>
      </c>
      <c r="S1823" s="622" t="s">
        <v>670</v>
      </c>
      <c r="T1823" s="623">
        <v>45930</v>
      </c>
      <c r="U1823" s="624">
        <v>0</v>
      </c>
      <c r="V1823" s="625">
        <v>709.07</v>
      </c>
      <c r="W1823" s="627">
        <v>45901</v>
      </c>
    </row>
    <row r="1824" spans="1:23" hidden="1" x14ac:dyDescent="0.35">
      <c r="A1824" s="622" t="s">
        <v>526</v>
      </c>
      <c r="B1824" s="622" t="s">
        <v>53</v>
      </c>
      <c r="C1824" s="622" t="s">
        <v>281</v>
      </c>
      <c r="D1824" s="622" t="s">
        <v>290</v>
      </c>
      <c r="E1824" s="622" t="s">
        <v>291</v>
      </c>
      <c r="F1824" s="622" t="s">
        <v>276</v>
      </c>
      <c r="G1824" s="622" t="s">
        <v>356</v>
      </c>
      <c r="H1824" s="622" t="s">
        <v>670</v>
      </c>
      <c r="I1824" s="622" t="s">
        <v>277</v>
      </c>
      <c r="J1824" s="622" t="s">
        <v>524</v>
      </c>
      <c r="K1824" s="622" t="s">
        <v>284</v>
      </c>
      <c r="L1824" s="622" t="s">
        <v>597</v>
      </c>
      <c r="M1824" s="622" t="s">
        <v>285</v>
      </c>
      <c r="N1824" s="622" t="s">
        <v>670</v>
      </c>
      <c r="O1824" s="622" t="s">
        <v>670</v>
      </c>
      <c r="P1824" s="622" t="s">
        <v>524</v>
      </c>
      <c r="Q1824" s="622" t="s">
        <v>670</v>
      </c>
      <c r="R1824" s="623">
        <v>45931</v>
      </c>
      <c r="S1824" s="622" t="s">
        <v>670</v>
      </c>
      <c r="T1824" s="623">
        <v>45930</v>
      </c>
      <c r="U1824" s="624">
        <v>0</v>
      </c>
      <c r="V1824" s="625">
        <v>163.36000000000001</v>
      </c>
      <c r="W1824" s="627">
        <v>45901</v>
      </c>
    </row>
    <row r="1825" spans="1:23" hidden="1" x14ac:dyDescent="0.35">
      <c r="A1825" s="622" t="s">
        <v>526</v>
      </c>
      <c r="B1825" s="622" t="s">
        <v>53</v>
      </c>
      <c r="C1825" s="622" t="s">
        <v>281</v>
      </c>
      <c r="D1825" s="622" t="s">
        <v>292</v>
      </c>
      <c r="E1825" s="622" t="s">
        <v>293</v>
      </c>
      <c r="F1825" s="622" t="s">
        <v>276</v>
      </c>
      <c r="G1825" s="622" t="s">
        <v>356</v>
      </c>
      <c r="H1825" s="622" t="s">
        <v>670</v>
      </c>
      <c r="I1825" s="622" t="s">
        <v>277</v>
      </c>
      <c r="J1825" s="622" t="s">
        <v>524</v>
      </c>
      <c r="K1825" s="622" t="s">
        <v>294</v>
      </c>
      <c r="L1825" s="622" t="s">
        <v>597</v>
      </c>
      <c r="M1825" s="622" t="s">
        <v>285</v>
      </c>
      <c r="N1825" s="622" t="s">
        <v>670</v>
      </c>
      <c r="O1825" s="622" t="s">
        <v>670</v>
      </c>
      <c r="P1825" s="622" t="s">
        <v>524</v>
      </c>
      <c r="Q1825" s="622" t="s">
        <v>670</v>
      </c>
      <c r="R1825" s="623">
        <v>45931</v>
      </c>
      <c r="S1825" s="622" t="s">
        <v>670</v>
      </c>
      <c r="T1825" s="623">
        <v>45930</v>
      </c>
      <c r="U1825" s="624">
        <v>0</v>
      </c>
      <c r="V1825" s="625">
        <v>180.61</v>
      </c>
      <c r="W1825" s="627">
        <v>45901</v>
      </c>
    </row>
    <row r="1826" spans="1:23" hidden="1" x14ac:dyDescent="0.35">
      <c r="A1826" s="622" t="s">
        <v>526</v>
      </c>
      <c r="B1826" s="622" t="s">
        <v>53</v>
      </c>
      <c r="C1826" s="622" t="s">
        <v>286</v>
      </c>
      <c r="D1826" s="622" t="s">
        <v>295</v>
      </c>
      <c r="E1826" s="622" t="s">
        <v>296</v>
      </c>
      <c r="F1826" s="622" t="s">
        <v>276</v>
      </c>
      <c r="G1826" s="622" t="s">
        <v>356</v>
      </c>
      <c r="H1826" s="622" t="s">
        <v>670</v>
      </c>
      <c r="I1826" s="622" t="s">
        <v>277</v>
      </c>
      <c r="J1826" s="622" t="s">
        <v>524</v>
      </c>
      <c r="K1826" s="622" t="s">
        <v>297</v>
      </c>
      <c r="L1826" s="622" t="s">
        <v>597</v>
      </c>
      <c r="M1826" s="622" t="s">
        <v>285</v>
      </c>
      <c r="N1826" s="622" t="s">
        <v>670</v>
      </c>
      <c r="O1826" s="622" t="s">
        <v>670</v>
      </c>
      <c r="P1826" s="622" t="s">
        <v>524</v>
      </c>
      <c r="Q1826" s="622" t="s">
        <v>670</v>
      </c>
      <c r="R1826" s="623">
        <v>45931</v>
      </c>
      <c r="S1826" s="622" t="s">
        <v>670</v>
      </c>
      <c r="T1826" s="623">
        <v>45930</v>
      </c>
      <c r="U1826" s="624">
        <v>0</v>
      </c>
      <c r="V1826" s="625">
        <v>386.57</v>
      </c>
      <c r="W1826" s="627">
        <v>45901</v>
      </c>
    </row>
    <row r="1827" spans="1:23" hidden="1" x14ac:dyDescent="0.35">
      <c r="A1827" s="622" t="s">
        <v>526</v>
      </c>
      <c r="B1827" s="622" t="s">
        <v>53</v>
      </c>
      <c r="C1827" s="622" t="s">
        <v>298</v>
      </c>
      <c r="D1827" s="622" t="s">
        <v>299</v>
      </c>
      <c r="E1827" s="622" t="s">
        <v>300</v>
      </c>
      <c r="F1827" s="622" t="s">
        <v>276</v>
      </c>
      <c r="G1827" s="622" t="s">
        <v>356</v>
      </c>
      <c r="H1827" s="622" t="s">
        <v>670</v>
      </c>
      <c r="I1827" s="622" t="s">
        <v>277</v>
      </c>
      <c r="J1827" s="622" t="s">
        <v>524</v>
      </c>
      <c r="K1827" s="622" t="s">
        <v>301</v>
      </c>
      <c r="L1827" s="622" t="s">
        <v>597</v>
      </c>
      <c r="M1827" s="622" t="s">
        <v>285</v>
      </c>
      <c r="N1827" s="622" t="s">
        <v>670</v>
      </c>
      <c r="O1827" s="622" t="s">
        <v>670</v>
      </c>
      <c r="P1827" s="622" t="s">
        <v>524</v>
      </c>
      <c r="Q1827" s="622" t="s">
        <v>670</v>
      </c>
      <c r="R1827" s="623">
        <v>45932</v>
      </c>
      <c r="S1827" s="622" t="s">
        <v>670</v>
      </c>
      <c r="T1827" s="623">
        <v>45930</v>
      </c>
      <c r="U1827" s="624">
        <v>0</v>
      </c>
      <c r="V1827" s="625">
        <v>0.28000000000000003</v>
      </c>
      <c r="W1827" s="627">
        <v>45901</v>
      </c>
    </row>
    <row r="1828" spans="1:23" hidden="1" x14ac:dyDescent="0.35">
      <c r="A1828" s="622" t="s">
        <v>526</v>
      </c>
      <c r="B1828" s="622" t="s">
        <v>53</v>
      </c>
      <c r="C1828" s="622" t="s">
        <v>298</v>
      </c>
      <c r="D1828" s="622" t="s">
        <v>304</v>
      </c>
      <c r="E1828" s="622" t="s">
        <v>305</v>
      </c>
      <c r="F1828" s="622" t="s">
        <v>276</v>
      </c>
      <c r="G1828" s="622" t="s">
        <v>356</v>
      </c>
      <c r="H1828" s="622" t="s">
        <v>670</v>
      </c>
      <c r="I1828" s="622" t="s">
        <v>277</v>
      </c>
      <c r="J1828" s="622" t="s">
        <v>524</v>
      </c>
      <c r="K1828" s="622" t="s">
        <v>301</v>
      </c>
      <c r="L1828" s="622" t="s">
        <v>597</v>
      </c>
      <c r="M1828" s="622" t="s">
        <v>285</v>
      </c>
      <c r="N1828" s="622" t="s">
        <v>670</v>
      </c>
      <c r="O1828" s="622" t="s">
        <v>670</v>
      </c>
      <c r="P1828" s="622" t="s">
        <v>524</v>
      </c>
      <c r="Q1828" s="622" t="s">
        <v>670</v>
      </c>
      <c r="R1828" s="623">
        <v>45932</v>
      </c>
      <c r="S1828" s="622" t="s">
        <v>670</v>
      </c>
      <c r="T1828" s="623">
        <v>45930</v>
      </c>
      <c r="U1828" s="624">
        <v>0</v>
      </c>
      <c r="V1828" s="625">
        <v>0.31</v>
      </c>
      <c r="W1828" s="627">
        <v>45901</v>
      </c>
    </row>
    <row r="1829" spans="1:23" hidden="1" x14ac:dyDescent="0.35">
      <c r="A1829" s="622" t="s">
        <v>526</v>
      </c>
      <c r="B1829" s="622" t="s">
        <v>53</v>
      </c>
      <c r="C1829" s="622" t="s">
        <v>298</v>
      </c>
      <c r="D1829" s="622" t="s">
        <v>306</v>
      </c>
      <c r="E1829" s="622" t="s">
        <v>307</v>
      </c>
      <c r="F1829" s="622" t="s">
        <v>276</v>
      </c>
      <c r="G1829" s="622" t="s">
        <v>356</v>
      </c>
      <c r="H1829" s="622" t="s">
        <v>670</v>
      </c>
      <c r="I1829" s="622" t="s">
        <v>277</v>
      </c>
      <c r="J1829" s="622" t="s">
        <v>524</v>
      </c>
      <c r="K1829" s="622" t="s">
        <v>301</v>
      </c>
      <c r="L1829" s="622" t="s">
        <v>597</v>
      </c>
      <c r="M1829" s="622" t="s">
        <v>285</v>
      </c>
      <c r="N1829" s="622" t="s">
        <v>670</v>
      </c>
      <c r="O1829" s="622" t="s">
        <v>670</v>
      </c>
      <c r="P1829" s="622" t="s">
        <v>524</v>
      </c>
      <c r="Q1829" s="622" t="s">
        <v>670</v>
      </c>
      <c r="R1829" s="623">
        <v>45932</v>
      </c>
      <c r="S1829" s="622" t="s">
        <v>670</v>
      </c>
      <c r="T1829" s="623">
        <v>45930</v>
      </c>
      <c r="U1829" s="624">
        <v>0</v>
      </c>
      <c r="V1829" s="625">
        <v>0.01</v>
      </c>
      <c r="W1829" s="627">
        <v>45901</v>
      </c>
    </row>
    <row r="1830" spans="1:23" hidden="1" x14ac:dyDescent="0.35">
      <c r="A1830" s="622" t="s">
        <v>526</v>
      </c>
      <c r="B1830" s="622" t="s">
        <v>53</v>
      </c>
      <c r="C1830" s="622" t="s">
        <v>298</v>
      </c>
      <c r="D1830" s="622" t="s">
        <v>306</v>
      </c>
      <c r="E1830" s="622" t="s">
        <v>307</v>
      </c>
      <c r="F1830" s="622" t="s">
        <v>276</v>
      </c>
      <c r="G1830" s="622" t="s">
        <v>356</v>
      </c>
      <c r="H1830" s="622" t="s">
        <v>670</v>
      </c>
      <c r="I1830" s="622" t="s">
        <v>277</v>
      </c>
      <c r="J1830" s="622" t="s">
        <v>524</v>
      </c>
      <c r="K1830" s="622" t="s">
        <v>301</v>
      </c>
      <c r="L1830" s="622" t="s">
        <v>597</v>
      </c>
      <c r="M1830" s="622" t="s">
        <v>285</v>
      </c>
      <c r="N1830" s="622" t="s">
        <v>670</v>
      </c>
      <c r="O1830" s="622" t="s">
        <v>670</v>
      </c>
      <c r="P1830" s="622" t="s">
        <v>524</v>
      </c>
      <c r="Q1830" s="622" t="s">
        <v>670</v>
      </c>
      <c r="R1830" s="623">
        <v>45932</v>
      </c>
      <c r="S1830" s="622" t="s">
        <v>670</v>
      </c>
      <c r="T1830" s="623">
        <v>45930</v>
      </c>
      <c r="U1830" s="624">
        <v>0</v>
      </c>
      <c r="V1830" s="625">
        <v>0.43</v>
      </c>
      <c r="W1830" s="627">
        <v>45901</v>
      </c>
    </row>
    <row r="1831" spans="1:23" hidden="1" x14ac:dyDescent="0.35">
      <c r="A1831" s="622" t="s">
        <v>526</v>
      </c>
      <c r="B1831" s="622" t="s">
        <v>53</v>
      </c>
      <c r="C1831" s="622" t="s">
        <v>298</v>
      </c>
      <c r="D1831" s="622" t="s">
        <v>308</v>
      </c>
      <c r="E1831" s="622" t="s">
        <v>309</v>
      </c>
      <c r="F1831" s="622" t="s">
        <v>276</v>
      </c>
      <c r="G1831" s="622" t="s">
        <v>356</v>
      </c>
      <c r="H1831" s="622" t="s">
        <v>670</v>
      </c>
      <c r="I1831" s="622" t="s">
        <v>277</v>
      </c>
      <c r="J1831" s="622" t="s">
        <v>524</v>
      </c>
      <c r="K1831" s="622" t="s">
        <v>301</v>
      </c>
      <c r="L1831" s="622" t="s">
        <v>597</v>
      </c>
      <c r="M1831" s="622" t="s">
        <v>285</v>
      </c>
      <c r="N1831" s="622" t="s">
        <v>670</v>
      </c>
      <c r="O1831" s="622" t="s">
        <v>670</v>
      </c>
      <c r="P1831" s="622" t="s">
        <v>524</v>
      </c>
      <c r="Q1831" s="622" t="s">
        <v>670</v>
      </c>
      <c r="R1831" s="623">
        <v>45932</v>
      </c>
      <c r="S1831" s="622" t="s">
        <v>670</v>
      </c>
      <c r="T1831" s="623">
        <v>45930</v>
      </c>
      <c r="U1831" s="624">
        <v>0</v>
      </c>
      <c r="V1831" s="625">
        <v>74.83</v>
      </c>
      <c r="W1831" s="627">
        <v>45901</v>
      </c>
    </row>
    <row r="1832" spans="1:23" hidden="1" x14ac:dyDescent="0.35">
      <c r="A1832" s="622" t="s">
        <v>526</v>
      </c>
      <c r="B1832" s="622" t="s">
        <v>53</v>
      </c>
      <c r="C1832" s="622" t="s">
        <v>302</v>
      </c>
      <c r="D1832" s="622" t="s">
        <v>308</v>
      </c>
      <c r="E1832" s="622" t="s">
        <v>309</v>
      </c>
      <c r="F1832" s="622" t="s">
        <v>276</v>
      </c>
      <c r="G1832" s="622" t="s">
        <v>356</v>
      </c>
      <c r="H1832" s="622" t="s">
        <v>670</v>
      </c>
      <c r="I1832" s="622" t="s">
        <v>277</v>
      </c>
      <c r="J1832" s="622" t="s">
        <v>524</v>
      </c>
      <c r="K1832" s="622" t="s">
        <v>303</v>
      </c>
      <c r="L1832" s="622" t="s">
        <v>597</v>
      </c>
      <c r="M1832" s="622" t="s">
        <v>285</v>
      </c>
      <c r="N1832" s="622" t="s">
        <v>670</v>
      </c>
      <c r="O1832" s="622" t="s">
        <v>670</v>
      </c>
      <c r="P1832" s="622" t="s">
        <v>524</v>
      </c>
      <c r="Q1832" s="622" t="s">
        <v>670</v>
      </c>
      <c r="R1832" s="623">
        <v>45932</v>
      </c>
      <c r="S1832" s="622" t="s">
        <v>670</v>
      </c>
      <c r="T1832" s="623">
        <v>45930</v>
      </c>
      <c r="U1832" s="624">
        <v>0</v>
      </c>
      <c r="V1832" s="625">
        <v>215.45</v>
      </c>
      <c r="W1832" s="627">
        <v>45901</v>
      </c>
    </row>
    <row r="1833" spans="1:23" hidden="1" x14ac:dyDescent="0.35">
      <c r="A1833" s="622" t="s">
        <v>526</v>
      </c>
      <c r="B1833" s="622" t="s">
        <v>53</v>
      </c>
      <c r="C1833" s="622" t="s">
        <v>302</v>
      </c>
      <c r="D1833" s="622" t="s">
        <v>310</v>
      </c>
      <c r="E1833" s="622" t="s">
        <v>311</v>
      </c>
      <c r="F1833" s="622" t="s">
        <v>276</v>
      </c>
      <c r="G1833" s="622" t="s">
        <v>356</v>
      </c>
      <c r="H1833" s="622" t="s">
        <v>670</v>
      </c>
      <c r="I1833" s="622" t="s">
        <v>277</v>
      </c>
      <c r="J1833" s="622" t="s">
        <v>524</v>
      </c>
      <c r="K1833" s="622" t="s">
        <v>303</v>
      </c>
      <c r="L1833" s="622" t="s">
        <v>597</v>
      </c>
      <c r="M1833" s="622" t="s">
        <v>285</v>
      </c>
      <c r="N1833" s="622" t="s">
        <v>670</v>
      </c>
      <c r="O1833" s="622" t="s">
        <v>670</v>
      </c>
      <c r="P1833" s="622" t="s">
        <v>524</v>
      </c>
      <c r="Q1833" s="622" t="s">
        <v>670</v>
      </c>
      <c r="R1833" s="623">
        <v>45932</v>
      </c>
      <c r="S1833" s="622" t="s">
        <v>670</v>
      </c>
      <c r="T1833" s="623">
        <v>45930</v>
      </c>
      <c r="U1833" s="624">
        <v>0</v>
      </c>
      <c r="V1833" s="625">
        <v>393.01</v>
      </c>
      <c r="W1833" s="627">
        <v>45901</v>
      </c>
    </row>
    <row r="1834" spans="1:23" hidden="1" x14ac:dyDescent="0.35">
      <c r="A1834" s="622" t="s">
        <v>526</v>
      </c>
      <c r="B1834" s="622" t="s">
        <v>53</v>
      </c>
      <c r="C1834" s="622" t="s">
        <v>298</v>
      </c>
      <c r="D1834" s="622" t="s">
        <v>312</v>
      </c>
      <c r="E1834" s="622" t="s">
        <v>313</v>
      </c>
      <c r="F1834" s="622" t="s">
        <v>276</v>
      </c>
      <c r="G1834" s="622" t="s">
        <v>356</v>
      </c>
      <c r="H1834" s="622" t="s">
        <v>670</v>
      </c>
      <c r="I1834" s="622" t="s">
        <v>277</v>
      </c>
      <c r="J1834" s="622" t="s">
        <v>524</v>
      </c>
      <c r="K1834" s="622" t="s">
        <v>301</v>
      </c>
      <c r="L1834" s="622" t="s">
        <v>597</v>
      </c>
      <c r="M1834" s="622" t="s">
        <v>285</v>
      </c>
      <c r="N1834" s="622" t="s">
        <v>670</v>
      </c>
      <c r="O1834" s="622" t="s">
        <v>670</v>
      </c>
      <c r="P1834" s="622" t="s">
        <v>524</v>
      </c>
      <c r="Q1834" s="622" t="s">
        <v>670</v>
      </c>
      <c r="R1834" s="623">
        <v>45932</v>
      </c>
      <c r="S1834" s="622" t="s">
        <v>670</v>
      </c>
      <c r="T1834" s="623">
        <v>45930</v>
      </c>
      <c r="U1834" s="624">
        <v>0</v>
      </c>
      <c r="V1834" s="625">
        <v>22.52</v>
      </c>
      <c r="W1834" s="627">
        <v>45901</v>
      </c>
    </row>
    <row r="1835" spans="1:23" hidden="1" x14ac:dyDescent="0.35">
      <c r="A1835" s="622" t="s">
        <v>526</v>
      </c>
      <c r="B1835" s="622" t="s">
        <v>53</v>
      </c>
      <c r="C1835" s="622" t="s">
        <v>298</v>
      </c>
      <c r="D1835" s="622" t="s">
        <v>314</v>
      </c>
      <c r="E1835" s="622" t="s">
        <v>315</v>
      </c>
      <c r="F1835" s="622" t="s">
        <v>276</v>
      </c>
      <c r="G1835" s="622" t="s">
        <v>356</v>
      </c>
      <c r="H1835" s="622" t="s">
        <v>670</v>
      </c>
      <c r="I1835" s="622" t="s">
        <v>277</v>
      </c>
      <c r="J1835" s="622" t="s">
        <v>524</v>
      </c>
      <c r="K1835" s="622" t="s">
        <v>301</v>
      </c>
      <c r="L1835" s="622" t="s">
        <v>597</v>
      </c>
      <c r="M1835" s="622" t="s">
        <v>285</v>
      </c>
      <c r="N1835" s="622" t="s">
        <v>670</v>
      </c>
      <c r="O1835" s="622" t="s">
        <v>670</v>
      </c>
      <c r="P1835" s="622" t="s">
        <v>524</v>
      </c>
      <c r="Q1835" s="622" t="s">
        <v>670</v>
      </c>
      <c r="R1835" s="623">
        <v>45932</v>
      </c>
      <c r="S1835" s="622" t="s">
        <v>670</v>
      </c>
      <c r="T1835" s="623">
        <v>45930</v>
      </c>
      <c r="U1835" s="624">
        <v>0</v>
      </c>
      <c r="V1835" s="625">
        <v>28.4</v>
      </c>
      <c r="W1835" s="627">
        <v>45901</v>
      </c>
    </row>
    <row r="1836" spans="1:23" hidden="1" x14ac:dyDescent="0.35">
      <c r="A1836" s="622" t="s">
        <v>526</v>
      </c>
      <c r="B1836" s="622" t="s">
        <v>53</v>
      </c>
      <c r="C1836" s="622" t="s">
        <v>298</v>
      </c>
      <c r="D1836" s="622" t="s">
        <v>316</v>
      </c>
      <c r="E1836" s="622" t="s">
        <v>317</v>
      </c>
      <c r="F1836" s="622" t="s">
        <v>276</v>
      </c>
      <c r="G1836" s="622" t="s">
        <v>356</v>
      </c>
      <c r="H1836" s="622" t="s">
        <v>670</v>
      </c>
      <c r="I1836" s="622" t="s">
        <v>277</v>
      </c>
      <c r="J1836" s="622" t="s">
        <v>524</v>
      </c>
      <c r="K1836" s="622" t="s">
        <v>301</v>
      </c>
      <c r="L1836" s="622" t="s">
        <v>597</v>
      </c>
      <c r="M1836" s="622" t="s">
        <v>285</v>
      </c>
      <c r="N1836" s="622" t="s">
        <v>670</v>
      </c>
      <c r="O1836" s="622" t="s">
        <v>670</v>
      </c>
      <c r="P1836" s="622" t="s">
        <v>524</v>
      </c>
      <c r="Q1836" s="622" t="s">
        <v>670</v>
      </c>
      <c r="R1836" s="623">
        <v>45932</v>
      </c>
      <c r="S1836" s="622" t="s">
        <v>670</v>
      </c>
      <c r="T1836" s="623">
        <v>45930</v>
      </c>
      <c r="U1836" s="624">
        <v>0</v>
      </c>
      <c r="V1836" s="625">
        <v>37.11</v>
      </c>
      <c r="W1836" s="627">
        <v>45901</v>
      </c>
    </row>
    <row r="1837" spans="1:23" hidden="1" x14ac:dyDescent="0.35">
      <c r="A1837" s="622" t="s">
        <v>526</v>
      </c>
      <c r="B1837" s="622" t="s">
        <v>53</v>
      </c>
      <c r="C1837" s="622" t="s">
        <v>298</v>
      </c>
      <c r="D1837" s="622" t="s">
        <v>318</v>
      </c>
      <c r="E1837" s="622" t="s">
        <v>319</v>
      </c>
      <c r="F1837" s="622" t="s">
        <v>276</v>
      </c>
      <c r="G1837" s="622" t="s">
        <v>356</v>
      </c>
      <c r="H1837" s="622" t="s">
        <v>670</v>
      </c>
      <c r="I1837" s="622" t="s">
        <v>277</v>
      </c>
      <c r="J1837" s="622" t="s">
        <v>524</v>
      </c>
      <c r="K1837" s="622" t="s">
        <v>301</v>
      </c>
      <c r="L1837" s="622" t="s">
        <v>597</v>
      </c>
      <c r="M1837" s="622" t="s">
        <v>285</v>
      </c>
      <c r="N1837" s="622" t="s">
        <v>670</v>
      </c>
      <c r="O1837" s="622" t="s">
        <v>670</v>
      </c>
      <c r="P1837" s="622" t="s">
        <v>524</v>
      </c>
      <c r="Q1837" s="622" t="s">
        <v>670</v>
      </c>
      <c r="R1837" s="623">
        <v>45932</v>
      </c>
      <c r="S1837" s="622" t="s">
        <v>670</v>
      </c>
      <c r="T1837" s="623">
        <v>45930</v>
      </c>
      <c r="U1837" s="624">
        <v>0</v>
      </c>
      <c r="V1837" s="625">
        <v>0.09</v>
      </c>
      <c r="W1837" s="627">
        <v>45901</v>
      </c>
    </row>
    <row r="1838" spans="1:23" hidden="1" x14ac:dyDescent="0.35">
      <c r="A1838" s="622" t="s">
        <v>526</v>
      </c>
      <c r="B1838" s="622" t="s">
        <v>53</v>
      </c>
      <c r="C1838" s="622" t="s">
        <v>298</v>
      </c>
      <c r="D1838" s="622" t="s">
        <v>318</v>
      </c>
      <c r="E1838" s="622" t="s">
        <v>319</v>
      </c>
      <c r="F1838" s="622" t="s">
        <v>276</v>
      </c>
      <c r="G1838" s="622" t="s">
        <v>356</v>
      </c>
      <c r="H1838" s="622" t="s">
        <v>670</v>
      </c>
      <c r="I1838" s="622" t="s">
        <v>277</v>
      </c>
      <c r="J1838" s="622" t="s">
        <v>524</v>
      </c>
      <c r="K1838" s="622" t="s">
        <v>301</v>
      </c>
      <c r="L1838" s="622" t="s">
        <v>597</v>
      </c>
      <c r="M1838" s="622" t="s">
        <v>285</v>
      </c>
      <c r="N1838" s="622" t="s">
        <v>670</v>
      </c>
      <c r="O1838" s="622" t="s">
        <v>670</v>
      </c>
      <c r="P1838" s="622" t="s">
        <v>524</v>
      </c>
      <c r="Q1838" s="622" t="s">
        <v>670</v>
      </c>
      <c r="R1838" s="623">
        <v>45932</v>
      </c>
      <c r="S1838" s="622" t="s">
        <v>670</v>
      </c>
      <c r="T1838" s="623">
        <v>45930</v>
      </c>
      <c r="U1838" s="624">
        <v>0</v>
      </c>
      <c r="V1838" s="625">
        <v>2.4</v>
      </c>
      <c r="W1838" s="627">
        <v>45901</v>
      </c>
    </row>
    <row r="1839" spans="1:23" hidden="1" x14ac:dyDescent="0.35">
      <c r="A1839" s="622" t="s">
        <v>526</v>
      </c>
      <c r="B1839" s="622" t="s">
        <v>53</v>
      </c>
      <c r="C1839" s="622" t="s">
        <v>298</v>
      </c>
      <c r="D1839" s="622" t="s">
        <v>391</v>
      </c>
      <c r="E1839" s="622" t="s">
        <v>392</v>
      </c>
      <c r="F1839" s="622" t="s">
        <v>276</v>
      </c>
      <c r="G1839" s="622" t="s">
        <v>356</v>
      </c>
      <c r="H1839" s="622" t="s">
        <v>670</v>
      </c>
      <c r="I1839" s="622" t="s">
        <v>277</v>
      </c>
      <c r="J1839" s="622" t="s">
        <v>524</v>
      </c>
      <c r="K1839" s="622" t="s">
        <v>301</v>
      </c>
      <c r="L1839" s="622" t="s">
        <v>597</v>
      </c>
      <c r="M1839" s="622" t="s">
        <v>285</v>
      </c>
      <c r="N1839" s="622" t="s">
        <v>670</v>
      </c>
      <c r="O1839" s="622" t="s">
        <v>670</v>
      </c>
      <c r="P1839" s="622" t="s">
        <v>524</v>
      </c>
      <c r="Q1839" s="622" t="s">
        <v>670</v>
      </c>
      <c r="R1839" s="623">
        <v>45932</v>
      </c>
      <c r="S1839" s="622" t="s">
        <v>670</v>
      </c>
      <c r="T1839" s="623">
        <v>45930</v>
      </c>
      <c r="U1839" s="624">
        <v>0</v>
      </c>
      <c r="V1839" s="625">
        <v>0.08</v>
      </c>
      <c r="W1839" s="627">
        <v>45901</v>
      </c>
    </row>
    <row r="1840" spans="1:23" hidden="1" x14ac:dyDescent="0.35">
      <c r="A1840" s="622" t="s">
        <v>526</v>
      </c>
      <c r="B1840" s="622" t="s">
        <v>53</v>
      </c>
      <c r="C1840" s="622" t="s">
        <v>298</v>
      </c>
      <c r="D1840" s="622" t="s">
        <v>320</v>
      </c>
      <c r="E1840" s="622" t="s">
        <v>321</v>
      </c>
      <c r="F1840" s="622" t="s">
        <v>276</v>
      </c>
      <c r="G1840" s="622" t="s">
        <v>356</v>
      </c>
      <c r="H1840" s="622" t="s">
        <v>670</v>
      </c>
      <c r="I1840" s="622" t="s">
        <v>277</v>
      </c>
      <c r="J1840" s="622" t="s">
        <v>524</v>
      </c>
      <c r="K1840" s="622" t="s">
        <v>301</v>
      </c>
      <c r="L1840" s="622" t="s">
        <v>597</v>
      </c>
      <c r="M1840" s="622" t="s">
        <v>285</v>
      </c>
      <c r="N1840" s="622" t="s">
        <v>670</v>
      </c>
      <c r="O1840" s="622" t="s">
        <v>670</v>
      </c>
      <c r="P1840" s="622" t="s">
        <v>524</v>
      </c>
      <c r="Q1840" s="622" t="s">
        <v>670</v>
      </c>
      <c r="R1840" s="623">
        <v>45932</v>
      </c>
      <c r="S1840" s="622" t="s">
        <v>670</v>
      </c>
      <c r="T1840" s="623">
        <v>45930</v>
      </c>
      <c r="U1840" s="624">
        <v>0</v>
      </c>
      <c r="V1840" s="625">
        <v>22.14</v>
      </c>
      <c r="W1840" s="627">
        <v>45901</v>
      </c>
    </row>
    <row r="1841" spans="1:23" hidden="1" x14ac:dyDescent="0.35">
      <c r="A1841" s="622" t="s">
        <v>526</v>
      </c>
      <c r="B1841" s="622" t="s">
        <v>53</v>
      </c>
      <c r="C1841" s="622" t="s">
        <v>298</v>
      </c>
      <c r="D1841" s="622" t="s">
        <v>322</v>
      </c>
      <c r="E1841" s="622" t="s">
        <v>323</v>
      </c>
      <c r="F1841" s="622" t="s">
        <v>276</v>
      </c>
      <c r="G1841" s="622" t="s">
        <v>356</v>
      </c>
      <c r="H1841" s="622" t="s">
        <v>670</v>
      </c>
      <c r="I1841" s="622" t="s">
        <v>277</v>
      </c>
      <c r="J1841" s="622" t="s">
        <v>524</v>
      </c>
      <c r="K1841" s="622" t="s">
        <v>301</v>
      </c>
      <c r="L1841" s="622" t="s">
        <v>597</v>
      </c>
      <c r="M1841" s="622" t="s">
        <v>285</v>
      </c>
      <c r="N1841" s="622" t="s">
        <v>670</v>
      </c>
      <c r="O1841" s="622" t="s">
        <v>670</v>
      </c>
      <c r="P1841" s="622" t="s">
        <v>524</v>
      </c>
      <c r="Q1841" s="622" t="s">
        <v>670</v>
      </c>
      <c r="R1841" s="623">
        <v>45932</v>
      </c>
      <c r="S1841" s="622" t="s">
        <v>670</v>
      </c>
      <c r="T1841" s="623">
        <v>45930</v>
      </c>
      <c r="U1841" s="624">
        <v>0</v>
      </c>
      <c r="V1841" s="625">
        <v>0.36</v>
      </c>
      <c r="W1841" s="627">
        <v>45901</v>
      </c>
    </row>
    <row r="1842" spans="1:23" hidden="1" x14ac:dyDescent="0.35">
      <c r="A1842" s="622" t="s">
        <v>526</v>
      </c>
      <c r="B1842" s="622" t="s">
        <v>53</v>
      </c>
      <c r="C1842" s="622" t="s">
        <v>298</v>
      </c>
      <c r="D1842" s="622" t="s">
        <v>322</v>
      </c>
      <c r="E1842" s="622" t="s">
        <v>323</v>
      </c>
      <c r="F1842" s="622" t="s">
        <v>276</v>
      </c>
      <c r="G1842" s="622" t="s">
        <v>356</v>
      </c>
      <c r="H1842" s="622" t="s">
        <v>670</v>
      </c>
      <c r="I1842" s="622" t="s">
        <v>277</v>
      </c>
      <c r="J1842" s="622" t="s">
        <v>524</v>
      </c>
      <c r="K1842" s="622" t="s">
        <v>301</v>
      </c>
      <c r="L1842" s="622" t="s">
        <v>597</v>
      </c>
      <c r="M1842" s="622" t="s">
        <v>285</v>
      </c>
      <c r="N1842" s="622" t="s">
        <v>670</v>
      </c>
      <c r="O1842" s="622" t="s">
        <v>670</v>
      </c>
      <c r="P1842" s="622" t="s">
        <v>524</v>
      </c>
      <c r="Q1842" s="622" t="s">
        <v>670</v>
      </c>
      <c r="R1842" s="623">
        <v>45932</v>
      </c>
      <c r="S1842" s="622" t="s">
        <v>670</v>
      </c>
      <c r="T1842" s="623">
        <v>45930</v>
      </c>
      <c r="U1842" s="624">
        <v>0</v>
      </c>
      <c r="V1842" s="625">
        <v>0.02</v>
      </c>
      <c r="W1842" s="627">
        <v>45901</v>
      </c>
    </row>
    <row r="1843" spans="1:23" hidden="1" x14ac:dyDescent="0.35">
      <c r="A1843" s="622" t="s">
        <v>526</v>
      </c>
      <c r="B1843" s="622" t="s">
        <v>53</v>
      </c>
      <c r="C1843" s="622" t="s">
        <v>298</v>
      </c>
      <c r="D1843" s="622" t="s">
        <v>324</v>
      </c>
      <c r="E1843" s="622" t="s">
        <v>325</v>
      </c>
      <c r="F1843" s="622" t="s">
        <v>276</v>
      </c>
      <c r="G1843" s="622" t="s">
        <v>356</v>
      </c>
      <c r="H1843" s="622" t="s">
        <v>670</v>
      </c>
      <c r="I1843" s="622" t="s">
        <v>277</v>
      </c>
      <c r="J1843" s="622" t="s">
        <v>524</v>
      </c>
      <c r="K1843" s="622" t="s">
        <v>301</v>
      </c>
      <c r="L1843" s="622" t="s">
        <v>597</v>
      </c>
      <c r="M1843" s="622" t="s">
        <v>285</v>
      </c>
      <c r="N1843" s="622" t="s">
        <v>670</v>
      </c>
      <c r="O1843" s="622" t="s">
        <v>670</v>
      </c>
      <c r="P1843" s="622" t="s">
        <v>524</v>
      </c>
      <c r="Q1843" s="622" t="s">
        <v>670</v>
      </c>
      <c r="R1843" s="623">
        <v>45932</v>
      </c>
      <c r="S1843" s="622" t="s">
        <v>670</v>
      </c>
      <c r="T1843" s="623">
        <v>45930</v>
      </c>
      <c r="U1843" s="624">
        <v>0</v>
      </c>
      <c r="V1843" s="625">
        <v>189.12</v>
      </c>
      <c r="W1843" s="627">
        <v>45901</v>
      </c>
    </row>
    <row r="1844" spans="1:23" hidden="1" x14ac:dyDescent="0.35">
      <c r="A1844" s="622" t="s">
        <v>526</v>
      </c>
      <c r="B1844" s="622" t="s">
        <v>53</v>
      </c>
      <c r="C1844" s="622" t="s">
        <v>298</v>
      </c>
      <c r="D1844" s="622" t="s">
        <v>326</v>
      </c>
      <c r="E1844" s="622" t="s">
        <v>327</v>
      </c>
      <c r="F1844" s="622" t="s">
        <v>276</v>
      </c>
      <c r="G1844" s="622" t="s">
        <v>356</v>
      </c>
      <c r="H1844" s="622" t="s">
        <v>670</v>
      </c>
      <c r="I1844" s="622" t="s">
        <v>277</v>
      </c>
      <c r="J1844" s="622" t="s">
        <v>524</v>
      </c>
      <c r="K1844" s="622" t="s">
        <v>301</v>
      </c>
      <c r="L1844" s="622" t="s">
        <v>597</v>
      </c>
      <c r="M1844" s="622" t="s">
        <v>285</v>
      </c>
      <c r="N1844" s="622" t="s">
        <v>670</v>
      </c>
      <c r="O1844" s="622" t="s">
        <v>670</v>
      </c>
      <c r="P1844" s="622" t="s">
        <v>524</v>
      </c>
      <c r="Q1844" s="622" t="s">
        <v>670</v>
      </c>
      <c r="R1844" s="623">
        <v>45932</v>
      </c>
      <c r="S1844" s="622" t="s">
        <v>670</v>
      </c>
      <c r="T1844" s="623">
        <v>45930</v>
      </c>
      <c r="U1844" s="624">
        <v>0</v>
      </c>
      <c r="V1844" s="625">
        <v>3.63</v>
      </c>
      <c r="W1844" s="627">
        <v>45901</v>
      </c>
    </row>
    <row r="1845" spans="1:23" hidden="1" x14ac:dyDescent="0.35">
      <c r="A1845" s="622" t="s">
        <v>526</v>
      </c>
      <c r="B1845" s="622" t="s">
        <v>53</v>
      </c>
      <c r="C1845" s="622" t="s">
        <v>298</v>
      </c>
      <c r="D1845" s="622" t="s">
        <v>393</v>
      </c>
      <c r="E1845" s="622" t="s">
        <v>394</v>
      </c>
      <c r="F1845" s="622" t="s">
        <v>276</v>
      </c>
      <c r="G1845" s="622" t="s">
        <v>356</v>
      </c>
      <c r="H1845" s="622" t="s">
        <v>670</v>
      </c>
      <c r="I1845" s="622" t="s">
        <v>277</v>
      </c>
      <c r="J1845" s="622" t="s">
        <v>524</v>
      </c>
      <c r="K1845" s="622" t="s">
        <v>301</v>
      </c>
      <c r="L1845" s="622" t="s">
        <v>597</v>
      </c>
      <c r="M1845" s="622" t="s">
        <v>285</v>
      </c>
      <c r="N1845" s="622" t="s">
        <v>670</v>
      </c>
      <c r="O1845" s="622" t="s">
        <v>670</v>
      </c>
      <c r="P1845" s="622" t="s">
        <v>524</v>
      </c>
      <c r="Q1845" s="622" t="s">
        <v>670</v>
      </c>
      <c r="R1845" s="623">
        <v>45932</v>
      </c>
      <c r="S1845" s="622" t="s">
        <v>670</v>
      </c>
      <c r="T1845" s="623">
        <v>45930</v>
      </c>
      <c r="U1845" s="624">
        <v>0</v>
      </c>
      <c r="V1845" s="625">
        <v>0.02</v>
      </c>
      <c r="W1845" s="627">
        <v>45901</v>
      </c>
    </row>
    <row r="1846" spans="1:23" hidden="1" x14ac:dyDescent="0.35">
      <c r="A1846" s="622" t="s">
        <v>526</v>
      </c>
      <c r="B1846" s="622" t="s">
        <v>53</v>
      </c>
      <c r="C1846" s="622" t="s">
        <v>298</v>
      </c>
      <c r="D1846" s="622" t="s">
        <v>328</v>
      </c>
      <c r="E1846" s="622" t="s">
        <v>329</v>
      </c>
      <c r="F1846" s="622" t="s">
        <v>276</v>
      </c>
      <c r="G1846" s="622" t="s">
        <v>356</v>
      </c>
      <c r="H1846" s="622" t="s">
        <v>670</v>
      </c>
      <c r="I1846" s="622" t="s">
        <v>277</v>
      </c>
      <c r="J1846" s="622" t="s">
        <v>524</v>
      </c>
      <c r="K1846" s="622" t="s">
        <v>301</v>
      </c>
      <c r="L1846" s="622" t="s">
        <v>597</v>
      </c>
      <c r="M1846" s="622" t="s">
        <v>285</v>
      </c>
      <c r="N1846" s="622" t="s">
        <v>670</v>
      </c>
      <c r="O1846" s="622" t="s">
        <v>670</v>
      </c>
      <c r="P1846" s="622" t="s">
        <v>524</v>
      </c>
      <c r="Q1846" s="622" t="s">
        <v>670</v>
      </c>
      <c r="R1846" s="623">
        <v>45932</v>
      </c>
      <c r="S1846" s="622" t="s">
        <v>670</v>
      </c>
      <c r="T1846" s="623">
        <v>45930</v>
      </c>
      <c r="U1846" s="624">
        <v>0</v>
      </c>
      <c r="V1846" s="625">
        <v>436.49</v>
      </c>
      <c r="W1846" s="627">
        <v>45901</v>
      </c>
    </row>
    <row r="1847" spans="1:23" hidden="1" x14ac:dyDescent="0.35">
      <c r="A1847" s="622" t="s">
        <v>526</v>
      </c>
      <c r="B1847" s="622" t="s">
        <v>53</v>
      </c>
      <c r="C1847" s="622" t="s">
        <v>298</v>
      </c>
      <c r="D1847" s="622" t="s">
        <v>330</v>
      </c>
      <c r="E1847" s="622" t="s">
        <v>331</v>
      </c>
      <c r="F1847" s="622" t="s">
        <v>276</v>
      </c>
      <c r="G1847" s="622" t="s">
        <v>356</v>
      </c>
      <c r="H1847" s="622" t="s">
        <v>670</v>
      </c>
      <c r="I1847" s="622" t="s">
        <v>277</v>
      </c>
      <c r="J1847" s="622" t="s">
        <v>524</v>
      </c>
      <c r="K1847" s="622" t="s">
        <v>301</v>
      </c>
      <c r="L1847" s="622" t="s">
        <v>597</v>
      </c>
      <c r="M1847" s="622" t="s">
        <v>285</v>
      </c>
      <c r="N1847" s="622" t="s">
        <v>670</v>
      </c>
      <c r="O1847" s="622" t="s">
        <v>670</v>
      </c>
      <c r="P1847" s="622" t="s">
        <v>524</v>
      </c>
      <c r="Q1847" s="622" t="s">
        <v>670</v>
      </c>
      <c r="R1847" s="623">
        <v>45932</v>
      </c>
      <c r="S1847" s="622" t="s">
        <v>670</v>
      </c>
      <c r="T1847" s="623">
        <v>45930</v>
      </c>
      <c r="U1847" s="624">
        <v>0</v>
      </c>
      <c r="V1847" s="625">
        <v>5.83</v>
      </c>
      <c r="W1847" s="627">
        <v>45901</v>
      </c>
    </row>
    <row r="1848" spans="1:23" hidden="1" x14ac:dyDescent="0.35">
      <c r="A1848" s="622" t="s">
        <v>526</v>
      </c>
      <c r="B1848" s="622" t="s">
        <v>53</v>
      </c>
      <c r="C1848" s="622" t="s">
        <v>298</v>
      </c>
      <c r="D1848" s="622" t="s">
        <v>332</v>
      </c>
      <c r="E1848" s="622" t="s">
        <v>333</v>
      </c>
      <c r="F1848" s="622" t="s">
        <v>276</v>
      </c>
      <c r="G1848" s="622" t="s">
        <v>356</v>
      </c>
      <c r="H1848" s="622" t="s">
        <v>670</v>
      </c>
      <c r="I1848" s="622" t="s">
        <v>277</v>
      </c>
      <c r="J1848" s="622" t="s">
        <v>524</v>
      </c>
      <c r="K1848" s="622" t="s">
        <v>301</v>
      </c>
      <c r="L1848" s="622" t="s">
        <v>597</v>
      </c>
      <c r="M1848" s="622" t="s">
        <v>285</v>
      </c>
      <c r="N1848" s="622" t="s">
        <v>670</v>
      </c>
      <c r="O1848" s="622" t="s">
        <v>670</v>
      </c>
      <c r="P1848" s="622" t="s">
        <v>524</v>
      </c>
      <c r="Q1848" s="622" t="s">
        <v>670</v>
      </c>
      <c r="R1848" s="623">
        <v>45932</v>
      </c>
      <c r="S1848" s="622" t="s">
        <v>670</v>
      </c>
      <c r="T1848" s="623">
        <v>45930</v>
      </c>
      <c r="U1848" s="624">
        <v>0</v>
      </c>
      <c r="V1848" s="625">
        <v>207.84</v>
      </c>
      <c r="W1848" s="627">
        <v>45901</v>
      </c>
    </row>
    <row r="1849" spans="1:23" hidden="1" x14ac:dyDescent="0.35">
      <c r="A1849" s="622" t="s">
        <v>526</v>
      </c>
      <c r="B1849" s="622" t="s">
        <v>53</v>
      </c>
      <c r="C1849" s="622" t="s">
        <v>298</v>
      </c>
      <c r="D1849" s="622" t="s">
        <v>334</v>
      </c>
      <c r="E1849" s="622" t="s">
        <v>335</v>
      </c>
      <c r="F1849" s="622" t="s">
        <v>276</v>
      </c>
      <c r="G1849" s="622" t="s">
        <v>356</v>
      </c>
      <c r="H1849" s="622" t="s">
        <v>670</v>
      </c>
      <c r="I1849" s="622" t="s">
        <v>277</v>
      </c>
      <c r="J1849" s="622" t="s">
        <v>524</v>
      </c>
      <c r="K1849" s="622" t="s">
        <v>301</v>
      </c>
      <c r="L1849" s="622" t="s">
        <v>597</v>
      </c>
      <c r="M1849" s="622" t="s">
        <v>285</v>
      </c>
      <c r="N1849" s="622" t="s">
        <v>670</v>
      </c>
      <c r="O1849" s="622" t="s">
        <v>670</v>
      </c>
      <c r="P1849" s="622" t="s">
        <v>524</v>
      </c>
      <c r="Q1849" s="622" t="s">
        <v>670</v>
      </c>
      <c r="R1849" s="623">
        <v>45932</v>
      </c>
      <c r="S1849" s="622" t="s">
        <v>670</v>
      </c>
      <c r="T1849" s="623">
        <v>45930</v>
      </c>
      <c r="U1849" s="624">
        <v>0</v>
      </c>
      <c r="V1849" s="625">
        <v>9.58</v>
      </c>
      <c r="W1849" s="627">
        <v>45901</v>
      </c>
    </row>
    <row r="1850" spans="1:23" hidden="1" x14ac:dyDescent="0.35">
      <c r="A1850" s="622" t="s">
        <v>526</v>
      </c>
      <c r="B1850" s="622" t="s">
        <v>53</v>
      </c>
      <c r="C1850" s="622" t="s">
        <v>298</v>
      </c>
      <c r="D1850" s="622" t="s">
        <v>336</v>
      </c>
      <c r="E1850" s="622" t="s">
        <v>337</v>
      </c>
      <c r="F1850" s="622" t="s">
        <v>276</v>
      </c>
      <c r="G1850" s="622" t="s">
        <v>356</v>
      </c>
      <c r="H1850" s="622" t="s">
        <v>670</v>
      </c>
      <c r="I1850" s="622" t="s">
        <v>277</v>
      </c>
      <c r="J1850" s="622" t="s">
        <v>524</v>
      </c>
      <c r="K1850" s="622" t="s">
        <v>301</v>
      </c>
      <c r="L1850" s="622" t="s">
        <v>597</v>
      </c>
      <c r="M1850" s="622" t="s">
        <v>285</v>
      </c>
      <c r="N1850" s="622" t="s">
        <v>670</v>
      </c>
      <c r="O1850" s="622" t="s">
        <v>670</v>
      </c>
      <c r="P1850" s="622" t="s">
        <v>524</v>
      </c>
      <c r="Q1850" s="622" t="s">
        <v>670</v>
      </c>
      <c r="R1850" s="623">
        <v>45932</v>
      </c>
      <c r="S1850" s="622" t="s">
        <v>670</v>
      </c>
      <c r="T1850" s="623">
        <v>45930</v>
      </c>
      <c r="U1850" s="624">
        <v>0</v>
      </c>
      <c r="V1850" s="625">
        <v>-1</v>
      </c>
      <c r="W1850" s="627">
        <v>45901</v>
      </c>
    </row>
    <row r="1851" spans="1:23" hidden="1" x14ac:dyDescent="0.35">
      <c r="A1851" s="622" t="s">
        <v>526</v>
      </c>
      <c r="B1851" s="622" t="s">
        <v>53</v>
      </c>
      <c r="C1851" s="622" t="s">
        <v>298</v>
      </c>
      <c r="D1851" s="622" t="s">
        <v>397</v>
      </c>
      <c r="E1851" s="622" t="s">
        <v>398</v>
      </c>
      <c r="F1851" s="622" t="s">
        <v>276</v>
      </c>
      <c r="G1851" s="622" t="s">
        <v>356</v>
      </c>
      <c r="H1851" s="622" t="s">
        <v>670</v>
      </c>
      <c r="I1851" s="622" t="s">
        <v>277</v>
      </c>
      <c r="J1851" s="622" t="s">
        <v>524</v>
      </c>
      <c r="K1851" s="622" t="s">
        <v>301</v>
      </c>
      <c r="L1851" s="622" t="s">
        <v>597</v>
      </c>
      <c r="M1851" s="622" t="s">
        <v>285</v>
      </c>
      <c r="N1851" s="622" t="s">
        <v>670</v>
      </c>
      <c r="O1851" s="622" t="s">
        <v>670</v>
      </c>
      <c r="P1851" s="622" t="s">
        <v>524</v>
      </c>
      <c r="Q1851" s="622" t="s">
        <v>670</v>
      </c>
      <c r="R1851" s="623">
        <v>45932</v>
      </c>
      <c r="S1851" s="622" t="s">
        <v>670</v>
      </c>
      <c r="T1851" s="623">
        <v>45930</v>
      </c>
      <c r="U1851" s="624">
        <v>0</v>
      </c>
      <c r="V1851" s="625">
        <v>-0.18</v>
      </c>
      <c r="W1851" s="627">
        <v>45901</v>
      </c>
    </row>
    <row r="1852" spans="1:23" hidden="1" x14ac:dyDescent="0.35">
      <c r="A1852" s="622" t="s">
        <v>526</v>
      </c>
      <c r="B1852" s="622" t="s">
        <v>53</v>
      </c>
      <c r="C1852" s="622" t="s">
        <v>298</v>
      </c>
      <c r="D1852" s="622" t="s">
        <v>338</v>
      </c>
      <c r="E1852" s="622" t="s">
        <v>339</v>
      </c>
      <c r="F1852" s="622" t="s">
        <v>276</v>
      </c>
      <c r="G1852" s="622" t="s">
        <v>356</v>
      </c>
      <c r="H1852" s="622" t="s">
        <v>670</v>
      </c>
      <c r="I1852" s="622" t="s">
        <v>277</v>
      </c>
      <c r="J1852" s="622" t="s">
        <v>524</v>
      </c>
      <c r="K1852" s="622" t="s">
        <v>301</v>
      </c>
      <c r="L1852" s="622" t="s">
        <v>597</v>
      </c>
      <c r="M1852" s="622" t="s">
        <v>285</v>
      </c>
      <c r="N1852" s="622" t="s">
        <v>670</v>
      </c>
      <c r="O1852" s="622" t="s">
        <v>670</v>
      </c>
      <c r="P1852" s="622" t="s">
        <v>524</v>
      </c>
      <c r="Q1852" s="622" t="s">
        <v>670</v>
      </c>
      <c r="R1852" s="623">
        <v>45932</v>
      </c>
      <c r="S1852" s="622" t="s">
        <v>670</v>
      </c>
      <c r="T1852" s="623">
        <v>45930</v>
      </c>
      <c r="U1852" s="624">
        <v>0</v>
      </c>
      <c r="V1852" s="625">
        <v>-0.11</v>
      </c>
      <c r="W1852" s="627">
        <v>45901</v>
      </c>
    </row>
    <row r="1853" spans="1:23" hidden="1" x14ac:dyDescent="0.35">
      <c r="A1853" s="622" t="s">
        <v>526</v>
      </c>
      <c r="B1853" s="622" t="s">
        <v>53</v>
      </c>
      <c r="C1853" s="622" t="s">
        <v>281</v>
      </c>
      <c r="D1853" s="622" t="s">
        <v>340</v>
      </c>
      <c r="E1853" s="622" t="s">
        <v>283</v>
      </c>
      <c r="F1853" s="622" t="s">
        <v>276</v>
      </c>
      <c r="G1853" s="622" t="s">
        <v>356</v>
      </c>
      <c r="H1853" s="622" t="s">
        <v>670</v>
      </c>
      <c r="I1853" s="622" t="s">
        <v>277</v>
      </c>
      <c r="J1853" s="622" t="s">
        <v>524</v>
      </c>
      <c r="K1853" s="622" t="s">
        <v>284</v>
      </c>
      <c r="L1853" s="622" t="s">
        <v>597</v>
      </c>
      <c r="M1853" s="622" t="s">
        <v>285</v>
      </c>
      <c r="N1853" s="622" t="s">
        <v>670</v>
      </c>
      <c r="O1853" s="622" t="s">
        <v>670</v>
      </c>
      <c r="P1853" s="622" t="s">
        <v>524</v>
      </c>
      <c r="Q1853" s="622" t="s">
        <v>670</v>
      </c>
      <c r="R1853" s="623">
        <v>45931</v>
      </c>
      <c r="S1853" s="622" t="s">
        <v>670</v>
      </c>
      <c r="T1853" s="623">
        <v>45930</v>
      </c>
      <c r="U1853" s="624">
        <v>0</v>
      </c>
      <c r="V1853" s="625">
        <v>406.64</v>
      </c>
      <c r="W1853" s="627">
        <v>45901</v>
      </c>
    </row>
    <row r="1854" spans="1:23" hidden="1" x14ac:dyDescent="0.35">
      <c r="A1854" s="622" t="s">
        <v>526</v>
      </c>
      <c r="B1854" s="622" t="s">
        <v>53</v>
      </c>
      <c r="C1854" s="622" t="s">
        <v>302</v>
      </c>
      <c r="D1854" s="622" t="s">
        <v>340</v>
      </c>
      <c r="E1854" s="622" t="s">
        <v>283</v>
      </c>
      <c r="F1854" s="622" t="s">
        <v>276</v>
      </c>
      <c r="G1854" s="622" t="s">
        <v>356</v>
      </c>
      <c r="H1854" s="622" t="s">
        <v>670</v>
      </c>
      <c r="I1854" s="622" t="s">
        <v>277</v>
      </c>
      <c r="J1854" s="622" t="s">
        <v>524</v>
      </c>
      <c r="K1854" s="622" t="s">
        <v>303</v>
      </c>
      <c r="L1854" s="622" t="s">
        <v>597</v>
      </c>
      <c r="M1854" s="622" t="s">
        <v>285</v>
      </c>
      <c r="N1854" s="622" t="s">
        <v>670</v>
      </c>
      <c r="O1854" s="622" t="s">
        <v>670</v>
      </c>
      <c r="P1854" s="622" t="s">
        <v>524</v>
      </c>
      <c r="Q1854" s="622" t="s">
        <v>670</v>
      </c>
      <c r="R1854" s="623">
        <v>45932</v>
      </c>
      <c r="S1854" s="622" t="s">
        <v>670</v>
      </c>
      <c r="T1854" s="623">
        <v>45930</v>
      </c>
      <c r="U1854" s="624">
        <v>0</v>
      </c>
      <c r="V1854" s="625">
        <v>15.47</v>
      </c>
      <c r="W1854" s="627">
        <v>45901</v>
      </c>
    </row>
    <row r="1855" spans="1:23" hidden="1" x14ac:dyDescent="0.35">
      <c r="A1855" s="622" t="s">
        <v>526</v>
      </c>
      <c r="B1855" s="622" t="s">
        <v>53</v>
      </c>
      <c r="C1855" s="622" t="s">
        <v>302</v>
      </c>
      <c r="D1855" s="622" t="s">
        <v>340</v>
      </c>
      <c r="E1855" s="622" t="s">
        <v>283</v>
      </c>
      <c r="F1855" s="622" t="s">
        <v>276</v>
      </c>
      <c r="G1855" s="622" t="s">
        <v>356</v>
      </c>
      <c r="H1855" s="622" t="s">
        <v>670</v>
      </c>
      <c r="I1855" s="622" t="s">
        <v>277</v>
      </c>
      <c r="J1855" s="622" t="s">
        <v>524</v>
      </c>
      <c r="K1855" s="622" t="s">
        <v>303</v>
      </c>
      <c r="L1855" s="622" t="s">
        <v>597</v>
      </c>
      <c r="M1855" s="622" t="s">
        <v>285</v>
      </c>
      <c r="N1855" s="622" t="s">
        <v>670</v>
      </c>
      <c r="O1855" s="622" t="s">
        <v>670</v>
      </c>
      <c r="P1855" s="622" t="s">
        <v>524</v>
      </c>
      <c r="Q1855" s="622" t="s">
        <v>670</v>
      </c>
      <c r="R1855" s="623">
        <v>45932</v>
      </c>
      <c r="S1855" s="622" t="s">
        <v>670</v>
      </c>
      <c r="T1855" s="623">
        <v>45930</v>
      </c>
      <c r="U1855" s="624">
        <v>0</v>
      </c>
      <c r="V1855" s="625">
        <v>24.88</v>
      </c>
      <c r="W1855" s="627">
        <v>45901</v>
      </c>
    </row>
    <row r="1856" spans="1:23" hidden="1" x14ac:dyDescent="0.35">
      <c r="A1856" s="622" t="s">
        <v>526</v>
      </c>
      <c r="B1856" s="622" t="s">
        <v>53</v>
      </c>
      <c r="C1856" s="622" t="s">
        <v>286</v>
      </c>
      <c r="D1856" s="622" t="s">
        <v>341</v>
      </c>
      <c r="E1856" s="622" t="s">
        <v>288</v>
      </c>
      <c r="F1856" s="622" t="s">
        <v>276</v>
      </c>
      <c r="G1856" s="622" t="s">
        <v>356</v>
      </c>
      <c r="H1856" s="622" t="s">
        <v>670</v>
      </c>
      <c r="I1856" s="622" t="s">
        <v>277</v>
      </c>
      <c r="J1856" s="622" t="s">
        <v>524</v>
      </c>
      <c r="K1856" s="622" t="s">
        <v>289</v>
      </c>
      <c r="L1856" s="622" t="s">
        <v>597</v>
      </c>
      <c r="M1856" s="622" t="s">
        <v>285</v>
      </c>
      <c r="N1856" s="622" t="s">
        <v>670</v>
      </c>
      <c r="O1856" s="622" t="s">
        <v>670</v>
      </c>
      <c r="P1856" s="622" t="s">
        <v>524</v>
      </c>
      <c r="Q1856" s="622" t="s">
        <v>670</v>
      </c>
      <c r="R1856" s="623">
        <v>45931</v>
      </c>
      <c r="S1856" s="622" t="s">
        <v>670</v>
      </c>
      <c r="T1856" s="623">
        <v>45930</v>
      </c>
      <c r="U1856" s="624">
        <v>0</v>
      </c>
      <c r="V1856" s="625">
        <v>359.32</v>
      </c>
      <c r="W1856" s="627">
        <v>45901</v>
      </c>
    </row>
    <row r="1857" spans="1:23" hidden="1" x14ac:dyDescent="0.35">
      <c r="A1857" s="622" t="s">
        <v>526</v>
      </c>
      <c r="B1857" s="622" t="s">
        <v>53</v>
      </c>
      <c r="C1857" s="622" t="s">
        <v>302</v>
      </c>
      <c r="D1857" s="622" t="s">
        <v>341</v>
      </c>
      <c r="E1857" s="622" t="s">
        <v>288</v>
      </c>
      <c r="F1857" s="622" t="s">
        <v>276</v>
      </c>
      <c r="G1857" s="622" t="s">
        <v>356</v>
      </c>
      <c r="H1857" s="622" t="s">
        <v>670</v>
      </c>
      <c r="I1857" s="622" t="s">
        <v>277</v>
      </c>
      <c r="J1857" s="622" t="s">
        <v>524</v>
      </c>
      <c r="K1857" s="622" t="s">
        <v>303</v>
      </c>
      <c r="L1857" s="622" t="s">
        <v>597</v>
      </c>
      <c r="M1857" s="622" t="s">
        <v>285</v>
      </c>
      <c r="N1857" s="622" t="s">
        <v>670</v>
      </c>
      <c r="O1857" s="622" t="s">
        <v>670</v>
      </c>
      <c r="P1857" s="622" t="s">
        <v>524</v>
      </c>
      <c r="Q1857" s="622" t="s">
        <v>670</v>
      </c>
      <c r="R1857" s="623">
        <v>45932</v>
      </c>
      <c r="S1857" s="622" t="s">
        <v>670</v>
      </c>
      <c r="T1857" s="623">
        <v>45930</v>
      </c>
      <c r="U1857" s="624">
        <v>0</v>
      </c>
      <c r="V1857" s="625">
        <v>43.39</v>
      </c>
      <c r="W1857" s="627">
        <v>45901</v>
      </c>
    </row>
    <row r="1858" spans="1:23" hidden="1" x14ac:dyDescent="0.35">
      <c r="A1858" s="622" t="s">
        <v>526</v>
      </c>
      <c r="B1858" s="622" t="s">
        <v>53</v>
      </c>
      <c r="C1858" s="622" t="s">
        <v>302</v>
      </c>
      <c r="D1858" s="622" t="s">
        <v>341</v>
      </c>
      <c r="E1858" s="622" t="s">
        <v>288</v>
      </c>
      <c r="F1858" s="622" t="s">
        <v>276</v>
      </c>
      <c r="G1858" s="622" t="s">
        <v>356</v>
      </c>
      <c r="H1858" s="622" t="s">
        <v>670</v>
      </c>
      <c r="I1858" s="622" t="s">
        <v>277</v>
      </c>
      <c r="J1858" s="622" t="s">
        <v>524</v>
      </c>
      <c r="K1858" s="622" t="s">
        <v>303</v>
      </c>
      <c r="L1858" s="622" t="s">
        <v>597</v>
      </c>
      <c r="M1858" s="622" t="s">
        <v>285</v>
      </c>
      <c r="N1858" s="622" t="s">
        <v>670</v>
      </c>
      <c r="O1858" s="622" t="s">
        <v>670</v>
      </c>
      <c r="P1858" s="622" t="s">
        <v>524</v>
      </c>
      <c r="Q1858" s="622" t="s">
        <v>670</v>
      </c>
      <c r="R1858" s="623">
        <v>45932</v>
      </c>
      <c r="S1858" s="622" t="s">
        <v>670</v>
      </c>
      <c r="T1858" s="623">
        <v>45930</v>
      </c>
      <c r="U1858" s="624">
        <v>0</v>
      </c>
      <c r="V1858" s="625">
        <v>21.99</v>
      </c>
      <c r="W1858" s="627">
        <v>45901</v>
      </c>
    </row>
    <row r="1859" spans="1:23" hidden="1" x14ac:dyDescent="0.35">
      <c r="A1859" s="622" t="s">
        <v>526</v>
      </c>
      <c r="B1859" s="622" t="s">
        <v>53</v>
      </c>
      <c r="C1859" s="622" t="s">
        <v>281</v>
      </c>
      <c r="D1859" s="622" t="s">
        <v>342</v>
      </c>
      <c r="E1859" s="622" t="s">
        <v>291</v>
      </c>
      <c r="F1859" s="622" t="s">
        <v>276</v>
      </c>
      <c r="G1859" s="622" t="s">
        <v>356</v>
      </c>
      <c r="H1859" s="622" t="s">
        <v>670</v>
      </c>
      <c r="I1859" s="622" t="s">
        <v>277</v>
      </c>
      <c r="J1859" s="622" t="s">
        <v>524</v>
      </c>
      <c r="K1859" s="622" t="s">
        <v>284</v>
      </c>
      <c r="L1859" s="622" t="s">
        <v>597</v>
      </c>
      <c r="M1859" s="622" t="s">
        <v>285</v>
      </c>
      <c r="N1859" s="622" t="s">
        <v>670</v>
      </c>
      <c r="O1859" s="622" t="s">
        <v>670</v>
      </c>
      <c r="P1859" s="622" t="s">
        <v>524</v>
      </c>
      <c r="Q1859" s="622" t="s">
        <v>670</v>
      </c>
      <c r="R1859" s="623">
        <v>45931</v>
      </c>
      <c r="S1859" s="622" t="s">
        <v>670</v>
      </c>
      <c r="T1859" s="623">
        <v>45930</v>
      </c>
      <c r="U1859" s="624">
        <v>0</v>
      </c>
      <c r="V1859" s="625">
        <v>212.92</v>
      </c>
      <c r="W1859" s="627">
        <v>45901</v>
      </c>
    </row>
    <row r="1860" spans="1:23" hidden="1" x14ac:dyDescent="0.35">
      <c r="A1860" s="622" t="s">
        <v>526</v>
      </c>
      <c r="B1860" s="622" t="s">
        <v>53</v>
      </c>
      <c r="C1860" s="622" t="s">
        <v>302</v>
      </c>
      <c r="D1860" s="622" t="s">
        <v>342</v>
      </c>
      <c r="E1860" s="622" t="s">
        <v>291</v>
      </c>
      <c r="F1860" s="622" t="s">
        <v>276</v>
      </c>
      <c r="G1860" s="622" t="s">
        <v>356</v>
      </c>
      <c r="H1860" s="622" t="s">
        <v>670</v>
      </c>
      <c r="I1860" s="622" t="s">
        <v>277</v>
      </c>
      <c r="J1860" s="622" t="s">
        <v>524</v>
      </c>
      <c r="K1860" s="622" t="s">
        <v>303</v>
      </c>
      <c r="L1860" s="622" t="s">
        <v>597</v>
      </c>
      <c r="M1860" s="622" t="s">
        <v>285</v>
      </c>
      <c r="N1860" s="622" t="s">
        <v>670</v>
      </c>
      <c r="O1860" s="622" t="s">
        <v>670</v>
      </c>
      <c r="P1860" s="622" t="s">
        <v>524</v>
      </c>
      <c r="Q1860" s="622" t="s">
        <v>670</v>
      </c>
      <c r="R1860" s="623">
        <v>45932</v>
      </c>
      <c r="S1860" s="622" t="s">
        <v>670</v>
      </c>
      <c r="T1860" s="623">
        <v>45930</v>
      </c>
      <c r="U1860" s="624">
        <v>0</v>
      </c>
      <c r="V1860" s="625">
        <v>10</v>
      </c>
      <c r="W1860" s="627">
        <v>45901</v>
      </c>
    </row>
    <row r="1861" spans="1:23" hidden="1" x14ac:dyDescent="0.35">
      <c r="A1861" s="622" t="s">
        <v>526</v>
      </c>
      <c r="B1861" s="622" t="s">
        <v>53</v>
      </c>
      <c r="C1861" s="622" t="s">
        <v>302</v>
      </c>
      <c r="D1861" s="622" t="s">
        <v>342</v>
      </c>
      <c r="E1861" s="622" t="s">
        <v>291</v>
      </c>
      <c r="F1861" s="622" t="s">
        <v>276</v>
      </c>
      <c r="G1861" s="622" t="s">
        <v>356</v>
      </c>
      <c r="H1861" s="622" t="s">
        <v>670</v>
      </c>
      <c r="I1861" s="622" t="s">
        <v>277</v>
      </c>
      <c r="J1861" s="622" t="s">
        <v>524</v>
      </c>
      <c r="K1861" s="622" t="s">
        <v>303</v>
      </c>
      <c r="L1861" s="622" t="s">
        <v>597</v>
      </c>
      <c r="M1861" s="622" t="s">
        <v>285</v>
      </c>
      <c r="N1861" s="622" t="s">
        <v>670</v>
      </c>
      <c r="O1861" s="622" t="s">
        <v>670</v>
      </c>
      <c r="P1861" s="622" t="s">
        <v>524</v>
      </c>
      <c r="Q1861" s="622" t="s">
        <v>670</v>
      </c>
      <c r="R1861" s="623">
        <v>45932</v>
      </c>
      <c r="S1861" s="622" t="s">
        <v>670</v>
      </c>
      <c r="T1861" s="623">
        <v>45930</v>
      </c>
      <c r="U1861" s="624">
        <v>0</v>
      </c>
      <c r="V1861" s="625">
        <v>13.03</v>
      </c>
      <c r="W1861" s="627">
        <v>45901</v>
      </c>
    </row>
    <row r="1862" spans="1:23" hidden="1" x14ac:dyDescent="0.35">
      <c r="A1862" s="622" t="s">
        <v>526</v>
      </c>
      <c r="B1862" s="622" t="s">
        <v>53</v>
      </c>
      <c r="C1862" s="622" t="s">
        <v>281</v>
      </c>
      <c r="D1862" s="622" t="s">
        <v>343</v>
      </c>
      <c r="E1862" s="622" t="s">
        <v>293</v>
      </c>
      <c r="F1862" s="622" t="s">
        <v>276</v>
      </c>
      <c r="G1862" s="622" t="s">
        <v>356</v>
      </c>
      <c r="H1862" s="622" t="s">
        <v>670</v>
      </c>
      <c r="I1862" s="622" t="s">
        <v>277</v>
      </c>
      <c r="J1862" s="622" t="s">
        <v>524</v>
      </c>
      <c r="K1862" s="622" t="s">
        <v>294</v>
      </c>
      <c r="L1862" s="622" t="s">
        <v>597</v>
      </c>
      <c r="M1862" s="622" t="s">
        <v>285</v>
      </c>
      <c r="N1862" s="622" t="s">
        <v>670</v>
      </c>
      <c r="O1862" s="622" t="s">
        <v>670</v>
      </c>
      <c r="P1862" s="622" t="s">
        <v>524</v>
      </c>
      <c r="Q1862" s="622" t="s">
        <v>670</v>
      </c>
      <c r="R1862" s="623">
        <v>45931</v>
      </c>
      <c r="S1862" s="622" t="s">
        <v>670</v>
      </c>
      <c r="T1862" s="623">
        <v>45930</v>
      </c>
      <c r="U1862" s="624">
        <v>0</v>
      </c>
      <c r="V1862" s="625">
        <v>41.87</v>
      </c>
      <c r="W1862" s="627">
        <v>45901</v>
      </c>
    </row>
    <row r="1863" spans="1:23" hidden="1" x14ac:dyDescent="0.35">
      <c r="A1863" s="622" t="s">
        <v>526</v>
      </c>
      <c r="B1863" s="622" t="s">
        <v>53</v>
      </c>
      <c r="C1863" s="622" t="s">
        <v>302</v>
      </c>
      <c r="D1863" s="622" t="s">
        <v>343</v>
      </c>
      <c r="E1863" s="622" t="s">
        <v>293</v>
      </c>
      <c r="F1863" s="622" t="s">
        <v>276</v>
      </c>
      <c r="G1863" s="622" t="s">
        <v>356</v>
      </c>
      <c r="H1863" s="622" t="s">
        <v>670</v>
      </c>
      <c r="I1863" s="622" t="s">
        <v>277</v>
      </c>
      <c r="J1863" s="622" t="s">
        <v>524</v>
      </c>
      <c r="K1863" s="622" t="s">
        <v>303</v>
      </c>
      <c r="L1863" s="622" t="s">
        <v>597</v>
      </c>
      <c r="M1863" s="622" t="s">
        <v>285</v>
      </c>
      <c r="N1863" s="622" t="s">
        <v>670</v>
      </c>
      <c r="O1863" s="622" t="s">
        <v>670</v>
      </c>
      <c r="P1863" s="622" t="s">
        <v>524</v>
      </c>
      <c r="Q1863" s="622" t="s">
        <v>670</v>
      </c>
      <c r="R1863" s="623">
        <v>45932</v>
      </c>
      <c r="S1863" s="622" t="s">
        <v>670</v>
      </c>
      <c r="T1863" s="623">
        <v>45930</v>
      </c>
      <c r="U1863" s="624">
        <v>0</v>
      </c>
      <c r="V1863" s="625">
        <v>11.05</v>
      </c>
      <c r="W1863" s="627">
        <v>45901</v>
      </c>
    </row>
    <row r="1864" spans="1:23" hidden="1" x14ac:dyDescent="0.35">
      <c r="A1864" s="622" t="s">
        <v>526</v>
      </c>
      <c r="B1864" s="622" t="s">
        <v>53</v>
      </c>
      <c r="C1864" s="622" t="s">
        <v>302</v>
      </c>
      <c r="D1864" s="622" t="s">
        <v>343</v>
      </c>
      <c r="E1864" s="622" t="s">
        <v>293</v>
      </c>
      <c r="F1864" s="622" t="s">
        <v>276</v>
      </c>
      <c r="G1864" s="622" t="s">
        <v>356</v>
      </c>
      <c r="H1864" s="622" t="s">
        <v>670</v>
      </c>
      <c r="I1864" s="622" t="s">
        <v>277</v>
      </c>
      <c r="J1864" s="622" t="s">
        <v>524</v>
      </c>
      <c r="K1864" s="622" t="s">
        <v>303</v>
      </c>
      <c r="L1864" s="622" t="s">
        <v>597</v>
      </c>
      <c r="M1864" s="622" t="s">
        <v>285</v>
      </c>
      <c r="N1864" s="622" t="s">
        <v>670</v>
      </c>
      <c r="O1864" s="622" t="s">
        <v>670</v>
      </c>
      <c r="P1864" s="622" t="s">
        <v>524</v>
      </c>
      <c r="Q1864" s="622" t="s">
        <v>670</v>
      </c>
      <c r="R1864" s="623">
        <v>45932</v>
      </c>
      <c r="S1864" s="622" t="s">
        <v>670</v>
      </c>
      <c r="T1864" s="623">
        <v>45930</v>
      </c>
      <c r="U1864" s="624">
        <v>0</v>
      </c>
      <c r="V1864" s="625">
        <v>2.56</v>
      </c>
      <c r="W1864" s="627">
        <v>45901</v>
      </c>
    </row>
    <row r="1865" spans="1:23" hidden="1" x14ac:dyDescent="0.35">
      <c r="A1865" s="622" t="s">
        <v>526</v>
      </c>
      <c r="B1865" s="622" t="s">
        <v>53</v>
      </c>
      <c r="C1865" s="622" t="s">
        <v>286</v>
      </c>
      <c r="D1865" s="622" t="s">
        <v>344</v>
      </c>
      <c r="E1865" s="622" t="s">
        <v>296</v>
      </c>
      <c r="F1865" s="622" t="s">
        <v>276</v>
      </c>
      <c r="G1865" s="622" t="s">
        <v>356</v>
      </c>
      <c r="H1865" s="622" t="s">
        <v>670</v>
      </c>
      <c r="I1865" s="622" t="s">
        <v>277</v>
      </c>
      <c r="J1865" s="622" t="s">
        <v>524</v>
      </c>
      <c r="K1865" s="622" t="s">
        <v>297</v>
      </c>
      <c r="L1865" s="622" t="s">
        <v>597</v>
      </c>
      <c r="M1865" s="622" t="s">
        <v>285</v>
      </c>
      <c r="N1865" s="622" t="s">
        <v>670</v>
      </c>
      <c r="O1865" s="622" t="s">
        <v>670</v>
      </c>
      <c r="P1865" s="622" t="s">
        <v>524</v>
      </c>
      <c r="Q1865" s="622" t="s">
        <v>670</v>
      </c>
      <c r="R1865" s="623">
        <v>45931</v>
      </c>
      <c r="S1865" s="622" t="s">
        <v>670</v>
      </c>
      <c r="T1865" s="623">
        <v>45930</v>
      </c>
      <c r="U1865" s="624">
        <v>0</v>
      </c>
      <c r="V1865" s="625">
        <v>127.21</v>
      </c>
      <c r="W1865" s="627">
        <v>45901</v>
      </c>
    </row>
    <row r="1866" spans="1:23" hidden="1" x14ac:dyDescent="0.35">
      <c r="A1866" s="622" t="s">
        <v>526</v>
      </c>
      <c r="B1866" s="622" t="s">
        <v>53</v>
      </c>
      <c r="C1866" s="622" t="s">
        <v>302</v>
      </c>
      <c r="D1866" s="622" t="s">
        <v>344</v>
      </c>
      <c r="E1866" s="622" t="s">
        <v>296</v>
      </c>
      <c r="F1866" s="622" t="s">
        <v>276</v>
      </c>
      <c r="G1866" s="622" t="s">
        <v>356</v>
      </c>
      <c r="H1866" s="622" t="s">
        <v>670</v>
      </c>
      <c r="I1866" s="622" t="s">
        <v>277</v>
      </c>
      <c r="J1866" s="622" t="s">
        <v>524</v>
      </c>
      <c r="K1866" s="622" t="s">
        <v>303</v>
      </c>
      <c r="L1866" s="622" t="s">
        <v>597</v>
      </c>
      <c r="M1866" s="622" t="s">
        <v>285</v>
      </c>
      <c r="N1866" s="622" t="s">
        <v>670</v>
      </c>
      <c r="O1866" s="622" t="s">
        <v>670</v>
      </c>
      <c r="P1866" s="622" t="s">
        <v>524</v>
      </c>
      <c r="Q1866" s="622" t="s">
        <v>670</v>
      </c>
      <c r="R1866" s="623">
        <v>45932</v>
      </c>
      <c r="S1866" s="622" t="s">
        <v>670</v>
      </c>
      <c r="T1866" s="623">
        <v>45930</v>
      </c>
      <c r="U1866" s="624">
        <v>0</v>
      </c>
      <c r="V1866" s="625">
        <v>23.66</v>
      </c>
      <c r="W1866" s="627">
        <v>45901</v>
      </c>
    </row>
    <row r="1867" spans="1:23" hidden="1" x14ac:dyDescent="0.35">
      <c r="A1867" s="622" t="s">
        <v>526</v>
      </c>
      <c r="B1867" s="622" t="s">
        <v>53</v>
      </c>
      <c r="C1867" s="622" t="s">
        <v>302</v>
      </c>
      <c r="D1867" s="622" t="s">
        <v>344</v>
      </c>
      <c r="E1867" s="622" t="s">
        <v>296</v>
      </c>
      <c r="F1867" s="622" t="s">
        <v>276</v>
      </c>
      <c r="G1867" s="622" t="s">
        <v>356</v>
      </c>
      <c r="H1867" s="622" t="s">
        <v>670</v>
      </c>
      <c r="I1867" s="622" t="s">
        <v>277</v>
      </c>
      <c r="J1867" s="622" t="s">
        <v>524</v>
      </c>
      <c r="K1867" s="622" t="s">
        <v>303</v>
      </c>
      <c r="L1867" s="622" t="s">
        <v>597</v>
      </c>
      <c r="M1867" s="622" t="s">
        <v>285</v>
      </c>
      <c r="N1867" s="622" t="s">
        <v>670</v>
      </c>
      <c r="O1867" s="622" t="s">
        <v>670</v>
      </c>
      <c r="P1867" s="622" t="s">
        <v>524</v>
      </c>
      <c r="Q1867" s="622" t="s">
        <v>670</v>
      </c>
      <c r="R1867" s="623">
        <v>45932</v>
      </c>
      <c r="S1867" s="622" t="s">
        <v>670</v>
      </c>
      <c r="T1867" s="623">
        <v>45930</v>
      </c>
      <c r="U1867" s="624">
        <v>0</v>
      </c>
      <c r="V1867" s="625">
        <v>7.78</v>
      </c>
      <c r="W1867" s="627">
        <v>45901</v>
      </c>
    </row>
    <row r="1868" spans="1:23" hidden="1" x14ac:dyDescent="0.35">
      <c r="A1868" s="622" t="s">
        <v>526</v>
      </c>
      <c r="B1868" s="622" t="s">
        <v>53</v>
      </c>
      <c r="C1868" s="622" t="s">
        <v>298</v>
      </c>
      <c r="D1868" s="622" t="s">
        <v>345</v>
      </c>
      <c r="E1868" s="622" t="s">
        <v>346</v>
      </c>
      <c r="F1868" s="622" t="s">
        <v>276</v>
      </c>
      <c r="G1868" s="622" t="s">
        <v>356</v>
      </c>
      <c r="H1868" s="622" t="s">
        <v>670</v>
      </c>
      <c r="I1868" s="622" t="s">
        <v>277</v>
      </c>
      <c r="J1868" s="622" t="s">
        <v>524</v>
      </c>
      <c r="K1868" s="622" t="s">
        <v>301</v>
      </c>
      <c r="L1868" s="622" t="s">
        <v>597</v>
      </c>
      <c r="M1868" s="622" t="s">
        <v>285</v>
      </c>
      <c r="N1868" s="622" t="s">
        <v>670</v>
      </c>
      <c r="O1868" s="622" t="s">
        <v>670</v>
      </c>
      <c r="P1868" s="622" t="s">
        <v>524</v>
      </c>
      <c r="Q1868" s="622" t="s">
        <v>670</v>
      </c>
      <c r="R1868" s="623">
        <v>45932</v>
      </c>
      <c r="S1868" s="622" t="s">
        <v>670</v>
      </c>
      <c r="T1868" s="623">
        <v>45930</v>
      </c>
      <c r="U1868" s="624">
        <v>0</v>
      </c>
      <c r="V1868" s="625">
        <v>0.24</v>
      </c>
      <c r="W1868" s="627">
        <v>45901</v>
      </c>
    </row>
    <row r="1869" spans="1:23" hidden="1" x14ac:dyDescent="0.35">
      <c r="A1869" s="622" t="s">
        <v>526</v>
      </c>
      <c r="B1869" s="622" t="s">
        <v>53</v>
      </c>
      <c r="C1869" s="622" t="s">
        <v>298</v>
      </c>
      <c r="D1869" s="622" t="s">
        <v>347</v>
      </c>
      <c r="E1869" s="622" t="s">
        <v>348</v>
      </c>
      <c r="F1869" s="622" t="s">
        <v>276</v>
      </c>
      <c r="G1869" s="622" t="s">
        <v>356</v>
      </c>
      <c r="H1869" s="622" t="s">
        <v>670</v>
      </c>
      <c r="I1869" s="622" t="s">
        <v>277</v>
      </c>
      <c r="J1869" s="622" t="s">
        <v>524</v>
      </c>
      <c r="K1869" s="622" t="s">
        <v>301</v>
      </c>
      <c r="L1869" s="622" t="s">
        <v>597</v>
      </c>
      <c r="M1869" s="622" t="s">
        <v>285</v>
      </c>
      <c r="N1869" s="622" t="s">
        <v>670</v>
      </c>
      <c r="O1869" s="622" t="s">
        <v>670</v>
      </c>
      <c r="P1869" s="622" t="s">
        <v>524</v>
      </c>
      <c r="Q1869" s="622" t="s">
        <v>670</v>
      </c>
      <c r="R1869" s="623">
        <v>45932</v>
      </c>
      <c r="S1869" s="622" t="s">
        <v>670</v>
      </c>
      <c r="T1869" s="623">
        <v>45930</v>
      </c>
      <c r="U1869" s="624">
        <v>0</v>
      </c>
      <c r="V1869" s="625">
        <v>1.21</v>
      </c>
      <c r="W1869" s="627">
        <v>45901</v>
      </c>
    </row>
    <row r="1870" spans="1:23" hidden="1" x14ac:dyDescent="0.35">
      <c r="A1870" s="622" t="s">
        <v>526</v>
      </c>
      <c r="B1870" s="622" t="s">
        <v>53</v>
      </c>
      <c r="C1870" s="622" t="s">
        <v>298</v>
      </c>
      <c r="D1870" s="622" t="s">
        <v>347</v>
      </c>
      <c r="E1870" s="622" t="s">
        <v>348</v>
      </c>
      <c r="F1870" s="622" t="s">
        <v>276</v>
      </c>
      <c r="G1870" s="622" t="s">
        <v>356</v>
      </c>
      <c r="H1870" s="622" t="s">
        <v>670</v>
      </c>
      <c r="I1870" s="622" t="s">
        <v>277</v>
      </c>
      <c r="J1870" s="622" t="s">
        <v>524</v>
      </c>
      <c r="K1870" s="622" t="s">
        <v>301</v>
      </c>
      <c r="L1870" s="622" t="s">
        <v>597</v>
      </c>
      <c r="M1870" s="622" t="s">
        <v>285</v>
      </c>
      <c r="N1870" s="622" t="s">
        <v>670</v>
      </c>
      <c r="O1870" s="622" t="s">
        <v>670</v>
      </c>
      <c r="P1870" s="622" t="s">
        <v>524</v>
      </c>
      <c r="Q1870" s="622" t="s">
        <v>670</v>
      </c>
      <c r="R1870" s="623">
        <v>45932</v>
      </c>
      <c r="S1870" s="622" t="s">
        <v>670</v>
      </c>
      <c r="T1870" s="623">
        <v>45930</v>
      </c>
      <c r="U1870" s="624">
        <v>0</v>
      </c>
      <c r="V1870" s="625">
        <v>0.15</v>
      </c>
      <c r="W1870" s="627">
        <v>45901</v>
      </c>
    </row>
    <row r="1871" spans="1:23" hidden="1" x14ac:dyDescent="0.35">
      <c r="A1871" s="622" t="s">
        <v>526</v>
      </c>
      <c r="B1871" s="622" t="s">
        <v>53</v>
      </c>
      <c r="C1871" s="622" t="s">
        <v>298</v>
      </c>
      <c r="D1871" s="622" t="s">
        <v>349</v>
      </c>
      <c r="E1871" s="622" t="s">
        <v>350</v>
      </c>
      <c r="F1871" s="622" t="s">
        <v>276</v>
      </c>
      <c r="G1871" s="622" t="s">
        <v>356</v>
      </c>
      <c r="H1871" s="622" t="s">
        <v>670</v>
      </c>
      <c r="I1871" s="622" t="s">
        <v>277</v>
      </c>
      <c r="J1871" s="622" t="s">
        <v>524</v>
      </c>
      <c r="K1871" s="622" t="s">
        <v>301</v>
      </c>
      <c r="L1871" s="622" t="s">
        <v>597</v>
      </c>
      <c r="M1871" s="622" t="s">
        <v>285</v>
      </c>
      <c r="N1871" s="622" t="s">
        <v>670</v>
      </c>
      <c r="O1871" s="622" t="s">
        <v>670</v>
      </c>
      <c r="P1871" s="622" t="s">
        <v>524</v>
      </c>
      <c r="Q1871" s="622" t="s">
        <v>670</v>
      </c>
      <c r="R1871" s="623">
        <v>45932</v>
      </c>
      <c r="S1871" s="622" t="s">
        <v>670</v>
      </c>
      <c r="T1871" s="623">
        <v>45930</v>
      </c>
      <c r="U1871" s="624">
        <v>0</v>
      </c>
      <c r="V1871" s="625">
        <v>-0.02</v>
      </c>
      <c r="W1871" s="627">
        <v>45901</v>
      </c>
    </row>
    <row r="1872" spans="1:23" hidden="1" x14ac:dyDescent="0.35">
      <c r="A1872" s="622" t="s">
        <v>526</v>
      </c>
      <c r="B1872" s="622" t="s">
        <v>53</v>
      </c>
      <c r="C1872" s="622" t="s">
        <v>298</v>
      </c>
      <c r="D1872" s="622" t="s">
        <v>351</v>
      </c>
      <c r="E1872" s="622" t="s">
        <v>352</v>
      </c>
      <c r="F1872" s="622" t="s">
        <v>276</v>
      </c>
      <c r="G1872" s="622" t="s">
        <v>356</v>
      </c>
      <c r="H1872" s="622" t="s">
        <v>670</v>
      </c>
      <c r="I1872" s="622" t="s">
        <v>277</v>
      </c>
      <c r="J1872" s="622" t="s">
        <v>524</v>
      </c>
      <c r="K1872" s="622" t="s">
        <v>301</v>
      </c>
      <c r="L1872" s="622" t="s">
        <v>597</v>
      </c>
      <c r="M1872" s="622" t="s">
        <v>285</v>
      </c>
      <c r="N1872" s="622" t="s">
        <v>670</v>
      </c>
      <c r="O1872" s="622" t="s">
        <v>670</v>
      </c>
      <c r="P1872" s="622" t="s">
        <v>524</v>
      </c>
      <c r="Q1872" s="622" t="s">
        <v>670</v>
      </c>
      <c r="R1872" s="623">
        <v>45932</v>
      </c>
      <c r="S1872" s="622" t="s">
        <v>670</v>
      </c>
      <c r="T1872" s="623">
        <v>45930</v>
      </c>
      <c r="U1872" s="624">
        <v>0</v>
      </c>
      <c r="V1872" s="625">
        <v>0.66</v>
      </c>
      <c r="W1872" s="627">
        <v>45901</v>
      </c>
    </row>
    <row r="1873" spans="1:24" hidden="1" x14ac:dyDescent="0.35">
      <c r="A1873" s="622" t="s">
        <v>526</v>
      </c>
      <c r="B1873" s="622" t="s">
        <v>53</v>
      </c>
      <c r="C1873" s="622" t="s">
        <v>298</v>
      </c>
      <c r="D1873" s="622" t="s">
        <v>351</v>
      </c>
      <c r="E1873" s="622" t="s">
        <v>352</v>
      </c>
      <c r="F1873" s="622" t="s">
        <v>276</v>
      </c>
      <c r="G1873" s="622" t="s">
        <v>356</v>
      </c>
      <c r="H1873" s="622" t="s">
        <v>670</v>
      </c>
      <c r="I1873" s="622" t="s">
        <v>277</v>
      </c>
      <c r="J1873" s="622" t="s">
        <v>524</v>
      </c>
      <c r="K1873" s="622" t="s">
        <v>301</v>
      </c>
      <c r="L1873" s="622" t="s">
        <v>597</v>
      </c>
      <c r="M1873" s="622" t="s">
        <v>285</v>
      </c>
      <c r="N1873" s="622" t="s">
        <v>670</v>
      </c>
      <c r="O1873" s="622" t="s">
        <v>670</v>
      </c>
      <c r="P1873" s="622" t="s">
        <v>524</v>
      </c>
      <c r="Q1873" s="622" t="s">
        <v>670</v>
      </c>
      <c r="R1873" s="623">
        <v>45932</v>
      </c>
      <c r="S1873" s="622" t="s">
        <v>670</v>
      </c>
      <c r="T1873" s="623">
        <v>45930</v>
      </c>
      <c r="U1873" s="624">
        <v>0</v>
      </c>
      <c r="V1873" s="625">
        <v>-0.01</v>
      </c>
      <c r="W1873" s="627">
        <v>45901</v>
      </c>
    </row>
    <row r="1874" spans="1:24" hidden="1" x14ac:dyDescent="0.35">
      <c r="A1874" s="622" t="s">
        <v>526</v>
      </c>
      <c r="B1874" s="622" t="s">
        <v>53</v>
      </c>
      <c r="C1874" s="622" t="s">
        <v>298</v>
      </c>
      <c r="D1874" s="622" t="s">
        <v>354</v>
      </c>
      <c r="E1874" s="622" t="s">
        <v>355</v>
      </c>
      <c r="F1874" s="622" t="s">
        <v>276</v>
      </c>
      <c r="G1874" s="622" t="s">
        <v>356</v>
      </c>
      <c r="H1874" s="622" t="s">
        <v>670</v>
      </c>
      <c r="I1874" s="622" t="s">
        <v>277</v>
      </c>
      <c r="J1874" s="622" t="s">
        <v>524</v>
      </c>
      <c r="K1874" s="622" t="s">
        <v>301</v>
      </c>
      <c r="L1874" s="622" t="s">
        <v>597</v>
      </c>
      <c r="M1874" s="622" t="s">
        <v>285</v>
      </c>
      <c r="N1874" s="622" t="s">
        <v>670</v>
      </c>
      <c r="O1874" s="622" t="s">
        <v>670</v>
      </c>
      <c r="P1874" s="622" t="s">
        <v>524</v>
      </c>
      <c r="Q1874" s="622" t="s">
        <v>670</v>
      </c>
      <c r="R1874" s="623">
        <v>45932</v>
      </c>
      <c r="S1874" s="622" t="s">
        <v>670</v>
      </c>
      <c r="T1874" s="623">
        <v>45930</v>
      </c>
      <c r="U1874" s="624">
        <v>0</v>
      </c>
      <c r="V1874" s="625">
        <v>0.49</v>
      </c>
      <c r="W1874" s="627">
        <v>45901</v>
      </c>
    </row>
    <row r="1875" spans="1:24" hidden="1" x14ac:dyDescent="0.35">
      <c r="A1875" s="622" t="s">
        <v>526</v>
      </c>
      <c r="B1875" s="622" t="s">
        <v>53</v>
      </c>
      <c r="C1875" s="622" t="s">
        <v>530</v>
      </c>
      <c r="D1875" s="622" t="s">
        <v>531</v>
      </c>
      <c r="E1875" s="622" t="s">
        <v>532</v>
      </c>
      <c r="F1875" s="622" t="s">
        <v>276</v>
      </c>
      <c r="G1875" s="622" t="s">
        <v>356</v>
      </c>
      <c r="H1875" s="622" t="s">
        <v>565</v>
      </c>
      <c r="I1875" s="622" t="s">
        <v>277</v>
      </c>
      <c r="J1875" s="622" t="s">
        <v>524</v>
      </c>
      <c r="K1875" s="622" t="s">
        <v>534</v>
      </c>
      <c r="L1875" s="622" t="s">
        <v>597</v>
      </c>
      <c r="M1875" s="622" t="s">
        <v>566</v>
      </c>
      <c r="N1875" s="622" t="s">
        <v>670</v>
      </c>
      <c r="O1875" s="622" t="s">
        <v>670</v>
      </c>
      <c r="P1875" s="622" t="s">
        <v>524</v>
      </c>
      <c r="Q1875" s="622" t="s">
        <v>670</v>
      </c>
      <c r="R1875" s="623">
        <v>45898</v>
      </c>
      <c r="S1875" s="622" t="s">
        <v>278</v>
      </c>
      <c r="T1875" s="623">
        <v>45905</v>
      </c>
      <c r="U1875" s="624">
        <v>7</v>
      </c>
      <c r="V1875" s="625">
        <v>648.54999999999995</v>
      </c>
      <c r="W1875" s="627">
        <v>45901</v>
      </c>
      <c r="X1875" s="845"/>
    </row>
    <row r="1876" spans="1:24" hidden="1" x14ac:dyDescent="0.35">
      <c r="A1876" s="622" t="s">
        <v>526</v>
      </c>
      <c r="B1876" s="622" t="s">
        <v>53</v>
      </c>
      <c r="C1876" s="622" t="s">
        <v>530</v>
      </c>
      <c r="D1876" s="622" t="s">
        <v>531</v>
      </c>
      <c r="E1876" s="622" t="s">
        <v>532</v>
      </c>
      <c r="F1876" s="622" t="s">
        <v>276</v>
      </c>
      <c r="G1876" s="622" t="s">
        <v>356</v>
      </c>
      <c r="H1876" s="622" t="s">
        <v>565</v>
      </c>
      <c r="I1876" s="622" t="s">
        <v>277</v>
      </c>
      <c r="J1876" s="622" t="s">
        <v>524</v>
      </c>
      <c r="K1876" s="622" t="s">
        <v>534</v>
      </c>
      <c r="L1876" s="622" t="s">
        <v>597</v>
      </c>
      <c r="M1876" s="622" t="s">
        <v>566</v>
      </c>
      <c r="N1876" s="622" t="s">
        <v>670</v>
      </c>
      <c r="O1876" s="622" t="s">
        <v>670</v>
      </c>
      <c r="P1876" s="622" t="s">
        <v>524</v>
      </c>
      <c r="Q1876" s="622" t="s">
        <v>670</v>
      </c>
      <c r="R1876" s="623">
        <v>45894</v>
      </c>
      <c r="S1876" s="622" t="s">
        <v>278</v>
      </c>
      <c r="T1876" s="623">
        <v>45905</v>
      </c>
      <c r="U1876" s="624">
        <v>8</v>
      </c>
      <c r="V1876" s="625">
        <v>741.2</v>
      </c>
      <c r="W1876" s="627">
        <v>45901</v>
      </c>
      <c r="X1876" s="845"/>
    </row>
    <row r="1877" spans="1:24" hidden="1" x14ac:dyDescent="0.35">
      <c r="A1877" s="622" t="s">
        <v>526</v>
      </c>
      <c r="B1877" s="622" t="s">
        <v>53</v>
      </c>
      <c r="C1877" s="622" t="s">
        <v>530</v>
      </c>
      <c r="D1877" s="622" t="s">
        <v>531</v>
      </c>
      <c r="E1877" s="622" t="s">
        <v>532</v>
      </c>
      <c r="F1877" s="622" t="s">
        <v>276</v>
      </c>
      <c r="G1877" s="622" t="s">
        <v>356</v>
      </c>
      <c r="H1877" s="622" t="s">
        <v>565</v>
      </c>
      <c r="I1877" s="622" t="s">
        <v>277</v>
      </c>
      <c r="J1877" s="622" t="s">
        <v>524</v>
      </c>
      <c r="K1877" s="622" t="s">
        <v>534</v>
      </c>
      <c r="L1877" s="622" t="s">
        <v>597</v>
      </c>
      <c r="M1877" s="622" t="s">
        <v>566</v>
      </c>
      <c r="N1877" s="622" t="s">
        <v>670</v>
      </c>
      <c r="O1877" s="622" t="s">
        <v>670</v>
      </c>
      <c r="P1877" s="622" t="s">
        <v>524</v>
      </c>
      <c r="Q1877" s="622" t="s">
        <v>670</v>
      </c>
      <c r="R1877" s="623">
        <v>45895</v>
      </c>
      <c r="S1877" s="622" t="s">
        <v>278</v>
      </c>
      <c r="T1877" s="623">
        <v>45905</v>
      </c>
      <c r="U1877" s="624">
        <v>8</v>
      </c>
      <c r="V1877" s="625">
        <v>741.2</v>
      </c>
      <c r="W1877" s="627">
        <v>45901</v>
      </c>
      <c r="X1877" s="845"/>
    </row>
    <row r="1878" spans="1:24" hidden="1" x14ac:dyDescent="0.35">
      <c r="A1878" s="622" t="s">
        <v>526</v>
      </c>
      <c r="B1878" s="622" t="s">
        <v>53</v>
      </c>
      <c r="C1878" s="622" t="s">
        <v>530</v>
      </c>
      <c r="D1878" s="622" t="s">
        <v>531</v>
      </c>
      <c r="E1878" s="622" t="s">
        <v>532</v>
      </c>
      <c r="F1878" s="622" t="s">
        <v>276</v>
      </c>
      <c r="G1878" s="622" t="s">
        <v>356</v>
      </c>
      <c r="H1878" s="622" t="s">
        <v>565</v>
      </c>
      <c r="I1878" s="622" t="s">
        <v>277</v>
      </c>
      <c r="J1878" s="622" t="s">
        <v>524</v>
      </c>
      <c r="K1878" s="622" t="s">
        <v>534</v>
      </c>
      <c r="L1878" s="622" t="s">
        <v>597</v>
      </c>
      <c r="M1878" s="622" t="s">
        <v>566</v>
      </c>
      <c r="N1878" s="622" t="s">
        <v>670</v>
      </c>
      <c r="O1878" s="622" t="s">
        <v>670</v>
      </c>
      <c r="P1878" s="622" t="s">
        <v>524</v>
      </c>
      <c r="Q1878" s="622" t="s">
        <v>670</v>
      </c>
      <c r="R1878" s="623">
        <v>45896</v>
      </c>
      <c r="S1878" s="622" t="s">
        <v>278</v>
      </c>
      <c r="T1878" s="623">
        <v>45905</v>
      </c>
      <c r="U1878" s="624">
        <v>7</v>
      </c>
      <c r="V1878" s="625">
        <v>648.54999999999995</v>
      </c>
      <c r="W1878" s="627">
        <v>45901</v>
      </c>
      <c r="X1878" s="845"/>
    </row>
    <row r="1879" spans="1:24" hidden="1" x14ac:dyDescent="0.35">
      <c r="A1879" s="622" t="s">
        <v>526</v>
      </c>
      <c r="B1879" s="622" t="s">
        <v>53</v>
      </c>
      <c r="C1879" s="622" t="s">
        <v>530</v>
      </c>
      <c r="D1879" s="622" t="s">
        <v>531</v>
      </c>
      <c r="E1879" s="622" t="s">
        <v>532</v>
      </c>
      <c r="F1879" s="622" t="s">
        <v>276</v>
      </c>
      <c r="G1879" s="622" t="s">
        <v>356</v>
      </c>
      <c r="H1879" s="622" t="s">
        <v>565</v>
      </c>
      <c r="I1879" s="622" t="s">
        <v>277</v>
      </c>
      <c r="J1879" s="622" t="s">
        <v>524</v>
      </c>
      <c r="K1879" s="622" t="s">
        <v>534</v>
      </c>
      <c r="L1879" s="622" t="s">
        <v>597</v>
      </c>
      <c r="M1879" s="622" t="s">
        <v>566</v>
      </c>
      <c r="N1879" s="622" t="s">
        <v>670</v>
      </c>
      <c r="O1879" s="622" t="s">
        <v>670</v>
      </c>
      <c r="P1879" s="622" t="s">
        <v>524</v>
      </c>
      <c r="Q1879" s="622" t="s">
        <v>670</v>
      </c>
      <c r="R1879" s="623">
        <v>45897</v>
      </c>
      <c r="S1879" s="622" t="s">
        <v>278</v>
      </c>
      <c r="T1879" s="623">
        <v>45905</v>
      </c>
      <c r="U1879" s="624">
        <v>8</v>
      </c>
      <c r="V1879" s="625">
        <v>741.2</v>
      </c>
      <c r="W1879" s="627">
        <v>45901</v>
      </c>
      <c r="X1879" s="845"/>
    </row>
    <row r="1880" spans="1:24" hidden="1" x14ac:dyDescent="0.35">
      <c r="A1880" s="622" t="s">
        <v>526</v>
      </c>
      <c r="B1880" s="622" t="s">
        <v>53</v>
      </c>
      <c r="C1880" s="622" t="s">
        <v>530</v>
      </c>
      <c r="D1880" s="622" t="s">
        <v>531</v>
      </c>
      <c r="E1880" s="622" t="s">
        <v>532</v>
      </c>
      <c r="F1880" s="622" t="s">
        <v>276</v>
      </c>
      <c r="G1880" s="622" t="s">
        <v>356</v>
      </c>
      <c r="H1880" s="622" t="s">
        <v>565</v>
      </c>
      <c r="I1880" s="622" t="s">
        <v>277</v>
      </c>
      <c r="J1880" s="622" t="s">
        <v>524</v>
      </c>
      <c r="K1880" s="622" t="s">
        <v>534</v>
      </c>
      <c r="L1880" s="622" t="s">
        <v>597</v>
      </c>
      <c r="M1880" s="622" t="s">
        <v>566</v>
      </c>
      <c r="N1880" s="622" t="s">
        <v>670</v>
      </c>
      <c r="O1880" s="622" t="s">
        <v>670</v>
      </c>
      <c r="P1880" s="622" t="s">
        <v>524</v>
      </c>
      <c r="Q1880" s="622" t="s">
        <v>670</v>
      </c>
      <c r="R1880" s="623">
        <v>45902</v>
      </c>
      <c r="S1880" s="622" t="s">
        <v>278</v>
      </c>
      <c r="T1880" s="623">
        <v>45909</v>
      </c>
      <c r="U1880" s="624">
        <v>4</v>
      </c>
      <c r="V1880" s="625">
        <v>370.6</v>
      </c>
      <c r="W1880" s="627">
        <v>45901</v>
      </c>
      <c r="X1880" s="845"/>
    </row>
    <row r="1881" spans="1:24" hidden="1" x14ac:dyDescent="0.35">
      <c r="A1881" s="622" t="s">
        <v>526</v>
      </c>
      <c r="B1881" s="622" t="s">
        <v>53</v>
      </c>
      <c r="C1881" s="622" t="s">
        <v>530</v>
      </c>
      <c r="D1881" s="622" t="s">
        <v>531</v>
      </c>
      <c r="E1881" s="622" t="s">
        <v>532</v>
      </c>
      <c r="F1881" s="622" t="s">
        <v>276</v>
      </c>
      <c r="G1881" s="622" t="s">
        <v>356</v>
      </c>
      <c r="H1881" s="622" t="s">
        <v>565</v>
      </c>
      <c r="I1881" s="622" t="s">
        <v>277</v>
      </c>
      <c r="J1881" s="622" t="s">
        <v>524</v>
      </c>
      <c r="K1881" s="622" t="s">
        <v>534</v>
      </c>
      <c r="L1881" s="622" t="s">
        <v>597</v>
      </c>
      <c r="M1881" s="622" t="s">
        <v>566</v>
      </c>
      <c r="N1881" s="622" t="s">
        <v>670</v>
      </c>
      <c r="O1881" s="622" t="s">
        <v>670</v>
      </c>
      <c r="P1881" s="622" t="s">
        <v>524</v>
      </c>
      <c r="Q1881" s="622" t="s">
        <v>670</v>
      </c>
      <c r="R1881" s="623">
        <v>45903</v>
      </c>
      <c r="S1881" s="622" t="s">
        <v>278</v>
      </c>
      <c r="T1881" s="623">
        <v>45909</v>
      </c>
      <c r="U1881" s="624">
        <v>6</v>
      </c>
      <c r="V1881" s="625">
        <v>555.9</v>
      </c>
      <c r="W1881" s="627">
        <v>45901</v>
      </c>
      <c r="X1881" s="845"/>
    </row>
    <row r="1882" spans="1:24" hidden="1" x14ac:dyDescent="0.35">
      <c r="A1882" s="622" t="s">
        <v>526</v>
      </c>
      <c r="B1882" s="622" t="s">
        <v>53</v>
      </c>
      <c r="C1882" s="622" t="s">
        <v>530</v>
      </c>
      <c r="D1882" s="622" t="s">
        <v>531</v>
      </c>
      <c r="E1882" s="622" t="s">
        <v>532</v>
      </c>
      <c r="F1882" s="622" t="s">
        <v>276</v>
      </c>
      <c r="G1882" s="622" t="s">
        <v>356</v>
      </c>
      <c r="H1882" s="622" t="s">
        <v>565</v>
      </c>
      <c r="I1882" s="622" t="s">
        <v>277</v>
      </c>
      <c r="J1882" s="622" t="s">
        <v>524</v>
      </c>
      <c r="K1882" s="622" t="s">
        <v>534</v>
      </c>
      <c r="L1882" s="622" t="s">
        <v>597</v>
      </c>
      <c r="M1882" s="622" t="s">
        <v>566</v>
      </c>
      <c r="N1882" s="622" t="s">
        <v>670</v>
      </c>
      <c r="O1882" s="622" t="s">
        <v>670</v>
      </c>
      <c r="P1882" s="622" t="s">
        <v>524</v>
      </c>
      <c r="Q1882" s="622" t="s">
        <v>670</v>
      </c>
      <c r="R1882" s="623">
        <v>45904</v>
      </c>
      <c r="S1882" s="622" t="s">
        <v>278</v>
      </c>
      <c r="T1882" s="623">
        <v>45909</v>
      </c>
      <c r="U1882" s="624">
        <v>6</v>
      </c>
      <c r="V1882" s="625">
        <v>555.9</v>
      </c>
      <c r="W1882" s="627">
        <v>45901</v>
      </c>
      <c r="X1882" s="845"/>
    </row>
    <row r="1883" spans="1:24" hidden="1" x14ac:dyDescent="0.35">
      <c r="A1883" s="622" t="s">
        <v>526</v>
      </c>
      <c r="B1883" s="622" t="s">
        <v>53</v>
      </c>
      <c r="C1883" s="622" t="s">
        <v>530</v>
      </c>
      <c r="D1883" s="622" t="s">
        <v>531</v>
      </c>
      <c r="E1883" s="622" t="s">
        <v>532</v>
      </c>
      <c r="F1883" s="622" t="s">
        <v>276</v>
      </c>
      <c r="G1883" s="622" t="s">
        <v>356</v>
      </c>
      <c r="H1883" s="622" t="s">
        <v>565</v>
      </c>
      <c r="I1883" s="622" t="s">
        <v>277</v>
      </c>
      <c r="J1883" s="622" t="s">
        <v>524</v>
      </c>
      <c r="K1883" s="622" t="s">
        <v>534</v>
      </c>
      <c r="L1883" s="622" t="s">
        <v>597</v>
      </c>
      <c r="M1883" s="622" t="s">
        <v>566</v>
      </c>
      <c r="N1883" s="622" t="s">
        <v>670</v>
      </c>
      <c r="O1883" s="622" t="s">
        <v>670</v>
      </c>
      <c r="P1883" s="622" t="s">
        <v>524</v>
      </c>
      <c r="Q1883" s="622" t="s">
        <v>670</v>
      </c>
      <c r="R1883" s="623">
        <v>45905</v>
      </c>
      <c r="S1883" s="622" t="s">
        <v>278</v>
      </c>
      <c r="T1883" s="623">
        <v>45909</v>
      </c>
      <c r="U1883" s="624">
        <v>4</v>
      </c>
      <c r="V1883" s="625">
        <v>370.6</v>
      </c>
      <c r="W1883" s="627">
        <v>45901</v>
      </c>
      <c r="X1883" s="845"/>
    </row>
    <row r="1884" spans="1:24" hidden="1" x14ac:dyDescent="0.35">
      <c r="A1884" s="622" t="s">
        <v>526</v>
      </c>
      <c r="B1884" s="622" t="s">
        <v>53</v>
      </c>
      <c r="C1884" s="622" t="s">
        <v>530</v>
      </c>
      <c r="D1884" s="622" t="s">
        <v>531</v>
      </c>
      <c r="E1884" s="622" t="s">
        <v>532</v>
      </c>
      <c r="F1884" s="622" t="s">
        <v>276</v>
      </c>
      <c r="G1884" s="622" t="s">
        <v>356</v>
      </c>
      <c r="H1884" s="622" t="s">
        <v>565</v>
      </c>
      <c r="I1884" s="622" t="s">
        <v>277</v>
      </c>
      <c r="J1884" s="622" t="s">
        <v>524</v>
      </c>
      <c r="K1884" s="622" t="s">
        <v>534</v>
      </c>
      <c r="L1884" s="622" t="s">
        <v>597</v>
      </c>
      <c r="M1884" s="622" t="s">
        <v>566</v>
      </c>
      <c r="N1884" s="622" t="s">
        <v>670</v>
      </c>
      <c r="O1884" s="622" t="s">
        <v>670</v>
      </c>
      <c r="P1884" s="622" t="s">
        <v>524</v>
      </c>
      <c r="Q1884" s="622" t="s">
        <v>670</v>
      </c>
      <c r="R1884" s="623">
        <v>45912</v>
      </c>
      <c r="S1884" s="622" t="s">
        <v>278</v>
      </c>
      <c r="T1884" s="623">
        <v>45915</v>
      </c>
      <c r="U1884" s="624">
        <v>4</v>
      </c>
      <c r="V1884" s="625">
        <v>370.6</v>
      </c>
      <c r="W1884" s="627">
        <v>45901</v>
      </c>
      <c r="X1884" s="845"/>
    </row>
    <row r="1885" spans="1:24" hidden="1" x14ac:dyDescent="0.35">
      <c r="A1885" s="622" t="s">
        <v>526</v>
      </c>
      <c r="B1885" s="622" t="s">
        <v>53</v>
      </c>
      <c r="C1885" s="622" t="s">
        <v>530</v>
      </c>
      <c r="D1885" s="622" t="s">
        <v>531</v>
      </c>
      <c r="E1885" s="622" t="s">
        <v>532</v>
      </c>
      <c r="F1885" s="622" t="s">
        <v>276</v>
      </c>
      <c r="G1885" s="622" t="s">
        <v>356</v>
      </c>
      <c r="H1885" s="622" t="s">
        <v>565</v>
      </c>
      <c r="I1885" s="622" t="s">
        <v>277</v>
      </c>
      <c r="J1885" s="622" t="s">
        <v>524</v>
      </c>
      <c r="K1885" s="622" t="s">
        <v>534</v>
      </c>
      <c r="L1885" s="622" t="s">
        <v>597</v>
      </c>
      <c r="M1885" s="622" t="s">
        <v>566</v>
      </c>
      <c r="N1885" s="622" t="s">
        <v>670</v>
      </c>
      <c r="O1885" s="622" t="s">
        <v>670</v>
      </c>
      <c r="P1885" s="622" t="s">
        <v>524</v>
      </c>
      <c r="Q1885" s="622" t="s">
        <v>670</v>
      </c>
      <c r="R1885" s="623">
        <v>45911</v>
      </c>
      <c r="S1885" s="622" t="s">
        <v>278</v>
      </c>
      <c r="T1885" s="623">
        <v>45915</v>
      </c>
      <c r="U1885" s="624">
        <v>6</v>
      </c>
      <c r="V1885" s="625">
        <v>555.9</v>
      </c>
      <c r="W1885" s="627">
        <v>45901</v>
      </c>
      <c r="X1885" s="845"/>
    </row>
    <row r="1886" spans="1:24" hidden="1" x14ac:dyDescent="0.35">
      <c r="A1886" s="622" t="s">
        <v>526</v>
      </c>
      <c r="B1886" s="622" t="s">
        <v>53</v>
      </c>
      <c r="C1886" s="622" t="s">
        <v>530</v>
      </c>
      <c r="D1886" s="622" t="s">
        <v>531</v>
      </c>
      <c r="E1886" s="622" t="s">
        <v>532</v>
      </c>
      <c r="F1886" s="622" t="s">
        <v>276</v>
      </c>
      <c r="G1886" s="622" t="s">
        <v>356</v>
      </c>
      <c r="H1886" s="622" t="s">
        <v>565</v>
      </c>
      <c r="I1886" s="622" t="s">
        <v>277</v>
      </c>
      <c r="J1886" s="622" t="s">
        <v>524</v>
      </c>
      <c r="K1886" s="622" t="s">
        <v>534</v>
      </c>
      <c r="L1886" s="622" t="s">
        <v>597</v>
      </c>
      <c r="M1886" s="622" t="s">
        <v>566</v>
      </c>
      <c r="N1886" s="622" t="s">
        <v>670</v>
      </c>
      <c r="O1886" s="622" t="s">
        <v>670</v>
      </c>
      <c r="P1886" s="622" t="s">
        <v>524</v>
      </c>
      <c r="Q1886" s="622" t="s">
        <v>670</v>
      </c>
      <c r="R1886" s="623">
        <v>45910</v>
      </c>
      <c r="S1886" s="622" t="s">
        <v>278</v>
      </c>
      <c r="T1886" s="623">
        <v>45915</v>
      </c>
      <c r="U1886" s="624">
        <v>6</v>
      </c>
      <c r="V1886" s="625">
        <v>555.9</v>
      </c>
      <c r="W1886" s="627">
        <v>45901</v>
      </c>
      <c r="X1886" s="845"/>
    </row>
    <row r="1887" spans="1:24" hidden="1" x14ac:dyDescent="0.35">
      <c r="A1887" s="622" t="s">
        <v>526</v>
      </c>
      <c r="B1887" s="622" t="s">
        <v>53</v>
      </c>
      <c r="C1887" s="622" t="s">
        <v>530</v>
      </c>
      <c r="D1887" s="622" t="s">
        <v>531</v>
      </c>
      <c r="E1887" s="622" t="s">
        <v>532</v>
      </c>
      <c r="F1887" s="622" t="s">
        <v>276</v>
      </c>
      <c r="G1887" s="622" t="s">
        <v>356</v>
      </c>
      <c r="H1887" s="622" t="s">
        <v>565</v>
      </c>
      <c r="I1887" s="622" t="s">
        <v>277</v>
      </c>
      <c r="J1887" s="622" t="s">
        <v>524</v>
      </c>
      <c r="K1887" s="622" t="s">
        <v>534</v>
      </c>
      <c r="L1887" s="622" t="s">
        <v>597</v>
      </c>
      <c r="M1887" s="622" t="s">
        <v>566</v>
      </c>
      <c r="N1887" s="622" t="s">
        <v>670</v>
      </c>
      <c r="O1887" s="622" t="s">
        <v>670</v>
      </c>
      <c r="P1887" s="622" t="s">
        <v>524</v>
      </c>
      <c r="Q1887" s="622" t="s">
        <v>670</v>
      </c>
      <c r="R1887" s="623">
        <v>45908</v>
      </c>
      <c r="S1887" s="622" t="s">
        <v>278</v>
      </c>
      <c r="T1887" s="623">
        <v>45915</v>
      </c>
      <c r="U1887" s="624">
        <v>6</v>
      </c>
      <c r="V1887" s="625">
        <v>555.9</v>
      </c>
      <c r="W1887" s="627">
        <v>45901</v>
      </c>
      <c r="X1887" s="845"/>
    </row>
    <row r="1888" spans="1:24" hidden="1" x14ac:dyDescent="0.35">
      <c r="A1888" s="622" t="s">
        <v>526</v>
      </c>
      <c r="B1888" s="622" t="s">
        <v>53</v>
      </c>
      <c r="C1888" s="622" t="s">
        <v>530</v>
      </c>
      <c r="D1888" s="622" t="s">
        <v>531</v>
      </c>
      <c r="E1888" s="622" t="s">
        <v>532</v>
      </c>
      <c r="F1888" s="622" t="s">
        <v>276</v>
      </c>
      <c r="G1888" s="622" t="s">
        <v>356</v>
      </c>
      <c r="H1888" s="622" t="s">
        <v>565</v>
      </c>
      <c r="I1888" s="622" t="s">
        <v>277</v>
      </c>
      <c r="J1888" s="622" t="s">
        <v>524</v>
      </c>
      <c r="K1888" s="622" t="s">
        <v>534</v>
      </c>
      <c r="L1888" s="622" t="s">
        <v>597</v>
      </c>
      <c r="M1888" s="622" t="s">
        <v>566</v>
      </c>
      <c r="N1888" s="622" t="s">
        <v>670</v>
      </c>
      <c r="O1888" s="622" t="s">
        <v>670</v>
      </c>
      <c r="P1888" s="622" t="s">
        <v>524</v>
      </c>
      <c r="Q1888" s="622" t="s">
        <v>670</v>
      </c>
      <c r="R1888" s="623">
        <v>45902</v>
      </c>
      <c r="S1888" s="622" t="s">
        <v>278</v>
      </c>
      <c r="T1888" s="623">
        <v>45923</v>
      </c>
      <c r="U1888" s="624">
        <v>-4</v>
      </c>
      <c r="V1888" s="625">
        <v>-370.6</v>
      </c>
      <c r="W1888" s="627">
        <v>45901</v>
      </c>
      <c r="X1888" s="845"/>
    </row>
    <row r="1889" spans="1:24" hidden="1" x14ac:dyDescent="0.35">
      <c r="A1889" s="622" t="s">
        <v>526</v>
      </c>
      <c r="B1889" s="622" t="s">
        <v>53</v>
      </c>
      <c r="C1889" s="622" t="s">
        <v>530</v>
      </c>
      <c r="D1889" s="622" t="s">
        <v>531</v>
      </c>
      <c r="E1889" s="622" t="s">
        <v>532</v>
      </c>
      <c r="F1889" s="622" t="s">
        <v>276</v>
      </c>
      <c r="G1889" s="622" t="s">
        <v>356</v>
      </c>
      <c r="H1889" s="622" t="s">
        <v>565</v>
      </c>
      <c r="I1889" s="622" t="s">
        <v>277</v>
      </c>
      <c r="J1889" s="622" t="s">
        <v>524</v>
      </c>
      <c r="K1889" s="622" t="s">
        <v>534</v>
      </c>
      <c r="L1889" s="622" t="s">
        <v>597</v>
      </c>
      <c r="M1889" s="622" t="s">
        <v>566</v>
      </c>
      <c r="N1889" s="622" t="s">
        <v>670</v>
      </c>
      <c r="O1889" s="622" t="s">
        <v>670</v>
      </c>
      <c r="P1889" s="622" t="s">
        <v>524</v>
      </c>
      <c r="Q1889" s="622" t="s">
        <v>670</v>
      </c>
      <c r="R1889" s="623">
        <v>45903</v>
      </c>
      <c r="S1889" s="622" t="s">
        <v>278</v>
      </c>
      <c r="T1889" s="623">
        <v>45923</v>
      </c>
      <c r="U1889" s="624">
        <v>-6</v>
      </c>
      <c r="V1889" s="625">
        <v>-555.9</v>
      </c>
      <c r="W1889" s="627">
        <v>45901</v>
      </c>
      <c r="X1889" s="845"/>
    </row>
    <row r="1890" spans="1:24" hidden="1" x14ac:dyDescent="0.35">
      <c r="A1890" s="622" t="s">
        <v>526</v>
      </c>
      <c r="B1890" s="622" t="s">
        <v>53</v>
      </c>
      <c r="C1890" s="622" t="s">
        <v>530</v>
      </c>
      <c r="D1890" s="622" t="s">
        <v>531</v>
      </c>
      <c r="E1890" s="622" t="s">
        <v>532</v>
      </c>
      <c r="F1890" s="622" t="s">
        <v>276</v>
      </c>
      <c r="G1890" s="622" t="s">
        <v>356</v>
      </c>
      <c r="H1890" s="622" t="s">
        <v>565</v>
      </c>
      <c r="I1890" s="622" t="s">
        <v>277</v>
      </c>
      <c r="J1890" s="622" t="s">
        <v>524</v>
      </c>
      <c r="K1890" s="622" t="s">
        <v>534</v>
      </c>
      <c r="L1890" s="622" t="s">
        <v>597</v>
      </c>
      <c r="M1890" s="622" t="s">
        <v>566</v>
      </c>
      <c r="N1890" s="622" t="s">
        <v>670</v>
      </c>
      <c r="O1890" s="622" t="s">
        <v>670</v>
      </c>
      <c r="P1890" s="622" t="s">
        <v>524</v>
      </c>
      <c r="Q1890" s="622" t="s">
        <v>670</v>
      </c>
      <c r="R1890" s="623">
        <v>45904</v>
      </c>
      <c r="S1890" s="622" t="s">
        <v>278</v>
      </c>
      <c r="T1890" s="623">
        <v>45923</v>
      </c>
      <c r="U1890" s="624">
        <v>-6</v>
      </c>
      <c r="V1890" s="625">
        <v>-555.9</v>
      </c>
      <c r="W1890" s="627">
        <v>45901</v>
      </c>
      <c r="X1890" s="845"/>
    </row>
    <row r="1891" spans="1:24" hidden="1" x14ac:dyDescent="0.35">
      <c r="A1891" s="622" t="s">
        <v>526</v>
      </c>
      <c r="B1891" s="622" t="s">
        <v>53</v>
      </c>
      <c r="C1891" s="622" t="s">
        <v>530</v>
      </c>
      <c r="D1891" s="622" t="s">
        <v>531</v>
      </c>
      <c r="E1891" s="622" t="s">
        <v>532</v>
      </c>
      <c r="F1891" s="622" t="s">
        <v>276</v>
      </c>
      <c r="G1891" s="622" t="s">
        <v>356</v>
      </c>
      <c r="H1891" s="622" t="s">
        <v>565</v>
      </c>
      <c r="I1891" s="622" t="s">
        <v>277</v>
      </c>
      <c r="J1891" s="622" t="s">
        <v>524</v>
      </c>
      <c r="K1891" s="622" t="s">
        <v>534</v>
      </c>
      <c r="L1891" s="622" t="s">
        <v>597</v>
      </c>
      <c r="M1891" s="622" t="s">
        <v>566</v>
      </c>
      <c r="N1891" s="622" t="s">
        <v>670</v>
      </c>
      <c r="O1891" s="622" t="s">
        <v>670</v>
      </c>
      <c r="P1891" s="622" t="s">
        <v>524</v>
      </c>
      <c r="Q1891" s="622" t="s">
        <v>670</v>
      </c>
      <c r="R1891" s="623">
        <v>45905</v>
      </c>
      <c r="S1891" s="622" t="s">
        <v>278</v>
      </c>
      <c r="T1891" s="623">
        <v>45923</v>
      </c>
      <c r="U1891" s="624">
        <v>-4</v>
      </c>
      <c r="V1891" s="625">
        <v>-370.6</v>
      </c>
      <c r="W1891" s="627">
        <v>45901</v>
      </c>
      <c r="X1891" s="845"/>
    </row>
    <row r="1892" spans="1:24" hidden="1" x14ac:dyDescent="0.35">
      <c r="A1892" s="622" t="s">
        <v>526</v>
      </c>
      <c r="B1892" s="622" t="s">
        <v>53</v>
      </c>
      <c r="C1892" s="622" t="s">
        <v>530</v>
      </c>
      <c r="D1892" s="622" t="s">
        <v>531</v>
      </c>
      <c r="E1892" s="622" t="s">
        <v>532</v>
      </c>
      <c r="F1892" s="622" t="s">
        <v>276</v>
      </c>
      <c r="G1892" s="622" t="s">
        <v>356</v>
      </c>
      <c r="H1892" s="622" t="s">
        <v>565</v>
      </c>
      <c r="I1892" s="622" t="s">
        <v>277</v>
      </c>
      <c r="J1892" s="622" t="s">
        <v>524</v>
      </c>
      <c r="K1892" s="622" t="s">
        <v>534</v>
      </c>
      <c r="L1892" s="622" t="s">
        <v>597</v>
      </c>
      <c r="M1892" s="622" t="s">
        <v>566</v>
      </c>
      <c r="N1892" s="622" t="s">
        <v>670</v>
      </c>
      <c r="O1892" s="622" t="s">
        <v>670</v>
      </c>
      <c r="P1892" s="622" t="s">
        <v>524</v>
      </c>
      <c r="Q1892" s="622" t="s">
        <v>670</v>
      </c>
      <c r="R1892" s="623">
        <v>45912</v>
      </c>
      <c r="S1892" s="622" t="s">
        <v>278</v>
      </c>
      <c r="T1892" s="623">
        <v>45923</v>
      </c>
      <c r="U1892" s="624">
        <v>-4</v>
      </c>
      <c r="V1892" s="625">
        <v>-370.6</v>
      </c>
      <c r="W1892" s="627">
        <v>45901</v>
      </c>
      <c r="X1892" s="845"/>
    </row>
    <row r="1893" spans="1:24" hidden="1" x14ac:dyDescent="0.35">
      <c r="A1893" s="622" t="s">
        <v>526</v>
      </c>
      <c r="B1893" s="622" t="s">
        <v>53</v>
      </c>
      <c r="C1893" s="622" t="s">
        <v>530</v>
      </c>
      <c r="D1893" s="622" t="s">
        <v>531</v>
      </c>
      <c r="E1893" s="622" t="s">
        <v>532</v>
      </c>
      <c r="F1893" s="622" t="s">
        <v>276</v>
      </c>
      <c r="G1893" s="622" t="s">
        <v>356</v>
      </c>
      <c r="H1893" s="622" t="s">
        <v>565</v>
      </c>
      <c r="I1893" s="622" t="s">
        <v>277</v>
      </c>
      <c r="J1893" s="622" t="s">
        <v>524</v>
      </c>
      <c r="K1893" s="622" t="s">
        <v>534</v>
      </c>
      <c r="L1893" s="622" t="s">
        <v>597</v>
      </c>
      <c r="M1893" s="622" t="s">
        <v>566</v>
      </c>
      <c r="N1893" s="622" t="s">
        <v>670</v>
      </c>
      <c r="O1893" s="622" t="s">
        <v>670</v>
      </c>
      <c r="P1893" s="622" t="s">
        <v>524</v>
      </c>
      <c r="Q1893" s="622" t="s">
        <v>670</v>
      </c>
      <c r="R1893" s="623">
        <v>45911</v>
      </c>
      <c r="S1893" s="622" t="s">
        <v>278</v>
      </c>
      <c r="T1893" s="623">
        <v>45923</v>
      </c>
      <c r="U1893" s="624">
        <v>-6</v>
      </c>
      <c r="V1893" s="625">
        <v>-555.9</v>
      </c>
      <c r="W1893" s="627">
        <v>45901</v>
      </c>
      <c r="X1893" s="845"/>
    </row>
    <row r="1894" spans="1:24" hidden="1" x14ac:dyDescent="0.35">
      <c r="A1894" s="622" t="s">
        <v>526</v>
      </c>
      <c r="B1894" s="622" t="s">
        <v>53</v>
      </c>
      <c r="C1894" s="622" t="s">
        <v>530</v>
      </c>
      <c r="D1894" s="622" t="s">
        <v>531</v>
      </c>
      <c r="E1894" s="622" t="s">
        <v>532</v>
      </c>
      <c r="F1894" s="622" t="s">
        <v>276</v>
      </c>
      <c r="G1894" s="622" t="s">
        <v>356</v>
      </c>
      <c r="H1894" s="622" t="s">
        <v>565</v>
      </c>
      <c r="I1894" s="622" t="s">
        <v>277</v>
      </c>
      <c r="J1894" s="622" t="s">
        <v>524</v>
      </c>
      <c r="K1894" s="622" t="s">
        <v>534</v>
      </c>
      <c r="L1894" s="622" t="s">
        <v>597</v>
      </c>
      <c r="M1894" s="622" t="s">
        <v>566</v>
      </c>
      <c r="N1894" s="622" t="s">
        <v>670</v>
      </c>
      <c r="O1894" s="622" t="s">
        <v>670</v>
      </c>
      <c r="P1894" s="622" t="s">
        <v>524</v>
      </c>
      <c r="Q1894" s="622" t="s">
        <v>670</v>
      </c>
      <c r="R1894" s="623">
        <v>45910</v>
      </c>
      <c r="S1894" s="622" t="s">
        <v>278</v>
      </c>
      <c r="T1894" s="623">
        <v>45923</v>
      </c>
      <c r="U1894" s="624">
        <v>-6</v>
      </c>
      <c r="V1894" s="625">
        <v>-555.9</v>
      </c>
      <c r="W1894" s="627">
        <v>45901</v>
      </c>
      <c r="X1894" s="845"/>
    </row>
    <row r="1895" spans="1:24" hidden="1" x14ac:dyDescent="0.35">
      <c r="A1895" s="622" t="s">
        <v>526</v>
      </c>
      <c r="B1895" s="622" t="s">
        <v>53</v>
      </c>
      <c r="C1895" s="622" t="s">
        <v>530</v>
      </c>
      <c r="D1895" s="622" t="s">
        <v>531</v>
      </c>
      <c r="E1895" s="622" t="s">
        <v>532</v>
      </c>
      <c r="F1895" s="622" t="s">
        <v>276</v>
      </c>
      <c r="G1895" s="622" t="s">
        <v>356</v>
      </c>
      <c r="H1895" s="622" t="s">
        <v>565</v>
      </c>
      <c r="I1895" s="622" t="s">
        <v>277</v>
      </c>
      <c r="J1895" s="622" t="s">
        <v>524</v>
      </c>
      <c r="K1895" s="622" t="s">
        <v>534</v>
      </c>
      <c r="L1895" s="622" t="s">
        <v>597</v>
      </c>
      <c r="M1895" s="622" t="s">
        <v>566</v>
      </c>
      <c r="N1895" s="622" t="s">
        <v>670</v>
      </c>
      <c r="O1895" s="622" t="s">
        <v>670</v>
      </c>
      <c r="P1895" s="622" t="s">
        <v>524</v>
      </c>
      <c r="Q1895" s="622" t="s">
        <v>670</v>
      </c>
      <c r="R1895" s="623">
        <v>45908</v>
      </c>
      <c r="S1895" s="622" t="s">
        <v>278</v>
      </c>
      <c r="T1895" s="623">
        <v>45923</v>
      </c>
      <c r="U1895" s="624">
        <v>-6</v>
      </c>
      <c r="V1895" s="625">
        <v>-555.9</v>
      </c>
      <c r="W1895" s="627">
        <v>45901</v>
      </c>
      <c r="X1895" s="845"/>
    </row>
    <row r="1896" spans="1:24" hidden="1" x14ac:dyDescent="0.35">
      <c r="A1896" s="618" t="s">
        <v>748</v>
      </c>
      <c r="B1896" s="618" t="s">
        <v>53</v>
      </c>
      <c r="C1896" s="618"/>
      <c r="D1896" s="618" t="s">
        <v>385</v>
      </c>
      <c r="E1896" s="618" t="s">
        <v>386</v>
      </c>
      <c r="F1896" s="618" t="s">
        <v>276</v>
      </c>
      <c r="G1896" s="618" t="s">
        <v>356</v>
      </c>
      <c r="H1896" s="618"/>
      <c r="I1896" s="618" t="s">
        <v>277</v>
      </c>
      <c r="J1896" s="618" t="s">
        <v>654</v>
      </c>
      <c r="K1896" s="618"/>
      <c r="L1896" s="618" t="s">
        <v>599</v>
      </c>
      <c r="M1896" s="618" t="s">
        <v>285</v>
      </c>
      <c r="N1896" s="618" t="s">
        <v>747</v>
      </c>
      <c r="O1896" s="618" t="s">
        <v>675</v>
      </c>
      <c r="P1896" s="618" t="s">
        <v>654</v>
      </c>
      <c r="Q1896" s="618" t="s">
        <v>387</v>
      </c>
      <c r="R1896" s="619">
        <v>45939</v>
      </c>
      <c r="S1896" s="618" t="s">
        <v>388</v>
      </c>
      <c r="T1896" s="619">
        <v>45947</v>
      </c>
      <c r="U1896" s="620">
        <v>1</v>
      </c>
      <c r="V1896" s="621">
        <v>4515</v>
      </c>
      <c r="W1896" s="260">
        <v>45931</v>
      </c>
    </row>
    <row r="1897" spans="1:24" hidden="1" x14ac:dyDescent="0.35">
      <c r="A1897" s="622" t="s">
        <v>526</v>
      </c>
      <c r="B1897" s="622" t="s">
        <v>53</v>
      </c>
      <c r="C1897" s="622" t="s">
        <v>670</v>
      </c>
      <c r="D1897" s="622" t="s">
        <v>385</v>
      </c>
      <c r="E1897" s="622" t="s">
        <v>386</v>
      </c>
      <c r="F1897" s="622" t="s">
        <v>276</v>
      </c>
      <c r="G1897" s="622" t="s">
        <v>356</v>
      </c>
      <c r="H1897" s="622" t="s">
        <v>670</v>
      </c>
      <c r="I1897" s="622" t="s">
        <v>277</v>
      </c>
      <c r="J1897" s="622" t="s">
        <v>577</v>
      </c>
      <c r="K1897" s="622" t="s">
        <v>670</v>
      </c>
      <c r="L1897" s="622" t="s">
        <v>599</v>
      </c>
      <c r="M1897" s="622" t="s">
        <v>285</v>
      </c>
      <c r="N1897" s="622" t="s">
        <v>733</v>
      </c>
      <c r="O1897" s="622" t="s">
        <v>698</v>
      </c>
      <c r="P1897" s="622" t="s">
        <v>577</v>
      </c>
      <c r="Q1897" s="622" t="s">
        <v>387</v>
      </c>
      <c r="R1897" s="623">
        <v>45943</v>
      </c>
      <c r="S1897" s="622" t="s">
        <v>388</v>
      </c>
      <c r="T1897" s="623">
        <v>45946</v>
      </c>
      <c r="U1897" s="626">
        <v>1</v>
      </c>
      <c r="V1897" s="625">
        <v>1792</v>
      </c>
      <c r="W1897" s="260">
        <v>45931</v>
      </c>
    </row>
    <row r="1898" spans="1:24" hidden="1" x14ac:dyDescent="0.35">
      <c r="A1898" s="622" t="s">
        <v>526</v>
      </c>
      <c r="B1898" s="622" t="s">
        <v>159</v>
      </c>
      <c r="C1898" s="622" t="s">
        <v>281</v>
      </c>
      <c r="D1898" s="622" t="s">
        <v>340</v>
      </c>
      <c r="E1898" s="622" t="s">
        <v>283</v>
      </c>
      <c r="F1898" s="622" t="s">
        <v>276</v>
      </c>
      <c r="G1898" s="622" t="s">
        <v>356</v>
      </c>
      <c r="H1898" s="622" t="s">
        <v>670</v>
      </c>
      <c r="I1898" s="622" t="s">
        <v>277</v>
      </c>
      <c r="J1898" s="622" t="s">
        <v>522</v>
      </c>
      <c r="K1898" s="622" t="s">
        <v>284</v>
      </c>
      <c r="L1898" s="622" t="s">
        <v>599</v>
      </c>
      <c r="M1898" s="622" t="s">
        <v>285</v>
      </c>
      <c r="N1898" s="622" t="s">
        <v>670</v>
      </c>
      <c r="O1898" s="622" t="s">
        <v>670</v>
      </c>
      <c r="P1898" s="622" t="s">
        <v>522</v>
      </c>
      <c r="Q1898" s="622" t="s">
        <v>670</v>
      </c>
      <c r="R1898" s="623">
        <v>45964</v>
      </c>
      <c r="S1898" s="622" t="s">
        <v>670</v>
      </c>
      <c r="T1898" s="623">
        <v>45961</v>
      </c>
      <c r="U1898" s="624">
        <v>0</v>
      </c>
      <c r="V1898" s="625">
        <v>746.52</v>
      </c>
      <c r="W1898" s="260">
        <v>45931</v>
      </c>
    </row>
    <row r="1899" spans="1:24" hidden="1" x14ac:dyDescent="0.35">
      <c r="A1899" s="622" t="s">
        <v>526</v>
      </c>
      <c r="B1899" s="622" t="s">
        <v>159</v>
      </c>
      <c r="C1899" s="622" t="s">
        <v>286</v>
      </c>
      <c r="D1899" s="622" t="s">
        <v>341</v>
      </c>
      <c r="E1899" s="622" t="s">
        <v>288</v>
      </c>
      <c r="F1899" s="622" t="s">
        <v>276</v>
      </c>
      <c r="G1899" s="622" t="s">
        <v>356</v>
      </c>
      <c r="H1899" s="622" t="s">
        <v>670</v>
      </c>
      <c r="I1899" s="622" t="s">
        <v>277</v>
      </c>
      <c r="J1899" s="622" t="s">
        <v>522</v>
      </c>
      <c r="K1899" s="622" t="s">
        <v>289</v>
      </c>
      <c r="L1899" s="622" t="s">
        <v>599</v>
      </c>
      <c r="M1899" s="622" t="s">
        <v>285</v>
      </c>
      <c r="N1899" s="622" t="s">
        <v>670</v>
      </c>
      <c r="O1899" s="622" t="s">
        <v>670</v>
      </c>
      <c r="P1899" s="622" t="s">
        <v>522</v>
      </c>
      <c r="Q1899" s="622" t="s">
        <v>670</v>
      </c>
      <c r="R1899" s="623">
        <v>45964</v>
      </c>
      <c r="S1899" s="622" t="s">
        <v>670</v>
      </c>
      <c r="T1899" s="623">
        <v>45961</v>
      </c>
      <c r="U1899" s="624">
        <v>0</v>
      </c>
      <c r="V1899" s="625">
        <v>2275.1999999999998</v>
      </c>
      <c r="W1899" s="260">
        <v>45931</v>
      </c>
    </row>
    <row r="1900" spans="1:24" hidden="1" x14ac:dyDescent="0.35">
      <c r="A1900" s="622" t="s">
        <v>526</v>
      </c>
      <c r="B1900" s="622" t="s">
        <v>159</v>
      </c>
      <c r="C1900" s="622" t="s">
        <v>281</v>
      </c>
      <c r="D1900" s="622" t="s">
        <v>342</v>
      </c>
      <c r="E1900" s="622" t="s">
        <v>291</v>
      </c>
      <c r="F1900" s="622" t="s">
        <v>276</v>
      </c>
      <c r="G1900" s="622" t="s">
        <v>356</v>
      </c>
      <c r="H1900" s="622" t="s">
        <v>670</v>
      </c>
      <c r="I1900" s="622" t="s">
        <v>277</v>
      </c>
      <c r="J1900" s="622" t="s">
        <v>522</v>
      </c>
      <c r="K1900" s="622" t="s">
        <v>284</v>
      </c>
      <c r="L1900" s="622" t="s">
        <v>599</v>
      </c>
      <c r="M1900" s="622" t="s">
        <v>285</v>
      </c>
      <c r="N1900" s="622" t="s">
        <v>670</v>
      </c>
      <c r="O1900" s="622" t="s">
        <v>670</v>
      </c>
      <c r="P1900" s="622" t="s">
        <v>522</v>
      </c>
      <c r="Q1900" s="622" t="s">
        <v>670</v>
      </c>
      <c r="R1900" s="623">
        <v>45964</v>
      </c>
      <c r="S1900" s="622" t="s">
        <v>670</v>
      </c>
      <c r="T1900" s="623">
        <v>45961</v>
      </c>
      <c r="U1900" s="624">
        <v>0</v>
      </c>
      <c r="V1900" s="625">
        <v>207.62</v>
      </c>
      <c r="W1900" s="260">
        <v>45931</v>
      </c>
    </row>
    <row r="1901" spans="1:24" hidden="1" x14ac:dyDescent="0.35">
      <c r="A1901" s="622" t="s">
        <v>526</v>
      </c>
      <c r="B1901" s="622" t="s">
        <v>159</v>
      </c>
      <c r="C1901" s="622" t="s">
        <v>281</v>
      </c>
      <c r="D1901" s="622" t="s">
        <v>343</v>
      </c>
      <c r="E1901" s="622" t="s">
        <v>293</v>
      </c>
      <c r="F1901" s="622" t="s">
        <v>276</v>
      </c>
      <c r="G1901" s="622" t="s">
        <v>356</v>
      </c>
      <c r="H1901" s="622" t="s">
        <v>670</v>
      </c>
      <c r="I1901" s="622" t="s">
        <v>277</v>
      </c>
      <c r="J1901" s="622" t="s">
        <v>522</v>
      </c>
      <c r="K1901" s="622" t="s">
        <v>294</v>
      </c>
      <c r="L1901" s="622" t="s">
        <v>599</v>
      </c>
      <c r="M1901" s="622" t="s">
        <v>285</v>
      </c>
      <c r="N1901" s="622" t="s">
        <v>670</v>
      </c>
      <c r="O1901" s="622" t="s">
        <v>670</v>
      </c>
      <c r="P1901" s="622" t="s">
        <v>522</v>
      </c>
      <c r="Q1901" s="622" t="s">
        <v>670</v>
      </c>
      <c r="R1901" s="623">
        <v>45964</v>
      </c>
      <c r="S1901" s="622" t="s">
        <v>670</v>
      </c>
      <c r="T1901" s="623">
        <v>45961</v>
      </c>
      <c r="U1901" s="624">
        <v>0</v>
      </c>
      <c r="V1901" s="625">
        <v>297.31</v>
      </c>
      <c r="W1901" s="260">
        <v>45931</v>
      </c>
    </row>
    <row r="1902" spans="1:24" hidden="1" x14ac:dyDescent="0.35">
      <c r="A1902" s="622" t="s">
        <v>526</v>
      </c>
      <c r="B1902" s="622" t="s">
        <v>159</v>
      </c>
      <c r="C1902" s="622" t="s">
        <v>286</v>
      </c>
      <c r="D1902" s="622" t="s">
        <v>344</v>
      </c>
      <c r="E1902" s="622" t="s">
        <v>296</v>
      </c>
      <c r="F1902" s="622" t="s">
        <v>276</v>
      </c>
      <c r="G1902" s="622" t="s">
        <v>356</v>
      </c>
      <c r="H1902" s="622" t="s">
        <v>670</v>
      </c>
      <c r="I1902" s="622" t="s">
        <v>277</v>
      </c>
      <c r="J1902" s="622" t="s">
        <v>522</v>
      </c>
      <c r="K1902" s="622" t="s">
        <v>297</v>
      </c>
      <c r="L1902" s="622" t="s">
        <v>599</v>
      </c>
      <c r="M1902" s="622" t="s">
        <v>285</v>
      </c>
      <c r="N1902" s="622" t="s">
        <v>670</v>
      </c>
      <c r="O1902" s="622" t="s">
        <v>670</v>
      </c>
      <c r="P1902" s="622" t="s">
        <v>522</v>
      </c>
      <c r="Q1902" s="622" t="s">
        <v>670</v>
      </c>
      <c r="R1902" s="623">
        <v>45964</v>
      </c>
      <c r="S1902" s="622" t="s">
        <v>670</v>
      </c>
      <c r="T1902" s="623">
        <v>45961</v>
      </c>
      <c r="U1902" s="624">
        <v>0</v>
      </c>
      <c r="V1902" s="625">
        <v>697.5</v>
      </c>
      <c r="W1902" s="260">
        <v>45931</v>
      </c>
    </row>
    <row r="1903" spans="1:24" hidden="1" x14ac:dyDescent="0.35">
      <c r="A1903" s="622" t="s">
        <v>526</v>
      </c>
      <c r="B1903" s="622" t="s">
        <v>159</v>
      </c>
      <c r="C1903" s="622" t="s">
        <v>530</v>
      </c>
      <c r="D1903" s="622" t="s">
        <v>531</v>
      </c>
      <c r="E1903" s="622" t="s">
        <v>532</v>
      </c>
      <c r="F1903" s="622" t="s">
        <v>276</v>
      </c>
      <c r="G1903" s="622" t="s">
        <v>356</v>
      </c>
      <c r="H1903" s="622" t="s">
        <v>565</v>
      </c>
      <c r="I1903" s="622" t="s">
        <v>277</v>
      </c>
      <c r="J1903" s="622" t="s">
        <v>522</v>
      </c>
      <c r="K1903" s="622" t="s">
        <v>534</v>
      </c>
      <c r="L1903" s="622" t="s">
        <v>599</v>
      </c>
      <c r="M1903" s="622" t="s">
        <v>566</v>
      </c>
      <c r="N1903" s="622" t="s">
        <v>670</v>
      </c>
      <c r="O1903" s="622" t="s">
        <v>670</v>
      </c>
      <c r="P1903" s="622" t="s">
        <v>522</v>
      </c>
      <c r="Q1903" s="622" t="s">
        <v>670</v>
      </c>
      <c r="R1903" s="623">
        <v>45937</v>
      </c>
      <c r="S1903" s="622" t="s">
        <v>278</v>
      </c>
      <c r="T1903" s="623">
        <v>45943</v>
      </c>
      <c r="U1903" s="624">
        <v>3</v>
      </c>
      <c r="V1903" s="625">
        <v>277.95</v>
      </c>
      <c r="W1903" s="260">
        <v>45931</v>
      </c>
      <c r="X1903" s="845"/>
    </row>
    <row r="1904" spans="1:24" hidden="1" x14ac:dyDescent="0.35">
      <c r="A1904" s="622" t="s">
        <v>526</v>
      </c>
      <c r="B1904" s="622" t="s">
        <v>159</v>
      </c>
      <c r="C1904" s="622" t="s">
        <v>530</v>
      </c>
      <c r="D1904" s="622" t="s">
        <v>531</v>
      </c>
      <c r="E1904" s="622" t="s">
        <v>532</v>
      </c>
      <c r="F1904" s="622" t="s">
        <v>276</v>
      </c>
      <c r="G1904" s="622" t="s">
        <v>356</v>
      </c>
      <c r="H1904" s="622" t="s">
        <v>565</v>
      </c>
      <c r="I1904" s="622" t="s">
        <v>277</v>
      </c>
      <c r="J1904" s="622" t="s">
        <v>522</v>
      </c>
      <c r="K1904" s="622" t="s">
        <v>534</v>
      </c>
      <c r="L1904" s="622" t="s">
        <v>599</v>
      </c>
      <c r="M1904" s="622" t="s">
        <v>566</v>
      </c>
      <c r="N1904" s="622" t="s">
        <v>670</v>
      </c>
      <c r="O1904" s="622" t="s">
        <v>670</v>
      </c>
      <c r="P1904" s="622" t="s">
        <v>522</v>
      </c>
      <c r="Q1904" s="622" t="s">
        <v>670</v>
      </c>
      <c r="R1904" s="623">
        <v>45936</v>
      </c>
      <c r="S1904" s="622" t="s">
        <v>278</v>
      </c>
      <c r="T1904" s="623">
        <v>45943</v>
      </c>
      <c r="U1904" s="624">
        <v>3</v>
      </c>
      <c r="V1904" s="625">
        <v>277.95</v>
      </c>
      <c r="W1904" s="260">
        <v>45931</v>
      </c>
      <c r="X1904" s="845"/>
    </row>
    <row r="1905" spans="1:24" hidden="1" x14ac:dyDescent="0.35">
      <c r="A1905" s="622" t="s">
        <v>526</v>
      </c>
      <c r="B1905" s="622" t="s">
        <v>159</v>
      </c>
      <c r="C1905" s="622" t="s">
        <v>530</v>
      </c>
      <c r="D1905" s="622" t="s">
        <v>531</v>
      </c>
      <c r="E1905" s="622" t="s">
        <v>532</v>
      </c>
      <c r="F1905" s="622" t="s">
        <v>276</v>
      </c>
      <c r="G1905" s="622" t="s">
        <v>356</v>
      </c>
      <c r="H1905" s="622" t="s">
        <v>565</v>
      </c>
      <c r="I1905" s="622" t="s">
        <v>277</v>
      </c>
      <c r="J1905" s="622" t="s">
        <v>522</v>
      </c>
      <c r="K1905" s="622" t="s">
        <v>534</v>
      </c>
      <c r="L1905" s="622" t="s">
        <v>599</v>
      </c>
      <c r="M1905" s="622" t="s">
        <v>566</v>
      </c>
      <c r="N1905" s="622" t="s">
        <v>670</v>
      </c>
      <c r="O1905" s="622" t="s">
        <v>670</v>
      </c>
      <c r="P1905" s="622" t="s">
        <v>522</v>
      </c>
      <c r="Q1905" s="622" t="s">
        <v>670</v>
      </c>
      <c r="R1905" s="623">
        <v>45933</v>
      </c>
      <c r="S1905" s="622" t="s">
        <v>278</v>
      </c>
      <c r="T1905" s="623">
        <v>45943</v>
      </c>
      <c r="U1905" s="624">
        <v>6</v>
      </c>
      <c r="V1905" s="625">
        <v>555.9</v>
      </c>
      <c r="W1905" s="260">
        <v>45931</v>
      </c>
      <c r="X1905" s="845"/>
    </row>
    <row r="1906" spans="1:24" hidden="1" x14ac:dyDescent="0.35">
      <c r="A1906" s="622" t="s">
        <v>526</v>
      </c>
      <c r="B1906" s="622" t="s">
        <v>159</v>
      </c>
      <c r="C1906" s="622" t="s">
        <v>530</v>
      </c>
      <c r="D1906" s="622" t="s">
        <v>531</v>
      </c>
      <c r="E1906" s="622" t="s">
        <v>532</v>
      </c>
      <c r="F1906" s="622" t="s">
        <v>276</v>
      </c>
      <c r="G1906" s="622" t="s">
        <v>356</v>
      </c>
      <c r="H1906" s="622" t="s">
        <v>565</v>
      </c>
      <c r="I1906" s="622" t="s">
        <v>277</v>
      </c>
      <c r="J1906" s="622" t="s">
        <v>522</v>
      </c>
      <c r="K1906" s="622" t="s">
        <v>534</v>
      </c>
      <c r="L1906" s="622" t="s">
        <v>599</v>
      </c>
      <c r="M1906" s="622" t="s">
        <v>566</v>
      </c>
      <c r="N1906" s="622" t="s">
        <v>670</v>
      </c>
      <c r="O1906" s="622" t="s">
        <v>670</v>
      </c>
      <c r="P1906" s="622" t="s">
        <v>522</v>
      </c>
      <c r="Q1906" s="622" t="s">
        <v>670</v>
      </c>
      <c r="R1906" s="623">
        <v>45932</v>
      </c>
      <c r="S1906" s="622" t="s">
        <v>278</v>
      </c>
      <c r="T1906" s="623">
        <v>45943</v>
      </c>
      <c r="U1906" s="624">
        <v>6</v>
      </c>
      <c r="V1906" s="625">
        <v>555.9</v>
      </c>
      <c r="W1906" s="260">
        <v>45931</v>
      </c>
      <c r="X1906" s="845"/>
    </row>
    <row r="1907" spans="1:24" hidden="1" x14ac:dyDescent="0.35">
      <c r="A1907" s="622" t="s">
        <v>526</v>
      </c>
      <c r="B1907" s="622" t="s">
        <v>159</v>
      </c>
      <c r="C1907" s="622" t="s">
        <v>530</v>
      </c>
      <c r="D1907" s="622" t="s">
        <v>531</v>
      </c>
      <c r="E1907" s="622" t="s">
        <v>532</v>
      </c>
      <c r="F1907" s="622" t="s">
        <v>276</v>
      </c>
      <c r="G1907" s="622" t="s">
        <v>356</v>
      </c>
      <c r="H1907" s="622" t="s">
        <v>565</v>
      </c>
      <c r="I1907" s="622" t="s">
        <v>277</v>
      </c>
      <c r="J1907" s="622" t="s">
        <v>522</v>
      </c>
      <c r="K1907" s="622" t="s">
        <v>534</v>
      </c>
      <c r="L1907" s="622" t="s">
        <v>599</v>
      </c>
      <c r="M1907" s="622" t="s">
        <v>566</v>
      </c>
      <c r="N1907" s="622" t="s">
        <v>670</v>
      </c>
      <c r="O1907" s="622" t="s">
        <v>670</v>
      </c>
      <c r="P1907" s="622" t="s">
        <v>522</v>
      </c>
      <c r="Q1907" s="622" t="s">
        <v>670</v>
      </c>
      <c r="R1907" s="623">
        <v>45931</v>
      </c>
      <c r="S1907" s="622" t="s">
        <v>278</v>
      </c>
      <c r="T1907" s="623">
        <v>45943</v>
      </c>
      <c r="U1907" s="624">
        <v>6</v>
      </c>
      <c r="V1907" s="625">
        <v>555.9</v>
      </c>
      <c r="W1907" s="260">
        <v>45931</v>
      </c>
      <c r="X1907" s="845"/>
    </row>
    <row r="1908" spans="1:24" hidden="1" x14ac:dyDescent="0.35">
      <c r="A1908" s="622" t="s">
        <v>526</v>
      </c>
      <c r="B1908" s="622" t="s">
        <v>159</v>
      </c>
      <c r="C1908" s="622" t="s">
        <v>530</v>
      </c>
      <c r="D1908" s="622" t="s">
        <v>531</v>
      </c>
      <c r="E1908" s="622" t="s">
        <v>532</v>
      </c>
      <c r="F1908" s="622" t="s">
        <v>276</v>
      </c>
      <c r="G1908" s="622" t="s">
        <v>356</v>
      </c>
      <c r="H1908" s="622" t="s">
        <v>565</v>
      </c>
      <c r="I1908" s="622" t="s">
        <v>277</v>
      </c>
      <c r="J1908" s="622" t="s">
        <v>522</v>
      </c>
      <c r="K1908" s="622" t="s">
        <v>534</v>
      </c>
      <c r="L1908" s="622" t="s">
        <v>599</v>
      </c>
      <c r="M1908" s="622" t="s">
        <v>566</v>
      </c>
      <c r="N1908" s="622" t="s">
        <v>670</v>
      </c>
      <c r="O1908" s="622" t="s">
        <v>670</v>
      </c>
      <c r="P1908" s="622" t="s">
        <v>522</v>
      </c>
      <c r="Q1908" s="622" t="s">
        <v>670</v>
      </c>
      <c r="R1908" s="623">
        <v>45930</v>
      </c>
      <c r="S1908" s="622" t="s">
        <v>278</v>
      </c>
      <c r="T1908" s="623">
        <v>45943</v>
      </c>
      <c r="U1908" s="624">
        <v>6</v>
      </c>
      <c r="V1908" s="625">
        <v>555.9</v>
      </c>
      <c r="W1908" s="260">
        <v>45931</v>
      </c>
      <c r="X1908" s="845"/>
    </row>
    <row r="1909" spans="1:24" hidden="1" x14ac:dyDescent="0.35">
      <c r="A1909" s="622" t="s">
        <v>526</v>
      </c>
      <c r="B1909" s="622" t="s">
        <v>159</v>
      </c>
      <c r="C1909" s="622" t="s">
        <v>530</v>
      </c>
      <c r="D1909" s="622" t="s">
        <v>531</v>
      </c>
      <c r="E1909" s="622" t="s">
        <v>532</v>
      </c>
      <c r="F1909" s="622" t="s">
        <v>276</v>
      </c>
      <c r="G1909" s="622" t="s">
        <v>356</v>
      </c>
      <c r="H1909" s="622" t="s">
        <v>565</v>
      </c>
      <c r="I1909" s="622" t="s">
        <v>277</v>
      </c>
      <c r="J1909" s="622" t="s">
        <v>522</v>
      </c>
      <c r="K1909" s="622" t="s">
        <v>534</v>
      </c>
      <c r="L1909" s="622" t="s">
        <v>599</v>
      </c>
      <c r="M1909" s="622" t="s">
        <v>566</v>
      </c>
      <c r="N1909" s="622" t="s">
        <v>670</v>
      </c>
      <c r="O1909" s="622" t="s">
        <v>670</v>
      </c>
      <c r="P1909" s="622" t="s">
        <v>522</v>
      </c>
      <c r="Q1909" s="622" t="s">
        <v>670</v>
      </c>
      <c r="R1909" s="623">
        <v>45929</v>
      </c>
      <c r="S1909" s="622" t="s">
        <v>278</v>
      </c>
      <c r="T1909" s="623">
        <v>45943</v>
      </c>
      <c r="U1909" s="624">
        <v>6</v>
      </c>
      <c r="V1909" s="625">
        <v>555.9</v>
      </c>
      <c r="W1909" s="260">
        <v>45931</v>
      </c>
      <c r="X1909" s="845"/>
    </row>
    <row r="1910" spans="1:24" hidden="1" x14ac:dyDescent="0.35">
      <c r="A1910" s="622" t="s">
        <v>526</v>
      </c>
      <c r="B1910" s="622" t="s">
        <v>159</v>
      </c>
      <c r="C1910" s="622" t="s">
        <v>530</v>
      </c>
      <c r="D1910" s="622" t="s">
        <v>531</v>
      </c>
      <c r="E1910" s="622" t="s">
        <v>532</v>
      </c>
      <c r="F1910" s="622" t="s">
        <v>276</v>
      </c>
      <c r="G1910" s="622" t="s">
        <v>356</v>
      </c>
      <c r="H1910" s="622" t="s">
        <v>567</v>
      </c>
      <c r="I1910" s="622" t="s">
        <v>277</v>
      </c>
      <c r="J1910" s="622" t="s">
        <v>522</v>
      </c>
      <c r="K1910" s="622" t="s">
        <v>534</v>
      </c>
      <c r="L1910" s="622" t="s">
        <v>599</v>
      </c>
      <c r="M1910" s="622" t="s">
        <v>568</v>
      </c>
      <c r="N1910" s="622" t="s">
        <v>670</v>
      </c>
      <c r="O1910" s="622" t="s">
        <v>670</v>
      </c>
      <c r="P1910" s="622" t="s">
        <v>522</v>
      </c>
      <c r="Q1910" s="622" t="s">
        <v>670</v>
      </c>
      <c r="R1910" s="623">
        <v>45940</v>
      </c>
      <c r="S1910" s="622" t="s">
        <v>278</v>
      </c>
      <c r="T1910" s="623">
        <v>45947</v>
      </c>
      <c r="U1910" s="624">
        <v>4</v>
      </c>
      <c r="V1910" s="625">
        <v>370.6</v>
      </c>
      <c r="W1910" s="260">
        <v>45931</v>
      </c>
      <c r="X1910" s="845"/>
    </row>
    <row r="1911" spans="1:24" hidden="1" x14ac:dyDescent="0.35">
      <c r="A1911" s="622" t="s">
        <v>526</v>
      </c>
      <c r="B1911" s="622" t="s">
        <v>159</v>
      </c>
      <c r="C1911" s="622" t="s">
        <v>530</v>
      </c>
      <c r="D1911" s="622" t="s">
        <v>531</v>
      </c>
      <c r="E1911" s="622" t="s">
        <v>532</v>
      </c>
      <c r="F1911" s="622" t="s">
        <v>276</v>
      </c>
      <c r="G1911" s="622" t="s">
        <v>356</v>
      </c>
      <c r="H1911" s="622" t="s">
        <v>567</v>
      </c>
      <c r="I1911" s="622" t="s">
        <v>277</v>
      </c>
      <c r="J1911" s="622" t="s">
        <v>522</v>
      </c>
      <c r="K1911" s="622" t="s">
        <v>534</v>
      </c>
      <c r="L1911" s="622" t="s">
        <v>599</v>
      </c>
      <c r="M1911" s="622" t="s">
        <v>568</v>
      </c>
      <c r="N1911" s="622" t="s">
        <v>670</v>
      </c>
      <c r="O1911" s="622" t="s">
        <v>670</v>
      </c>
      <c r="P1911" s="622" t="s">
        <v>522</v>
      </c>
      <c r="Q1911" s="622" t="s">
        <v>670</v>
      </c>
      <c r="R1911" s="623">
        <v>45939</v>
      </c>
      <c r="S1911" s="622" t="s">
        <v>278</v>
      </c>
      <c r="T1911" s="623">
        <v>45947</v>
      </c>
      <c r="U1911" s="624">
        <v>4</v>
      </c>
      <c r="V1911" s="625">
        <v>370.6</v>
      </c>
      <c r="W1911" s="260">
        <v>45931</v>
      </c>
      <c r="X1911" s="845"/>
    </row>
    <row r="1912" spans="1:24" hidden="1" x14ac:dyDescent="0.35">
      <c r="A1912" s="622" t="s">
        <v>526</v>
      </c>
      <c r="B1912" s="622" t="s">
        <v>159</v>
      </c>
      <c r="C1912" s="622" t="s">
        <v>530</v>
      </c>
      <c r="D1912" s="622" t="s">
        <v>531</v>
      </c>
      <c r="E1912" s="622" t="s">
        <v>532</v>
      </c>
      <c r="F1912" s="622" t="s">
        <v>276</v>
      </c>
      <c r="G1912" s="622" t="s">
        <v>356</v>
      </c>
      <c r="H1912" s="622" t="s">
        <v>567</v>
      </c>
      <c r="I1912" s="622" t="s">
        <v>277</v>
      </c>
      <c r="J1912" s="622" t="s">
        <v>522</v>
      </c>
      <c r="K1912" s="622" t="s">
        <v>534</v>
      </c>
      <c r="L1912" s="622" t="s">
        <v>599</v>
      </c>
      <c r="M1912" s="622" t="s">
        <v>568</v>
      </c>
      <c r="N1912" s="622" t="s">
        <v>670</v>
      </c>
      <c r="O1912" s="622" t="s">
        <v>670</v>
      </c>
      <c r="P1912" s="622" t="s">
        <v>522</v>
      </c>
      <c r="Q1912" s="622" t="s">
        <v>670</v>
      </c>
      <c r="R1912" s="623">
        <v>45938</v>
      </c>
      <c r="S1912" s="622" t="s">
        <v>278</v>
      </c>
      <c r="T1912" s="623">
        <v>45947</v>
      </c>
      <c r="U1912" s="624">
        <v>4</v>
      </c>
      <c r="V1912" s="625">
        <v>370.6</v>
      </c>
      <c r="W1912" s="260">
        <v>45931</v>
      </c>
      <c r="X1912" s="845"/>
    </row>
    <row r="1913" spans="1:24" hidden="1" x14ac:dyDescent="0.35">
      <c r="A1913" s="622" t="s">
        <v>526</v>
      </c>
      <c r="B1913" s="622" t="s">
        <v>159</v>
      </c>
      <c r="C1913" s="622" t="s">
        <v>530</v>
      </c>
      <c r="D1913" s="622" t="s">
        <v>531</v>
      </c>
      <c r="E1913" s="622" t="s">
        <v>532</v>
      </c>
      <c r="F1913" s="622" t="s">
        <v>276</v>
      </c>
      <c r="G1913" s="622" t="s">
        <v>356</v>
      </c>
      <c r="H1913" s="622" t="s">
        <v>567</v>
      </c>
      <c r="I1913" s="622" t="s">
        <v>277</v>
      </c>
      <c r="J1913" s="622" t="s">
        <v>522</v>
      </c>
      <c r="K1913" s="622" t="s">
        <v>534</v>
      </c>
      <c r="L1913" s="622" t="s">
        <v>599</v>
      </c>
      <c r="M1913" s="622" t="s">
        <v>568</v>
      </c>
      <c r="N1913" s="622" t="s">
        <v>670</v>
      </c>
      <c r="O1913" s="622" t="s">
        <v>670</v>
      </c>
      <c r="P1913" s="622" t="s">
        <v>522</v>
      </c>
      <c r="Q1913" s="622" t="s">
        <v>670</v>
      </c>
      <c r="R1913" s="623">
        <v>45937</v>
      </c>
      <c r="S1913" s="622" t="s">
        <v>278</v>
      </c>
      <c r="T1913" s="623">
        <v>45947</v>
      </c>
      <c r="U1913" s="624">
        <v>4</v>
      </c>
      <c r="V1913" s="625">
        <v>370.6</v>
      </c>
      <c r="W1913" s="260">
        <v>45931</v>
      </c>
      <c r="X1913" s="845"/>
    </row>
    <row r="1914" spans="1:24" hidden="1" x14ac:dyDescent="0.35">
      <c r="A1914" s="622" t="s">
        <v>526</v>
      </c>
      <c r="B1914" s="622" t="s">
        <v>159</v>
      </c>
      <c r="C1914" s="622" t="s">
        <v>530</v>
      </c>
      <c r="D1914" s="622" t="s">
        <v>531</v>
      </c>
      <c r="E1914" s="622" t="s">
        <v>532</v>
      </c>
      <c r="F1914" s="622" t="s">
        <v>276</v>
      </c>
      <c r="G1914" s="622" t="s">
        <v>356</v>
      </c>
      <c r="H1914" s="622" t="s">
        <v>567</v>
      </c>
      <c r="I1914" s="622" t="s">
        <v>277</v>
      </c>
      <c r="J1914" s="622" t="s">
        <v>522</v>
      </c>
      <c r="K1914" s="622" t="s">
        <v>534</v>
      </c>
      <c r="L1914" s="622" t="s">
        <v>599</v>
      </c>
      <c r="M1914" s="622" t="s">
        <v>568</v>
      </c>
      <c r="N1914" s="622" t="s">
        <v>670</v>
      </c>
      <c r="O1914" s="622" t="s">
        <v>670</v>
      </c>
      <c r="P1914" s="622" t="s">
        <v>522</v>
      </c>
      <c r="Q1914" s="622" t="s">
        <v>670</v>
      </c>
      <c r="R1914" s="623">
        <v>45936</v>
      </c>
      <c r="S1914" s="622" t="s">
        <v>278</v>
      </c>
      <c r="T1914" s="623">
        <v>45947</v>
      </c>
      <c r="U1914" s="624">
        <v>4</v>
      </c>
      <c r="V1914" s="625">
        <v>370.6</v>
      </c>
      <c r="W1914" s="260">
        <v>45931</v>
      </c>
      <c r="X1914" s="845"/>
    </row>
    <row r="1915" spans="1:24" hidden="1" x14ac:dyDescent="0.35">
      <c r="A1915" s="622" t="s">
        <v>526</v>
      </c>
      <c r="B1915" s="622" t="s">
        <v>159</v>
      </c>
      <c r="C1915" s="622" t="s">
        <v>530</v>
      </c>
      <c r="D1915" s="622" t="s">
        <v>531</v>
      </c>
      <c r="E1915" s="622" t="s">
        <v>532</v>
      </c>
      <c r="F1915" s="622" t="s">
        <v>276</v>
      </c>
      <c r="G1915" s="622" t="s">
        <v>356</v>
      </c>
      <c r="H1915" s="622" t="s">
        <v>567</v>
      </c>
      <c r="I1915" s="622" t="s">
        <v>277</v>
      </c>
      <c r="J1915" s="622" t="s">
        <v>522</v>
      </c>
      <c r="K1915" s="622" t="s">
        <v>534</v>
      </c>
      <c r="L1915" s="622" t="s">
        <v>599</v>
      </c>
      <c r="M1915" s="622" t="s">
        <v>568</v>
      </c>
      <c r="N1915" s="622" t="s">
        <v>670</v>
      </c>
      <c r="O1915" s="622" t="s">
        <v>670</v>
      </c>
      <c r="P1915" s="622" t="s">
        <v>522</v>
      </c>
      <c r="Q1915" s="622" t="s">
        <v>670</v>
      </c>
      <c r="R1915" s="623">
        <v>45933</v>
      </c>
      <c r="S1915" s="622" t="s">
        <v>278</v>
      </c>
      <c r="T1915" s="623">
        <v>45947</v>
      </c>
      <c r="U1915" s="624">
        <v>4</v>
      </c>
      <c r="V1915" s="625">
        <v>370.6</v>
      </c>
      <c r="W1915" s="260">
        <v>45931</v>
      </c>
      <c r="X1915" s="845"/>
    </row>
    <row r="1916" spans="1:24" hidden="1" x14ac:dyDescent="0.35">
      <c r="A1916" s="622" t="s">
        <v>526</v>
      </c>
      <c r="B1916" s="622" t="s">
        <v>159</v>
      </c>
      <c r="C1916" s="622" t="s">
        <v>530</v>
      </c>
      <c r="D1916" s="622" t="s">
        <v>531</v>
      </c>
      <c r="E1916" s="622" t="s">
        <v>532</v>
      </c>
      <c r="F1916" s="622" t="s">
        <v>276</v>
      </c>
      <c r="G1916" s="622" t="s">
        <v>356</v>
      </c>
      <c r="H1916" s="622" t="s">
        <v>567</v>
      </c>
      <c r="I1916" s="622" t="s">
        <v>277</v>
      </c>
      <c r="J1916" s="622" t="s">
        <v>522</v>
      </c>
      <c r="K1916" s="622" t="s">
        <v>534</v>
      </c>
      <c r="L1916" s="622" t="s">
        <v>599</v>
      </c>
      <c r="M1916" s="622" t="s">
        <v>568</v>
      </c>
      <c r="N1916" s="622" t="s">
        <v>670</v>
      </c>
      <c r="O1916" s="622" t="s">
        <v>670</v>
      </c>
      <c r="P1916" s="622" t="s">
        <v>522</v>
      </c>
      <c r="Q1916" s="622" t="s">
        <v>670</v>
      </c>
      <c r="R1916" s="623">
        <v>45932</v>
      </c>
      <c r="S1916" s="622" t="s">
        <v>278</v>
      </c>
      <c r="T1916" s="623">
        <v>45947</v>
      </c>
      <c r="U1916" s="624">
        <v>4</v>
      </c>
      <c r="V1916" s="625">
        <v>370.6</v>
      </c>
      <c r="W1916" s="260">
        <v>45931</v>
      </c>
      <c r="X1916" s="845"/>
    </row>
    <row r="1917" spans="1:24" hidden="1" x14ac:dyDescent="0.35">
      <c r="A1917" s="622" t="s">
        <v>526</v>
      </c>
      <c r="B1917" s="622" t="s">
        <v>159</v>
      </c>
      <c r="C1917" s="622" t="s">
        <v>530</v>
      </c>
      <c r="D1917" s="622" t="s">
        <v>531</v>
      </c>
      <c r="E1917" s="622" t="s">
        <v>532</v>
      </c>
      <c r="F1917" s="622" t="s">
        <v>276</v>
      </c>
      <c r="G1917" s="622" t="s">
        <v>356</v>
      </c>
      <c r="H1917" s="622" t="s">
        <v>567</v>
      </c>
      <c r="I1917" s="622" t="s">
        <v>277</v>
      </c>
      <c r="J1917" s="622" t="s">
        <v>522</v>
      </c>
      <c r="K1917" s="622" t="s">
        <v>534</v>
      </c>
      <c r="L1917" s="622" t="s">
        <v>599</v>
      </c>
      <c r="M1917" s="622" t="s">
        <v>568</v>
      </c>
      <c r="N1917" s="622" t="s">
        <v>670</v>
      </c>
      <c r="O1917" s="622" t="s">
        <v>670</v>
      </c>
      <c r="P1917" s="622" t="s">
        <v>522</v>
      </c>
      <c r="Q1917" s="622" t="s">
        <v>670</v>
      </c>
      <c r="R1917" s="623">
        <v>45931</v>
      </c>
      <c r="S1917" s="622" t="s">
        <v>278</v>
      </c>
      <c r="T1917" s="623">
        <v>45947</v>
      </c>
      <c r="U1917" s="624">
        <v>4</v>
      </c>
      <c r="V1917" s="625">
        <v>370.6</v>
      </c>
      <c r="W1917" s="260">
        <v>45931</v>
      </c>
      <c r="X1917" s="845"/>
    </row>
    <row r="1918" spans="1:24" hidden="1" x14ac:dyDescent="0.35">
      <c r="A1918" s="622" t="s">
        <v>526</v>
      </c>
      <c r="B1918" s="622" t="s">
        <v>159</v>
      </c>
      <c r="C1918" s="622" t="s">
        <v>530</v>
      </c>
      <c r="D1918" s="622" t="s">
        <v>531</v>
      </c>
      <c r="E1918" s="622" t="s">
        <v>532</v>
      </c>
      <c r="F1918" s="622" t="s">
        <v>276</v>
      </c>
      <c r="G1918" s="622" t="s">
        <v>356</v>
      </c>
      <c r="H1918" s="622" t="s">
        <v>567</v>
      </c>
      <c r="I1918" s="622" t="s">
        <v>277</v>
      </c>
      <c r="J1918" s="622" t="s">
        <v>522</v>
      </c>
      <c r="K1918" s="622" t="s">
        <v>534</v>
      </c>
      <c r="L1918" s="622" t="s">
        <v>599</v>
      </c>
      <c r="M1918" s="622" t="s">
        <v>568</v>
      </c>
      <c r="N1918" s="622" t="s">
        <v>670</v>
      </c>
      <c r="O1918" s="622" t="s">
        <v>670</v>
      </c>
      <c r="P1918" s="622" t="s">
        <v>522</v>
      </c>
      <c r="Q1918" s="622" t="s">
        <v>670</v>
      </c>
      <c r="R1918" s="623">
        <v>45930</v>
      </c>
      <c r="S1918" s="622" t="s">
        <v>278</v>
      </c>
      <c r="T1918" s="623">
        <v>45947</v>
      </c>
      <c r="U1918" s="624">
        <v>4</v>
      </c>
      <c r="V1918" s="625">
        <v>370.6</v>
      </c>
      <c r="W1918" s="260">
        <v>45931</v>
      </c>
      <c r="X1918" s="845"/>
    </row>
    <row r="1919" spans="1:24" hidden="1" x14ac:dyDescent="0.35">
      <c r="A1919" s="622" t="s">
        <v>526</v>
      </c>
      <c r="B1919" s="622" t="s">
        <v>159</v>
      </c>
      <c r="C1919" s="622" t="s">
        <v>530</v>
      </c>
      <c r="D1919" s="622" t="s">
        <v>531</v>
      </c>
      <c r="E1919" s="622" t="s">
        <v>532</v>
      </c>
      <c r="F1919" s="622" t="s">
        <v>276</v>
      </c>
      <c r="G1919" s="622" t="s">
        <v>356</v>
      </c>
      <c r="H1919" s="622" t="s">
        <v>567</v>
      </c>
      <c r="I1919" s="622" t="s">
        <v>277</v>
      </c>
      <c r="J1919" s="622" t="s">
        <v>522</v>
      </c>
      <c r="K1919" s="622" t="s">
        <v>534</v>
      </c>
      <c r="L1919" s="622" t="s">
        <v>599</v>
      </c>
      <c r="M1919" s="622" t="s">
        <v>568</v>
      </c>
      <c r="N1919" s="622" t="s">
        <v>670</v>
      </c>
      <c r="O1919" s="622" t="s">
        <v>670</v>
      </c>
      <c r="P1919" s="622" t="s">
        <v>522</v>
      </c>
      <c r="Q1919" s="622" t="s">
        <v>670</v>
      </c>
      <c r="R1919" s="623">
        <v>45929</v>
      </c>
      <c r="S1919" s="622" t="s">
        <v>278</v>
      </c>
      <c r="T1919" s="623">
        <v>45947</v>
      </c>
      <c r="U1919" s="624">
        <v>4</v>
      </c>
      <c r="V1919" s="625">
        <v>370.6</v>
      </c>
      <c r="W1919" s="260">
        <v>45931</v>
      </c>
      <c r="X1919" s="845"/>
    </row>
    <row r="1920" spans="1:24" hidden="1" x14ac:dyDescent="0.35">
      <c r="A1920" s="622" t="s">
        <v>526</v>
      </c>
      <c r="B1920" s="622" t="s">
        <v>159</v>
      </c>
      <c r="C1920" s="622" t="s">
        <v>530</v>
      </c>
      <c r="D1920" s="622" t="s">
        <v>531</v>
      </c>
      <c r="E1920" s="622" t="s">
        <v>532</v>
      </c>
      <c r="F1920" s="622" t="s">
        <v>276</v>
      </c>
      <c r="G1920" s="622" t="s">
        <v>356</v>
      </c>
      <c r="H1920" s="622" t="s">
        <v>567</v>
      </c>
      <c r="I1920" s="622" t="s">
        <v>277</v>
      </c>
      <c r="J1920" s="622" t="s">
        <v>522</v>
      </c>
      <c r="K1920" s="622" t="s">
        <v>534</v>
      </c>
      <c r="L1920" s="622" t="s">
        <v>599</v>
      </c>
      <c r="M1920" s="622" t="s">
        <v>568</v>
      </c>
      <c r="N1920" s="622" t="s">
        <v>670</v>
      </c>
      <c r="O1920" s="622" t="s">
        <v>670</v>
      </c>
      <c r="P1920" s="622" t="s">
        <v>522</v>
      </c>
      <c r="Q1920" s="622" t="s">
        <v>670</v>
      </c>
      <c r="R1920" s="623">
        <v>45952</v>
      </c>
      <c r="S1920" s="622" t="s">
        <v>278</v>
      </c>
      <c r="T1920" s="623">
        <v>45959</v>
      </c>
      <c r="U1920" s="624">
        <v>5</v>
      </c>
      <c r="V1920" s="625">
        <v>463.25</v>
      </c>
      <c r="W1920" s="260">
        <v>45931</v>
      </c>
      <c r="X1920" s="845"/>
    </row>
    <row r="1921" spans="1:24" hidden="1" x14ac:dyDescent="0.35">
      <c r="A1921" s="622" t="s">
        <v>526</v>
      </c>
      <c r="B1921" s="622" t="s">
        <v>159</v>
      </c>
      <c r="C1921" s="622" t="s">
        <v>530</v>
      </c>
      <c r="D1921" s="622" t="s">
        <v>531</v>
      </c>
      <c r="E1921" s="622" t="s">
        <v>532</v>
      </c>
      <c r="F1921" s="622" t="s">
        <v>276</v>
      </c>
      <c r="G1921" s="622" t="s">
        <v>356</v>
      </c>
      <c r="H1921" s="622" t="s">
        <v>567</v>
      </c>
      <c r="I1921" s="622" t="s">
        <v>277</v>
      </c>
      <c r="J1921" s="622" t="s">
        <v>522</v>
      </c>
      <c r="K1921" s="622" t="s">
        <v>534</v>
      </c>
      <c r="L1921" s="622" t="s">
        <v>599</v>
      </c>
      <c r="M1921" s="622" t="s">
        <v>568</v>
      </c>
      <c r="N1921" s="622" t="s">
        <v>670</v>
      </c>
      <c r="O1921" s="622" t="s">
        <v>670</v>
      </c>
      <c r="P1921" s="622" t="s">
        <v>522</v>
      </c>
      <c r="Q1921" s="622" t="s">
        <v>670</v>
      </c>
      <c r="R1921" s="623">
        <v>45951</v>
      </c>
      <c r="S1921" s="622" t="s">
        <v>278</v>
      </c>
      <c r="T1921" s="623">
        <v>45959</v>
      </c>
      <c r="U1921" s="624">
        <v>5</v>
      </c>
      <c r="V1921" s="625">
        <v>463.25</v>
      </c>
      <c r="W1921" s="260">
        <v>45931</v>
      </c>
      <c r="X1921" s="845"/>
    </row>
    <row r="1922" spans="1:24" hidden="1" x14ac:dyDescent="0.35">
      <c r="A1922" s="622" t="s">
        <v>526</v>
      </c>
      <c r="B1922" s="622" t="s">
        <v>159</v>
      </c>
      <c r="C1922" s="622" t="s">
        <v>530</v>
      </c>
      <c r="D1922" s="622" t="s">
        <v>531</v>
      </c>
      <c r="E1922" s="622" t="s">
        <v>532</v>
      </c>
      <c r="F1922" s="622" t="s">
        <v>276</v>
      </c>
      <c r="G1922" s="622" t="s">
        <v>356</v>
      </c>
      <c r="H1922" s="622" t="s">
        <v>567</v>
      </c>
      <c r="I1922" s="622" t="s">
        <v>277</v>
      </c>
      <c r="J1922" s="622" t="s">
        <v>522</v>
      </c>
      <c r="K1922" s="622" t="s">
        <v>534</v>
      </c>
      <c r="L1922" s="622" t="s">
        <v>599</v>
      </c>
      <c r="M1922" s="622" t="s">
        <v>568</v>
      </c>
      <c r="N1922" s="622" t="s">
        <v>670</v>
      </c>
      <c r="O1922" s="622" t="s">
        <v>670</v>
      </c>
      <c r="P1922" s="622" t="s">
        <v>522</v>
      </c>
      <c r="Q1922" s="622" t="s">
        <v>670</v>
      </c>
      <c r="R1922" s="623">
        <v>45950</v>
      </c>
      <c r="S1922" s="622" t="s">
        <v>278</v>
      </c>
      <c r="T1922" s="623">
        <v>45959</v>
      </c>
      <c r="U1922" s="624">
        <v>5</v>
      </c>
      <c r="V1922" s="625">
        <v>463.25</v>
      </c>
      <c r="W1922" s="260">
        <v>45931</v>
      </c>
      <c r="X1922" s="845"/>
    </row>
    <row r="1923" spans="1:24" hidden="1" x14ac:dyDescent="0.35">
      <c r="A1923" s="622" t="s">
        <v>526</v>
      </c>
      <c r="B1923" s="622" t="s">
        <v>159</v>
      </c>
      <c r="C1923" s="622" t="s">
        <v>530</v>
      </c>
      <c r="D1923" s="622" t="s">
        <v>531</v>
      </c>
      <c r="E1923" s="622" t="s">
        <v>532</v>
      </c>
      <c r="F1923" s="622" t="s">
        <v>276</v>
      </c>
      <c r="G1923" s="622" t="s">
        <v>356</v>
      </c>
      <c r="H1923" s="622" t="s">
        <v>567</v>
      </c>
      <c r="I1923" s="622" t="s">
        <v>277</v>
      </c>
      <c r="J1923" s="622" t="s">
        <v>522</v>
      </c>
      <c r="K1923" s="622" t="s">
        <v>534</v>
      </c>
      <c r="L1923" s="622" t="s">
        <v>599</v>
      </c>
      <c r="M1923" s="622" t="s">
        <v>568</v>
      </c>
      <c r="N1923" s="622" t="s">
        <v>670</v>
      </c>
      <c r="O1923" s="622" t="s">
        <v>670</v>
      </c>
      <c r="P1923" s="622" t="s">
        <v>522</v>
      </c>
      <c r="Q1923" s="622" t="s">
        <v>670</v>
      </c>
      <c r="R1923" s="623">
        <v>45947</v>
      </c>
      <c r="S1923" s="622" t="s">
        <v>278</v>
      </c>
      <c r="T1923" s="623">
        <v>45959</v>
      </c>
      <c r="U1923" s="624">
        <v>4</v>
      </c>
      <c r="V1923" s="625">
        <v>370.6</v>
      </c>
      <c r="W1923" s="260">
        <v>45931</v>
      </c>
      <c r="X1923" s="845"/>
    </row>
    <row r="1924" spans="1:24" hidden="1" x14ac:dyDescent="0.35">
      <c r="A1924" s="622" t="s">
        <v>526</v>
      </c>
      <c r="B1924" s="622" t="s">
        <v>159</v>
      </c>
      <c r="C1924" s="622" t="s">
        <v>530</v>
      </c>
      <c r="D1924" s="622" t="s">
        <v>531</v>
      </c>
      <c r="E1924" s="622" t="s">
        <v>532</v>
      </c>
      <c r="F1924" s="622" t="s">
        <v>276</v>
      </c>
      <c r="G1924" s="622" t="s">
        <v>356</v>
      </c>
      <c r="H1924" s="622" t="s">
        <v>567</v>
      </c>
      <c r="I1924" s="622" t="s">
        <v>277</v>
      </c>
      <c r="J1924" s="622" t="s">
        <v>522</v>
      </c>
      <c r="K1924" s="622" t="s">
        <v>534</v>
      </c>
      <c r="L1924" s="622" t="s">
        <v>599</v>
      </c>
      <c r="M1924" s="622" t="s">
        <v>568</v>
      </c>
      <c r="N1924" s="622" t="s">
        <v>670</v>
      </c>
      <c r="O1924" s="622" t="s">
        <v>670</v>
      </c>
      <c r="P1924" s="622" t="s">
        <v>522</v>
      </c>
      <c r="Q1924" s="622" t="s">
        <v>670</v>
      </c>
      <c r="R1924" s="623">
        <v>45946</v>
      </c>
      <c r="S1924" s="622" t="s">
        <v>278</v>
      </c>
      <c r="T1924" s="623">
        <v>45959</v>
      </c>
      <c r="U1924" s="624">
        <v>5</v>
      </c>
      <c r="V1924" s="625">
        <v>463.25</v>
      </c>
      <c r="W1924" s="260">
        <v>45931</v>
      </c>
      <c r="X1924" s="845"/>
    </row>
    <row r="1925" spans="1:24" hidden="1" x14ac:dyDescent="0.35">
      <c r="A1925" s="622" t="s">
        <v>526</v>
      </c>
      <c r="B1925" s="622" t="s">
        <v>159</v>
      </c>
      <c r="C1925" s="622" t="s">
        <v>530</v>
      </c>
      <c r="D1925" s="622" t="s">
        <v>531</v>
      </c>
      <c r="E1925" s="622" t="s">
        <v>532</v>
      </c>
      <c r="F1925" s="622" t="s">
        <v>276</v>
      </c>
      <c r="G1925" s="622" t="s">
        <v>356</v>
      </c>
      <c r="H1925" s="622" t="s">
        <v>567</v>
      </c>
      <c r="I1925" s="622" t="s">
        <v>277</v>
      </c>
      <c r="J1925" s="622" t="s">
        <v>522</v>
      </c>
      <c r="K1925" s="622" t="s">
        <v>534</v>
      </c>
      <c r="L1925" s="622" t="s">
        <v>599</v>
      </c>
      <c r="M1925" s="622" t="s">
        <v>568</v>
      </c>
      <c r="N1925" s="622" t="s">
        <v>670</v>
      </c>
      <c r="O1925" s="622" t="s">
        <v>670</v>
      </c>
      <c r="P1925" s="622" t="s">
        <v>522</v>
      </c>
      <c r="Q1925" s="622" t="s">
        <v>670</v>
      </c>
      <c r="R1925" s="623">
        <v>45945</v>
      </c>
      <c r="S1925" s="622" t="s">
        <v>278</v>
      </c>
      <c r="T1925" s="623">
        <v>45959</v>
      </c>
      <c r="U1925" s="624">
        <v>5</v>
      </c>
      <c r="V1925" s="625">
        <v>463.25</v>
      </c>
      <c r="W1925" s="260">
        <v>45931</v>
      </c>
      <c r="X1925" s="845"/>
    </row>
    <row r="1926" spans="1:24" hidden="1" x14ac:dyDescent="0.35">
      <c r="A1926" s="622" t="s">
        <v>526</v>
      </c>
      <c r="B1926" s="622" t="s">
        <v>159</v>
      </c>
      <c r="C1926" s="622" t="s">
        <v>530</v>
      </c>
      <c r="D1926" s="622" t="s">
        <v>531</v>
      </c>
      <c r="E1926" s="622" t="s">
        <v>532</v>
      </c>
      <c r="F1926" s="622" t="s">
        <v>276</v>
      </c>
      <c r="G1926" s="622" t="s">
        <v>356</v>
      </c>
      <c r="H1926" s="622" t="s">
        <v>567</v>
      </c>
      <c r="I1926" s="622" t="s">
        <v>277</v>
      </c>
      <c r="J1926" s="622" t="s">
        <v>522</v>
      </c>
      <c r="K1926" s="622" t="s">
        <v>534</v>
      </c>
      <c r="L1926" s="622" t="s">
        <v>599</v>
      </c>
      <c r="M1926" s="622" t="s">
        <v>568</v>
      </c>
      <c r="N1926" s="622" t="s">
        <v>670</v>
      </c>
      <c r="O1926" s="622" t="s">
        <v>670</v>
      </c>
      <c r="P1926" s="622" t="s">
        <v>522</v>
      </c>
      <c r="Q1926" s="622" t="s">
        <v>670</v>
      </c>
      <c r="R1926" s="623">
        <v>45944</v>
      </c>
      <c r="S1926" s="622" t="s">
        <v>278</v>
      </c>
      <c r="T1926" s="623">
        <v>45959</v>
      </c>
      <c r="U1926" s="624">
        <v>5</v>
      </c>
      <c r="V1926" s="625">
        <v>463.25</v>
      </c>
      <c r="W1926" s="260">
        <v>45931</v>
      </c>
      <c r="X1926" s="845"/>
    </row>
    <row r="1927" spans="1:24" hidden="1" x14ac:dyDescent="0.35">
      <c r="A1927" s="622" t="s">
        <v>526</v>
      </c>
      <c r="B1927" s="622" t="s">
        <v>159</v>
      </c>
      <c r="C1927" s="622" t="s">
        <v>530</v>
      </c>
      <c r="D1927" s="622" t="s">
        <v>531</v>
      </c>
      <c r="E1927" s="622" t="s">
        <v>532</v>
      </c>
      <c r="F1927" s="622" t="s">
        <v>276</v>
      </c>
      <c r="G1927" s="622" t="s">
        <v>356</v>
      </c>
      <c r="H1927" s="622" t="s">
        <v>567</v>
      </c>
      <c r="I1927" s="622" t="s">
        <v>277</v>
      </c>
      <c r="J1927" s="622" t="s">
        <v>522</v>
      </c>
      <c r="K1927" s="622" t="s">
        <v>534</v>
      </c>
      <c r="L1927" s="622" t="s">
        <v>599</v>
      </c>
      <c r="M1927" s="622" t="s">
        <v>568</v>
      </c>
      <c r="N1927" s="622" t="s">
        <v>670</v>
      </c>
      <c r="O1927" s="622" t="s">
        <v>670</v>
      </c>
      <c r="P1927" s="622" t="s">
        <v>522</v>
      </c>
      <c r="Q1927" s="622" t="s">
        <v>670</v>
      </c>
      <c r="R1927" s="623">
        <v>45943</v>
      </c>
      <c r="S1927" s="622" t="s">
        <v>278</v>
      </c>
      <c r="T1927" s="623">
        <v>45959</v>
      </c>
      <c r="U1927" s="624">
        <v>5</v>
      </c>
      <c r="V1927" s="625">
        <v>463.25</v>
      </c>
      <c r="W1927" s="260">
        <v>45931</v>
      </c>
      <c r="X1927" s="845"/>
    </row>
    <row r="1928" spans="1:24" hidden="1" x14ac:dyDescent="0.35">
      <c r="A1928" s="622" t="s">
        <v>526</v>
      </c>
      <c r="B1928" s="622" t="s">
        <v>160</v>
      </c>
      <c r="C1928" s="622" t="s">
        <v>670</v>
      </c>
      <c r="D1928" s="622" t="s">
        <v>633</v>
      </c>
      <c r="E1928" s="622" t="s">
        <v>634</v>
      </c>
      <c r="F1928" s="622" t="s">
        <v>276</v>
      </c>
      <c r="G1928" s="622" t="s">
        <v>356</v>
      </c>
      <c r="H1928" s="622" t="s">
        <v>670</v>
      </c>
      <c r="I1928" s="622" t="s">
        <v>277</v>
      </c>
      <c r="J1928" s="622" t="s">
        <v>523</v>
      </c>
      <c r="K1928" s="622" t="s">
        <v>670</v>
      </c>
      <c r="L1928" s="622" t="s">
        <v>599</v>
      </c>
      <c r="M1928" s="622" t="s">
        <v>285</v>
      </c>
      <c r="N1928" s="622" t="s">
        <v>808</v>
      </c>
      <c r="O1928" s="622" t="s">
        <v>794</v>
      </c>
      <c r="P1928" s="622" t="s">
        <v>523</v>
      </c>
      <c r="Q1928" s="622" t="s">
        <v>387</v>
      </c>
      <c r="R1928" s="623">
        <v>45898</v>
      </c>
      <c r="S1928" s="622" t="s">
        <v>388</v>
      </c>
      <c r="T1928" s="623">
        <v>45933</v>
      </c>
      <c r="U1928" s="626">
        <v>1</v>
      </c>
      <c r="V1928" s="625">
        <v>46644.6</v>
      </c>
      <c r="W1928" s="260">
        <v>45931</v>
      </c>
    </row>
    <row r="1929" spans="1:24" hidden="1" x14ac:dyDescent="0.35">
      <c r="A1929" s="622" t="s">
        <v>526</v>
      </c>
      <c r="B1929" s="622" t="s">
        <v>160</v>
      </c>
      <c r="C1929" s="622" t="s">
        <v>670</v>
      </c>
      <c r="D1929" s="622" t="s">
        <v>633</v>
      </c>
      <c r="E1929" s="622" t="s">
        <v>634</v>
      </c>
      <c r="F1929" s="622" t="s">
        <v>276</v>
      </c>
      <c r="G1929" s="622" t="s">
        <v>356</v>
      </c>
      <c r="H1929" s="622" t="s">
        <v>670</v>
      </c>
      <c r="I1929" s="622" t="s">
        <v>277</v>
      </c>
      <c r="J1929" s="622" t="s">
        <v>523</v>
      </c>
      <c r="K1929" s="622" t="s">
        <v>670</v>
      </c>
      <c r="L1929" s="622" t="s">
        <v>599</v>
      </c>
      <c r="M1929" s="622" t="s">
        <v>285</v>
      </c>
      <c r="N1929" s="622" t="s">
        <v>809</v>
      </c>
      <c r="O1929" s="622" t="s">
        <v>751</v>
      </c>
      <c r="P1929" s="622" t="s">
        <v>523</v>
      </c>
      <c r="Q1929" s="622" t="s">
        <v>387</v>
      </c>
      <c r="R1929" s="623">
        <v>45940</v>
      </c>
      <c r="S1929" s="622" t="s">
        <v>388</v>
      </c>
      <c r="T1929" s="623">
        <v>45945</v>
      </c>
      <c r="U1929" s="626">
        <v>1</v>
      </c>
      <c r="V1929" s="625">
        <v>14416.06</v>
      </c>
      <c r="W1929" s="260">
        <v>45931</v>
      </c>
    </row>
    <row r="1930" spans="1:24" hidden="1" x14ac:dyDescent="0.35">
      <c r="A1930" s="622" t="s">
        <v>526</v>
      </c>
      <c r="B1930" s="622" t="s">
        <v>160</v>
      </c>
      <c r="C1930" s="622" t="s">
        <v>670</v>
      </c>
      <c r="D1930" s="622" t="s">
        <v>633</v>
      </c>
      <c r="E1930" s="622" t="s">
        <v>634</v>
      </c>
      <c r="F1930" s="622" t="s">
        <v>276</v>
      </c>
      <c r="G1930" s="622" t="s">
        <v>356</v>
      </c>
      <c r="H1930" s="622" t="s">
        <v>670</v>
      </c>
      <c r="I1930" s="622" t="s">
        <v>277</v>
      </c>
      <c r="J1930" s="622" t="s">
        <v>523</v>
      </c>
      <c r="K1930" s="622" t="s">
        <v>670</v>
      </c>
      <c r="L1930" s="622" t="s">
        <v>599</v>
      </c>
      <c r="M1930" s="622" t="s">
        <v>285</v>
      </c>
      <c r="N1930" s="622" t="s">
        <v>810</v>
      </c>
      <c r="O1930" s="622" t="s">
        <v>751</v>
      </c>
      <c r="P1930" s="622" t="s">
        <v>523</v>
      </c>
      <c r="Q1930" s="622" t="s">
        <v>387</v>
      </c>
      <c r="R1930" s="623">
        <v>45940</v>
      </c>
      <c r="S1930" s="622" t="s">
        <v>388</v>
      </c>
      <c r="T1930" s="623">
        <v>45945</v>
      </c>
      <c r="U1930" s="626">
        <v>1</v>
      </c>
      <c r="V1930" s="625">
        <v>41.68</v>
      </c>
      <c r="W1930" s="260">
        <v>45931</v>
      </c>
    </row>
    <row r="1931" spans="1:24" hidden="1" x14ac:dyDescent="0.35">
      <c r="A1931" s="622" t="s">
        <v>526</v>
      </c>
      <c r="B1931" s="622" t="s">
        <v>160</v>
      </c>
      <c r="C1931" s="622" t="s">
        <v>670</v>
      </c>
      <c r="D1931" s="622" t="s">
        <v>633</v>
      </c>
      <c r="E1931" s="622" t="s">
        <v>634</v>
      </c>
      <c r="F1931" s="622" t="s">
        <v>276</v>
      </c>
      <c r="G1931" s="622" t="s">
        <v>356</v>
      </c>
      <c r="H1931" s="622" t="s">
        <v>670</v>
      </c>
      <c r="I1931" s="622" t="s">
        <v>277</v>
      </c>
      <c r="J1931" s="622" t="s">
        <v>523</v>
      </c>
      <c r="K1931" s="622" t="s">
        <v>670</v>
      </c>
      <c r="L1931" s="622" t="s">
        <v>599</v>
      </c>
      <c r="M1931" s="622" t="s">
        <v>285</v>
      </c>
      <c r="N1931" s="622" t="s">
        <v>811</v>
      </c>
      <c r="O1931" s="622" t="s">
        <v>751</v>
      </c>
      <c r="P1931" s="622" t="s">
        <v>523</v>
      </c>
      <c r="Q1931" s="622" t="s">
        <v>387</v>
      </c>
      <c r="R1931" s="623">
        <v>45940</v>
      </c>
      <c r="S1931" s="622" t="s">
        <v>388</v>
      </c>
      <c r="T1931" s="623">
        <v>45945</v>
      </c>
      <c r="U1931" s="626">
        <v>1</v>
      </c>
      <c r="V1931" s="625">
        <v>486.32</v>
      </c>
      <c r="W1931" s="260">
        <v>45931</v>
      </c>
    </row>
    <row r="1932" spans="1:24" hidden="1" x14ac:dyDescent="0.35">
      <c r="A1932" s="622" t="s">
        <v>526</v>
      </c>
      <c r="B1932" s="622" t="s">
        <v>160</v>
      </c>
      <c r="C1932" s="622" t="s">
        <v>670</v>
      </c>
      <c r="D1932" s="622" t="s">
        <v>633</v>
      </c>
      <c r="E1932" s="622" t="s">
        <v>634</v>
      </c>
      <c r="F1932" s="622" t="s">
        <v>276</v>
      </c>
      <c r="G1932" s="622" t="s">
        <v>356</v>
      </c>
      <c r="H1932" s="622" t="s">
        <v>670</v>
      </c>
      <c r="I1932" s="622" t="s">
        <v>277</v>
      </c>
      <c r="J1932" s="622" t="s">
        <v>523</v>
      </c>
      <c r="K1932" s="622" t="s">
        <v>670</v>
      </c>
      <c r="L1932" s="622" t="s">
        <v>599</v>
      </c>
      <c r="M1932" s="622" t="s">
        <v>285</v>
      </c>
      <c r="N1932" s="622" t="s">
        <v>812</v>
      </c>
      <c r="O1932" s="622" t="s">
        <v>751</v>
      </c>
      <c r="P1932" s="622" t="s">
        <v>523</v>
      </c>
      <c r="Q1932" s="622" t="s">
        <v>387</v>
      </c>
      <c r="R1932" s="623">
        <v>45940</v>
      </c>
      <c r="S1932" s="622" t="s">
        <v>388</v>
      </c>
      <c r="T1932" s="623">
        <v>45945</v>
      </c>
      <c r="U1932" s="626">
        <v>1</v>
      </c>
      <c r="V1932" s="625">
        <v>44.44</v>
      </c>
      <c r="W1932" s="260">
        <v>45931</v>
      </c>
    </row>
    <row r="1933" spans="1:24" hidden="1" x14ac:dyDescent="0.35">
      <c r="A1933" s="622" t="s">
        <v>526</v>
      </c>
      <c r="B1933" s="622" t="s">
        <v>160</v>
      </c>
      <c r="C1933" s="622" t="s">
        <v>670</v>
      </c>
      <c r="D1933" s="622" t="s">
        <v>633</v>
      </c>
      <c r="E1933" s="622" t="s">
        <v>634</v>
      </c>
      <c r="F1933" s="622" t="s">
        <v>276</v>
      </c>
      <c r="G1933" s="622" t="s">
        <v>356</v>
      </c>
      <c r="H1933" s="622" t="s">
        <v>670</v>
      </c>
      <c r="I1933" s="622" t="s">
        <v>277</v>
      </c>
      <c r="J1933" s="622" t="s">
        <v>523</v>
      </c>
      <c r="K1933" s="622" t="s">
        <v>670</v>
      </c>
      <c r="L1933" s="622" t="s">
        <v>599</v>
      </c>
      <c r="M1933" s="622" t="s">
        <v>285</v>
      </c>
      <c r="N1933" s="622" t="s">
        <v>813</v>
      </c>
      <c r="O1933" s="622" t="s">
        <v>751</v>
      </c>
      <c r="P1933" s="622" t="s">
        <v>523</v>
      </c>
      <c r="Q1933" s="622" t="s">
        <v>387</v>
      </c>
      <c r="R1933" s="623">
        <v>45940</v>
      </c>
      <c r="S1933" s="622" t="s">
        <v>388</v>
      </c>
      <c r="T1933" s="623">
        <v>45945</v>
      </c>
      <c r="U1933" s="626">
        <v>1</v>
      </c>
      <c r="V1933" s="625">
        <v>49.34</v>
      </c>
      <c r="W1933" s="260">
        <v>45931</v>
      </c>
    </row>
    <row r="1934" spans="1:24" hidden="1" x14ac:dyDescent="0.35">
      <c r="A1934" s="622" t="s">
        <v>526</v>
      </c>
      <c r="B1934" s="622" t="s">
        <v>160</v>
      </c>
      <c r="C1934" s="622" t="s">
        <v>670</v>
      </c>
      <c r="D1934" s="622" t="s">
        <v>633</v>
      </c>
      <c r="E1934" s="622" t="s">
        <v>634</v>
      </c>
      <c r="F1934" s="622" t="s">
        <v>276</v>
      </c>
      <c r="G1934" s="622" t="s">
        <v>356</v>
      </c>
      <c r="H1934" s="622" t="s">
        <v>670</v>
      </c>
      <c r="I1934" s="622" t="s">
        <v>277</v>
      </c>
      <c r="J1934" s="622" t="s">
        <v>523</v>
      </c>
      <c r="K1934" s="622" t="s">
        <v>670</v>
      </c>
      <c r="L1934" s="622" t="s">
        <v>599</v>
      </c>
      <c r="M1934" s="622" t="s">
        <v>285</v>
      </c>
      <c r="N1934" s="622" t="s">
        <v>814</v>
      </c>
      <c r="O1934" s="622" t="s">
        <v>751</v>
      </c>
      <c r="P1934" s="622" t="s">
        <v>523</v>
      </c>
      <c r="Q1934" s="622" t="s">
        <v>387</v>
      </c>
      <c r="R1934" s="623">
        <v>45940</v>
      </c>
      <c r="S1934" s="622" t="s">
        <v>388</v>
      </c>
      <c r="T1934" s="623">
        <v>45945</v>
      </c>
      <c r="U1934" s="626">
        <v>1</v>
      </c>
      <c r="V1934" s="625">
        <v>576.91999999999996</v>
      </c>
      <c r="W1934" s="260">
        <v>45931</v>
      </c>
    </row>
    <row r="1935" spans="1:24" hidden="1" x14ac:dyDescent="0.35">
      <c r="A1935" s="622" t="s">
        <v>526</v>
      </c>
      <c r="B1935" s="622" t="s">
        <v>160</v>
      </c>
      <c r="C1935" s="622" t="s">
        <v>670</v>
      </c>
      <c r="D1935" s="622" t="s">
        <v>633</v>
      </c>
      <c r="E1935" s="622" t="s">
        <v>634</v>
      </c>
      <c r="F1935" s="622" t="s">
        <v>276</v>
      </c>
      <c r="G1935" s="622" t="s">
        <v>356</v>
      </c>
      <c r="H1935" s="622" t="s">
        <v>670</v>
      </c>
      <c r="I1935" s="622" t="s">
        <v>277</v>
      </c>
      <c r="J1935" s="622" t="s">
        <v>523</v>
      </c>
      <c r="K1935" s="622" t="s">
        <v>670</v>
      </c>
      <c r="L1935" s="622" t="s">
        <v>599</v>
      </c>
      <c r="M1935" s="622" t="s">
        <v>285</v>
      </c>
      <c r="N1935" s="622" t="s">
        <v>815</v>
      </c>
      <c r="O1935" s="622" t="s">
        <v>751</v>
      </c>
      <c r="P1935" s="622" t="s">
        <v>523</v>
      </c>
      <c r="Q1935" s="622" t="s">
        <v>387</v>
      </c>
      <c r="R1935" s="623">
        <v>45940</v>
      </c>
      <c r="S1935" s="622" t="s">
        <v>388</v>
      </c>
      <c r="T1935" s="623">
        <v>45945</v>
      </c>
      <c r="U1935" s="626">
        <v>1</v>
      </c>
      <c r="V1935" s="625">
        <v>1018.2</v>
      </c>
      <c r="W1935" s="260">
        <v>45931</v>
      </c>
    </row>
    <row r="1936" spans="1:24" hidden="1" x14ac:dyDescent="0.35">
      <c r="A1936" s="622" t="s">
        <v>526</v>
      </c>
      <c r="B1936" s="622" t="s">
        <v>160</v>
      </c>
      <c r="C1936" s="622" t="s">
        <v>670</v>
      </c>
      <c r="D1936" s="622" t="s">
        <v>633</v>
      </c>
      <c r="E1936" s="622" t="s">
        <v>634</v>
      </c>
      <c r="F1936" s="622" t="s">
        <v>276</v>
      </c>
      <c r="G1936" s="622" t="s">
        <v>356</v>
      </c>
      <c r="H1936" s="622" t="s">
        <v>670</v>
      </c>
      <c r="I1936" s="622" t="s">
        <v>277</v>
      </c>
      <c r="J1936" s="622" t="s">
        <v>523</v>
      </c>
      <c r="K1936" s="622" t="s">
        <v>670</v>
      </c>
      <c r="L1936" s="622" t="s">
        <v>599</v>
      </c>
      <c r="M1936" s="622" t="s">
        <v>285</v>
      </c>
      <c r="N1936" s="622" t="s">
        <v>816</v>
      </c>
      <c r="O1936" s="622" t="s">
        <v>751</v>
      </c>
      <c r="P1936" s="622" t="s">
        <v>523</v>
      </c>
      <c r="Q1936" s="622" t="s">
        <v>387</v>
      </c>
      <c r="R1936" s="623">
        <v>45940</v>
      </c>
      <c r="S1936" s="622" t="s">
        <v>388</v>
      </c>
      <c r="T1936" s="623">
        <v>45945</v>
      </c>
      <c r="U1936" s="626">
        <v>1</v>
      </c>
      <c r="V1936" s="625">
        <v>262.22000000000003</v>
      </c>
      <c r="W1936" s="260">
        <v>45931</v>
      </c>
    </row>
    <row r="1937" spans="1:23" hidden="1" x14ac:dyDescent="0.35">
      <c r="A1937" s="622" t="s">
        <v>526</v>
      </c>
      <c r="B1937" s="622" t="s">
        <v>160</v>
      </c>
      <c r="C1937" s="622" t="s">
        <v>670</v>
      </c>
      <c r="D1937" s="622" t="s">
        <v>633</v>
      </c>
      <c r="E1937" s="622" t="s">
        <v>634</v>
      </c>
      <c r="F1937" s="622" t="s">
        <v>276</v>
      </c>
      <c r="G1937" s="622" t="s">
        <v>356</v>
      </c>
      <c r="H1937" s="622" t="s">
        <v>670</v>
      </c>
      <c r="I1937" s="622" t="s">
        <v>277</v>
      </c>
      <c r="J1937" s="622" t="s">
        <v>523</v>
      </c>
      <c r="K1937" s="622" t="s">
        <v>670</v>
      </c>
      <c r="L1937" s="622" t="s">
        <v>599</v>
      </c>
      <c r="M1937" s="622" t="s">
        <v>285</v>
      </c>
      <c r="N1937" s="622" t="s">
        <v>817</v>
      </c>
      <c r="O1937" s="622" t="s">
        <v>751</v>
      </c>
      <c r="P1937" s="622" t="s">
        <v>523</v>
      </c>
      <c r="Q1937" s="622" t="s">
        <v>387</v>
      </c>
      <c r="R1937" s="623">
        <v>45940</v>
      </c>
      <c r="S1937" s="622" t="s">
        <v>388</v>
      </c>
      <c r="T1937" s="623">
        <v>45945</v>
      </c>
      <c r="U1937" s="626">
        <v>1</v>
      </c>
      <c r="V1937" s="625">
        <v>190.24</v>
      </c>
      <c r="W1937" s="260">
        <v>45931</v>
      </c>
    </row>
    <row r="1938" spans="1:23" hidden="1" x14ac:dyDescent="0.35">
      <c r="A1938" s="622" t="s">
        <v>526</v>
      </c>
      <c r="B1938" s="622" t="s">
        <v>160</v>
      </c>
      <c r="C1938" s="622" t="s">
        <v>670</v>
      </c>
      <c r="D1938" s="622" t="s">
        <v>633</v>
      </c>
      <c r="E1938" s="622" t="s">
        <v>634</v>
      </c>
      <c r="F1938" s="622" t="s">
        <v>276</v>
      </c>
      <c r="G1938" s="622" t="s">
        <v>356</v>
      </c>
      <c r="H1938" s="622" t="s">
        <v>670</v>
      </c>
      <c r="I1938" s="622" t="s">
        <v>277</v>
      </c>
      <c r="J1938" s="622" t="s">
        <v>523</v>
      </c>
      <c r="K1938" s="622" t="s">
        <v>670</v>
      </c>
      <c r="L1938" s="622" t="s">
        <v>599</v>
      </c>
      <c r="M1938" s="622" t="s">
        <v>285</v>
      </c>
      <c r="N1938" s="622" t="s">
        <v>818</v>
      </c>
      <c r="O1938" s="622" t="s">
        <v>756</v>
      </c>
      <c r="P1938" s="622" t="s">
        <v>523</v>
      </c>
      <c r="Q1938" s="622" t="s">
        <v>387</v>
      </c>
      <c r="R1938" s="623">
        <v>45937</v>
      </c>
      <c r="S1938" s="622" t="s">
        <v>388</v>
      </c>
      <c r="T1938" s="623">
        <v>45946</v>
      </c>
      <c r="U1938" s="626">
        <v>1</v>
      </c>
      <c r="V1938" s="625">
        <v>400</v>
      </c>
      <c r="W1938" s="260">
        <v>45931</v>
      </c>
    </row>
    <row r="1939" spans="1:23" hidden="1" x14ac:dyDescent="0.35">
      <c r="A1939" s="622" t="s">
        <v>526</v>
      </c>
      <c r="B1939" s="622" t="s">
        <v>160</v>
      </c>
      <c r="C1939" s="622" t="s">
        <v>670</v>
      </c>
      <c r="D1939" s="622" t="s">
        <v>633</v>
      </c>
      <c r="E1939" s="622" t="s">
        <v>634</v>
      </c>
      <c r="F1939" s="622" t="s">
        <v>276</v>
      </c>
      <c r="G1939" s="622" t="s">
        <v>356</v>
      </c>
      <c r="H1939" s="622" t="s">
        <v>670</v>
      </c>
      <c r="I1939" s="622" t="s">
        <v>277</v>
      </c>
      <c r="J1939" s="622" t="s">
        <v>523</v>
      </c>
      <c r="K1939" s="622" t="s">
        <v>670</v>
      </c>
      <c r="L1939" s="622" t="s">
        <v>599</v>
      </c>
      <c r="M1939" s="622" t="s">
        <v>285</v>
      </c>
      <c r="N1939" s="622" t="s">
        <v>819</v>
      </c>
      <c r="O1939" s="622" t="s">
        <v>756</v>
      </c>
      <c r="P1939" s="622" t="s">
        <v>523</v>
      </c>
      <c r="Q1939" s="622" t="s">
        <v>387</v>
      </c>
      <c r="R1939" s="623">
        <v>45938</v>
      </c>
      <c r="S1939" s="622" t="s">
        <v>388</v>
      </c>
      <c r="T1939" s="623">
        <v>45947</v>
      </c>
      <c r="U1939" s="626">
        <v>1</v>
      </c>
      <c r="V1939" s="625">
        <v>6764.7</v>
      </c>
      <c r="W1939" s="260">
        <v>45931</v>
      </c>
    </row>
    <row r="1940" spans="1:23" hidden="1" x14ac:dyDescent="0.35">
      <c r="A1940" s="622" t="s">
        <v>526</v>
      </c>
      <c r="B1940" s="622" t="s">
        <v>160</v>
      </c>
      <c r="C1940" s="622" t="s">
        <v>670</v>
      </c>
      <c r="D1940" s="622" t="s">
        <v>633</v>
      </c>
      <c r="E1940" s="622" t="s">
        <v>634</v>
      </c>
      <c r="F1940" s="622" t="s">
        <v>276</v>
      </c>
      <c r="G1940" s="622" t="s">
        <v>356</v>
      </c>
      <c r="H1940" s="622" t="s">
        <v>670</v>
      </c>
      <c r="I1940" s="622" t="s">
        <v>277</v>
      </c>
      <c r="J1940" s="622" t="s">
        <v>523</v>
      </c>
      <c r="K1940" s="622" t="s">
        <v>670</v>
      </c>
      <c r="L1940" s="622" t="s">
        <v>599</v>
      </c>
      <c r="M1940" s="622" t="s">
        <v>285</v>
      </c>
      <c r="N1940" s="622" t="s">
        <v>755</v>
      </c>
      <c r="O1940" s="622" t="s">
        <v>756</v>
      </c>
      <c r="P1940" s="622" t="s">
        <v>523</v>
      </c>
      <c r="Q1940" s="622" t="s">
        <v>387</v>
      </c>
      <c r="R1940" s="623">
        <v>45938</v>
      </c>
      <c r="S1940" s="622" t="s">
        <v>388</v>
      </c>
      <c r="T1940" s="623">
        <v>45947</v>
      </c>
      <c r="U1940" s="626">
        <v>1</v>
      </c>
      <c r="V1940" s="625">
        <v>8823.6</v>
      </c>
      <c r="W1940" s="260">
        <v>45931</v>
      </c>
    </row>
    <row r="1941" spans="1:23" hidden="1" x14ac:dyDescent="0.35">
      <c r="A1941" s="622" t="s">
        <v>526</v>
      </c>
      <c r="B1941" s="622" t="s">
        <v>160</v>
      </c>
      <c r="C1941" s="622" t="s">
        <v>670</v>
      </c>
      <c r="D1941" s="622" t="s">
        <v>633</v>
      </c>
      <c r="E1941" s="622" t="s">
        <v>634</v>
      </c>
      <c r="F1941" s="622" t="s">
        <v>276</v>
      </c>
      <c r="G1941" s="622" t="s">
        <v>356</v>
      </c>
      <c r="H1941" s="622" t="s">
        <v>670</v>
      </c>
      <c r="I1941" s="622" t="s">
        <v>277</v>
      </c>
      <c r="J1941" s="622" t="s">
        <v>523</v>
      </c>
      <c r="K1941" s="622" t="s">
        <v>670</v>
      </c>
      <c r="L1941" s="622" t="s">
        <v>599</v>
      </c>
      <c r="M1941" s="622" t="s">
        <v>285</v>
      </c>
      <c r="N1941" s="622" t="s">
        <v>757</v>
      </c>
      <c r="O1941" s="622" t="s">
        <v>756</v>
      </c>
      <c r="P1941" s="622" t="s">
        <v>523</v>
      </c>
      <c r="Q1941" s="622" t="s">
        <v>387</v>
      </c>
      <c r="R1941" s="623">
        <v>45938</v>
      </c>
      <c r="S1941" s="622" t="s">
        <v>388</v>
      </c>
      <c r="T1941" s="623">
        <v>45947</v>
      </c>
      <c r="U1941" s="626">
        <v>1</v>
      </c>
      <c r="V1941" s="625">
        <v>5133.6000000000004</v>
      </c>
      <c r="W1941" s="260">
        <v>45931</v>
      </c>
    </row>
    <row r="1942" spans="1:23" hidden="1" x14ac:dyDescent="0.35">
      <c r="A1942" s="622" t="s">
        <v>526</v>
      </c>
      <c r="B1942" s="622" t="s">
        <v>160</v>
      </c>
      <c r="C1942" s="622" t="s">
        <v>670</v>
      </c>
      <c r="D1942" s="622" t="s">
        <v>633</v>
      </c>
      <c r="E1942" s="622" t="s">
        <v>634</v>
      </c>
      <c r="F1942" s="622" t="s">
        <v>276</v>
      </c>
      <c r="G1942" s="622" t="s">
        <v>356</v>
      </c>
      <c r="H1942" s="622" t="s">
        <v>670</v>
      </c>
      <c r="I1942" s="622" t="s">
        <v>277</v>
      </c>
      <c r="J1942" s="622" t="s">
        <v>523</v>
      </c>
      <c r="K1942" s="622" t="s">
        <v>670</v>
      </c>
      <c r="L1942" s="622" t="s">
        <v>599</v>
      </c>
      <c r="M1942" s="622" t="s">
        <v>285</v>
      </c>
      <c r="N1942" s="622" t="s">
        <v>818</v>
      </c>
      <c r="O1942" s="622" t="s">
        <v>756</v>
      </c>
      <c r="P1942" s="622" t="s">
        <v>523</v>
      </c>
      <c r="Q1942" s="622" t="s">
        <v>387</v>
      </c>
      <c r="R1942" s="623">
        <v>45938</v>
      </c>
      <c r="S1942" s="622" t="s">
        <v>388</v>
      </c>
      <c r="T1942" s="623">
        <v>45947</v>
      </c>
      <c r="U1942" s="626">
        <v>1</v>
      </c>
      <c r="V1942" s="625">
        <v>200</v>
      </c>
      <c r="W1942" s="260">
        <v>45931</v>
      </c>
    </row>
    <row r="1943" spans="1:23" hidden="1" x14ac:dyDescent="0.35">
      <c r="A1943" s="622" t="s">
        <v>526</v>
      </c>
      <c r="B1943" s="622" t="s">
        <v>160</v>
      </c>
      <c r="C1943" s="622" t="s">
        <v>670</v>
      </c>
      <c r="D1943" s="622" t="s">
        <v>633</v>
      </c>
      <c r="E1943" s="622" t="s">
        <v>634</v>
      </c>
      <c r="F1943" s="622" t="s">
        <v>276</v>
      </c>
      <c r="G1943" s="622" t="s">
        <v>356</v>
      </c>
      <c r="H1943" s="622" t="s">
        <v>670</v>
      </c>
      <c r="I1943" s="622" t="s">
        <v>277</v>
      </c>
      <c r="J1943" s="622" t="s">
        <v>523</v>
      </c>
      <c r="K1943" s="622" t="s">
        <v>670</v>
      </c>
      <c r="L1943" s="622" t="s">
        <v>599</v>
      </c>
      <c r="M1943" s="622" t="s">
        <v>285</v>
      </c>
      <c r="N1943" s="622" t="s">
        <v>758</v>
      </c>
      <c r="O1943" s="622" t="s">
        <v>756</v>
      </c>
      <c r="P1943" s="622" t="s">
        <v>523</v>
      </c>
      <c r="Q1943" s="622" t="s">
        <v>387</v>
      </c>
      <c r="R1943" s="623">
        <v>45938</v>
      </c>
      <c r="S1943" s="622" t="s">
        <v>388</v>
      </c>
      <c r="T1943" s="623">
        <v>45947</v>
      </c>
      <c r="U1943" s="626">
        <v>1</v>
      </c>
      <c r="V1943" s="625">
        <v>803.8</v>
      </c>
      <c r="W1943" s="260">
        <v>45931</v>
      </c>
    </row>
    <row r="1944" spans="1:23" hidden="1" x14ac:dyDescent="0.35">
      <c r="A1944" s="622" t="s">
        <v>526</v>
      </c>
      <c r="B1944" s="622" t="s">
        <v>160</v>
      </c>
      <c r="C1944" s="622" t="s">
        <v>670</v>
      </c>
      <c r="D1944" s="622" t="s">
        <v>633</v>
      </c>
      <c r="E1944" s="622" t="s">
        <v>634</v>
      </c>
      <c r="F1944" s="622" t="s">
        <v>276</v>
      </c>
      <c r="G1944" s="622" t="s">
        <v>356</v>
      </c>
      <c r="H1944" s="622" t="s">
        <v>670</v>
      </c>
      <c r="I1944" s="622" t="s">
        <v>277</v>
      </c>
      <c r="J1944" s="622" t="s">
        <v>523</v>
      </c>
      <c r="K1944" s="622" t="s">
        <v>670</v>
      </c>
      <c r="L1944" s="622" t="s">
        <v>599</v>
      </c>
      <c r="M1944" s="622" t="s">
        <v>285</v>
      </c>
      <c r="N1944" s="622" t="s">
        <v>759</v>
      </c>
      <c r="O1944" s="622" t="s">
        <v>756</v>
      </c>
      <c r="P1944" s="622" t="s">
        <v>523</v>
      </c>
      <c r="Q1944" s="622" t="s">
        <v>387</v>
      </c>
      <c r="R1944" s="623">
        <v>45938</v>
      </c>
      <c r="S1944" s="622" t="s">
        <v>388</v>
      </c>
      <c r="T1944" s="623">
        <v>45947</v>
      </c>
      <c r="U1944" s="626">
        <v>1</v>
      </c>
      <c r="V1944" s="625">
        <v>570.6</v>
      </c>
      <c r="W1944" s="260">
        <v>45931</v>
      </c>
    </row>
    <row r="1945" spans="1:23" hidden="1" x14ac:dyDescent="0.35">
      <c r="A1945" s="622" t="s">
        <v>526</v>
      </c>
      <c r="B1945" s="622" t="s">
        <v>160</v>
      </c>
      <c r="C1945" s="622" t="s">
        <v>670</v>
      </c>
      <c r="D1945" s="622" t="s">
        <v>633</v>
      </c>
      <c r="E1945" s="622" t="s">
        <v>634</v>
      </c>
      <c r="F1945" s="622" t="s">
        <v>276</v>
      </c>
      <c r="G1945" s="622" t="s">
        <v>356</v>
      </c>
      <c r="H1945" s="622" t="s">
        <v>670</v>
      </c>
      <c r="I1945" s="622" t="s">
        <v>277</v>
      </c>
      <c r="J1945" s="622" t="s">
        <v>523</v>
      </c>
      <c r="K1945" s="622" t="s">
        <v>670</v>
      </c>
      <c r="L1945" s="622" t="s">
        <v>599</v>
      </c>
      <c r="M1945" s="622" t="s">
        <v>285</v>
      </c>
      <c r="N1945" s="622" t="s">
        <v>760</v>
      </c>
      <c r="O1945" s="622" t="s">
        <v>756</v>
      </c>
      <c r="P1945" s="622" t="s">
        <v>523</v>
      </c>
      <c r="Q1945" s="622" t="s">
        <v>387</v>
      </c>
      <c r="R1945" s="623">
        <v>45938</v>
      </c>
      <c r="S1945" s="622" t="s">
        <v>388</v>
      </c>
      <c r="T1945" s="623">
        <v>45947</v>
      </c>
      <c r="U1945" s="626">
        <v>1</v>
      </c>
      <c r="V1945" s="625">
        <v>78.599999999999994</v>
      </c>
      <c r="W1945" s="260">
        <v>45931</v>
      </c>
    </row>
    <row r="1946" spans="1:23" hidden="1" x14ac:dyDescent="0.35">
      <c r="A1946" s="622" t="s">
        <v>526</v>
      </c>
      <c r="B1946" s="622" t="s">
        <v>160</v>
      </c>
      <c r="C1946" s="622" t="s">
        <v>670</v>
      </c>
      <c r="D1946" s="622" t="s">
        <v>633</v>
      </c>
      <c r="E1946" s="622" t="s">
        <v>634</v>
      </c>
      <c r="F1946" s="622" t="s">
        <v>276</v>
      </c>
      <c r="G1946" s="622" t="s">
        <v>356</v>
      </c>
      <c r="H1946" s="622" t="s">
        <v>670</v>
      </c>
      <c r="I1946" s="622" t="s">
        <v>277</v>
      </c>
      <c r="J1946" s="622" t="s">
        <v>523</v>
      </c>
      <c r="K1946" s="622" t="s">
        <v>670</v>
      </c>
      <c r="L1946" s="622" t="s">
        <v>599</v>
      </c>
      <c r="M1946" s="622" t="s">
        <v>285</v>
      </c>
      <c r="N1946" s="622" t="s">
        <v>820</v>
      </c>
      <c r="O1946" s="622" t="s">
        <v>794</v>
      </c>
      <c r="P1946" s="622" t="s">
        <v>523</v>
      </c>
      <c r="Q1946" s="622" t="s">
        <v>387</v>
      </c>
      <c r="R1946" s="623">
        <v>45862</v>
      </c>
      <c r="S1946" s="622" t="s">
        <v>388</v>
      </c>
      <c r="T1946" s="623">
        <v>45948</v>
      </c>
      <c r="U1946" s="626">
        <v>1</v>
      </c>
      <c r="V1946" s="625">
        <v>2804.4</v>
      </c>
      <c r="W1946" s="260">
        <v>45931</v>
      </c>
    </row>
    <row r="1947" spans="1:23" hidden="1" x14ac:dyDescent="0.35">
      <c r="A1947" s="622" t="s">
        <v>526</v>
      </c>
      <c r="B1947" s="622" t="s">
        <v>160</v>
      </c>
      <c r="C1947" s="622" t="s">
        <v>670</v>
      </c>
      <c r="D1947" s="622" t="s">
        <v>385</v>
      </c>
      <c r="E1947" s="622" t="s">
        <v>386</v>
      </c>
      <c r="F1947" s="622" t="s">
        <v>276</v>
      </c>
      <c r="G1947" s="622" t="s">
        <v>356</v>
      </c>
      <c r="H1947" s="622" t="s">
        <v>670</v>
      </c>
      <c r="I1947" s="622" t="s">
        <v>277</v>
      </c>
      <c r="J1947" s="622" t="s">
        <v>523</v>
      </c>
      <c r="K1947" s="622" t="s">
        <v>670</v>
      </c>
      <c r="L1947" s="622" t="s">
        <v>599</v>
      </c>
      <c r="M1947" s="622" t="s">
        <v>285</v>
      </c>
      <c r="N1947" s="622" t="s">
        <v>821</v>
      </c>
      <c r="O1947" s="622" t="s">
        <v>822</v>
      </c>
      <c r="P1947" s="622" t="s">
        <v>523</v>
      </c>
      <c r="Q1947" s="622" t="s">
        <v>387</v>
      </c>
      <c r="R1947" s="623">
        <v>45932</v>
      </c>
      <c r="S1947" s="622" t="s">
        <v>388</v>
      </c>
      <c r="T1947" s="623">
        <v>45947</v>
      </c>
      <c r="U1947" s="626">
        <v>1</v>
      </c>
      <c r="V1947" s="625">
        <v>379647.41</v>
      </c>
      <c r="W1947" s="260">
        <v>45931</v>
      </c>
    </row>
    <row r="1948" spans="1:23" hidden="1" x14ac:dyDescent="0.35">
      <c r="A1948" s="622" t="s">
        <v>526</v>
      </c>
      <c r="B1948" s="622" t="s">
        <v>160</v>
      </c>
      <c r="C1948" s="622" t="s">
        <v>670</v>
      </c>
      <c r="D1948" s="622" t="s">
        <v>385</v>
      </c>
      <c r="E1948" s="622" t="s">
        <v>386</v>
      </c>
      <c r="F1948" s="622" t="s">
        <v>276</v>
      </c>
      <c r="G1948" s="622" t="s">
        <v>356</v>
      </c>
      <c r="H1948" s="622" t="s">
        <v>670</v>
      </c>
      <c r="I1948" s="622" t="s">
        <v>277</v>
      </c>
      <c r="J1948" s="622" t="s">
        <v>523</v>
      </c>
      <c r="K1948" s="622" t="s">
        <v>670</v>
      </c>
      <c r="L1948" s="622" t="s">
        <v>599</v>
      </c>
      <c r="M1948" s="622" t="s">
        <v>285</v>
      </c>
      <c r="N1948" s="622" t="s">
        <v>670</v>
      </c>
      <c r="O1948" s="622" t="s">
        <v>756</v>
      </c>
      <c r="P1948" s="622" t="s">
        <v>523</v>
      </c>
      <c r="Q1948" s="622" t="s">
        <v>400</v>
      </c>
      <c r="R1948" s="623">
        <v>45960</v>
      </c>
      <c r="S1948" s="622" t="s">
        <v>670</v>
      </c>
      <c r="T1948" s="623">
        <v>45961</v>
      </c>
      <c r="U1948" s="624">
        <v>0</v>
      </c>
      <c r="V1948" s="625">
        <v>43360</v>
      </c>
      <c r="W1948" s="260">
        <v>45931</v>
      </c>
    </row>
    <row r="1949" spans="1:23" hidden="1" x14ac:dyDescent="0.35">
      <c r="A1949" s="622" t="s">
        <v>526</v>
      </c>
      <c r="B1949" s="622" t="s">
        <v>160</v>
      </c>
      <c r="C1949" s="622" t="s">
        <v>670</v>
      </c>
      <c r="D1949" s="622" t="s">
        <v>385</v>
      </c>
      <c r="E1949" s="622" t="s">
        <v>386</v>
      </c>
      <c r="F1949" s="622" t="s">
        <v>276</v>
      </c>
      <c r="G1949" s="622" t="s">
        <v>356</v>
      </c>
      <c r="H1949" s="622" t="s">
        <v>670</v>
      </c>
      <c r="I1949" s="622" t="s">
        <v>277</v>
      </c>
      <c r="J1949" s="622" t="s">
        <v>523</v>
      </c>
      <c r="K1949" s="622" t="s">
        <v>670</v>
      </c>
      <c r="L1949" s="622" t="s">
        <v>599</v>
      </c>
      <c r="M1949" s="622" t="s">
        <v>285</v>
      </c>
      <c r="N1949" s="622" t="s">
        <v>670</v>
      </c>
      <c r="O1949" s="622" t="s">
        <v>794</v>
      </c>
      <c r="P1949" s="622" t="s">
        <v>523</v>
      </c>
      <c r="Q1949" s="622" t="s">
        <v>400</v>
      </c>
      <c r="R1949" s="623">
        <v>45960</v>
      </c>
      <c r="S1949" s="622" t="s">
        <v>670</v>
      </c>
      <c r="T1949" s="623">
        <v>45961</v>
      </c>
      <c r="U1949" s="624">
        <v>0</v>
      </c>
      <c r="V1949" s="625">
        <v>2804.4</v>
      </c>
      <c r="W1949" s="260">
        <v>45931</v>
      </c>
    </row>
    <row r="1950" spans="1:23" hidden="1" x14ac:dyDescent="0.35">
      <c r="A1950" s="622" t="s">
        <v>526</v>
      </c>
      <c r="B1950" s="622" t="s">
        <v>53</v>
      </c>
      <c r="C1950" s="622" t="s">
        <v>670</v>
      </c>
      <c r="D1950" s="622" t="s">
        <v>385</v>
      </c>
      <c r="E1950" s="622" t="s">
        <v>386</v>
      </c>
      <c r="F1950" s="622" t="s">
        <v>588</v>
      </c>
      <c r="G1950" s="622" t="s">
        <v>356</v>
      </c>
      <c r="H1950" s="622" t="s">
        <v>670</v>
      </c>
      <c r="I1950" s="622" t="s">
        <v>277</v>
      </c>
      <c r="J1950" s="622" t="s">
        <v>524</v>
      </c>
      <c r="K1950" s="622" t="s">
        <v>670</v>
      </c>
      <c r="L1950" s="622" t="s">
        <v>599</v>
      </c>
      <c r="M1950" s="622" t="s">
        <v>285</v>
      </c>
      <c r="N1950" s="622" t="s">
        <v>670</v>
      </c>
      <c r="O1950" s="622" t="s">
        <v>670</v>
      </c>
      <c r="P1950" s="622" t="s">
        <v>524</v>
      </c>
      <c r="Q1950" s="622" t="s">
        <v>589</v>
      </c>
      <c r="R1950" s="623">
        <v>45929</v>
      </c>
      <c r="S1950" s="622" t="s">
        <v>670</v>
      </c>
      <c r="T1950" s="623">
        <v>45931</v>
      </c>
      <c r="U1950" s="624">
        <v>0</v>
      </c>
      <c r="V1950" s="625">
        <v>-5931</v>
      </c>
      <c r="W1950" s="260">
        <v>45931</v>
      </c>
    </row>
    <row r="1951" spans="1:23" hidden="1" x14ac:dyDescent="0.35">
      <c r="A1951" s="622" t="s">
        <v>526</v>
      </c>
      <c r="B1951" s="622" t="s">
        <v>53</v>
      </c>
      <c r="C1951" s="622" t="s">
        <v>670</v>
      </c>
      <c r="D1951" s="622" t="s">
        <v>385</v>
      </c>
      <c r="E1951" s="622" t="s">
        <v>386</v>
      </c>
      <c r="F1951" s="622" t="s">
        <v>588</v>
      </c>
      <c r="G1951" s="622" t="s">
        <v>356</v>
      </c>
      <c r="H1951" s="622" t="s">
        <v>670</v>
      </c>
      <c r="I1951" s="622" t="s">
        <v>277</v>
      </c>
      <c r="J1951" s="622" t="s">
        <v>524</v>
      </c>
      <c r="K1951" s="622" t="s">
        <v>670</v>
      </c>
      <c r="L1951" s="622" t="s">
        <v>599</v>
      </c>
      <c r="M1951" s="622" t="s">
        <v>285</v>
      </c>
      <c r="N1951" s="622" t="s">
        <v>670</v>
      </c>
      <c r="O1951" s="622" t="s">
        <v>670</v>
      </c>
      <c r="P1951" s="622" t="s">
        <v>524</v>
      </c>
      <c r="Q1951" s="622" t="s">
        <v>589</v>
      </c>
      <c r="R1951" s="623">
        <v>45929</v>
      </c>
      <c r="S1951" s="622" t="s">
        <v>670</v>
      </c>
      <c r="T1951" s="623">
        <v>45931</v>
      </c>
      <c r="U1951" s="624">
        <v>0</v>
      </c>
      <c r="V1951" s="625">
        <v>-123095</v>
      </c>
      <c r="W1951" s="260">
        <v>45931</v>
      </c>
    </row>
    <row r="1952" spans="1:23" hidden="1" x14ac:dyDescent="0.35">
      <c r="A1952" s="622" t="s">
        <v>526</v>
      </c>
      <c r="B1952" s="622" t="s">
        <v>53</v>
      </c>
      <c r="C1952" s="622" t="s">
        <v>670</v>
      </c>
      <c r="D1952" s="622" t="s">
        <v>385</v>
      </c>
      <c r="E1952" s="622" t="s">
        <v>386</v>
      </c>
      <c r="F1952" s="622" t="s">
        <v>588</v>
      </c>
      <c r="G1952" s="622" t="s">
        <v>356</v>
      </c>
      <c r="H1952" s="622" t="s">
        <v>670</v>
      </c>
      <c r="I1952" s="622" t="s">
        <v>277</v>
      </c>
      <c r="J1952" s="622" t="s">
        <v>524</v>
      </c>
      <c r="K1952" s="622" t="s">
        <v>670</v>
      </c>
      <c r="L1952" s="622" t="s">
        <v>599</v>
      </c>
      <c r="M1952" s="622" t="s">
        <v>285</v>
      </c>
      <c r="N1952" s="622" t="s">
        <v>670</v>
      </c>
      <c r="O1952" s="622" t="s">
        <v>670</v>
      </c>
      <c r="P1952" s="622" t="s">
        <v>524</v>
      </c>
      <c r="Q1952" s="622" t="s">
        <v>589</v>
      </c>
      <c r="R1952" s="623">
        <v>45929</v>
      </c>
      <c r="S1952" s="622" t="s">
        <v>670</v>
      </c>
      <c r="T1952" s="623">
        <v>45931</v>
      </c>
      <c r="U1952" s="624">
        <v>0</v>
      </c>
      <c r="V1952" s="625">
        <v>-498544</v>
      </c>
      <c r="W1952" s="260">
        <v>45931</v>
      </c>
    </row>
    <row r="1953" spans="1:23" hidden="1" x14ac:dyDescent="0.35">
      <c r="A1953" s="622" t="s">
        <v>526</v>
      </c>
      <c r="B1953" s="622" t="s">
        <v>53</v>
      </c>
      <c r="C1953" s="622" t="s">
        <v>670</v>
      </c>
      <c r="D1953" s="622" t="s">
        <v>385</v>
      </c>
      <c r="E1953" s="622" t="s">
        <v>386</v>
      </c>
      <c r="F1953" s="622" t="s">
        <v>588</v>
      </c>
      <c r="G1953" s="622" t="s">
        <v>356</v>
      </c>
      <c r="H1953" s="622" t="s">
        <v>670</v>
      </c>
      <c r="I1953" s="622" t="s">
        <v>277</v>
      </c>
      <c r="J1953" s="622" t="s">
        <v>524</v>
      </c>
      <c r="K1953" s="622" t="s">
        <v>670</v>
      </c>
      <c r="L1953" s="622" t="s">
        <v>599</v>
      </c>
      <c r="M1953" s="622" t="s">
        <v>285</v>
      </c>
      <c r="N1953" s="622" t="s">
        <v>670</v>
      </c>
      <c r="O1953" s="622" t="s">
        <v>670</v>
      </c>
      <c r="P1953" s="622" t="s">
        <v>524</v>
      </c>
      <c r="Q1953" s="622" t="s">
        <v>589</v>
      </c>
      <c r="R1953" s="623">
        <v>45929</v>
      </c>
      <c r="S1953" s="622" t="s">
        <v>670</v>
      </c>
      <c r="T1953" s="623">
        <v>45931</v>
      </c>
      <c r="U1953" s="624">
        <v>0</v>
      </c>
      <c r="V1953" s="625">
        <v>-7250</v>
      </c>
      <c r="W1953" s="260">
        <v>45931</v>
      </c>
    </row>
    <row r="1954" spans="1:23" hidden="1" x14ac:dyDescent="0.35">
      <c r="A1954" s="622" t="s">
        <v>526</v>
      </c>
      <c r="B1954" s="622" t="s">
        <v>53</v>
      </c>
      <c r="C1954" s="622" t="s">
        <v>670</v>
      </c>
      <c r="D1954" s="622" t="s">
        <v>385</v>
      </c>
      <c r="E1954" s="622" t="s">
        <v>386</v>
      </c>
      <c r="F1954" s="622" t="s">
        <v>276</v>
      </c>
      <c r="G1954" s="622" t="s">
        <v>356</v>
      </c>
      <c r="H1954" s="622" t="s">
        <v>670</v>
      </c>
      <c r="I1954" s="622" t="s">
        <v>277</v>
      </c>
      <c r="J1954" s="622" t="s">
        <v>524</v>
      </c>
      <c r="K1954" s="622" t="s">
        <v>670</v>
      </c>
      <c r="L1954" s="622" t="s">
        <v>599</v>
      </c>
      <c r="M1954" s="622" t="s">
        <v>285</v>
      </c>
      <c r="N1954" s="622" t="s">
        <v>823</v>
      </c>
      <c r="O1954" s="622" t="s">
        <v>824</v>
      </c>
      <c r="P1954" s="622" t="s">
        <v>524</v>
      </c>
      <c r="Q1954" s="622" t="s">
        <v>387</v>
      </c>
      <c r="R1954" s="623">
        <v>45923</v>
      </c>
      <c r="S1954" s="622" t="s">
        <v>388</v>
      </c>
      <c r="T1954" s="623">
        <v>45932</v>
      </c>
      <c r="U1954" s="626">
        <v>1</v>
      </c>
      <c r="V1954" s="625">
        <v>66780</v>
      </c>
      <c r="W1954" s="260">
        <v>45931</v>
      </c>
    </row>
    <row r="1955" spans="1:23" hidden="1" x14ac:dyDescent="0.35">
      <c r="A1955" s="622" t="s">
        <v>526</v>
      </c>
      <c r="B1955" s="622" t="s">
        <v>53</v>
      </c>
      <c r="C1955" s="622" t="s">
        <v>670</v>
      </c>
      <c r="D1955" s="622" t="s">
        <v>385</v>
      </c>
      <c r="E1955" s="622" t="s">
        <v>386</v>
      </c>
      <c r="F1955" s="622" t="s">
        <v>276</v>
      </c>
      <c r="G1955" s="622" t="s">
        <v>356</v>
      </c>
      <c r="H1955" s="622" t="s">
        <v>670</v>
      </c>
      <c r="I1955" s="622" t="s">
        <v>277</v>
      </c>
      <c r="J1955" s="622" t="s">
        <v>524</v>
      </c>
      <c r="K1955" s="622" t="s">
        <v>670</v>
      </c>
      <c r="L1955" s="622" t="s">
        <v>599</v>
      </c>
      <c r="M1955" s="622" t="s">
        <v>285</v>
      </c>
      <c r="N1955" s="622" t="s">
        <v>825</v>
      </c>
      <c r="O1955" s="622" t="s">
        <v>824</v>
      </c>
      <c r="P1955" s="622" t="s">
        <v>524</v>
      </c>
      <c r="Q1955" s="622" t="s">
        <v>387</v>
      </c>
      <c r="R1955" s="623">
        <v>45923</v>
      </c>
      <c r="S1955" s="622" t="s">
        <v>388</v>
      </c>
      <c r="T1955" s="623">
        <v>45932</v>
      </c>
      <c r="U1955" s="626">
        <v>1</v>
      </c>
      <c r="V1955" s="625">
        <v>66780</v>
      </c>
      <c r="W1955" s="260">
        <v>45931</v>
      </c>
    </row>
    <row r="1956" spans="1:23" ht="15" hidden="1" thickBot="1" x14ac:dyDescent="0.4">
      <c r="A1956" s="622" t="s">
        <v>526</v>
      </c>
      <c r="B1956" s="763" t="s">
        <v>53</v>
      </c>
      <c r="C1956" s="763" t="s">
        <v>670</v>
      </c>
      <c r="D1956" s="763" t="s">
        <v>385</v>
      </c>
      <c r="E1956" s="622" t="s">
        <v>386</v>
      </c>
      <c r="F1956" s="622" t="s">
        <v>276</v>
      </c>
      <c r="G1956" s="622" t="s">
        <v>356</v>
      </c>
      <c r="H1956" s="622" t="s">
        <v>670</v>
      </c>
      <c r="I1956" s="622" t="s">
        <v>277</v>
      </c>
      <c r="J1956" s="622" t="s">
        <v>524</v>
      </c>
      <c r="K1956" s="622" t="s">
        <v>670</v>
      </c>
      <c r="L1956" s="763" t="s">
        <v>599</v>
      </c>
      <c r="M1956" s="622" t="s">
        <v>285</v>
      </c>
      <c r="N1956" s="763" t="s">
        <v>700</v>
      </c>
      <c r="O1956" s="763">
        <v>7000000729</v>
      </c>
      <c r="P1956" s="763" t="s">
        <v>524</v>
      </c>
      <c r="Q1956" s="763" t="s">
        <v>387</v>
      </c>
      <c r="R1956" s="764">
        <v>45911</v>
      </c>
      <c r="S1956" s="763" t="s">
        <v>388</v>
      </c>
      <c r="T1956" s="764">
        <v>45932</v>
      </c>
      <c r="U1956" s="769">
        <v>1</v>
      </c>
      <c r="V1956" s="789">
        <v>25801.919999999998</v>
      </c>
      <c r="W1956" s="627">
        <v>45931</v>
      </c>
    </row>
    <row r="1957" spans="1:23" hidden="1" x14ac:dyDescent="0.35">
      <c r="A1957" s="622" t="s">
        <v>526</v>
      </c>
      <c r="B1957" s="622" t="s">
        <v>53</v>
      </c>
      <c r="C1957" s="622" t="s">
        <v>670</v>
      </c>
      <c r="D1957" s="622" t="s">
        <v>385</v>
      </c>
      <c r="E1957" s="622" t="s">
        <v>386</v>
      </c>
      <c r="F1957" s="622" t="s">
        <v>276</v>
      </c>
      <c r="G1957" s="622" t="s">
        <v>356</v>
      </c>
      <c r="H1957" s="622" t="s">
        <v>670</v>
      </c>
      <c r="I1957" s="622" t="s">
        <v>277</v>
      </c>
      <c r="J1957" s="622" t="s">
        <v>524</v>
      </c>
      <c r="K1957" s="622" t="s">
        <v>670</v>
      </c>
      <c r="L1957" s="622" t="s">
        <v>599</v>
      </c>
      <c r="M1957" s="622" t="s">
        <v>285</v>
      </c>
      <c r="N1957" s="622" t="s">
        <v>637</v>
      </c>
      <c r="O1957" s="622" t="s">
        <v>677</v>
      </c>
      <c r="P1957" s="622" t="s">
        <v>524</v>
      </c>
      <c r="Q1957" s="622" t="s">
        <v>387</v>
      </c>
      <c r="R1957" s="623">
        <v>45908</v>
      </c>
      <c r="S1957" s="622" t="s">
        <v>388</v>
      </c>
      <c r="T1957" s="623">
        <v>45945</v>
      </c>
      <c r="U1957" s="626">
        <v>1</v>
      </c>
      <c r="V1957" s="625">
        <v>824</v>
      </c>
      <c r="W1957" s="260">
        <v>45931</v>
      </c>
    </row>
    <row r="1958" spans="1:23" hidden="1" x14ac:dyDescent="0.35">
      <c r="A1958" s="622" t="s">
        <v>526</v>
      </c>
      <c r="B1958" s="622" t="s">
        <v>53</v>
      </c>
      <c r="C1958" s="622" t="s">
        <v>670</v>
      </c>
      <c r="D1958" s="622" t="s">
        <v>385</v>
      </c>
      <c r="E1958" s="622" t="s">
        <v>386</v>
      </c>
      <c r="F1958" s="622" t="s">
        <v>276</v>
      </c>
      <c r="G1958" s="622" t="s">
        <v>356</v>
      </c>
      <c r="H1958" s="622" t="s">
        <v>670</v>
      </c>
      <c r="I1958" s="622" t="s">
        <v>277</v>
      </c>
      <c r="J1958" s="622" t="s">
        <v>524</v>
      </c>
      <c r="K1958" s="622" t="s">
        <v>670</v>
      </c>
      <c r="L1958" s="622" t="s">
        <v>599</v>
      </c>
      <c r="M1958" s="622" t="s">
        <v>285</v>
      </c>
      <c r="N1958" s="622" t="s">
        <v>796</v>
      </c>
      <c r="O1958" s="622" t="s">
        <v>684</v>
      </c>
      <c r="P1958" s="622" t="s">
        <v>524</v>
      </c>
      <c r="Q1958" s="622" t="s">
        <v>387</v>
      </c>
      <c r="R1958" s="623">
        <v>45944</v>
      </c>
      <c r="S1958" s="622" t="s">
        <v>388</v>
      </c>
      <c r="T1958" s="623">
        <v>45953</v>
      </c>
      <c r="U1958" s="626">
        <v>1</v>
      </c>
      <c r="V1958" s="625">
        <v>5500</v>
      </c>
      <c r="W1958" s="260">
        <v>45931</v>
      </c>
    </row>
    <row r="1959" spans="1:23" hidden="1" x14ac:dyDescent="0.35">
      <c r="A1959" s="622" t="s">
        <v>526</v>
      </c>
      <c r="B1959" s="622" t="s">
        <v>53</v>
      </c>
      <c r="C1959" s="622" t="s">
        <v>670</v>
      </c>
      <c r="D1959" s="622" t="s">
        <v>385</v>
      </c>
      <c r="E1959" s="622" t="s">
        <v>386</v>
      </c>
      <c r="F1959" s="622" t="s">
        <v>276</v>
      </c>
      <c r="G1959" s="622" t="s">
        <v>356</v>
      </c>
      <c r="H1959" s="622" t="s">
        <v>670</v>
      </c>
      <c r="I1959" s="622" t="s">
        <v>277</v>
      </c>
      <c r="J1959" s="622" t="s">
        <v>524</v>
      </c>
      <c r="K1959" s="622" t="s">
        <v>670</v>
      </c>
      <c r="L1959" s="622" t="s">
        <v>599</v>
      </c>
      <c r="M1959" s="622" t="s">
        <v>285</v>
      </c>
      <c r="N1959" s="622" t="s">
        <v>665</v>
      </c>
      <c r="O1959" s="622" t="s">
        <v>684</v>
      </c>
      <c r="P1959" s="622" t="s">
        <v>524</v>
      </c>
      <c r="Q1959" s="622" t="s">
        <v>387</v>
      </c>
      <c r="R1959" s="623">
        <v>45951</v>
      </c>
      <c r="S1959" s="622" t="s">
        <v>388</v>
      </c>
      <c r="T1959" s="623">
        <v>45953</v>
      </c>
      <c r="U1959" s="626">
        <v>1</v>
      </c>
      <c r="V1959" s="625">
        <v>135919</v>
      </c>
      <c r="W1959" s="260">
        <v>45931</v>
      </c>
    </row>
    <row r="1960" spans="1:23" hidden="1" x14ac:dyDescent="0.35">
      <c r="A1960" s="622" t="s">
        <v>526</v>
      </c>
      <c r="B1960" s="622" t="s">
        <v>53</v>
      </c>
      <c r="C1960" s="622" t="s">
        <v>670</v>
      </c>
      <c r="D1960" s="622" t="s">
        <v>385</v>
      </c>
      <c r="E1960" s="622" t="s">
        <v>386</v>
      </c>
      <c r="F1960" s="622" t="s">
        <v>276</v>
      </c>
      <c r="G1960" s="622" t="s">
        <v>356</v>
      </c>
      <c r="H1960" s="622" t="s">
        <v>670</v>
      </c>
      <c r="I1960" s="622" t="s">
        <v>277</v>
      </c>
      <c r="J1960" s="622" t="s">
        <v>524</v>
      </c>
      <c r="K1960" s="622" t="s">
        <v>670</v>
      </c>
      <c r="L1960" s="622" t="s">
        <v>599</v>
      </c>
      <c r="M1960" s="622" t="s">
        <v>285</v>
      </c>
      <c r="N1960" s="622" t="s">
        <v>670</v>
      </c>
      <c r="O1960" s="622" t="s">
        <v>678</v>
      </c>
      <c r="P1960" s="622" t="s">
        <v>524</v>
      </c>
      <c r="Q1960" s="622" t="s">
        <v>400</v>
      </c>
      <c r="R1960" s="623">
        <v>45960</v>
      </c>
      <c r="S1960" s="622" t="s">
        <v>670</v>
      </c>
      <c r="T1960" s="623">
        <v>45961</v>
      </c>
      <c r="U1960" s="624">
        <v>0</v>
      </c>
      <c r="V1960" s="625">
        <v>5931</v>
      </c>
      <c r="W1960" s="260">
        <v>45931</v>
      </c>
    </row>
    <row r="1961" spans="1:23" hidden="1" x14ac:dyDescent="0.35">
      <c r="A1961" s="622" t="s">
        <v>526</v>
      </c>
      <c r="B1961" s="622" t="s">
        <v>53</v>
      </c>
      <c r="C1961" s="622" t="s">
        <v>670</v>
      </c>
      <c r="D1961" s="622" t="s">
        <v>385</v>
      </c>
      <c r="E1961" s="622" t="s">
        <v>386</v>
      </c>
      <c r="F1961" s="622" t="s">
        <v>276</v>
      </c>
      <c r="G1961" s="622" t="s">
        <v>356</v>
      </c>
      <c r="H1961" s="622" t="s">
        <v>670</v>
      </c>
      <c r="I1961" s="622" t="s">
        <v>277</v>
      </c>
      <c r="J1961" s="622" t="s">
        <v>524</v>
      </c>
      <c r="K1961" s="622" t="s">
        <v>670</v>
      </c>
      <c r="L1961" s="622" t="s">
        <v>599</v>
      </c>
      <c r="M1961" s="622" t="s">
        <v>285</v>
      </c>
      <c r="N1961" s="622" t="s">
        <v>670</v>
      </c>
      <c r="O1961" s="622" t="s">
        <v>684</v>
      </c>
      <c r="P1961" s="622" t="s">
        <v>524</v>
      </c>
      <c r="Q1961" s="622" t="s">
        <v>400</v>
      </c>
      <c r="R1961" s="623">
        <v>45960</v>
      </c>
      <c r="S1961" s="622" t="s">
        <v>670</v>
      </c>
      <c r="T1961" s="623">
        <v>45961</v>
      </c>
      <c r="U1961" s="624">
        <v>0</v>
      </c>
      <c r="V1961" s="625">
        <v>459849</v>
      </c>
      <c r="W1961" s="260">
        <v>45931</v>
      </c>
    </row>
    <row r="1962" spans="1:23" hidden="1" x14ac:dyDescent="0.35">
      <c r="O1962" s="622" t="s">
        <v>756</v>
      </c>
      <c r="P1962" s="622" t="s">
        <v>523</v>
      </c>
      <c r="Q1962" s="622" t="s">
        <v>589</v>
      </c>
      <c r="V1962" s="625">
        <v>-43360</v>
      </c>
      <c r="W1962" s="260">
        <v>45962</v>
      </c>
    </row>
    <row r="1963" spans="1:23" hidden="1" x14ac:dyDescent="0.35">
      <c r="A1963" s="618" t="s">
        <v>748</v>
      </c>
      <c r="B1963" s="618" t="s">
        <v>53</v>
      </c>
      <c r="C1963" s="618"/>
      <c r="D1963" s="618" t="s">
        <v>385</v>
      </c>
      <c r="E1963" s="618" t="s">
        <v>386</v>
      </c>
      <c r="F1963" s="618" t="s">
        <v>276</v>
      </c>
      <c r="G1963" s="618" t="s">
        <v>356</v>
      </c>
      <c r="H1963" s="618"/>
      <c r="I1963" s="618" t="s">
        <v>277</v>
      </c>
      <c r="J1963" s="618" t="s">
        <v>654</v>
      </c>
      <c r="K1963" s="618"/>
      <c r="L1963" s="618" t="s">
        <v>600</v>
      </c>
      <c r="M1963" s="618" t="s">
        <v>285</v>
      </c>
      <c r="N1963" s="618" t="s">
        <v>747</v>
      </c>
      <c r="O1963" s="618" t="s">
        <v>675</v>
      </c>
      <c r="P1963" s="618" t="s">
        <v>654</v>
      </c>
      <c r="Q1963" s="618" t="s">
        <v>387</v>
      </c>
      <c r="R1963" s="619">
        <v>45981</v>
      </c>
      <c r="S1963" s="618" t="s">
        <v>388</v>
      </c>
      <c r="T1963" s="619">
        <v>45986</v>
      </c>
      <c r="U1963" s="620">
        <v>1</v>
      </c>
      <c r="V1963" s="621">
        <v>4830</v>
      </c>
      <c r="W1963" s="260">
        <v>45962</v>
      </c>
    </row>
    <row r="1964" spans="1:23" hidden="1" x14ac:dyDescent="0.35">
      <c r="A1964" s="622" t="s">
        <v>526</v>
      </c>
      <c r="B1964" s="622" t="s">
        <v>159</v>
      </c>
      <c r="C1964" s="622" t="s">
        <v>542</v>
      </c>
      <c r="D1964" s="622" t="s">
        <v>560</v>
      </c>
      <c r="E1964" s="622" t="s">
        <v>544</v>
      </c>
      <c r="F1964" s="622" t="s">
        <v>276</v>
      </c>
      <c r="G1964" s="622" t="s">
        <v>356</v>
      </c>
      <c r="H1964" s="622" t="s">
        <v>670</v>
      </c>
      <c r="I1964" s="622" t="s">
        <v>277</v>
      </c>
      <c r="J1964" s="622" t="s">
        <v>528</v>
      </c>
      <c r="K1964" s="622" t="s">
        <v>545</v>
      </c>
      <c r="L1964" s="622" t="s">
        <v>600</v>
      </c>
      <c r="M1964" s="622" t="s">
        <v>285</v>
      </c>
      <c r="N1964" s="622" t="s">
        <v>670</v>
      </c>
      <c r="O1964" s="622" t="s">
        <v>670</v>
      </c>
      <c r="P1964" s="622" t="s">
        <v>528</v>
      </c>
      <c r="Q1964" s="622" t="s">
        <v>670</v>
      </c>
      <c r="R1964" s="623">
        <v>45992</v>
      </c>
      <c r="S1964" s="622" t="s">
        <v>670</v>
      </c>
      <c r="T1964" s="623">
        <v>45991</v>
      </c>
      <c r="U1964" s="624">
        <v>0</v>
      </c>
      <c r="V1964" s="625">
        <v>10.27</v>
      </c>
      <c r="W1964" s="260">
        <v>45962</v>
      </c>
    </row>
    <row r="1965" spans="1:23" hidden="1" x14ac:dyDescent="0.35">
      <c r="A1965" s="622" t="s">
        <v>526</v>
      </c>
      <c r="B1965" s="622" t="s">
        <v>159</v>
      </c>
      <c r="C1965" s="622" t="s">
        <v>546</v>
      </c>
      <c r="D1965" s="622" t="s">
        <v>561</v>
      </c>
      <c r="E1965" s="622" t="s">
        <v>548</v>
      </c>
      <c r="F1965" s="622" t="s">
        <v>276</v>
      </c>
      <c r="G1965" s="622" t="s">
        <v>356</v>
      </c>
      <c r="H1965" s="622" t="s">
        <v>670</v>
      </c>
      <c r="I1965" s="622" t="s">
        <v>277</v>
      </c>
      <c r="J1965" s="622" t="s">
        <v>528</v>
      </c>
      <c r="K1965" s="622" t="s">
        <v>549</v>
      </c>
      <c r="L1965" s="622" t="s">
        <v>600</v>
      </c>
      <c r="M1965" s="622" t="s">
        <v>285</v>
      </c>
      <c r="N1965" s="622" t="s">
        <v>670</v>
      </c>
      <c r="O1965" s="622" t="s">
        <v>670</v>
      </c>
      <c r="P1965" s="622" t="s">
        <v>528</v>
      </c>
      <c r="Q1965" s="622" t="s">
        <v>670</v>
      </c>
      <c r="R1965" s="623">
        <v>45992</v>
      </c>
      <c r="S1965" s="622" t="s">
        <v>670</v>
      </c>
      <c r="T1965" s="623">
        <v>45991</v>
      </c>
      <c r="U1965" s="624">
        <v>0</v>
      </c>
      <c r="V1965" s="625">
        <v>274.94</v>
      </c>
      <c r="W1965" s="260">
        <v>45962</v>
      </c>
    </row>
    <row r="1966" spans="1:23" hidden="1" x14ac:dyDescent="0.35">
      <c r="A1966" s="622" t="s">
        <v>526</v>
      </c>
      <c r="B1966" s="622" t="s">
        <v>159</v>
      </c>
      <c r="C1966" s="622" t="s">
        <v>542</v>
      </c>
      <c r="D1966" s="622" t="s">
        <v>562</v>
      </c>
      <c r="E1966" s="622" t="s">
        <v>551</v>
      </c>
      <c r="F1966" s="622" t="s">
        <v>276</v>
      </c>
      <c r="G1966" s="622" t="s">
        <v>356</v>
      </c>
      <c r="H1966" s="622" t="s">
        <v>670</v>
      </c>
      <c r="I1966" s="622" t="s">
        <v>277</v>
      </c>
      <c r="J1966" s="622" t="s">
        <v>528</v>
      </c>
      <c r="K1966" s="622" t="s">
        <v>545</v>
      </c>
      <c r="L1966" s="622" t="s">
        <v>600</v>
      </c>
      <c r="M1966" s="622" t="s">
        <v>285</v>
      </c>
      <c r="N1966" s="622" t="s">
        <v>670</v>
      </c>
      <c r="O1966" s="622" t="s">
        <v>670</v>
      </c>
      <c r="P1966" s="622" t="s">
        <v>528</v>
      </c>
      <c r="Q1966" s="622" t="s">
        <v>670</v>
      </c>
      <c r="R1966" s="623">
        <v>45992</v>
      </c>
      <c r="S1966" s="622" t="s">
        <v>670</v>
      </c>
      <c r="T1966" s="623">
        <v>45991</v>
      </c>
      <c r="U1966" s="624">
        <v>0</v>
      </c>
      <c r="V1966" s="625">
        <v>16.170000000000002</v>
      </c>
      <c r="W1966" s="260">
        <v>45962</v>
      </c>
    </row>
    <row r="1967" spans="1:23" hidden="1" x14ac:dyDescent="0.35">
      <c r="A1967" s="622" t="s">
        <v>526</v>
      </c>
      <c r="B1967" s="622" t="s">
        <v>159</v>
      </c>
      <c r="C1967" s="622" t="s">
        <v>542</v>
      </c>
      <c r="D1967" s="622" t="s">
        <v>563</v>
      </c>
      <c r="E1967" s="622" t="s">
        <v>553</v>
      </c>
      <c r="F1967" s="622" t="s">
        <v>276</v>
      </c>
      <c r="G1967" s="622" t="s">
        <v>356</v>
      </c>
      <c r="H1967" s="622" t="s">
        <v>670</v>
      </c>
      <c r="I1967" s="622" t="s">
        <v>277</v>
      </c>
      <c r="J1967" s="622" t="s">
        <v>528</v>
      </c>
      <c r="K1967" s="622" t="s">
        <v>554</v>
      </c>
      <c r="L1967" s="622" t="s">
        <v>600</v>
      </c>
      <c r="M1967" s="622" t="s">
        <v>285</v>
      </c>
      <c r="N1967" s="622" t="s">
        <v>670</v>
      </c>
      <c r="O1967" s="622" t="s">
        <v>670</v>
      </c>
      <c r="P1967" s="622" t="s">
        <v>528</v>
      </c>
      <c r="Q1967" s="622" t="s">
        <v>670</v>
      </c>
      <c r="R1967" s="623">
        <v>45992</v>
      </c>
      <c r="S1967" s="622" t="s">
        <v>670</v>
      </c>
      <c r="T1967" s="623">
        <v>45991</v>
      </c>
      <c r="U1967" s="624">
        <v>0</v>
      </c>
      <c r="V1967" s="625">
        <v>20.55</v>
      </c>
      <c r="W1967" s="260">
        <v>45962</v>
      </c>
    </row>
    <row r="1968" spans="1:23" hidden="1" x14ac:dyDescent="0.35">
      <c r="A1968" s="622" t="s">
        <v>526</v>
      </c>
      <c r="B1968" s="622" t="s">
        <v>159</v>
      </c>
      <c r="C1968" s="622" t="s">
        <v>546</v>
      </c>
      <c r="D1968" s="622" t="s">
        <v>564</v>
      </c>
      <c r="E1968" s="622" t="s">
        <v>556</v>
      </c>
      <c r="F1968" s="622" t="s">
        <v>276</v>
      </c>
      <c r="G1968" s="622" t="s">
        <v>356</v>
      </c>
      <c r="H1968" s="622" t="s">
        <v>670</v>
      </c>
      <c r="I1968" s="622" t="s">
        <v>277</v>
      </c>
      <c r="J1968" s="622" t="s">
        <v>528</v>
      </c>
      <c r="K1968" s="622" t="s">
        <v>557</v>
      </c>
      <c r="L1968" s="622" t="s">
        <v>600</v>
      </c>
      <c r="M1968" s="622" t="s">
        <v>285</v>
      </c>
      <c r="N1968" s="622" t="s">
        <v>670</v>
      </c>
      <c r="O1968" s="622" t="s">
        <v>670</v>
      </c>
      <c r="P1968" s="622" t="s">
        <v>528</v>
      </c>
      <c r="Q1968" s="622" t="s">
        <v>670</v>
      </c>
      <c r="R1968" s="623">
        <v>45992</v>
      </c>
      <c r="S1968" s="622" t="s">
        <v>670</v>
      </c>
      <c r="T1968" s="623">
        <v>45991</v>
      </c>
      <c r="U1968" s="624">
        <v>0</v>
      </c>
      <c r="V1968" s="625">
        <v>73.7</v>
      </c>
      <c r="W1968" s="260">
        <v>45962</v>
      </c>
    </row>
    <row r="1969" spans="1:24" hidden="1" x14ac:dyDescent="0.35">
      <c r="A1969" s="622" t="s">
        <v>526</v>
      </c>
      <c r="B1969" s="622" t="s">
        <v>159</v>
      </c>
      <c r="C1969" s="622" t="s">
        <v>834</v>
      </c>
      <c r="D1969" s="622" t="s">
        <v>835</v>
      </c>
      <c r="E1969" s="622" t="s">
        <v>836</v>
      </c>
      <c r="F1969" s="622" t="s">
        <v>276</v>
      </c>
      <c r="G1969" s="622" t="s">
        <v>356</v>
      </c>
      <c r="H1969" s="622" t="s">
        <v>837</v>
      </c>
      <c r="I1969" s="622" t="s">
        <v>277</v>
      </c>
      <c r="J1969" s="622" t="s">
        <v>528</v>
      </c>
      <c r="K1969" s="622" t="s">
        <v>838</v>
      </c>
      <c r="L1969" s="622" t="s">
        <v>600</v>
      </c>
      <c r="M1969" s="622" t="s">
        <v>839</v>
      </c>
      <c r="N1969" s="622" t="s">
        <v>670</v>
      </c>
      <c r="O1969" s="622" t="s">
        <v>670</v>
      </c>
      <c r="P1969" s="622" t="s">
        <v>528</v>
      </c>
      <c r="Q1969" s="622" t="s">
        <v>670</v>
      </c>
      <c r="R1969" s="623">
        <v>45966</v>
      </c>
      <c r="S1969" s="622" t="s">
        <v>278</v>
      </c>
      <c r="T1969" s="623">
        <v>45972</v>
      </c>
      <c r="U1969" s="624">
        <v>6</v>
      </c>
      <c r="V1969" s="625">
        <v>561</v>
      </c>
      <c r="W1969" s="260">
        <v>45962</v>
      </c>
      <c r="X1969" s="845"/>
    </row>
    <row r="1970" spans="1:24" hidden="1" x14ac:dyDescent="0.35">
      <c r="A1970" s="622" t="s">
        <v>526</v>
      </c>
      <c r="B1970" s="622" t="s">
        <v>159</v>
      </c>
      <c r="C1970" s="622" t="s">
        <v>834</v>
      </c>
      <c r="D1970" s="622" t="s">
        <v>835</v>
      </c>
      <c r="E1970" s="622" t="s">
        <v>836</v>
      </c>
      <c r="F1970" s="622" t="s">
        <v>276</v>
      </c>
      <c r="G1970" s="622" t="s">
        <v>356</v>
      </c>
      <c r="H1970" s="622" t="s">
        <v>837</v>
      </c>
      <c r="I1970" s="622" t="s">
        <v>277</v>
      </c>
      <c r="J1970" s="622" t="s">
        <v>528</v>
      </c>
      <c r="K1970" s="622" t="s">
        <v>838</v>
      </c>
      <c r="L1970" s="622" t="s">
        <v>600</v>
      </c>
      <c r="M1970" s="622" t="s">
        <v>839</v>
      </c>
      <c r="N1970" s="622" t="s">
        <v>670</v>
      </c>
      <c r="O1970" s="622" t="s">
        <v>670</v>
      </c>
      <c r="P1970" s="622" t="s">
        <v>528</v>
      </c>
      <c r="Q1970" s="622" t="s">
        <v>670</v>
      </c>
      <c r="R1970" s="623">
        <v>45965</v>
      </c>
      <c r="S1970" s="622" t="s">
        <v>278</v>
      </c>
      <c r="T1970" s="623">
        <v>45974</v>
      </c>
      <c r="U1970" s="624">
        <v>4</v>
      </c>
      <c r="V1970" s="625">
        <v>374</v>
      </c>
      <c r="W1970" s="260">
        <v>45962</v>
      </c>
      <c r="X1970" s="845"/>
    </row>
    <row r="1971" spans="1:24" hidden="1" x14ac:dyDescent="0.35">
      <c r="A1971" s="622" t="s">
        <v>526</v>
      </c>
      <c r="B1971" s="622" t="s">
        <v>159</v>
      </c>
      <c r="C1971" s="622" t="s">
        <v>834</v>
      </c>
      <c r="D1971" s="622" t="s">
        <v>835</v>
      </c>
      <c r="E1971" s="622" t="s">
        <v>836</v>
      </c>
      <c r="F1971" s="622" t="s">
        <v>276</v>
      </c>
      <c r="G1971" s="622" t="s">
        <v>356</v>
      </c>
      <c r="H1971" s="622" t="s">
        <v>837</v>
      </c>
      <c r="I1971" s="622" t="s">
        <v>277</v>
      </c>
      <c r="J1971" s="622" t="s">
        <v>528</v>
      </c>
      <c r="K1971" s="622" t="s">
        <v>838</v>
      </c>
      <c r="L1971" s="622" t="s">
        <v>600</v>
      </c>
      <c r="M1971" s="622" t="s">
        <v>839</v>
      </c>
      <c r="N1971" s="622" t="s">
        <v>670</v>
      </c>
      <c r="O1971" s="622" t="s">
        <v>670</v>
      </c>
      <c r="P1971" s="622" t="s">
        <v>528</v>
      </c>
      <c r="Q1971" s="622" t="s">
        <v>670</v>
      </c>
      <c r="R1971" s="623">
        <v>45964</v>
      </c>
      <c r="S1971" s="622" t="s">
        <v>278</v>
      </c>
      <c r="T1971" s="623">
        <v>45974</v>
      </c>
      <c r="U1971" s="624">
        <v>4</v>
      </c>
      <c r="V1971" s="625">
        <v>374</v>
      </c>
      <c r="W1971" s="260">
        <v>45962</v>
      </c>
      <c r="X1971" s="845"/>
    </row>
    <row r="1972" spans="1:24" hidden="1" x14ac:dyDescent="0.35">
      <c r="A1972" s="622" t="s">
        <v>526</v>
      </c>
      <c r="B1972" s="622" t="s">
        <v>53</v>
      </c>
      <c r="C1972" s="622" t="s">
        <v>670</v>
      </c>
      <c r="D1972" s="622" t="s">
        <v>385</v>
      </c>
      <c r="E1972" s="622" t="s">
        <v>386</v>
      </c>
      <c r="F1972" s="622" t="s">
        <v>276</v>
      </c>
      <c r="G1972" s="622" t="s">
        <v>356</v>
      </c>
      <c r="H1972" s="622" t="s">
        <v>670</v>
      </c>
      <c r="I1972" s="622" t="s">
        <v>277</v>
      </c>
      <c r="J1972" s="622" t="s">
        <v>577</v>
      </c>
      <c r="K1972" s="622" t="s">
        <v>670</v>
      </c>
      <c r="L1972" s="622" t="s">
        <v>600</v>
      </c>
      <c r="M1972" s="622" t="s">
        <v>285</v>
      </c>
      <c r="N1972" s="622" t="s">
        <v>733</v>
      </c>
      <c r="O1972" s="622" t="s">
        <v>698</v>
      </c>
      <c r="P1972" s="622" t="s">
        <v>577</v>
      </c>
      <c r="Q1972" s="622" t="s">
        <v>387</v>
      </c>
      <c r="R1972" s="623">
        <v>45971</v>
      </c>
      <c r="S1972" s="622" t="s">
        <v>388</v>
      </c>
      <c r="T1972" s="623">
        <v>45981</v>
      </c>
      <c r="U1972" s="626">
        <v>1</v>
      </c>
      <c r="V1972" s="625">
        <v>3584</v>
      </c>
      <c r="W1972" s="260">
        <v>45962</v>
      </c>
    </row>
    <row r="1973" spans="1:24" hidden="1" x14ac:dyDescent="0.35">
      <c r="A1973" s="622" t="s">
        <v>526</v>
      </c>
      <c r="B1973" s="622" t="s">
        <v>53</v>
      </c>
      <c r="C1973" s="622" t="s">
        <v>670</v>
      </c>
      <c r="D1973" s="622" t="s">
        <v>385</v>
      </c>
      <c r="E1973" s="622" t="s">
        <v>386</v>
      </c>
      <c r="F1973" s="622" t="s">
        <v>276</v>
      </c>
      <c r="G1973" s="622" t="s">
        <v>356</v>
      </c>
      <c r="H1973" s="622" t="s">
        <v>670</v>
      </c>
      <c r="I1973" s="622" t="s">
        <v>277</v>
      </c>
      <c r="J1973" s="622" t="s">
        <v>577</v>
      </c>
      <c r="K1973" s="622" t="s">
        <v>670</v>
      </c>
      <c r="L1973" s="622" t="s">
        <v>600</v>
      </c>
      <c r="M1973" s="622" t="s">
        <v>285</v>
      </c>
      <c r="N1973" s="622" t="s">
        <v>637</v>
      </c>
      <c r="O1973" s="622">
        <v>7000001237</v>
      </c>
      <c r="P1973" s="622" t="s">
        <v>577</v>
      </c>
      <c r="Q1973" s="622" t="s">
        <v>387</v>
      </c>
      <c r="R1973" s="623">
        <v>45945</v>
      </c>
      <c r="S1973" s="622" t="s">
        <v>388</v>
      </c>
      <c r="T1973" s="623">
        <v>45982</v>
      </c>
      <c r="U1973" s="626">
        <v>1</v>
      </c>
      <c r="V1973" s="625">
        <v>1318.4</v>
      </c>
      <c r="W1973" s="260">
        <v>45962</v>
      </c>
    </row>
    <row r="1974" spans="1:24" hidden="1" x14ac:dyDescent="0.35">
      <c r="A1974" s="622" t="s">
        <v>526</v>
      </c>
      <c r="B1974" s="622" t="s">
        <v>159</v>
      </c>
      <c r="C1974" s="622" t="s">
        <v>298</v>
      </c>
      <c r="D1974" s="622" t="s">
        <v>299</v>
      </c>
      <c r="E1974" s="622" t="s">
        <v>300</v>
      </c>
      <c r="F1974" s="622" t="s">
        <v>276</v>
      </c>
      <c r="G1974" s="622" t="s">
        <v>356</v>
      </c>
      <c r="H1974" s="622" t="s">
        <v>670</v>
      </c>
      <c r="I1974" s="622" t="s">
        <v>277</v>
      </c>
      <c r="J1974" s="622" t="s">
        <v>522</v>
      </c>
      <c r="K1974" s="622" t="s">
        <v>301</v>
      </c>
      <c r="L1974" s="622" t="s">
        <v>600</v>
      </c>
      <c r="M1974" s="622" t="s">
        <v>285</v>
      </c>
      <c r="N1974" s="622" t="s">
        <v>670</v>
      </c>
      <c r="O1974" s="622" t="s">
        <v>670</v>
      </c>
      <c r="P1974" s="622" t="s">
        <v>522</v>
      </c>
      <c r="Q1974" s="622" t="s">
        <v>670</v>
      </c>
      <c r="R1974" s="623">
        <v>45993</v>
      </c>
      <c r="S1974" s="622" t="s">
        <v>670</v>
      </c>
      <c r="T1974" s="623">
        <v>45991</v>
      </c>
      <c r="U1974" s="624">
        <v>0</v>
      </c>
      <c r="V1974" s="625">
        <v>0.03</v>
      </c>
      <c r="W1974" s="260">
        <v>45962</v>
      </c>
    </row>
    <row r="1975" spans="1:24" hidden="1" x14ac:dyDescent="0.35">
      <c r="A1975" s="622" t="s">
        <v>526</v>
      </c>
      <c r="B1975" s="622" t="s">
        <v>159</v>
      </c>
      <c r="C1975" s="622" t="s">
        <v>298</v>
      </c>
      <c r="D1975" s="622" t="s">
        <v>299</v>
      </c>
      <c r="E1975" s="622" t="s">
        <v>300</v>
      </c>
      <c r="F1975" s="622" t="s">
        <v>276</v>
      </c>
      <c r="G1975" s="622" t="s">
        <v>356</v>
      </c>
      <c r="H1975" s="622" t="s">
        <v>670</v>
      </c>
      <c r="I1975" s="622" t="s">
        <v>277</v>
      </c>
      <c r="J1975" s="622" t="s">
        <v>522</v>
      </c>
      <c r="K1975" s="622" t="s">
        <v>301</v>
      </c>
      <c r="L1975" s="622" t="s">
        <v>600</v>
      </c>
      <c r="M1975" s="622" t="s">
        <v>285</v>
      </c>
      <c r="N1975" s="622" t="s">
        <v>670</v>
      </c>
      <c r="O1975" s="622" t="s">
        <v>670</v>
      </c>
      <c r="P1975" s="622" t="s">
        <v>522</v>
      </c>
      <c r="Q1975" s="622" t="s">
        <v>670</v>
      </c>
      <c r="R1975" s="623">
        <v>45993</v>
      </c>
      <c r="S1975" s="622" t="s">
        <v>670</v>
      </c>
      <c r="T1975" s="623">
        <v>45991</v>
      </c>
      <c r="U1975" s="624">
        <v>0</v>
      </c>
      <c r="V1975" s="625">
        <v>0.34</v>
      </c>
      <c r="W1975" s="260">
        <v>45962</v>
      </c>
    </row>
    <row r="1976" spans="1:24" hidden="1" x14ac:dyDescent="0.35">
      <c r="A1976" s="622" t="s">
        <v>526</v>
      </c>
      <c r="B1976" s="622" t="s">
        <v>159</v>
      </c>
      <c r="C1976" s="622" t="s">
        <v>298</v>
      </c>
      <c r="D1976" s="622" t="s">
        <v>304</v>
      </c>
      <c r="E1976" s="622" t="s">
        <v>305</v>
      </c>
      <c r="F1976" s="622" t="s">
        <v>276</v>
      </c>
      <c r="G1976" s="622" t="s">
        <v>356</v>
      </c>
      <c r="H1976" s="622" t="s">
        <v>670</v>
      </c>
      <c r="I1976" s="622" t="s">
        <v>277</v>
      </c>
      <c r="J1976" s="622" t="s">
        <v>522</v>
      </c>
      <c r="K1976" s="622" t="s">
        <v>301</v>
      </c>
      <c r="L1976" s="622" t="s">
        <v>600</v>
      </c>
      <c r="M1976" s="622" t="s">
        <v>285</v>
      </c>
      <c r="N1976" s="622" t="s">
        <v>670</v>
      </c>
      <c r="O1976" s="622" t="s">
        <v>670</v>
      </c>
      <c r="P1976" s="622" t="s">
        <v>522</v>
      </c>
      <c r="Q1976" s="622" t="s">
        <v>670</v>
      </c>
      <c r="R1976" s="623">
        <v>45993</v>
      </c>
      <c r="S1976" s="622" t="s">
        <v>670</v>
      </c>
      <c r="T1976" s="623">
        <v>45991</v>
      </c>
      <c r="U1976" s="624">
        <v>0</v>
      </c>
      <c r="V1976" s="625">
        <v>0.38</v>
      </c>
      <c r="W1976" s="260">
        <v>45962</v>
      </c>
    </row>
    <row r="1977" spans="1:24" hidden="1" x14ac:dyDescent="0.35">
      <c r="A1977" s="622" t="s">
        <v>526</v>
      </c>
      <c r="B1977" s="622" t="s">
        <v>159</v>
      </c>
      <c r="C1977" s="622" t="s">
        <v>298</v>
      </c>
      <c r="D1977" s="622" t="s">
        <v>306</v>
      </c>
      <c r="E1977" s="622" t="s">
        <v>307</v>
      </c>
      <c r="F1977" s="622" t="s">
        <v>276</v>
      </c>
      <c r="G1977" s="622" t="s">
        <v>356</v>
      </c>
      <c r="H1977" s="622" t="s">
        <v>670</v>
      </c>
      <c r="I1977" s="622" t="s">
        <v>277</v>
      </c>
      <c r="J1977" s="622" t="s">
        <v>522</v>
      </c>
      <c r="K1977" s="622" t="s">
        <v>301</v>
      </c>
      <c r="L1977" s="622" t="s">
        <v>600</v>
      </c>
      <c r="M1977" s="622" t="s">
        <v>285</v>
      </c>
      <c r="N1977" s="622" t="s">
        <v>670</v>
      </c>
      <c r="O1977" s="622" t="s">
        <v>670</v>
      </c>
      <c r="P1977" s="622" t="s">
        <v>522</v>
      </c>
      <c r="Q1977" s="622" t="s">
        <v>670</v>
      </c>
      <c r="R1977" s="623">
        <v>45993</v>
      </c>
      <c r="S1977" s="622" t="s">
        <v>670</v>
      </c>
      <c r="T1977" s="623">
        <v>45991</v>
      </c>
      <c r="U1977" s="624">
        <v>0</v>
      </c>
      <c r="V1977" s="625">
        <v>0.05</v>
      </c>
      <c r="W1977" s="260">
        <v>45962</v>
      </c>
    </row>
    <row r="1978" spans="1:24" hidden="1" x14ac:dyDescent="0.35">
      <c r="A1978" s="622" t="s">
        <v>526</v>
      </c>
      <c r="B1978" s="622" t="s">
        <v>159</v>
      </c>
      <c r="C1978" s="622" t="s">
        <v>298</v>
      </c>
      <c r="D1978" s="622" t="s">
        <v>306</v>
      </c>
      <c r="E1978" s="622" t="s">
        <v>307</v>
      </c>
      <c r="F1978" s="622" t="s">
        <v>276</v>
      </c>
      <c r="G1978" s="622" t="s">
        <v>356</v>
      </c>
      <c r="H1978" s="622" t="s">
        <v>670</v>
      </c>
      <c r="I1978" s="622" t="s">
        <v>277</v>
      </c>
      <c r="J1978" s="622" t="s">
        <v>522</v>
      </c>
      <c r="K1978" s="622" t="s">
        <v>301</v>
      </c>
      <c r="L1978" s="622" t="s">
        <v>600</v>
      </c>
      <c r="M1978" s="622" t="s">
        <v>285</v>
      </c>
      <c r="N1978" s="622" t="s">
        <v>670</v>
      </c>
      <c r="O1978" s="622" t="s">
        <v>670</v>
      </c>
      <c r="P1978" s="622" t="s">
        <v>522</v>
      </c>
      <c r="Q1978" s="622" t="s">
        <v>670</v>
      </c>
      <c r="R1978" s="623">
        <v>45993</v>
      </c>
      <c r="S1978" s="622" t="s">
        <v>670</v>
      </c>
      <c r="T1978" s="623">
        <v>45991</v>
      </c>
      <c r="U1978" s="624">
        <v>0</v>
      </c>
      <c r="V1978" s="625">
        <v>0.53</v>
      </c>
      <c r="W1978" s="260">
        <v>45962</v>
      </c>
    </row>
    <row r="1979" spans="1:24" hidden="1" x14ac:dyDescent="0.35">
      <c r="A1979" s="622" t="s">
        <v>526</v>
      </c>
      <c r="B1979" s="622" t="s">
        <v>159</v>
      </c>
      <c r="C1979" s="622" t="s">
        <v>298</v>
      </c>
      <c r="D1979" s="622" t="s">
        <v>308</v>
      </c>
      <c r="E1979" s="622" t="s">
        <v>309</v>
      </c>
      <c r="F1979" s="622" t="s">
        <v>276</v>
      </c>
      <c r="G1979" s="622" t="s">
        <v>356</v>
      </c>
      <c r="H1979" s="622" t="s">
        <v>670</v>
      </c>
      <c r="I1979" s="622" t="s">
        <v>277</v>
      </c>
      <c r="J1979" s="622" t="s">
        <v>522</v>
      </c>
      <c r="K1979" s="622" t="s">
        <v>301</v>
      </c>
      <c r="L1979" s="622" t="s">
        <v>600</v>
      </c>
      <c r="M1979" s="622" t="s">
        <v>285</v>
      </c>
      <c r="N1979" s="622" t="s">
        <v>670</v>
      </c>
      <c r="O1979" s="622" t="s">
        <v>670</v>
      </c>
      <c r="P1979" s="622" t="s">
        <v>522</v>
      </c>
      <c r="Q1979" s="622" t="s">
        <v>670</v>
      </c>
      <c r="R1979" s="623">
        <v>45993</v>
      </c>
      <c r="S1979" s="622" t="s">
        <v>670</v>
      </c>
      <c r="T1979" s="623">
        <v>45991</v>
      </c>
      <c r="U1979" s="624">
        <v>0</v>
      </c>
      <c r="V1979" s="625">
        <v>196.97</v>
      </c>
      <c r="W1979" s="260">
        <v>45962</v>
      </c>
    </row>
    <row r="1980" spans="1:24" hidden="1" x14ac:dyDescent="0.35">
      <c r="A1980" s="622" t="s">
        <v>526</v>
      </c>
      <c r="B1980" s="622" t="s">
        <v>159</v>
      </c>
      <c r="C1980" s="622" t="s">
        <v>302</v>
      </c>
      <c r="D1980" s="622" t="s">
        <v>308</v>
      </c>
      <c r="E1980" s="622" t="s">
        <v>309</v>
      </c>
      <c r="F1980" s="622" t="s">
        <v>276</v>
      </c>
      <c r="G1980" s="622" t="s">
        <v>356</v>
      </c>
      <c r="H1980" s="622" t="s">
        <v>670</v>
      </c>
      <c r="I1980" s="622" t="s">
        <v>277</v>
      </c>
      <c r="J1980" s="622" t="s">
        <v>522</v>
      </c>
      <c r="K1980" s="622" t="s">
        <v>303</v>
      </c>
      <c r="L1980" s="622" t="s">
        <v>600</v>
      </c>
      <c r="M1980" s="622" t="s">
        <v>285</v>
      </c>
      <c r="N1980" s="622" t="s">
        <v>670</v>
      </c>
      <c r="O1980" s="622" t="s">
        <v>670</v>
      </c>
      <c r="P1980" s="622" t="s">
        <v>522</v>
      </c>
      <c r="Q1980" s="622" t="s">
        <v>670</v>
      </c>
      <c r="R1980" s="623">
        <v>45993</v>
      </c>
      <c r="S1980" s="622" t="s">
        <v>670</v>
      </c>
      <c r="T1980" s="623">
        <v>45991</v>
      </c>
      <c r="U1980" s="624">
        <v>0</v>
      </c>
      <c r="V1980" s="625">
        <v>525.67999999999995</v>
      </c>
      <c r="W1980" s="260">
        <v>45962</v>
      </c>
    </row>
    <row r="1981" spans="1:24" hidden="1" x14ac:dyDescent="0.35">
      <c r="A1981" s="622" t="s">
        <v>526</v>
      </c>
      <c r="B1981" s="622" t="s">
        <v>159</v>
      </c>
      <c r="C1981" s="622" t="s">
        <v>302</v>
      </c>
      <c r="D1981" s="622" t="s">
        <v>310</v>
      </c>
      <c r="E1981" s="622" t="s">
        <v>311</v>
      </c>
      <c r="F1981" s="622" t="s">
        <v>276</v>
      </c>
      <c r="G1981" s="622" t="s">
        <v>356</v>
      </c>
      <c r="H1981" s="622" t="s">
        <v>670</v>
      </c>
      <c r="I1981" s="622" t="s">
        <v>277</v>
      </c>
      <c r="J1981" s="622" t="s">
        <v>522</v>
      </c>
      <c r="K1981" s="622" t="s">
        <v>303</v>
      </c>
      <c r="L1981" s="622" t="s">
        <v>600</v>
      </c>
      <c r="M1981" s="622" t="s">
        <v>285</v>
      </c>
      <c r="N1981" s="622" t="s">
        <v>670</v>
      </c>
      <c r="O1981" s="622" t="s">
        <v>670</v>
      </c>
      <c r="P1981" s="622" t="s">
        <v>522</v>
      </c>
      <c r="Q1981" s="622" t="s">
        <v>670</v>
      </c>
      <c r="R1981" s="623">
        <v>45993</v>
      </c>
      <c r="S1981" s="622" t="s">
        <v>670</v>
      </c>
      <c r="T1981" s="623">
        <v>45991</v>
      </c>
      <c r="U1981" s="624">
        <v>0</v>
      </c>
      <c r="V1981" s="625">
        <v>1422.24</v>
      </c>
      <c r="W1981" s="260">
        <v>45962</v>
      </c>
    </row>
    <row r="1982" spans="1:24" hidden="1" x14ac:dyDescent="0.35">
      <c r="A1982" s="622" t="s">
        <v>526</v>
      </c>
      <c r="B1982" s="622" t="s">
        <v>159</v>
      </c>
      <c r="C1982" s="622" t="s">
        <v>298</v>
      </c>
      <c r="D1982" s="622" t="s">
        <v>312</v>
      </c>
      <c r="E1982" s="622" t="s">
        <v>313</v>
      </c>
      <c r="F1982" s="622" t="s">
        <v>276</v>
      </c>
      <c r="G1982" s="622" t="s">
        <v>356</v>
      </c>
      <c r="H1982" s="622" t="s">
        <v>670</v>
      </c>
      <c r="I1982" s="622" t="s">
        <v>277</v>
      </c>
      <c r="J1982" s="622" t="s">
        <v>522</v>
      </c>
      <c r="K1982" s="622" t="s">
        <v>301</v>
      </c>
      <c r="L1982" s="622" t="s">
        <v>600</v>
      </c>
      <c r="M1982" s="622" t="s">
        <v>285</v>
      </c>
      <c r="N1982" s="622" t="s">
        <v>670</v>
      </c>
      <c r="O1982" s="622" t="s">
        <v>670</v>
      </c>
      <c r="P1982" s="622" t="s">
        <v>522</v>
      </c>
      <c r="Q1982" s="622" t="s">
        <v>670</v>
      </c>
      <c r="R1982" s="623">
        <v>45993</v>
      </c>
      <c r="S1982" s="622" t="s">
        <v>670</v>
      </c>
      <c r="T1982" s="623">
        <v>45991</v>
      </c>
      <c r="U1982" s="624">
        <v>0</v>
      </c>
      <c r="V1982" s="625">
        <v>58.9</v>
      </c>
      <c r="W1982" s="260">
        <v>45962</v>
      </c>
    </row>
    <row r="1983" spans="1:24" hidden="1" x14ac:dyDescent="0.35">
      <c r="A1983" s="622" t="s">
        <v>526</v>
      </c>
      <c r="B1983" s="622" t="s">
        <v>159</v>
      </c>
      <c r="C1983" s="622" t="s">
        <v>298</v>
      </c>
      <c r="D1983" s="622" t="s">
        <v>314</v>
      </c>
      <c r="E1983" s="622" t="s">
        <v>315</v>
      </c>
      <c r="F1983" s="622" t="s">
        <v>276</v>
      </c>
      <c r="G1983" s="622" t="s">
        <v>356</v>
      </c>
      <c r="H1983" s="622" t="s">
        <v>670</v>
      </c>
      <c r="I1983" s="622" t="s">
        <v>277</v>
      </c>
      <c r="J1983" s="622" t="s">
        <v>522</v>
      </c>
      <c r="K1983" s="622" t="s">
        <v>301</v>
      </c>
      <c r="L1983" s="622" t="s">
        <v>600</v>
      </c>
      <c r="M1983" s="622" t="s">
        <v>285</v>
      </c>
      <c r="N1983" s="622" t="s">
        <v>670</v>
      </c>
      <c r="O1983" s="622" t="s">
        <v>670</v>
      </c>
      <c r="P1983" s="622" t="s">
        <v>522</v>
      </c>
      <c r="Q1983" s="622" t="s">
        <v>670</v>
      </c>
      <c r="R1983" s="623">
        <v>45993</v>
      </c>
      <c r="S1983" s="622" t="s">
        <v>670</v>
      </c>
      <c r="T1983" s="623">
        <v>45991</v>
      </c>
      <c r="U1983" s="624">
        <v>0</v>
      </c>
      <c r="V1983" s="625">
        <v>74.75</v>
      </c>
      <c r="W1983" s="260">
        <v>45962</v>
      </c>
    </row>
    <row r="1984" spans="1:24" hidden="1" x14ac:dyDescent="0.35">
      <c r="A1984" s="622" t="s">
        <v>526</v>
      </c>
      <c r="B1984" s="622" t="s">
        <v>159</v>
      </c>
      <c r="C1984" s="622" t="s">
        <v>298</v>
      </c>
      <c r="D1984" s="622" t="s">
        <v>316</v>
      </c>
      <c r="E1984" s="622" t="s">
        <v>317</v>
      </c>
      <c r="F1984" s="622" t="s">
        <v>276</v>
      </c>
      <c r="G1984" s="622" t="s">
        <v>356</v>
      </c>
      <c r="H1984" s="622" t="s">
        <v>670</v>
      </c>
      <c r="I1984" s="622" t="s">
        <v>277</v>
      </c>
      <c r="J1984" s="622" t="s">
        <v>522</v>
      </c>
      <c r="K1984" s="622" t="s">
        <v>301</v>
      </c>
      <c r="L1984" s="622" t="s">
        <v>600</v>
      </c>
      <c r="M1984" s="622" t="s">
        <v>285</v>
      </c>
      <c r="N1984" s="622" t="s">
        <v>670</v>
      </c>
      <c r="O1984" s="622" t="s">
        <v>670</v>
      </c>
      <c r="P1984" s="622" t="s">
        <v>522</v>
      </c>
      <c r="Q1984" s="622" t="s">
        <v>670</v>
      </c>
      <c r="R1984" s="623">
        <v>45993</v>
      </c>
      <c r="S1984" s="622" t="s">
        <v>670</v>
      </c>
      <c r="T1984" s="623">
        <v>45991</v>
      </c>
      <c r="U1984" s="624">
        <v>0</v>
      </c>
      <c r="V1984" s="625">
        <v>97.69</v>
      </c>
      <c r="W1984" s="260">
        <v>45962</v>
      </c>
    </row>
    <row r="1985" spans="1:23" hidden="1" x14ac:dyDescent="0.35">
      <c r="A1985" s="622" t="s">
        <v>526</v>
      </c>
      <c r="B1985" s="622" t="s">
        <v>159</v>
      </c>
      <c r="C1985" s="622" t="s">
        <v>298</v>
      </c>
      <c r="D1985" s="622" t="s">
        <v>318</v>
      </c>
      <c r="E1985" s="622" t="s">
        <v>319</v>
      </c>
      <c r="F1985" s="622" t="s">
        <v>276</v>
      </c>
      <c r="G1985" s="622" t="s">
        <v>356</v>
      </c>
      <c r="H1985" s="622" t="s">
        <v>670</v>
      </c>
      <c r="I1985" s="622" t="s">
        <v>277</v>
      </c>
      <c r="J1985" s="622" t="s">
        <v>522</v>
      </c>
      <c r="K1985" s="622" t="s">
        <v>301</v>
      </c>
      <c r="L1985" s="622" t="s">
        <v>600</v>
      </c>
      <c r="M1985" s="622" t="s">
        <v>285</v>
      </c>
      <c r="N1985" s="622" t="s">
        <v>670</v>
      </c>
      <c r="O1985" s="622" t="s">
        <v>670</v>
      </c>
      <c r="P1985" s="622" t="s">
        <v>522</v>
      </c>
      <c r="Q1985" s="622" t="s">
        <v>670</v>
      </c>
      <c r="R1985" s="623">
        <v>45993</v>
      </c>
      <c r="S1985" s="622" t="s">
        <v>670</v>
      </c>
      <c r="T1985" s="623">
        <v>45991</v>
      </c>
      <c r="U1985" s="624">
        <v>0</v>
      </c>
      <c r="V1985" s="625">
        <v>0.18</v>
      </c>
      <c r="W1985" s="260">
        <v>45962</v>
      </c>
    </row>
    <row r="1986" spans="1:23" hidden="1" x14ac:dyDescent="0.35">
      <c r="A1986" s="622" t="s">
        <v>526</v>
      </c>
      <c r="B1986" s="622" t="s">
        <v>159</v>
      </c>
      <c r="C1986" s="622" t="s">
        <v>298</v>
      </c>
      <c r="D1986" s="622" t="s">
        <v>318</v>
      </c>
      <c r="E1986" s="622" t="s">
        <v>319</v>
      </c>
      <c r="F1986" s="622" t="s">
        <v>276</v>
      </c>
      <c r="G1986" s="622" t="s">
        <v>356</v>
      </c>
      <c r="H1986" s="622" t="s">
        <v>670</v>
      </c>
      <c r="I1986" s="622" t="s">
        <v>277</v>
      </c>
      <c r="J1986" s="622" t="s">
        <v>522</v>
      </c>
      <c r="K1986" s="622" t="s">
        <v>301</v>
      </c>
      <c r="L1986" s="622" t="s">
        <v>600</v>
      </c>
      <c r="M1986" s="622" t="s">
        <v>285</v>
      </c>
      <c r="N1986" s="622" t="s">
        <v>670</v>
      </c>
      <c r="O1986" s="622" t="s">
        <v>670</v>
      </c>
      <c r="P1986" s="622" t="s">
        <v>522</v>
      </c>
      <c r="Q1986" s="622" t="s">
        <v>670</v>
      </c>
      <c r="R1986" s="623">
        <v>45993</v>
      </c>
      <c r="S1986" s="622" t="s">
        <v>670</v>
      </c>
      <c r="T1986" s="623">
        <v>45991</v>
      </c>
      <c r="U1986" s="624">
        <v>0</v>
      </c>
      <c r="V1986" s="625">
        <v>1.32</v>
      </c>
      <c r="W1986" s="260">
        <v>45962</v>
      </c>
    </row>
    <row r="1987" spans="1:23" hidden="1" x14ac:dyDescent="0.35">
      <c r="A1987" s="622" t="s">
        <v>526</v>
      </c>
      <c r="B1987" s="622" t="s">
        <v>159</v>
      </c>
      <c r="C1987" s="622" t="s">
        <v>298</v>
      </c>
      <c r="D1987" s="622" t="s">
        <v>391</v>
      </c>
      <c r="E1987" s="622" t="s">
        <v>392</v>
      </c>
      <c r="F1987" s="622" t="s">
        <v>276</v>
      </c>
      <c r="G1987" s="622" t="s">
        <v>356</v>
      </c>
      <c r="H1987" s="622" t="s">
        <v>670</v>
      </c>
      <c r="I1987" s="622" t="s">
        <v>277</v>
      </c>
      <c r="J1987" s="622" t="s">
        <v>522</v>
      </c>
      <c r="K1987" s="622" t="s">
        <v>301</v>
      </c>
      <c r="L1987" s="622" t="s">
        <v>600</v>
      </c>
      <c r="M1987" s="622" t="s">
        <v>285</v>
      </c>
      <c r="N1987" s="622" t="s">
        <v>670</v>
      </c>
      <c r="O1987" s="622" t="s">
        <v>670</v>
      </c>
      <c r="P1987" s="622" t="s">
        <v>522</v>
      </c>
      <c r="Q1987" s="622" t="s">
        <v>670</v>
      </c>
      <c r="R1987" s="623">
        <v>45993</v>
      </c>
      <c r="S1987" s="622" t="s">
        <v>670</v>
      </c>
      <c r="T1987" s="623">
        <v>45991</v>
      </c>
      <c r="U1987" s="624">
        <v>0</v>
      </c>
      <c r="V1987" s="625">
        <v>0.28000000000000003</v>
      </c>
      <c r="W1987" s="260">
        <v>45962</v>
      </c>
    </row>
    <row r="1988" spans="1:23" hidden="1" x14ac:dyDescent="0.35">
      <c r="A1988" s="622" t="s">
        <v>526</v>
      </c>
      <c r="B1988" s="622" t="s">
        <v>159</v>
      </c>
      <c r="C1988" s="622" t="s">
        <v>298</v>
      </c>
      <c r="D1988" s="622" t="s">
        <v>320</v>
      </c>
      <c r="E1988" s="622" t="s">
        <v>321</v>
      </c>
      <c r="F1988" s="622" t="s">
        <v>276</v>
      </c>
      <c r="G1988" s="622" t="s">
        <v>356</v>
      </c>
      <c r="H1988" s="622" t="s">
        <v>670</v>
      </c>
      <c r="I1988" s="622" t="s">
        <v>277</v>
      </c>
      <c r="J1988" s="622" t="s">
        <v>522</v>
      </c>
      <c r="K1988" s="622" t="s">
        <v>301</v>
      </c>
      <c r="L1988" s="622" t="s">
        <v>600</v>
      </c>
      <c r="M1988" s="622" t="s">
        <v>285</v>
      </c>
      <c r="N1988" s="622" t="s">
        <v>670</v>
      </c>
      <c r="O1988" s="622" t="s">
        <v>670</v>
      </c>
      <c r="P1988" s="622" t="s">
        <v>522</v>
      </c>
      <c r="Q1988" s="622" t="s">
        <v>670</v>
      </c>
      <c r="R1988" s="623">
        <v>45993</v>
      </c>
      <c r="S1988" s="622" t="s">
        <v>670</v>
      </c>
      <c r="T1988" s="623">
        <v>45991</v>
      </c>
      <c r="U1988" s="624">
        <v>0</v>
      </c>
      <c r="V1988" s="625">
        <v>0.04</v>
      </c>
      <c r="W1988" s="260">
        <v>45962</v>
      </c>
    </row>
    <row r="1989" spans="1:23" hidden="1" x14ac:dyDescent="0.35">
      <c r="A1989" s="622" t="s">
        <v>526</v>
      </c>
      <c r="B1989" s="622" t="s">
        <v>159</v>
      </c>
      <c r="C1989" s="622" t="s">
        <v>298</v>
      </c>
      <c r="D1989" s="622" t="s">
        <v>320</v>
      </c>
      <c r="E1989" s="622" t="s">
        <v>321</v>
      </c>
      <c r="F1989" s="622" t="s">
        <v>276</v>
      </c>
      <c r="G1989" s="622" t="s">
        <v>356</v>
      </c>
      <c r="H1989" s="622" t="s">
        <v>670</v>
      </c>
      <c r="I1989" s="622" t="s">
        <v>277</v>
      </c>
      <c r="J1989" s="622" t="s">
        <v>522</v>
      </c>
      <c r="K1989" s="622" t="s">
        <v>301</v>
      </c>
      <c r="L1989" s="622" t="s">
        <v>600</v>
      </c>
      <c r="M1989" s="622" t="s">
        <v>285</v>
      </c>
      <c r="N1989" s="622" t="s">
        <v>670</v>
      </c>
      <c r="O1989" s="622" t="s">
        <v>670</v>
      </c>
      <c r="P1989" s="622" t="s">
        <v>522</v>
      </c>
      <c r="Q1989" s="622" t="s">
        <v>670</v>
      </c>
      <c r="R1989" s="623">
        <v>45993</v>
      </c>
      <c r="S1989" s="622" t="s">
        <v>670</v>
      </c>
      <c r="T1989" s="623">
        <v>45991</v>
      </c>
      <c r="U1989" s="624">
        <v>0</v>
      </c>
      <c r="V1989" s="625">
        <v>126.37</v>
      </c>
      <c r="W1989" s="260">
        <v>45962</v>
      </c>
    </row>
    <row r="1990" spans="1:23" hidden="1" x14ac:dyDescent="0.35">
      <c r="A1990" s="622" t="s">
        <v>526</v>
      </c>
      <c r="B1990" s="622" t="s">
        <v>159</v>
      </c>
      <c r="C1990" s="622" t="s">
        <v>298</v>
      </c>
      <c r="D1990" s="622" t="s">
        <v>322</v>
      </c>
      <c r="E1990" s="622" t="s">
        <v>323</v>
      </c>
      <c r="F1990" s="622" t="s">
        <v>276</v>
      </c>
      <c r="G1990" s="622" t="s">
        <v>356</v>
      </c>
      <c r="H1990" s="622" t="s">
        <v>670</v>
      </c>
      <c r="I1990" s="622" t="s">
        <v>277</v>
      </c>
      <c r="J1990" s="622" t="s">
        <v>522</v>
      </c>
      <c r="K1990" s="622" t="s">
        <v>301</v>
      </c>
      <c r="L1990" s="622" t="s">
        <v>600</v>
      </c>
      <c r="M1990" s="622" t="s">
        <v>285</v>
      </c>
      <c r="N1990" s="622" t="s">
        <v>670</v>
      </c>
      <c r="O1990" s="622" t="s">
        <v>670</v>
      </c>
      <c r="P1990" s="622" t="s">
        <v>522</v>
      </c>
      <c r="Q1990" s="622" t="s">
        <v>670</v>
      </c>
      <c r="R1990" s="623">
        <v>45993</v>
      </c>
      <c r="S1990" s="622" t="s">
        <v>670</v>
      </c>
      <c r="T1990" s="623">
        <v>45991</v>
      </c>
      <c r="U1990" s="624">
        <v>0</v>
      </c>
      <c r="V1990" s="625">
        <v>0.95</v>
      </c>
      <c r="W1990" s="260">
        <v>45962</v>
      </c>
    </row>
    <row r="1991" spans="1:23" hidden="1" x14ac:dyDescent="0.35">
      <c r="A1991" s="622" t="s">
        <v>526</v>
      </c>
      <c r="B1991" s="622" t="s">
        <v>159</v>
      </c>
      <c r="C1991" s="622" t="s">
        <v>298</v>
      </c>
      <c r="D1991" s="622" t="s">
        <v>322</v>
      </c>
      <c r="E1991" s="622" t="s">
        <v>323</v>
      </c>
      <c r="F1991" s="622" t="s">
        <v>276</v>
      </c>
      <c r="G1991" s="622" t="s">
        <v>356</v>
      </c>
      <c r="H1991" s="622" t="s">
        <v>670</v>
      </c>
      <c r="I1991" s="622" t="s">
        <v>277</v>
      </c>
      <c r="J1991" s="622" t="s">
        <v>522</v>
      </c>
      <c r="K1991" s="622" t="s">
        <v>301</v>
      </c>
      <c r="L1991" s="622" t="s">
        <v>600</v>
      </c>
      <c r="M1991" s="622" t="s">
        <v>285</v>
      </c>
      <c r="N1991" s="622" t="s">
        <v>670</v>
      </c>
      <c r="O1991" s="622" t="s">
        <v>670</v>
      </c>
      <c r="P1991" s="622" t="s">
        <v>522</v>
      </c>
      <c r="Q1991" s="622" t="s">
        <v>670</v>
      </c>
      <c r="R1991" s="623">
        <v>45993</v>
      </c>
      <c r="S1991" s="622" t="s">
        <v>670</v>
      </c>
      <c r="T1991" s="623">
        <v>45991</v>
      </c>
      <c r="U1991" s="624">
        <v>0</v>
      </c>
      <c r="V1991" s="625">
        <v>0.05</v>
      </c>
      <c r="W1991" s="260">
        <v>45962</v>
      </c>
    </row>
    <row r="1992" spans="1:23" hidden="1" x14ac:dyDescent="0.35">
      <c r="A1992" s="622" t="s">
        <v>526</v>
      </c>
      <c r="B1992" s="622" t="s">
        <v>159</v>
      </c>
      <c r="C1992" s="622" t="s">
        <v>298</v>
      </c>
      <c r="D1992" s="622" t="s">
        <v>324</v>
      </c>
      <c r="E1992" s="622" t="s">
        <v>325</v>
      </c>
      <c r="F1992" s="622" t="s">
        <v>276</v>
      </c>
      <c r="G1992" s="622" t="s">
        <v>356</v>
      </c>
      <c r="H1992" s="622" t="s">
        <v>670</v>
      </c>
      <c r="I1992" s="622" t="s">
        <v>277</v>
      </c>
      <c r="J1992" s="622" t="s">
        <v>522</v>
      </c>
      <c r="K1992" s="622" t="s">
        <v>301</v>
      </c>
      <c r="L1992" s="622" t="s">
        <v>600</v>
      </c>
      <c r="M1992" s="622" t="s">
        <v>285</v>
      </c>
      <c r="N1992" s="622" t="s">
        <v>670</v>
      </c>
      <c r="O1992" s="622" t="s">
        <v>670</v>
      </c>
      <c r="P1992" s="622" t="s">
        <v>522</v>
      </c>
      <c r="Q1992" s="622" t="s">
        <v>670</v>
      </c>
      <c r="R1992" s="623">
        <v>45993</v>
      </c>
      <c r="S1992" s="622" t="s">
        <v>670</v>
      </c>
      <c r="T1992" s="623">
        <v>45991</v>
      </c>
      <c r="U1992" s="624">
        <v>0</v>
      </c>
      <c r="V1992" s="625">
        <v>354.3</v>
      </c>
      <c r="W1992" s="260">
        <v>45962</v>
      </c>
    </row>
    <row r="1993" spans="1:23" hidden="1" x14ac:dyDescent="0.35">
      <c r="A1993" s="622" t="s">
        <v>526</v>
      </c>
      <c r="B1993" s="622" t="s">
        <v>159</v>
      </c>
      <c r="C1993" s="622" t="s">
        <v>298</v>
      </c>
      <c r="D1993" s="622" t="s">
        <v>326</v>
      </c>
      <c r="E1993" s="622" t="s">
        <v>327</v>
      </c>
      <c r="F1993" s="622" t="s">
        <v>276</v>
      </c>
      <c r="G1993" s="622" t="s">
        <v>356</v>
      </c>
      <c r="H1993" s="622" t="s">
        <v>670</v>
      </c>
      <c r="I1993" s="622" t="s">
        <v>277</v>
      </c>
      <c r="J1993" s="622" t="s">
        <v>522</v>
      </c>
      <c r="K1993" s="622" t="s">
        <v>301</v>
      </c>
      <c r="L1993" s="622" t="s">
        <v>600</v>
      </c>
      <c r="M1993" s="622" t="s">
        <v>285</v>
      </c>
      <c r="N1993" s="622" t="s">
        <v>670</v>
      </c>
      <c r="O1993" s="622" t="s">
        <v>670</v>
      </c>
      <c r="P1993" s="622" t="s">
        <v>522</v>
      </c>
      <c r="Q1993" s="622" t="s">
        <v>670</v>
      </c>
      <c r="R1993" s="623">
        <v>45993</v>
      </c>
      <c r="S1993" s="622" t="s">
        <v>670</v>
      </c>
      <c r="T1993" s="623">
        <v>45991</v>
      </c>
      <c r="U1993" s="624">
        <v>0</v>
      </c>
      <c r="V1993" s="625">
        <v>0.49</v>
      </c>
      <c r="W1993" s="260">
        <v>45962</v>
      </c>
    </row>
    <row r="1994" spans="1:23" hidden="1" x14ac:dyDescent="0.35">
      <c r="A1994" s="622" t="s">
        <v>526</v>
      </c>
      <c r="B1994" s="622" t="s">
        <v>159</v>
      </c>
      <c r="C1994" s="622" t="s">
        <v>298</v>
      </c>
      <c r="D1994" s="622" t="s">
        <v>326</v>
      </c>
      <c r="E1994" s="622" t="s">
        <v>327</v>
      </c>
      <c r="F1994" s="622" t="s">
        <v>276</v>
      </c>
      <c r="G1994" s="622" t="s">
        <v>356</v>
      </c>
      <c r="H1994" s="622" t="s">
        <v>670</v>
      </c>
      <c r="I1994" s="622" t="s">
        <v>277</v>
      </c>
      <c r="J1994" s="622" t="s">
        <v>522</v>
      </c>
      <c r="K1994" s="622" t="s">
        <v>301</v>
      </c>
      <c r="L1994" s="622" t="s">
        <v>600</v>
      </c>
      <c r="M1994" s="622" t="s">
        <v>285</v>
      </c>
      <c r="N1994" s="622" t="s">
        <v>670</v>
      </c>
      <c r="O1994" s="622" t="s">
        <v>670</v>
      </c>
      <c r="P1994" s="622" t="s">
        <v>522</v>
      </c>
      <c r="Q1994" s="622" t="s">
        <v>670</v>
      </c>
      <c r="R1994" s="623">
        <v>45993</v>
      </c>
      <c r="S1994" s="622" t="s">
        <v>670</v>
      </c>
      <c r="T1994" s="623">
        <v>45991</v>
      </c>
      <c r="U1994" s="624">
        <v>0</v>
      </c>
      <c r="V1994" s="625">
        <v>9.1999999999999993</v>
      </c>
      <c r="W1994" s="260">
        <v>45962</v>
      </c>
    </row>
    <row r="1995" spans="1:23" hidden="1" x14ac:dyDescent="0.35">
      <c r="A1995" s="622" t="s">
        <v>526</v>
      </c>
      <c r="B1995" s="622" t="s">
        <v>159</v>
      </c>
      <c r="C1995" s="622" t="s">
        <v>298</v>
      </c>
      <c r="D1995" s="622" t="s">
        <v>393</v>
      </c>
      <c r="E1995" s="622" t="s">
        <v>394</v>
      </c>
      <c r="F1995" s="622" t="s">
        <v>276</v>
      </c>
      <c r="G1995" s="622" t="s">
        <v>356</v>
      </c>
      <c r="H1995" s="622" t="s">
        <v>670</v>
      </c>
      <c r="I1995" s="622" t="s">
        <v>277</v>
      </c>
      <c r="J1995" s="622" t="s">
        <v>522</v>
      </c>
      <c r="K1995" s="622" t="s">
        <v>301</v>
      </c>
      <c r="L1995" s="622" t="s">
        <v>600</v>
      </c>
      <c r="M1995" s="622" t="s">
        <v>285</v>
      </c>
      <c r="N1995" s="622" t="s">
        <v>670</v>
      </c>
      <c r="O1995" s="622" t="s">
        <v>670</v>
      </c>
      <c r="P1995" s="622" t="s">
        <v>522</v>
      </c>
      <c r="Q1995" s="622" t="s">
        <v>670</v>
      </c>
      <c r="R1995" s="623">
        <v>45993</v>
      </c>
      <c r="S1995" s="622" t="s">
        <v>670</v>
      </c>
      <c r="T1995" s="623">
        <v>45991</v>
      </c>
      <c r="U1995" s="624">
        <v>0</v>
      </c>
      <c r="V1995" s="625">
        <v>0.73</v>
      </c>
      <c r="W1995" s="260">
        <v>45962</v>
      </c>
    </row>
    <row r="1996" spans="1:23" hidden="1" x14ac:dyDescent="0.35">
      <c r="A1996" s="622" t="s">
        <v>526</v>
      </c>
      <c r="B1996" s="622" t="s">
        <v>159</v>
      </c>
      <c r="C1996" s="622" t="s">
        <v>298</v>
      </c>
      <c r="D1996" s="622" t="s">
        <v>328</v>
      </c>
      <c r="E1996" s="622" t="s">
        <v>329</v>
      </c>
      <c r="F1996" s="622" t="s">
        <v>276</v>
      </c>
      <c r="G1996" s="622" t="s">
        <v>356</v>
      </c>
      <c r="H1996" s="622" t="s">
        <v>670</v>
      </c>
      <c r="I1996" s="622" t="s">
        <v>277</v>
      </c>
      <c r="J1996" s="622" t="s">
        <v>522</v>
      </c>
      <c r="K1996" s="622" t="s">
        <v>301</v>
      </c>
      <c r="L1996" s="622" t="s">
        <v>600</v>
      </c>
      <c r="M1996" s="622" t="s">
        <v>285</v>
      </c>
      <c r="N1996" s="622" t="s">
        <v>670</v>
      </c>
      <c r="O1996" s="622" t="s">
        <v>670</v>
      </c>
      <c r="P1996" s="622" t="s">
        <v>522</v>
      </c>
      <c r="Q1996" s="622" t="s">
        <v>670</v>
      </c>
      <c r="R1996" s="623">
        <v>45993</v>
      </c>
      <c r="S1996" s="622" t="s">
        <v>670</v>
      </c>
      <c r="T1996" s="623">
        <v>45991</v>
      </c>
      <c r="U1996" s="624">
        <v>0</v>
      </c>
      <c r="V1996" s="625">
        <v>734.3</v>
      </c>
      <c r="W1996" s="260">
        <v>45962</v>
      </c>
    </row>
    <row r="1997" spans="1:23" hidden="1" x14ac:dyDescent="0.35">
      <c r="A1997" s="622" t="s">
        <v>526</v>
      </c>
      <c r="B1997" s="622" t="s">
        <v>159</v>
      </c>
      <c r="C1997" s="622" t="s">
        <v>298</v>
      </c>
      <c r="D1997" s="622" t="s">
        <v>330</v>
      </c>
      <c r="E1997" s="622" t="s">
        <v>331</v>
      </c>
      <c r="F1997" s="622" t="s">
        <v>276</v>
      </c>
      <c r="G1997" s="622" t="s">
        <v>356</v>
      </c>
      <c r="H1997" s="622" t="s">
        <v>670</v>
      </c>
      <c r="I1997" s="622" t="s">
        <v>277</v>
      </c>
      <c r="J1997" s="622" t="s">
        <v>522</v>
      </c>
      <c r="K1997" s="622" t="s">
        <v>301</v>
      </c>
      <c r="L1997" s="622" t="s">
        <v>600</v>
      </c>
      <c r="M1997" s="622" t="s">
        <v>285</v>
      </c>
      <c r="N1997" s="622" t="s">
        <v>670</v>
      </c>
      <c r="O1997" s="622" t="s">
        <v>670</v>
      </c>
      <c r="P1997" s="622" t="s">
        <v>522</v>
      </c>
      <c r="Q1997" s="622" t="s">
        <v>670</v>
      </c>
      <c r="R1997" s="623">
        <v>45993</v>
      </c>
      <c r="S1997" s="622" t="s">
        <v>670</v>
      </c>
      <c r="T1997" s="623">
        <v>45991</v>
      </c>
      <c r="U1997" s="624">
        <v>0</v>
      </c>
      <c r="V1997" s="625">
        <v>-1.01</v>
      </c>
      <c r="W1997" s="260">
        <v>45962</v>
      </c>
    </row>
    <row r="1998" spans="1:23" hidden="1" x14ac:dyDescent="0.35">
      <c r="A1998" s="622" t="s">
        <v>526</v>
      </c>
      <c r="B1998" s="622" t="s">
        <v>159</v>
      </c>
      <c r="C1998" s="622" t="s">
        <v>298</v>
      </c>
      <c r="D1998" s="622" t="s">
        <v>332</v>
      </c>
      <c r="E1998" s="622" t="s">
        <v>333</v>
      </c>
      <c r="F1998" s="622" t="s">
        <v>276</v>
      </c>
      <c r="G1998" s="622" t="s">
        <v>356</v>
      </c>
      <c r="H1998" s="622" t="s">
        <v>670</v>
      </c>
      <c r="I1998" s="622" t="s">
        <v>277</v>
      </c>
      <c r="J1998" s="622" t="s">
        <v>522</v>
      </c>
      <c r="K1998" s="622" t="s">
        <v>301</v>
      </c>
      <c r="L1998" s="622" t="s">
        <v>600</v>
      </c>
      <c r="M1998" s="622" t="s">
        <v>285</v>
      </c>
      <c r="N1998" s="622" t="s">
        <v>670</v>
      </c>
      <c r="O1998" s="622" t="s">
        <v>670</v>
      </c>
      <c r="P1998" s="622" t="s">
        <v>522</v>
      </c>
      <c r="Q1998" s="622" t="s">
        <v>670</v>
      </c>
      <c r="R1998" s="623">
        <v>45993</v>
      </c>
      <c r="S1998" s="622" t="s">
        <v>670</v>
      </c>
      <c r="T1998" s="623">
        <v>45991</v>
      </c>
      <c r="U1998" s="624">
        <v>0</v>
      </c>
      <c r="V1998" s="625">
        <v>57</v>
      </c>
      <c r="W1998" s="260">
        <v>45962</v>
      </c>
    </row>
    <row r="1999" spans="1:23" hidden="1" x14ac:dyDescent="0.35">
      <c r="A1999" s="622" t="s">
        <v>526</v>
      </c>
      <c r="B1999" s="622" t="s">
        <v>159</v>
      </c>
      <c r="C1999" s="622" t="s">
        <v>298</v>
      </c>
      <c r="D1999" s="622" t="s">
        <v>334</v>
      </c>
      <c r="E1999" s="622" t="s">
        <v>335</v>
      </c>
      <c r="F1999" s="622" t="s">
        <v>276</v>
      </c>
      <c r="G1999" s="622" t="s">
        <v>356</v>
      </c>
      <c r="H1999" s="622" t="s">
        <v>670</v>
      </c>
      <c r="I1999" s="622" t="s">
        <v>277</v>
      </c>
      <c r="J1999" s="622" t="s">
        <v>522</v>
      </c>
      <c r="K1999" s="622" t="s">
        <v>301</v>
      </c>
      <c r="L1999" s="622" t="s">
        <v>600</v>
      </c>
      <c r="M1999" s="622" t="s">
        <v>285</v>
      </c>
      <c r="N1999" s="622" t="s">
        <v>670</v>
      </c>
      <c r="O1999" s="622" t="s">
        <v>670</v>
      </c>
      <c r="P1999" s="622" t="s">
        <v>522</v>
      </c>
      <c r="Q1999" s="622" t="s">
        <v>670</v>
      </c>
      <c r="R1999" s="623">
        <v>45993</v>
      </c>
      <c r="S1999" s="622" t="s">
        <v>670</v>
      </c>
      <c r="T1999" s="623">
        <v>45991</v>
      </c>
      <c r="U1999" s="624">
        <v>0</v>
      </c>
      <c r="V1999" s="625">
        <v>7.31</v>
      </c>
      <c r="W1999" s="260">
        <v>45962</v>
      </c>
    </row>
    <row r="2000" spans="1:23" hidden="1" x14ac:dyDescent="0.35">
      <c r="A2000" s="622" t="s">
        <v>526</v>
      </c>
      <c r="B2000" s="622" t="s">
        <v>159</v>
      </c>
      <c r="C2000" s="622" t="s">
        <v>298</v>
      </c>
      <c r="D2000" s="622" t="s">
        <v>336</v>
      </c>
      <c r="E2000" s="622" t="s">
        <v>337</v>
      </c>
      <c r="F2000" s="622" t="s">
        <v>276</v>
      </c>
      <c r="G2000" s="622" t="s">
        <v>356</v>
      </c>
      <c r="H2000" s="622" t="s">
        <v>670</v>
      </c>
      <c r="I2000" s="622" t="s">
        <v>277</v>
      </c>
      <c r="J2000" s="622" t="s">
        <v>522</v>
      </c>
      <c r="K2000" s="622" t="s">
        <v>301</v>
      </c>
      <c r="L2000" s="622" t="s">
        <v>600</v>
      </c>
      <c r="M2000" s="622" t="s">
        <v>285</v>
      </c>
      <c r="N2000" s="622" t="s">
        <v>670</v>
      </c>
      <c r="O2000" s="622" t="s">
        <v>670</v>
      </c>
      <c r="P2000" s="622" t="s">
        <v>522</v>
      </c>
      <c r="Q2000" s="622" t="s">
        <v>670</v>
      </c>
      <c r="R2000" s="623">
        <v>45993</v>
      </c>
      <c r="S2000" s="622" t="s">
        <v>670</v>
      </c>
      <c r="T2000" s="623">
        <v>45991</v>
      </c>
      <c r="U2000" s="624">
        <v>0</v>
      </c>
      <c r="V2000" s="625">
        <v>-0.21</v>
      </c>
      <c r="W2000" s="260">
        <v>45962</v>
      </c>
    </row>
    <row r="2001" spans="1:23" hidden="1" x14ac:dyDescent="0.35">
      <c r="A2001" s="622" t="s">
        <v>526</v>
      </c>
      <c r="B2001" s="622" t="s">
        <v>159</v>
      </c>
      <c r="C2001" s="622" t="s">
        <v>298</v>
      </c>
      <c r="D2001" s="622" t="s">
        <v>397</v>
      </c>
      <c r="E2001" s="622" t="s">
        <v>398</v>
      </c>
      <c r="F2001" s="622" t="s">
        <v>276</v>
      </c>
      <c r="G2001" s="622" t="s">
        <v>356</v>
      </c>
      <c r="H2001" s="622" t="s">
        <v>670</v>
      </c>
      <c r="I2001" s="622" t="s">
        <v>277</v>
      </c>
      <c r="J2001" s="622" t="s">
        <v>522</v>
      </c>
      <c r="K2001" s="622" t="s">
        <v>301</v>
      </c>
      <c r="L2001" s="622" t="s">
        <v>600</v>
      </c>
      <c r="M2001" s="622" t="s">
        <v>285</v>
      </c>
      <c r="N2001" s="622" t="s">
        <v>670</v>
      </c>
      <c r="O2001" s="622" t="s">
        <v>670</v>
      </c>
      <c r="P2001" s="622" t="s">
        <v>522</v>
      </c>
      <c r="Q2001" s="622" t="s">
        <v>670</v>
      </c>
      <c r="R2001" s="623">
        <v>45993</v>
      </c>
      <c r="S2001" s="622" t="s">
        <v>670</v>
      </c>
      <c r="T2001" s="623">
        <v>45991</v>
      </c>
      <c r="U2001" s="624">
        <v>0</v>
      </c>
      <c r="V2001" s="625">
        <v>0.47</v>
      </c>
      <c r="W2001" s="260">
        <v>45962</v>
      </c>
    </row>
    <row r="2002" spans="1:23" hidden="1" x14ac:dyDescent="0.35">
      <c r="A2002" s="622" t="s">
        <v>526</v>
      </c>
      <c r="B2002" s="622" t="s">
        <v>159</v>
      </c>
      <c r="C2002" s="622" t="s">
        <v>298</v>
      </c>
      <c r="D2002" s="622" t="s">
        <v>338</v>
      </c>
      <c r="E2002" s="622" t="s">
        <v>339</v>
      </c>
      <c r="F2002" s="622" t="s">
        <v>276</v>
      </c>
      <c r="G2002" s="622" t="s">
        <v>356</v>
      </c>
      <c r="H2002" s="622" t="s">
        <v>670</v>
      </c>
      <c r="I2002" s="622" t="s">
        <v>277</v>
      </c>
      <c r="J2002" s="622" t="s">
        <v>522</v>
      </c>
      <c r="K2002" s="622" t="s">
        <v>301</v>
      </c>
      <c r="L2002" s="622" t="s">
        <v>600</v>
      </c>
      <c r="M2002" s="622" t="s">
        <v>285</v>
      </c>
      <c r="N2002" s="622" t="s">
        <v>670</v>
      </c>
      <c r="O2002" s="622" t="s">
        <v>670</v>
      </c>
      <c r="P2002" s="622" t="s">
        <v>522</v>
      </c>
      <c r="Q2002" s="622" t="s">
        <v>670</v>
      </c>
      <c r="R2002" s="623">
        <v>45993</v>
      </c>
      <c r="S2002" s="622" t="s">
        <v>670</v>
      </c>
      <c r="T2002" s="623">
        <v>45991</v>
      </c>
      <c r="U2002" s="624">
        <v>0</v>
      </c>
      <c r="V2002" s="625">
        <v>0.35</v>
      </c>
      <c r="W2002" s="260">
        <v>45962</v>
      </c>
    </row>
    <row r="2003" spans="1:23" hidden="1" x14ac:dyDescent="0.35">
      <c r="A2003" s="622" t="s">
        <v>526</v>
      </c>
      <c r="B2003" s="622" t="s">
        <v>159</v>
      </c>
      <c r="C2003" s="622" t="s">
        <v>281</v>
      </c>
      <c r="D2003" s="622" t="s">
        <v>340</v>
      </c>
      <c r="E2003" s="622" t="s">
        <v>283</v>
      </c>
      <c r="F2003" s="622" t="s">
        <v>276</v>
      </c>
      <c r="G2003" s="622" t="s">
        <v>356</v>
      </c>
      <c r="H2003" s="622" t="s">
        <v>670</v>
      </c>
      <c r="I2003" s="622" t="s">
        <v>277</v>
      </c>
      <c r="J2003" s="622" t="s">
        <v>522</v>
      </c>
      <c r="K2003" s="622" t="s">
        <v>284</v>
      </c>
      <c r="L2003" s="622" t="s">
        <v>600</v>
      </c>
      <c r="M2003" s="622" t="s">
        <v>285</v>
      </c>
      <c r="N2003" s="622" t="s">
        <v>670</v>
      </c>
      <c r="O2003" s="622" t="s">
        <v>670</v>
      </c>
      <c r="P2003" s="622" t="s">
        <v>522</v>
      </c>
      <c r="Q2003" s="622" t="s">
        <v>670</v>
      </c>
      <c r="R2003" s="623">
        <v>45992</v>
      </c>
      <c r="S2003" s="622" t="s">
        <v>670</v>
      </c>
      <c r="T2003" s="623">
        <v>45991</v>
      </c>
      <c r="U2003" s="624">
        <v>0</v>
      </c>
      <c r="V2003" s="625">
        <v>158.66</v>
      </c>
      <c r="W2003" s="260">
        <v>45962</v>
      </c>
    </row>
    <row r="2004" spans="1:23" hidden="1" x14ac:dyDescent="0.35">
      <c r="A2004" s="622" t="s">
        <v>526</v>
      </c>
      <c r="B2004" s="622" t="s">
        <v>159</v>
      </c>
      <c r="C2004" s="622" t="s">
        <v>302</v>
      </c>
      <c r="D2004" s="622" t="s">
        <v>340</v>
      </c>
      <c r="E2004" s="622" t="s">
        <v>283</v>
      </c>
      <c r="F2004" s="622" t="s">
        <v>276</v>
      </c>
      <c r="G2004" s="622" t="s">
        <v>356</v>
      </c>
      <c r="H2004" s="622" t="s">
        <v>670</v>
      </c>
      <c r="I2004" s="622" t="s">
        <v>277</v>
      </c>
      <c r="J2004" s="622" t="s">
        <v>522</v>
      </c>
      <c r="K2004" s="622" t="s">
        <v>303</v>
      </c>
      <c r="L2004" s="622" t="s">
        <v>600</v>
      </c>
      <c r="M2004" s="622" t="s">
        <v>285</v>
      </c>
      <c r="N2004" s="622" t="s">
        <v>670</v>
      </c>
      <c r="O2004" s="622" t="s">
        <v>670</v>
      </c>
      <c r="P2004" s="622" t="s">
        <v>522</v>
      </c>
      <c r="Q2004" s="622" t="s">
        <v>670</v>
      </c>
      <c r="R2004" s="623">
        <v>45993</v>
      </c>
      <c r="S2004" s="622" t="s">
        <v>670</v>
      </c>
      <c r="T2004" s="623">
        <v>45991</v>
      </c>
      <c r="U2004" s="624">
        <v>0</v>
      </c>
      <c r="V2004" s="625">
        <v>37.74</v>
      </c>
      <c r="W2004" s="260">
        <v>45962</v>
      </c>
    </row>
    <row r="2005" spans="1:23" hidden="1" x14ac:dyDescent="0.35">
      <c r="A2005" s="622" t="s">
        <v>526</v>
      </c>
      <c r="B2005" s="622" t="s">
        <v>159</v>
      </c>
      <c r="C2005" s="622" t="s">
        <v>302</v>
      </c>
      <c r="D2005" s="622" t="s">
        <v>340</v>
      </c>
      <c r="E2005" s="622" t="s">
        <v>283</v>
      </c>
      <c r="F2005" s="622" t="s">
        <v>276</v>
      </c>
      <c r="G2005" s="622" t="s">
        <v>356</v>
      </c>
      <c r="H2005" s="622" t="s">
        <v>670</v>
      </c>
      <c r="I2005" s="622" t="s">
        <v>277</v>
      </c>
      <c r="J2005" s="622" t="s">
        <v>522</v>
      </c>
      <c r="K2005" s="622" t="s">
        <v>303</v>
      </c>
      <c r="L2005" s="622" t="s">
        <v>600</v>
      </c>
      <c r="M2005" s="622" t="s">
        <v>285</v>
      </c>
      <c r="N2005" s="622" t="s">
        <v>670</v>
      </c>
      <c r="O2005" s="622" t="s">
        <v>670</v>
      </c>
      <c r="P2005" s="622" t="s">
        <v>522</v>
      </c>
      <c r="Q2005" s="622" t="s">
        <v>670</v>
      </c>
      <c r="R2005" s="623">
        <v>45993</v>
      </c>
      <c r="S2005" s="622" t="s">
        <v>670</v>
      </c>
      <c r="T2005" s="623">
        <v>45991</v>
      </c>
      <c r="U2005" s="624">
        <v>0</v>
      </c>
      <c r="V2005" s="625">
        <v>10.23</v>
      </c>
      <c r="W2005" s="260">
        <v>45962</v>
      </c>
    </row>
    <row r="2006" spans="1:23" hidden="1" x14ac:dyDescent="0.35">
      <c r="A2006" s="622" t="s">
        <v>526</v>
      </c>
      <c r="B2006" s="622" t="s">
        <v>159</v>
      </c>
      <c r="C2006" s="622" t="s">
        <v>286</v>
      </c>
      <c r="D2006" s="622" t="s">
        <v>341</v>
      </c>
      <c r="E2006" s="622" t="s">
        <v>288</v>
      </c>
      <c r="F2006" s="622" t="s">
        <v>276</v>
      </c>
      <c r="G2006" s="622" t="s">
        <v>356</v>
      </c>
      <c r="H2006" s="622" t="s">
        <v>670</v>
      </c>
      <c r="I2006" s="622" t="s">
        <v>277</v>
      </c>
      <c r="J2006" s="622" t="s">
        <v>522</v>
      </c>
      <c r="K2006" s="622" t="s">
        <v>289</v>
      </c>
      <c r="L2006" s="622" t="s">
        <v>600</v>
      </c>
      <c r="M2006" s="622" t="s">
        <v>285</v>
      </c>
      <c r="N2006" s="622" t="s">
        <v>670</v>
      </c>
      <c r="O2006" s="622" t="s">
        <v>670</v>
      </c>
      <c r="P2006" s="622" t="s">
        <v>522</v>
      </c>
      <c r="Q2006" s="622" t="s">
        <v>670</v>
      </c>
      <c r="R2006" s="623">
        <v>45992</v>
      </c>
      <c r="S2006" s="622" t="s">
        <v>670</v>
      </c>
      <c r="T2006" s="623">
        <v>45991</v>
      </c>
      <c r="U2006" s="624">
        <v>0</v>
      </c>
      <c r="V2006" s="625">
        <v>1401.73</v>
      </c>
      <c r="W2006" s="260">
        <v>45962</v>
      </c>
    </row>
    <row r="2007" spans="1:23" hidden="1" x14ac:dyDescent="0.35">
      <c r="A2007" s="622" t="s">
        <v>526</v>
      </c>
      <c r="B2007" s="622" t="s">
        <v>159</v>
      </c>
      <c r="C2007" s="622" t="s">
        <v>302</v>
      </c>
      <c r="D2007" s="622" t="s">
        <v>341</v>
      </c>
      <c r="E2007" s="622" t="s">
        <v>288</v>
      </c>
      <c r="F2007" s="622" t="s">
        <v>276</v>
      </c>
      <c r="G2007" s="622" t="s">
        <v>356</v>
      </c>
      <c r="H2007" s="622" t="s">
        <v>670</v>
      </c>
      <c r="I2007" s="622" t="s">
        <v>277</v>
      </c>
      <c r="J2007" s="622" t="s">
        <v>522</v>
      </c>
      <c r="K2007" s="622" t="s">
        <v>303</v>
      </c>
      <c r="L2007" s="622" t="s">
        <v>600</v>
      </c>
      <c r="M2007" s="622" t="s">
        <v>285</v>
      </c>
      <c r="N2007" s="622" t="s">
        <v>670</v>
      </c>
      <c r="O2007" s="622" t="s">
        <v>670</v>
      </c>
      <c r="P2007" s="622" t="s">
        <v>522</v>
      </c>
      <c r="Q2007" s="622" t="s">
        <v>670</v>
      </c>
      <c r="R2007" s="623">
        <v>45993</v>
      </c>
      <c r="S2007" s="622" t="s">
        <v>670</v>
      </c>
      <c r="T2007" s="623">
        <v>45991</v>
      </c>
      <c r="U2007" s="624">
        <v>0</v>
      </c>
      <c r="V2007" s="625">
        <v>105.87</v>
      </c>
      <c r="W2007" s="260">
        <v>45962</v>
      </c>
    </row>
    <row r="2008" spans="1:23" hidden="1" x14ac:dyDescent="0.35">
      <c r="A2008" s="622" t="s">
        <v>526</v>
      </c>
      <c r="B2008" s="622" t="s">
        <v>159</v>
      </c>
      <c r="C2008" s="622" t="s">
        <v>302</v>
      </c>
      <c r="D2008" s="622" t="s">
        <v>341</v>
      </c>
      <c r="E2008" s="622" t="s">
        <v>288</v>
      </c>
      <c r="F2008" s="622" t="s">
        <v>276</v>
      </c>
      <c r="G2008" s="622" t="s">
        <v>356</v>
      </c>
      <c r="H2008" s="622" t="s">
        <v>670</v>
      </c>
      <c r="I2008" s="622" t="s">
        <v>277</v>
      </c>
      <c r="J2008" s="622" t="s">
        <v>522</v>
      </c>
      <c r="K2008" s="622" t="s">
        <v>303</v>
      </c>
      <c r="L2008" s="622" t="s">
        <v>600</v>
      </c>
      <c r="M2008" s="622" t="s">
        <v>285</v>
      </c>
      <c r="N2008" s="622" t="s">
        <v>670</v>
      </c>
      <c r="O2008" s="622" t="s">
        <v>670</v>
      </c>
      <c r="P2008" s="622" t="s">
        <v>522</v>
      </c>
      <c r="Q2008" s="622" t="s">
        <v>670</v>
      </c>
      <c r="R2008" s="623">
        <v>45993</v>
      </c>
      <c r="S2008" s="622" t="s">
        <v>670</v>
      </c>
      <c r="T2008" s="623">
        <v>45991</v>
      </c>
      <c r="U2008" s="624">
        <v>0</v>
      </c>
      <c r="V2008" s="625">
        <v>90.38</v>
      </c>
      <c r="W2008" s="260">
        <v>45962</v>
      </c>
    </row>
    <row r="2009" spans="1:23" hidden="1" x14ac:dyDescent="0.35">
      <c r="A2009" s="622" t="s">
        <v>526</v>
      </c>
      <c r="B2009" s="622" t="s">
        <v>159</v>
      </c>
      <c r="C2009" s="622" t="s">
        <v>281</v>
      </c>
      <c r="D2009" s="622" t="s">
        <v>342</v>
      </c>
      <c r="E2009" s="622" t="s">
        <v>291</v>
      </c>
      <c r="F2009" s="622" t="s">
        <v>276</v>
      </c>
      <c r="G2009" s="622" t="s">
        <v>356</v>
      </c>
      <c r="H2009" s="622" t="s">
        <v>670</v>
      </c>
      <c r="I2009" s="622" t="s">
        <v>277</v>
      </c>
      <c r="J2009" s="622" t="s">
        <v>522</v>
      </c>
      <c r="K2009" s="622" t="s">
        <v>284</v>
      </c>
      <c r="L2009" s="622" t="s">
        <v>600</v>
      </c>
      <c r="M2009" s="622" t="s">
        <v>285</v>
      </c>
      <c r="N2009" s="622" t="s">
        <v>670</v>
      </c>
      <c r="O2009" s="622" t="s">
        <v>670</v>
      </c>
      <c r="P2009" s="622" t="s">
        <v>522</v>
      </c>
      <c r="Q2009" s="622" t="s">
        <v>670</v>
      </c>
      <c r="R2009" s="623">
        <v>45992</v>
      </c>
      <c r="S2009" s="622" t="s">
        <v>670</v>
      </c>
      <c r="T2009" s="623">
        <v>45991</v>
      </c>
      <c r="U2009" s="624">
        <v>0</v>
      </c>
      <c r="V2009" s="625">
        <v>113.36</v>
      </c>
      <c r="W2009" s="260">
        <v>45962</v>
      </c>
    </row>
    <row r="2010" spans="1:23" hidden="1" x14ac:dyDescent="0.35">
      <c r="A2010" s="622" t="s">
        <v>526</v>
      </c>
      <c r="B2010" s="622" t="s">
        <v>159</v>
      </c>
      <c r="C2010" s="622" t="s">
        <v>302</v>
      </c>
      <c r="D2010" s="622" t="s">
        <v>342</v>
      </c>
      <c r="E2010" s="622" t="s">
        <v>291</v>
      </c>
      <c r="F2010" s="622" t="s">
        <v>276</v>
      </c>
      <c r="G2010" s="622" t="s">
        <v>356</v>
      </c>
      <c r="H2010" s="622" t="s">
        <v>670</v>
      </c>
      <c r="I2010" s="622" t="s">
        <v>277</v>
      </c>
      <c r="J2010" s="622" t="s">
        <v>522</v>
      </c>
      <c r="K2010" s="622" t="s">
        <v>303</v>
      </c>
      <c r="L2010" s="622" t="s">
        <v>600</v>
      </c>
      <c r="M2010" s="622" t="s">
        <v>285</v>
      </c>
      <c r="N2010" s="622" t="s">
        <v>670</v>
      </c>
      <c r="O2010" s="622" t="s">
        <v>670</v>
      </c>
      <c r="P2010" s="622" t="s">
        <v>522</v>
      </c>
      <c r="Q2010" s="622" t="s">
        <v>670</v>
      </c>
      <c r="R2010" s="623">
        <v>45993</v>
      </c>
      <c r="S2010" s="622" t="s">
        <v>670</v>
      </c>
      <c r="T2010" s="623">
        <v>45991</v>
      </c>
      <c r="U2010" s="624">
        <v>0</v>
      </c>
      <c r="V2010" s="625">
        <v>24.39</v>
      </c>
      <c r="W2010" s="260">
        <v>45962</v>
      </c>
    </row>
    <row r="2011" spans="1:23" hidden="1" x14ac:dyDescent="0.35">
      <c r="A2011" s="622" t="s">
        <v>526</v>
      </c>
      <c r="B2011" s="622" t="s">
        <v>159</v>
      </c>
      <c r="C2011" s="622" t="s">
        <v>302</v>
      </c>
      <c r="D2011" s="622" t="s">
        <v>342</v>
      </c>
      <c r="E2011" s="622" t="s">
        <v>291</v>
      </c>
      <c r="F2011" s="622" t="s">
        <v>276</v>
      </c>
      <c r="G2011" s="622" t="s">
        <v>356</v>
      </c>
      <c r="H2011" s="622" t="s">
        <v>670</v>
      </c>
      <c r="I2011" s="622" t="s">
        <v>277</v>
      </c>
      <c r="J2011" s="622" t="s">
        <v>522</v>
      </c>
      <c r="K2011" s="622" t="s">
        <v>303</v>
      </c>
      <c r="L2011" s="622" t="s">
        <v>600</v>
      </c>
      <c r="M2011" s="622" t="s">
        <v>285</v>
      </c>
      <c r="N2011" s="622" t="s">
        <v>670</v>
      </c>
      <c r="O2011" s="622" t="s">
        <v>670</v>
      </c>
      <c r="P2011" s="622" t="s">
        <v>522</v>
      </c>
      <c r="Q2011" s="622" t="s">
        <v>670</v>
      </c>
      <c r="R2011" s="623">
        <v>45993</v>
      </c>
      <c r="S2011" s="622" t="s">
        <v>670</v>
      </c>
      <c r="T2011" s="623">
        <v>45991</v>
      </c>
      <c r="U2011" s="624">
        <v>0</v>
      </c>
      <c r="V2011" s="625">
        <v>7.31</v>
      </c>
      <c r="W2011" s="260">
        <v>45962</v>
      </c>
    </row>
    <row r="2012" spans="1:23" hidden="1" x14ac:dyDescent="0.35">
      <c r="A2012" s="622" t="s">
        <v>526</v>
      </c>
      <c r="B2012" s="622" t="s">
        <v>159</v>
      </c>
      <c r="C2012" s="622" t="s">
        <v>281</v>
      </c>
      <c r="D2012" s="622" t="s">
        <v>343</v>
      </c>
      <c r="E2012" s="622" t="s">
        <v>293</v>
      </c>
      <c r="F2012" s="622" t="s">
        <v>276</v>
      </c>
      <c r="G2012" s="622" t="s">
        <v>356</v>
      </c>
      <c r="H2012" s="622" t="s">
        <v>670</v>
      </c>
      <c r="I2012" s="622" t="s">
        <v>277</v>
      </c>
      <c r="J2012" s="622" t="s">
        <v>522</v>
      </c>
      <c r="K2012" s="622" t="s">
        <v>294</v>
      </c>
      <c r="L2012" s="622" t="s">
        <v>600</v>
      </c>
      <c r="M2012" s="622" t="s">
        <v>285</v>
      </c>
      <c r="N2012" s="622" t="s">
        <v>670</v>
      </c>
      <c r="O2012" s="622" t="s">
        <v>670</v>
      </c>
      <c r="P2012" s="622" t="s">
        <v>522</v>
      </c>
      <c r="Q2012" s="622" t="s">
        <v>670</v>
      </c>
      <c r="R2012" s="623">
        <v>45992</v>
      </c>
      <c r="S2012" s="622" t="s">
        <v>670</v>
      </c>
      <c r="T2012" s="623">
        <v>45991</v>
      </c>
      <c r="U2012" s="624">
        <v>0</v>
      </c>
      <c r="V2012" s="625">
        <v>143.18</v>
      </c>
      <c r="W2012" s="260">
        <v>45962</v>
      </c>
    </row>
    <row r="2013" spans="1:23" hidden="1" x14ac:dyDescent="0.35">
      <c r="A2013" s="622" t="s">
        <v>526</v>
      </c>
      <c r="B2013" s="622" t="s">
        <v>159</v>
      </c>
      <c r="C2013" s="622" t="s">
        <v>302</v>
      </c>
      <c r="D2013" s="622" t="s">
        <v>343</v>
      </c>
      <c r="E2013" s="622" t="s">
        <v>293</v>
      </c>
      <c r="F2013" s="622" t="s">
        <v>276</v>
      </c>
      <c r="G2013" s="622" t="s">
        <v>356</v>
      </c>
      <c r="H2013" s="622" t="s">
        <v>670</v>
      </c>
      <c r="I2013" s="622" t="s">
        <v>277</v>
      </c>
      <c r="J2013" s="622" t="s">
        <v>522</v>
      </c>
      <c r="K2013" s="622" t="s">
        <v>303</v>
      </c>
      <c r="L2013" s="622" t="s">
        <v>600</v>
      </c>
      <c r="M2013" s="622" t="s">
        <v>285</v>
      </c>
      <c r="N2013" s="622" t="s">
        <v>670</v>
      </c>
      <c r="O2013" s="622" t="s">
        <v>670</v>
      </c>
      <c r="P2013" s="622" t="s">
        <v>522</v>
      </c>
      <c r="Q2013" s="622" t="s">
        <v>670</v>
      </c>
      <c r="R2013" s="623">
        <v>45993</v>
      </c>
      <c r="S2013" s="622" t="s">
        <v>670</v>
      </c>
      <c r="T2013" s="623">
        <v>45991</v>
      </c>
      <c r="U2013" s="624">
        <v>0</v>
      </c>
      <c r="V2013" s="625">
        <v>26.97</v>
      </c>
      <c r="W2013" s="260">
        <v>45962</v>
      </c>
    </row>
    <row r="2014" spans="1:23" hidden="1" x14ac:dyDescent="0.35">
      <c r="A2014" s="622" t="s">
        <v>526</v>
      </c>
      <c r="B2014" s="622" t="s">
        <v>159</v>
      </c>
      <c r="C2014" s="622" t="s">
        <v>302</v>
      </c>
      <c r="D2014" s="622" t="s">
        <v>343</v>
      </c>
      <c r="E2014" s="622" t="s">
        <v>293</v>
      </c>
      <c r="F2014" s="622" t="s">
        <v>276</v>
      </c>
      <c r="G2014" s="622" t="s">
        <v>356</v>
      </c>
      <c r="H2014" s="622" t="s">
        <v>670</v>
      </c>
      <c r="I2014" s="622" t="s">
        <v>277</v>
      </c>
      <c r="J2014" s="622" t="s">
        <v>522</v>
      </c>
      <c r="K2014" s="622" t="s">
        <v>303</v>
      </c>
      <c r="L2014" s="622" t="s">
        <v>600</v>
      </c>
      <c r="M2014" s="622" t="s">
        <v>285</v>
      </c>
      <c r="N2014" s="622" t="s">
        <v>670</v>
      </c>
      <c r="O2014" s="622" t="s">
        <v>670</v>
      </c>
      <c r="P2014" s="622" t="s">
        <v>522</v>
      </c>
      <c r="Q2014" s="622" t="s">
        <v>670</v>
      </c>
      <c r="R2014" s="623">
        <v>45993</v>
      </c>
      <c r="S2014" s="622" t="s">
        <v>670</v>
      </c>
      <c r="T2014" s="623">
        <v>45991</v>
      </c>
      <c r="U2014" s="624">
        <v>0</v>
      </c>
      <c r="V2014" s="625">
        <v>9.23</v>
      </c>
      <c r="W2014" s="260">
        <v>45962</v>
      </c>
    </row>
    <row r="2015" spans="1:23" hidden="1" x14ac:dyDescent="0.35">
      <c r="A2015" s="622" t="s">
        <v>526</v>
      </c>
      <c r="B2015" s="622" t="s">
        <v>159</v>
      </c>
      <c r="C2015" s="622" t="s">
        <v>286</v>
      </c>
      <c r="D2015" s="622" t="s">
        <v>344</v>
      </c>
      <c r="E2015" s="622" t="s">
        <v>296</v>
      </c>
      <c r="F2015" s="622" t="s">
        <v>276</v>
      </c>
      <c r="G2015" s="622" t="s">
        <v>356</v>
      </c>
      <c r="H2015" s="622" t="s">
        <v>670</v>
      </c>
      <c r="I2015" s="622" t="s">
        <v>277</v>
      </c>
      <c r="J2015" s="622" t="s">
        <v>522</v>
      </c>
      <c r="K2015" s="622" t="s">
        <v>297</v>
      </c>
      <c r="L2015" s="622" t="s">
        <v>600</v>
      </c>
      <c r="M2015" s="622" t="s">
        <v>285</v>
      </c>
      <c r="N2015" s="622" t="s">
        <v>670</v>
      </c>
      <c r="O2015" s="622" t="s">
        <v>670</v>
      </c>
      <c r="P2015" s="622" t="s">
        <v>522</v>
      </c>
      <c r="Q2015" s="622" t="s">
        <v>670</v>
      </c>
      <c r="R2015" s="623">
        <v>45992</v>
      </c>
      <c r="S2015" s="622" t="s">
        <v>670</v>
      </c>
      <c r="T2015" s="623">
        <v>45991</v>
      </c>
      <c r="U2015" s="624">
        <v>0</v>
      </c>
      <c r="V2015" s="625">
        <v>339.01</v>
      </c>
      <c r="W2015" s="260">
        <v>45962</v>
      </c>
    </row>
    <row r="2016" spans="1:23" hidden="1" x14ac:dyDescent="0.35">
      <c r="A2016" s="622" t="s">
        <v>526</v>
      </c>
      <c r="B2016" s="622" t="s">
        <v>159</v>
      </c>
      <c r="C2016" s="622" t="s">
        <v>302</v>
      </c>
      <c r="D2016" s="622" t="s">
        <v>344</v>
      </c>
      <c r="E2016" s="622" t="s">
        <v>296</v>
      </c>
      <c r="F2016" s="622" t="s">
        <v>276</v>
      </c>
      <c r="G2016" s="622" t="s">
        <v>356</v>
      </c>
      <c r="H2016" s="622" t="s">
        <v>670</v>
      </c>
      <c r="I2016" s="622" t="s">
        <v>277</v>
      </c>
      <c r="J2016" s="622" t="s">
        <v>522</v>
      </c>
      <c r="K2016" s="622" t="s">
        <v>303</v>
      </c>
      <c r="L2016" s="622" t="s">
        <v>600</v>
      </c>
      <c r="M2016" s="622" t="s">
        <v>285</v>
      </c>
      <c r="N2016" s="622" t="s">
        <v>670</v>
      </c>
      <c r="O2016" s="622" t="s">
        <v>670</v>
      </c>
      <c r="P2016" s="622" t="s">
        <v>522</v>
      </c>
      <c r="Q2016" s="622" t="s">
        <v>670</v>
      </c>
      <c r="R2016" s="623">
        <v>45993</v>
      </c>
      <c r="S2016" s="622" t="s">
        <v>670</v>
      </c>
      <c r="T2016" s="623">
        <v>45991</v>
      </c>
      <c r="U2016" s="624">
        <v>0</v>
      </c>
      <c r="V2016" s="625">
        <v>57.72</v>
      </c>
      <c r="W2016" s="260">
        <v>45962</v>
      </c>
    </row>
    <row r="2017" spans="1:24" hidden="1" x14ac:dyDescent="0.35">
      <c r="A2017" s="622" t="s">
        <v>526</v>
      </c>
      <c r="B2017" s="622" t="s">
        <v>159</v>
      </c>
      <c r="C2017" s="622" t="s">
        <v>302</v>
      </c>
      <c r="D2017" s="622" t="s">
        <v>344</v>
      </c>
      <c r="E2017" s="622" t="s">
        <v>296</v>
      </c>
      <c r="F2017" s="622" t="s">
        <v>276</v>
      </c>
      <c r="G2017" s="622" t="s">
        <v>356</v>
      </c>
      <c r="H2017" s="622" t="s">
        <v>670</v>
      </c>
      <c r="I2017" s="622" t="s">
        <v>277</v>
      </c>
      <c r="J2017" s="622" t="s">
        <v>522</v>
      </c>
      <c r="K2017" s="622" t="s">
        <v>303</v>
      </c>
      <c r="L2017" s="622" t="s">
        <v>600</v>
      </c>
      <c r="M2017" s="622" t="s">
        <v>285</v>
      </c>
      <c r="N2017" s="622" t="s">
        <v>670</v>
      </c>
      <c r="O2017" s="622" t="s">
        <v>670</v>
      </c>
      <c r="P2017" s="622" t="s">
        <v>522</v>
      </c>
      <c r="Q2017" s="622" t="s">
        <v>670</v>
      </c>
      <c r="R2017" s="623">
        <v>45993</v>
      </c>
      <c r="S2017" s="622" t="s">
        <v>670</v>
      </c>
      <c r="T2017" s="623">
        <v>45991</v>
      </c>
      <c r="U2017" s="624">
        <v>0</v>
      </c>
      <c r="V2017" s="625">
        <v>21.86</v>
      </c>
      <c r="W2017" s="260">
        <v>45962</v>
      </c>
    </row>
    <row r="2018" spans="1:24" hidden="1" x14ac:dyDescent="0.35">
      <c r="A2018" s="622" t="s">
        <v>526</v>
      </c>
      <c r="B2018" s="622" t="s">
        <v>159</v>
      </c>
      <c r="C2018" s="622" t="s">
        <v>298</v>
      </c>
      <c r="D2018" s="622" t="s">
        <v>345</v>
      </c>
      <c r="E2018" s="622" t="s">
        <v>346</v>
      </c>
      <c r="F2018" s="622" t="s">
        <v>276</v>
      </c>
      <c r="G2018" s="622" t="s">
        <v>356</v>
      </c>
      <c r="H2018" s="622" t="s">
        <v>670</v>
      </c>
      <c r="I2018" s="622" t="s">
        <v>277</v>
      </c>
      <c r="J2018" s="622" t="s">
        <v>522</v>
      </c>
      <c r="K2018" s="622" t="s">
        <v>301</v>
      </c>
      <c r="L2018" s="622" t="s">
        <v>600</v>
      </c>
      <c r="M2018" s="622" t="s">
        <v>285</v>
      </c>
      <c r="N2018" s="622" t="s">
        <v>670</v>
      </c>
      <c r="O2018" s="622" t="s">
        <v>670</v>
      </c>
      <c r="P2018" s="622" t="s">
        <v>522</v>
      </c>
      <c r="Q2018" s="622" t="s">
        <v>670</v>
      </c>
      <c r="R2018" s="623">
        <v>45993</v>
      </c>
      <c r="S2018" s="622" t="s">
        <v>670</v>
      </c>
      <c r="T2018" s="623">
        <v>45991</v>
      </c>
      <c r="U2018" s="624">
        <v>0</v>
      </c>
      <c r="V2018" s="625">
        <v>0.24</v>
      </c>
      <c r="W2018" s="260">
        <v>45962</v>
      </c>
    </row>
    <row r="2019" spans="1:24" hidden="1" x14ac:dyDescent="0.35">
      <c r="A2019" s="622" t="s">
        <v>526</v>
      </c>
      <c r="B2019" s="622" t="s">
        <v>159</v>
      </c>
      <c r="C2019" s="622" t="s">
        <v>298</v>
      </c>
      <c r="D2019" s="622" t="s">
        <v>347</v>
      </c>
      <c r="E2019" s="622" t="s">
        <v>348</v>
      </c>
      <c r="F2019" s="622" t="s">
        <v>276</v>
      </c>
      <c r="G2019" s="622" t="s">
        <v>356</v>
      </c>
      <c r="H2019" s="622" t="s">
        <v>670</v>
      </c>
      <c r="I2019" s="622" t="s">
        <v>277</v>
      </c>
      <c r="J2019" s="622" t="s">
        <v>522</v>
      </c>
      <c r="K2019" s="622" t="s">
        <v>301</v>
      </c>
      <c r="L2019" s="622" t="s">
        <v>600</v>
      </c>
      <c r="M2019" s="622" t="s">
        <v>285</v>
      </c>
      <c r="N2019" s="622" t="s">
        <v>670</v>
      </c>
      <c r="O2019" s="622" t="s">
        <v>670</v>
      </c>
      <c r="P2019" s="622" t="s">
        <v>522</v>
      </c>
      <c r="Q2019" s="622" t="s">
        <v>670</v>
      </c>
      <c r="R2019" s="623">
        <v>45993</v>
      </c>
      <c r="S2019" s="622" t="s">
        <v>670</v>
      </c>
      <c r="T2019" s="623">
        <v>45991</v>
      </c>
      <c r="U2019" s="624">
        <v>0</v>
      </c>
      <c r="V2019" s="625">
        <v>1.33</v>
      </c>
      <c r="W2019" s="260">
        <v>45962</v>
      </c>
    </row>
    <row r="2020" spans="1:24" hidden="1" x14ac:dyDescent="0.35">
      <c r="A2020" s="622" t="s">
        <v>526</v>
      </c>
      <c r="B2020" s="622" t="s">
        <v>159</v>
      </c>
      <c r="C2020" s="622" t="s">
        <v>298</v>
      </c>
      <c r="D2020" s="622" t="s">
        <v>347</v>
      </c>
      <c r="E2020" s="622" t="s">
        <v>348</v>
      </c>
      <c r="F2020" s="622" t="s">
        <v>276</v>
      </c>
      <c r="G2020" s="622" t="s">
        <v>356</v>
      </c>
      <c r="H2020" s="622" t="s">
        <v>670</v>
      </c>
      <c r="I2020" s="622" t="s">
        <v>277</v>
      </c>
      <c r="J2020" s="622" t="s">
        <v>522</v>
      </c>
      <c r="K2020" s="622" t="s">
        <v>301</v>
      </c>
      <c r="L2020" s="622" t="s">
        <v>600</v>
      </c>
      <c r="M2020" s="622" t="s">
        <v>285</v>
      </c>
      <c r="N2020" s="622" t="s">
        <v>670</v>
      </c>
      <c r="O2020" s="622" t="s">
        <v>670</v>
      </c>
      <c r="P2020" s="622" t="s">
        <v>522</v>
      </c>
      <c r="Q2020" s="622" t="s">
        <v>670</v>
      </c>
      <c r="R2020" s="623">
        <v>45993</v>
      </c>
      <c r="S2020" s="622" t="s">
        <v>670</v>
      </c>
      <c r="T2020" s="623">
        <v>45991</v>
      </c>
      <c r="U2020" s="624">
        <v>0</v>
      </c>
      <c r="V2020" s="625">
        <v>2.54</v>
      </c>
      <c r="W2020" s="260">
        <v>45962</v>
      </c>
    </row>
    <row r="2021" spans="1:24" hidden="1" x14ac:dyDescent="0.35">
      <c r="A2021" s="622" t="s">
        <v>526</v>
      </c>
      <c r="B2021" s="622" t="s">
        <v>159</v>
      </c>
      <c r="C2021" s="622" t="s">
        <v>298</v>
      </c>
      <c r="D2021" s="622" t="s">
        <v>349</v>
      </c>
      <c r="E2021" s="622" t="s">
        <v>350</v>
      </c>
      <c r="F2021" s="622" t="s">
        <v>276</v>
      </c>
      <c r="G2021" s="622" t="s">
        <v>356</v>
      </c>
      <c r="H2021" s="622" t="s">
        <v>670</v>
      </c>
      <c r="I2021" s="622" t="s">
        <v>277</v>
      </c>
      <c r="J2021" s="622" t="s">
        <v>522</v>
      </c>
      <c r="K2021" s="622" t="s">
        <v>301</v>
      </c>
      <c r="L2021" s="622" t="s">
        <v>600</v>
      </c>
      <c r="M2021" s="622" t="s">
        <v>285</v>
      </c>
      <c r="N2021" s="622" t="s">
        <v>670</v>
      </c>
      <c r="O2021" s="622" t="s">
        <v>670</v>
      </c>
      <c r="P2021" s="622" t="s">
        <v>522</v>
      </c>
      <c r="Q2021" s="622" t="s">
        <v>670</v>
      </c>
      <c r="R2021" s="623">
        <v>45993</v>
      </c>
      <c r="S2021" s="622" t="s">
        <v>670</v>
      </c>
      <c r="T2021" s="623">
        <v>45991</v>
      </c>
      <c r="U2021" s="624">
        <v>0</v>
      </c>
      <c r="V2021" s="625">
        <v>0.33</v>
      </c>
      <c r="W2021" s="260">
        <v>45962</v>
      </c>
    </row>
    <row r="2022" spans="1:24" hidden="1" x14ac:dyDescent="0.35">
      <c r="A2022" s="622" t="s">
        <v>526</v>
      </c>
      <c r="B2022" s="622" t="s">
        <v>159</v>
      </c>
      <c r="C2022" s="622" t="s">
        <v>298</v>
      </c>
      <c r="D2022" s="622" t="s">
        <v>351</v>
      </c>
      <c r="E2022" s="622" t="s">
        <v>352</v>
      </c>
      <c r="F2022" s="622" t="s">
        <v>276</v>
      </c>
      <c r="G2022" s="622" t="s">
        <v>356</v>
      </c>
      <c r="H2022" s="622" t="s">
        <v>670</v>
      </c>
      <c r="I2022" s="622" t="s">
        <v>277</v>
      </c>
      <c r="J2022" s="622" t="s">
        <v>522</v>
      </c>
      <c r="K2022" s="622" t="s">
        <v>301</v>
      </c>
      <c r="L2022" s="622" t="s">
        <v>600</v>
      </c>
      <c r="M2022" s="622" t="s">
        <v>285</v>
      </c>
      <c r="N2022" s="622" t="s">
        <v>670</v>
      </c>
      <c r="O2022" s="622" t="s">
        <v>670</v>
      </c>
      <c r="P2022" s="622" t="s">
        <v>522</v>
      </c>
      <c r="Q2022" s="622" t="s">
        <v>670</v>
      </c>
      <c r="R2022" s="623">
        <v>45993</v>
      </c>
      <c r="S2022" s="622" t="s">
        <v>670</v>
      </c>
      <c r="T2022" s="623">
        <v>45991</v>
      </c>
      <c r="U2022" s="624">
        <v>0</v>
      </c>
      <c r="V2022" s="625">
        <v>0.72</v>
      </c>
      <c r="W2022" s="260">
        <v>45962</v>
      </c>
    </row>
    <row r="2023" spans="1:24" hidden="1" x14ac:dyDescent="0.35">
      <c r="A2023" s="622" t="s">
        <v>526</v>
      </c>
      <c r="B2023" s="622" t="s">
        <v>159</v>
      </c>
      <c r="C2023" s="622" t="s">
        <v>298</v>
      </c>
      <c r="D2023" s="622" t="s">
        <v>351</v>
      </c>
      <c r="E2023" s="622" t="s">
        <v>352</v>
      </c>
      <c r="F2023" s="622" t="s">
        <v>276</v>
      </c>
      <c r="G2023" s="622" t="s">
        <v>356</v>
      </c>
      <c r="H2023" s="622" t="s">
        <v>670</v>
      </c>
      <c r="I2023" s="622" t="s">
        <v>277</v>
      </c>
      <c r="J2023" s="622" t="s">
        <v>522</v>
      </c>
      <c r="K2023" s="622" t="s">
        <v>301</v>
      </c>
      <c r="L2023" s="622" t="s">
        <v>600</v>
      </c>
      <c r="M2023" s="622" t="s">
        <v>285</v>
      </c>
      <c r="N2023" s="622" t="s">
        <v>670</v>
      </c>
      <c r="O2023" s="622" t="s">
        <v>670</v>
      </c>
      <c r="P2023" s="622" t="s">
        <v>522</v>
      </c>
      <c r="Q2023" s="622" t="s">
        <v>670</v>
      </c>
      <c r="R2023" s="623">
        <v>45993</v>
      </c>
      <c r="S2023" s="622" t="s">
        <v>670</v>
      </c>
      <c r="T2023" s="623">
        <v>45991</v>
      </c>
      <c r="U2023" s="624">
        <v>0</v>
      </c>
      <c r="V2023" s="625">
        <v>0.77</v>
      </c>
      <c r="W2023" s="260">
        <v>45962</v>
      </c>
    </row>
    <row r="2024" spans="1:24" hidden="1" x14ac:dyDescent="0.35">
      <c r="A2024" s="622" t="s">
        <v>526</v>
      </c>
      <c r="B2024" s="622" t="s">
        <v>159</v>
      </c>
      <c r="C2024" s="622" t="s">
        <v>298</v>
      </c>
      <c r="D2024" s="622" t="s">
        <v>354</v>
      </c>
      <c r="E2024" s="622" t="s">
        <v>355</v>
      </c>
      <c r="F2024" s="622" t="s">
        <v>276</v>
      </c>
      <c r="G2024" s="622" t="s">
        <v>356</v>
      </c>
      <c r="H2024" s="622" t="s">
        <v>670</v>
      </c>
      <c r="I2024" s="622" t="s">
        <v>277</v>
      </c>
      <c r="J2024" s="622" t="s">
        <v>522</v>
      </c>
      <c r="K2024" s="622" t="s">
        <v>301</v>
      </c>
      <c r="L2024" s="622" t="s">
        <v>600</v>
      </c>
      <c r="M2024" s="622" t="s">
        <v>285</v>
      </c>
      <c r="N2024" s="622" t="s">
        <v>670</v>
      </c>
      <c r="O2024" s="622" t="s">
        <v>670</v>
      </c>
      <c r="P2024" s="622" t="s">
        <v>522</v>
      </c>
      <c r="Q2024" s="622" t="s">
        <v>670</v>
      </c>
      <c r="R2024" s="623">
        <v>45993</v>
      </c>
      <c r="S2024" s="622" t="s">
        <v>670</v>
      </c>
      <c r="T2024" s="623">
        <v>45991</v>
      </c>
      <c r="U2024" s="624">
        <v>0</v>
      </c>
      <c r="V2024" s="625">
        <v>0.34</v>
      </c>
      <c r="W2024" s="260">
        <v>45962</v>
      </c>
    </row>
    <row r="2025" spans="1:24" hidden="1" x14ac:dyDescent="0.35">
      <c r="A2025" s="622" t="s">
        <v>526</v>
      </c>
      <c r="B2025" s="622" t="s">
        <v>159</v>
      </c>
      <c r="C2025" s="622" t="s">
        <v>530</v>
      </c>
      <c r="D2025" s="622" t="s">
        <v>531</v>
      </c>
      <c r="E2025" s="622" t="s">
        <v>532</v>
      </c>
      <c r="F2025" s="622" t="s">
        <v>276</v>
      </c>
      <c r="G2025" s="622" t="s">
        <v>356</v>
      </c>
      <c r="H2025" s="622" t="s">
        <v>567</v>
      </c>
      <c r="I2025" s="622" t="s">
        <v>277</v>
      </c>
      <c r="J2025" s="622" t="s">
        <v>522</v>
      </c>
      <c r="K2025" s="622" t="s">
        <v>534</v>
      </c>
      <c r="L2025" s="622" t="s">
        <v>600</v>
      </c>
      <c r="M2025" s="622" t="s">
        <v>568</v>
      </c>
      <c r="N2025" s="622" t="s">
        <v>670</v>
      </c>
      <c r="O2025" s="622" t="s">
        <v>670</v>
      </c>
      <c r="P2025" s="622" t="s">
        <v>522</v>
      </c>
      <c r="Q2025" s="622" t="s">
        <v>670</v>
      </c>
      <c r="R2025" s="623">
        <v>45952</v>
      </c>
      <c r="S2025" s="622" t="s">
        <v>278</v>
      </c>
      <c r="T2025" s="623">
        <v>45967</v>
      </c>
      <c r="U2025" s="624">
        <v>-5</v>
      </c>
      <c r="V2025" s="625">
        <v>-463.25</v>
      </c>
      <c r="W2025" s="260">
        <v>45962</v>
      </c>
      <c r="X2025" s="845"/>
    </row>
    <row r="2026" spans="1:24" hidden="1" x14ac:dyDescent="0.35">
      <c r="A2026" s="622" t="s">
        <v>526</v>
      </c>
      <c r="B2026" s="622" t="s">
        <v>159</v>
      </c>
      <c r="C2026" s="622" t="s">
        <v>530</v>
      </c>
      <c r="D2026" s="622" t="s">
        <v>531</v>
      </c>
      <c r="E2026" s="622" t="s">
        <v>532</v>
      </c>
      <c r="F2026" s="622" t="s">
        <v>276</v>
      </c>
      <c r="G2026" s="622" t="s">
        <v>356</v>
      </c>
      <c r="H2026" s="622" t="s">
        <v>567</v>
      </c>
      <c r="I2026" s="622" t="s">
        <v>277</v>
      </c>
      <c r="J2026" s="622" t="s">
        <v>522</v>
      </c>
      <c r="K2026" s="622" t="s">
        <v>534</v>
      </c>
      <c r="L2026" s="622" t="s">
        <v>600</v>
      </c>
      <c r="M2026" s="622" t="s">
        <v>568</v>
      </c>
      <c r="N2026" s="622" t="s">
        <v>670</v>
      </c>
      <c r="O2026" s="622" t="s">
        <v>670</v>
      </c>
      <c r="P2026" s="622" t="s">
        <v>522</v>
      </c>
      <c r="Q2026" s="622" t="s">
        <v>670</v>
      </c>
      <c r="R2026" s="623">
        <v>45952</v>
      </c>
      <c r="S2026" s="622" t="s">
        <v>278</v>
      </c>
      <c r="T2026" s="623">
        <v>45967</v>
      </c>
      <c r="U2026" s="624">
        <v>4</v>
      </c>
      <c r="V2026" s="625">
        <v>370.6</v>
      </c>
      <c r="W2026" s="260">
        <v>45962</v>
      </c>
      <c r="X2026" s="845"/>
    </row>
    <row r="2027" spans="1:24" hidden="1" x14ac:dyDescent="0.35">
      <c r="A2027" s="622" t="s">
        <v>526</v>
      </c>
      <c r="B2027" s="622" t="s">
        <v>159</v>
      </c>
      <c r="C2027" s="622" t="s">
        <v>530</v>
      </c>
      <c r="D2027" s="622" t="s">
        <v>531</v>
      </c>
      <c r="E2027" s="622" t="s">
        <v>532</v>
      </c>
      <c r="F2027" s="622" t="s">
        <v>276</v>
      </c>
      <c r="G2027" s="622" t="s">
        <v>356</v>
      </c>
      <c r="H2027" s="622" t="s">
        <v>565</v>
      </c>
      <c r="I2027" s="622" t="s">
        <v>277</v>
      </c>
      <c r="J2027" s="622" t="s">
        <v>522</v>
      </c>
      <c r="K2027" s="622" t="s">
        <v>534</v>
      </c>
      <c r="L2027" s="622" t="s">
        <v>600</v>
      </c>
      <c r="M2027" s="622" t="s">
        <v>566</v>
      </c>
      <c r="N2027" s="622" t="s">
        <v>670</v>
      </c>
      <c r="O2027" s="622" t="s">
        <v>670</v>
      </c>
      <c r="P2027" s="622" t="s">
        <v>522</v>
      </c>
      <c r="Q2027" s="622" t="s">
        <v>670</v>
      </c>
      <c r="R2027" s="623">
        <v>45959</v>
      </c>
      <c r="S2027" s="622" t="s">
        <v>278</v>
      </c>
      <c r="T2027" s="623">
        <v>45967</v>
      </c>
      <c r="U2027" s="624">
        <v>1</v>
      </c>
      <c r="V2027" s="625">
        <v>92.65</v>
      </c>
      <c r="W2027" s="260">
        <v>45962</v>
      </c>
      <c r="X2027" s="845"/>
    </row>
    <row r="2028" spans="1:24" hidden="1" x14ac:dyDescent="0.35">
      <c r="A2028" s="622" t="s">
        <v>526</v>
      </c>
      <c r="B2028" s="622" t="s">
        <v>159</v>
      </c>
      <c r="C2028" s="622" t="s">
        <v>530</v>
      </c>
      <c r="D2028" s="622" t="s">
        <v>531</v>
      </c>
      <c r="E2028" s="622" t="s">
        <v>532</v>
      </c>
      <c r="F2028" s="622" t="s">
        <v>276</v>
      </c>
      <c r="G2028" s="622" t="s">
        <v>356</v>
      </c>
      <c r="H2028" s="622" t="s">
        <v>565</v>
      </c>
      <c r="I2028" s="622" t="s">
        <v>277</v>
      </c>
      <c r="J2028" s="622" t="s">
        <v>522</v>
      </c>
      <c r="K2028" s="622" t="s">
        <v>534</v>
      </c>
      <c r="L2028" s="622" t="s">
        <v>600</v>
      </c>
      <c r="M2028" s="622" t="s">
        <v>566</v>
      </c>
      <c r="N2028" s="622" t="s">
        <v>670</v>
      </c>
      <c r="O2028" s="622" t="s">
        <v>670</v>
      </c>
      <c r="P2028" s="622" t="s">
        <v>522</v>
      </c>
      <c r="Q2028" s="622" t="s">
        <v>670</v>
      </c>
      <c r="R2028" s="623">
        <v>45960</v>
      </c>
      <c r="S2028" s="622" t="s">
        <v>278</v>
      </c>
      <c r="T2028" s="623">
        <v>45967</v>
      </c>
      <c r="U2028" s="624">
        <v>7</v>
      </c>
      <c r="V2028" s="625">
        <v>648.54999999999995</v>
      </c>
      <c r="W2028" s="260">
        <v>45962</v>
      </c>
      <c r="X2028" s="845"/>
    </row>
    <row r="2029" spans="1:24" hidden="1" x14ac:dyDescent="0.35">
      <c r="A2029" s="622" t="s">
        <v>526</v>
      </c>
      <c r="B2029" s="622" t="s">
        <v>159</v>
      </c>
      <c r="C2029" s="622" t="s">
        <v>530</v>
      </c>
      <c r="D2029" s="622" t="s">
        <v>531</v>
      </c>
      <c r="E2029" s="622" t="s">
        <v>532</v>
      </c>
      <c r="F2029" s="622" t="s">
        <v>276</v>
      </c>
      <c r="G2029" s="622" t="s">
        <v>356</v>
      </c>
      <c r="H2029" s="622" t="s">
        <v>565</v>
      </c>
      <c r="I2029" s="622" t="s">
        <v>277</v>
      </c>
      <c r="J2029" s="622" t="s">
        <v>522</v>
      </c>
      <c r="K2029" s="622" t="s">
        <v>534</v>
      </c>
      <c r="L2029" s="622" t="s">
        <v>600</v>
      </c>
      <c r="M2029" s="622" t="s">
        <v>566</v>
      </c>
      <c r="N2029" s="622" t="s">
        <v>670</v>
      </c>
      <c r="O2029" s="622" t="s">
        <v>670</v>
      </c>
      <c r="P2029" s="622" t="s">
        <v>522</v>
      </c>
      <c r="Q2029" s="622" t="s">
        <v>670</v>
      </c>
      <c r="R2029" s="623">
        <v>45961</v>
      </c>
      <c r="S2029" s="622" t="s">
        <v>278</v>
      </c>
      <c r="T2029" s="623">
        <v>45967</v>
      </c>
      <c r="U2029" s="624">
        <v>4</v>
      </c>
      <c r="V2029" s="625">
        <v>370.6</v>
      </c>
      <c r="W2029" s="260">
        <v>45962</v>
      </c>
      <c r="X2029" s="845"/>
    </row>
    <row r="2030" spans="1:24" hidden="1" x14ac:dyDescent="0.35">
      <c r="A2030" s="622" t="s">
        <v>526</v>
      </c>
      <c r="B2030" s="622" t="s">
        <v>159</v>
      </c>
      <c r="C2030" s="622" t="s">
        <v>530</v>
      </c>
      <c r="D2030" s="622" t="s">
        <v>531</v>
      </c>
      <c r="E2030" s="622" t="s">
        <v>532</v>
      </c>
      <c r="F2030" s="622" t="s">
        <v>276</v>
      </c>
      <c r="G2030" s="622" t="s">
        <v>356</v>
      </c>
      <c r="H2030" s="622" t="s">
        <v>565</v>
      </c>
      <c r="I2030" s="622" t="s">
        <v>277</v>
      </c>
      <c r="J2030" s="622" t="s">
        <v>522</v>
      </c>
      <c r="K2030" s="622" t="s">
        <v>534</v>
      </c>
      <c r="L2030" s="622" t="s">
        <v>600</v>
      </c>
      <c r="M2030" s="622" t="s">
        <v>566</v>
      </c>
      <c r="N2030" s="622" t="s">
        <v>670</v>
      </c>
      <c r="O2030" s="622" t="s">
        <v>670</v>
      </c>
      <c r="P2030" s="622" t="s">
        <v>522</v>
      </c>
      <c r="Q2030" s="622" t="s">
        <v>670</v>
      </c>
      <c r="R2030" s="623">
        <v>45958</v>
      </c>
      <c r="S2030" s="622" t="s">
        <v>278</v>
      </c>
      <c r="T2030" s="623">
        <v>45967</v>
      </c>
      <c r="U2030" s="624">
        <v>4</v>
      </c>
      <c r="V2030" s="625">
        <v>370.6</v>
      </c>
      <c r="W2030" s="260">
        <v>45962</v>
      </c>
      <c r="X2030" s="845"/>
    </row>
    <row r="2031" spans="1:24" hidden="1" x14ac:dyDescent="0.35">
      <c r="A2031" s="622" t="s">
        <v>526</v>
      </c>
      <c r="B2031" s="622" t="s">
        <v>159</v>
      </c>
      <c r="C2031" s="622" t="s">
        <v>530</v>
      </c>
      <c r="D2031" s="622" t="s">
        <v>531</v>
      </c>
      <c r="E2031" s="622" t="s">
        <v>532</v>
      </c>
      <c r="F2031" s="622" t="s">
        <v>276</v>
      </c>
      <c r="G2031" s="622" t="s">
        <v>356</v>
      </c>
      <c r="H2031" s="622" t="s">
        <v>565</v>
      </c>
      <c r="I2031" s="622" t="s">
        <v>277</v>
      </c>
      <c r="J2031" s="622" t="s">
        <v>522</v>
      </c>
      <c r="K2031" s="622" t="s">
        <v>534</v>
      </c>
      <c r="L2031" s="622" t="s">
        <v>600</v>
      </c>
      <c r="M2031" s="622" t="s">
        <v>566</v>
      </c>
      <c r="N2031" s="622" t="s">
        <v>670</v>
      </c>
      <c r="O2031" s="622" t="s">
        <v>670</v>
      </c>
      <c r="P2031" s="622" t="s">
        <v>522</v>
      </c>
      <c r="Q2031" s="622" t="s">
        <v>670</v>
      </c>
      <c r="R2031" s="623">
        <v>45957</v>
      </c>
      <c r="S2031" s="622" t="s">
        <v>278</v>
      </c>
      <c r="T2031" s="623">
        <v>45967</v>
      </c>
      <c r="U2031" s="624">
        <v>4</v>
      </c>
      <c r="V2031" s="625">
        <v>370.6</v>
      </c>
      <c r="W2031" s="260">
        <v>45962</v>
      </c>
      <c r="X2031" s="845"/>
    </row>
    <row r="2032" spans="1:24" hidden="1" x14ac:dyDescent="0.35">
      <c r="A2032" s="622" t="s">
        <v>526</v>
      </c>
      <c r="B2032" s="622" t="s">
        <v>159</v>
      </c>
      <c r="C2032" s="622" t="s">
        <v>530</v>
      </c>
      <c r="D2032" s="622" t="s">
        <v>531</v>
      </c>
      <c r="E2032" s="622" t="s">
        <v>532</v>
      </c>
      <c r="F2032" s="622" t="s">
        <v>276</v>
      </c>
      <c r="G2032" s="622" t="s">
        <v>356</v>
      </c>
      <c r="H2032" s="622" t="s">
        <v>565</v>
      </c>
      <c r="I2032" s="622" t="s">
        <v>277</v>
      </c>
      <c r="J2032" s="622" t="s">
        <v>522</v>
      </c>
      <c r="K2032" s="622" t="s">
        <v>534</v>
      </c>
      <c r="L2032" s="622" t="s">
        <v>600</v>
      </c>
      <c r="M2032" s="622" t="s">
        <v>566</v>
      </c>
      <c r="N2032" s="622" t="s">
        <v>670</v>
      </c>
      <c r="O2032" s="622" t="s">
        <v>670</v>
      </c>
      <c r="P2032" s="622" t="s">
        <v>522</v>
      </c>
      <c r="Q2032" s="622" t="s">
        <v>670</v>
      </c>
      <c r="R2032" s="623">
        <v>45965</v>
      </c>
      <c r="S2032" s="622" t="s">
        <v>278</v>
      </c>
      <c r="T2032" s="623">
        <v>45970</v>
      </c>
      <c r="U2032" s="624">
        <v>8</v>
      </c>
      <c r="V2032" s="625">
        <v>741.2</v>
      </c>
      <c r="W2032" s="260">
        <v>45962</v>
      </c>
      <c r="X2032" s="845"/>
    </row>
    <row r="2033" spans="1:24" hidden="1" x14ac:dyDescent="0.35">
      <c r="A2033" s="622" t="s">
        <v>526</v>
      </c>
      <c r="B2033" s="622" t="s">
        <v>159</v>
      </c>
      <c r="C2033" s="622" t="s">
        <v>530</v>
      </c>
      <c r="D2033" s="622" t="s">
        <v>531</v>
      </c>
      <c r="E2033" s="622" t="s">
        <v>532</v>
      </c>
      <c r="F2033" s="622" t="s">
        <v>276</v>
      </c>
      <c r="G2033" s="622" t="s">
        <v>356</v>
      </c>
      <c r="H2033" s="622" t="s">
        <v>565</v>
      </c>
      <c r="I2033" s="622" t="s">
        <v>277</v>
      </c>
      <c r="J2033" s="622" t="s">
        <v>522</v>
      </c>
      <c r="K2033" s="622" t="s">
        <v>534</v>
      </c>
      <c r="L2033" s="622" t="s">
        <v>600</v>
      </c>
      <c r="M2033" s="622" t="s">
        <v>566</v>
      </c>
      <c r="N2033" s="622" t="s">
        <v>670</v>
      </c>
      <c r="O2033" s="622" t="s">
        <v>670</v>
      </c>
      <c r="P2033" s="622" t="s">
        <v>522</v>
      </c>
      <c r="Q2033" s="622" t="s">
        <v>670</v>
      </c>
      <c r="R2033" s="623">
        <v>45968</v>
      </c>
      <c r="S2033" s="622" t="s">
        <v>278</v>
      </c>
      <c r="T2033" s="623">
        <v>45970</v>
      </c>
      <c r="U2033" s="624">
        <v>3</v>
      </c>
      <c r="V2033" s="625">
        <v>277.95</v>
      </c>
      <c r="W2033" s="260">
        <v>45962</v>
      </c>
      <c r="X2033" s="845"/>
    </row>
    <row r="2034" spans="1:24" hidden="1" x14ac:dyDescent="0.35">
      <c r="A2034" s="622" t="s">
        <v>526</v>
      </c>
      <c r="B2034" s="622" t="s">
        <v>159</v>
      </c>
      <c r="C2034" s="622" t="s">
        <v>530</v>
      </c>
      <c r="D2034" s="622" t="s">
        <v>531</v>
      </c>
      <c r="E2034" s="622" t="s">
        <v>532</v>
      </c>
      <c r="F2034" s="622" t="s">
        <v>276</v>
      </c>
      <c r="G2034" s="622" t="s">
        <v>356</v>
      </c>
      <c r="H2034" s="622" t="s">
        <v>565</v>
      </c>
      <c r="I2034" s="622" t="s">
        <v>277</v>
      </c>
      <c r="J2034" s="622" t="s">
        <v>522</v>
      </c>
      <c r="K2034" s="622" t="s">
        <v>534</v>
      </c>
      <c r="L2034" s="622" t="s">
        <v>600</v>
      </c>
      <c r="M2034" s="622" t="s">
        <v>566</v>
      </c>
      <c r="N2034" s="622" t="s">
        <v>670</v>
      </c>
      <c r="O2034" s="622" t="s">
        <v>670</v>
      </c>
      <c r="P2034" s="622" t="s">
        <v>522</v>
      </c>
      <c r="Q2034" s="622" t="s">
        <v>670</v>
      </c>
      <c r="R2034" s="623">
        <v>45967</v>
      </c>
      <c r="S2034" s="622" t="s">
        <v>278</v>
      </c>
      <c r="T2034" s="623">
        <v>45970</v>
      </c>
      <c r="U2034" s="624">
        <v>3</v>
      </c>
      <c r="V2034" s="625">
        <v>277.95</v>
      </c>
      <c r="W2034" s="260">
        <v>45962</v>
      </c>
      <c r="X2034" s="845"/>
    </row>
    <row r="2035" spans="1:24" hidden="1" x14ac:dyDescent="0.35">
      <c r="A2035" s="622" t="s">
        <v>526</v>
      </c>
      <c r="B2035" s="622" t="s">
        <v>159</v>
      </c>
      <c r="C2035" s="622" t="s">
        <v>530</v>
      </c>
      <c r="D2035" s="622" t="s">
        <v>531</v>
      </c>
      <c r="E2035" s="622" t="s">
        <v>532</v>
      </c>
      <c r="F2035" s="622" t="s">
        <v>276</v>
      </c>
      <c r="G2035" s="622" t="s">
        <v>356</v>
      </c>
      <c r="H2035" s="622" t="s">
        <v>565</v>
      </c>
      <c r="I2035" s="622" t="s">
        <v>277</v>
      </c>
      <c r="J2035" s="622" t="s">
        <v>522</v>
      </c>
      <c r="K2035" s="622" t="s">
        <v>534</v>
      </c>
      <c r="L2035" s="622" t="s">
        <v>600</v>
      </c>
      <c r="M2035" s="622" t="s">
        <v>566</v>
      </c>
      <c r="N2035" s="622" t="s">
        <v>670</v>
      </c>
      <c r="O2035" s="622" t="s">
        <v>670</v>
      </c>
      <c r="P2035" s="622" t="s">
        <v>522</v>
      </c>
      <c r="Q2035" s="622" t="s">
        <v>670</v>
      </c>
      <c r="R2035" s="623">
        <v>45971</v>
      </c>
      <c r="S2035" s="622" t="s">
        <v>278</v>
      </c>
      <c r="T2035" s="623">
        <v>45979</v>
      </c>
      <c r="U2035" s="624">
        <v>5</v>
      </c>
      <c r="V2035" s="625">
        <v>463.25</v>
      </c>
      <c r="W2035" s="260">
        <v>45962</v>
      </c>
      <c r="X2035" s="845"/>
    </row>
    <row r="2036" spans="1:24" hidden="1" x14ac:dyDescent="0.35">
      <c r="A2036" s="622" t="s">
        <v>526</v>
      </c>
      <c r="B2036" s="622" t="s">
        <v>159</v>
      </c>
      <c r="C2036" s="622" t="s">
        <v>530</v>
      </c>
      <c r="D2036" s="622" t="s">
        <v>531</v>
      </c>
      <c r="E2036" s="622" t="s">
        <v>532</v>
      </c>
      <c r="F2036" s="622" t="s">
        <v>276</v>
      </c>
      <c r="G2036" s="622" t="s">
        <v>356</v>
      </c>
      <c r="H2036" s="622" t="s">
        <v>565</v>
      </c>
      <c r="I2036" s="622" t="s">
        <v>277</v>
      </c>
      <c r="J2036" s="622" t="s">
        <v>522</v>
      </c>
      <c r="K2036" s="622" t="s">
        <v>534</v>
      </c>
      <c r="L2036" s="622" t="s">
        <v>600</v>
      </c>
      <c r="M2036" s="622" t="s">
        <v>566</v>
      </c>
      <c r="N2036" s="622" t="s">
        <v>670</v>
      </c>
      <c r="O2036" s="622" t="s">
        <v>670</v>
      </c>
      <c r="P2036" s="622" t="s">
        <v>522</v>
      </c>
      <c r="Q2036" s="622" t="s">
        <v>670</v>
      </c>
      <c r="R2036" s="623">
        <v>45973</v>
      </c>
      <c r="S2036" s="622" t="s">
        <v>278</v>
      </c>
      <c r="T2036" s="623">
        <v>45979</v>
      </c>
      <c r="U2036" s="624">
        <v>5</v>
      </c>
      <c r="V2036" s="625">
        <v>463.25</v>
      </c>
      <c r="W2036" s="260">
        <v>45962</v>
      </c>
      <c r="X2036" s="845"/>
    </row>
    <row r="2037" spans="1:24" hidden="1" x14ac:dyDescent="0.35">
      <c r="A2037" s="622" t="s">
        <v>526</v>
      </c>
      <c r="B2037" s="622" t="s">
        <v>159</v>
      </c>
      <c r="C2037" s="622" t="s">
        <v>530</v>
      </c>
      <c r="D2037" s="622" t="s">
        <v>531</v>
      </c>
      <c r="E2037" s="622" t="s">
        <v>532</v>
      </c>
      <c r="F2037" s="622" t="s">
        <v>276</v>
      </c>
      <c r="G2037" s="622" t="s">
        <v>356</v>
      </c>
      <c r="H2037" s="622" t="s">
        <v>565</v>
      </c>
      <c r="I2037" s="622" t="s">
        <v>277</v>
      </c>
      <c r="J2037" s="622" t="s">
        <v>522</v>
      </c>
      <c r="K2037" s="622" t="s">
        <v>534</v>
      </c>
      <c r="L2037" s="622" t="s">
        <v>600</v>
      </c>
      <c r="M2037" s="622" t="s">
        <v>566</v>
      </c>
      <c r="N2037" s="622" t="s">
        <v>670</v>
      </c>
      <c r="O2037" s="622" t="s">
        <v>670</v>
      </c>
      <c r="P2037" s="622" t="s">
        <v>522</v>
      </c>
      <c r="Q2037" s="622" t="s">
        <v>670</v>
      </c>
      <c r="R2037" s="623">
        <v>45974</v>
      </c>
      <c r="S2037" s="622" t="s">
        <v>278</v>
      </c>
      <c r="T2037" s="623">
        <v>45979</v>
      </c>
      <c r="U2037" s="624">
        <v>5</v>
      </c>
      <c r="V2037" s="625">
        <v>463.25</v>
      </c>
      <c r="W2037" s="260">
        <v>45962</v>
      </c>
      <c r="X2037" s="845"/>
    </row>
    <row r="2038" spans="1:24" hidden="1" x14ac:dyDescent="0.35">
      <c r="A2038" s="622" t="s">
        <v>526</v>
      </c>
      <c r="B2038" s="622" t="s">
        <v>159</v>
      </c>
      <c r="C2038" s="622" t="s">
        <v>530</v>
      </c>
      <c r="D2038" s="622" t="s">
        <v>531</v>
      </c>
      <c r="E2038" s="622" t="s">
        <v>532</v>
      </c>
      <c r="F2038" s="622" t="s">
        <v>276</v>
      </c>
      <c r="G2038" s="622" t="s">
        <v>356</v>
      </c>
      <c r="H2038" s="622" t="s">
        <v>565</v>
      </c>
      <c r="I2038" s="622" t="s">
        <v>277</v>
      </c>
      <c r="J2038" s="622" t="s">
        <v>522</v>
      </c>
      <c r="K2038" s="622" t="s">
        <v>534</v>
      </c>
      <c r="L2038" s="622" t="s">
        <v>600</v>
      </c>
      <c r="M2038" s="622" t="s">
        <v>566</v>
      </c>
      <c r="N2038" s="622" t="s">
        <v>670</v>
      </c>
      <c r="O2038" s="622" t="s">
        <v>670</v>
      </c>
      <c r="P2038" s="622" t="s">
        <v>522</v>
      </c>
      <c r="Q2038" s="622" t="s">
        <v>670</v>
      </c>
      <c r="R2038" s="623">
        <v>45975</v>
      </c>
      <c r="S2038" s="622" t="s">
        <v>278</v>
      </c>
      <c r="T2038" s="623">
        <v>45979</v>
      </c>
      <c r="U2038" s="624">
        <v>5</v>
      </c>
      <c r="V2038" s="625">
        <v>463.25</v>
      </c>
      <c r="W2038" s="260">
        <v>45962</v>
      </c>
      <c r="X2038" s="845"/>
    </row>
    <row r="2039" spans="1:24" hidden="1" x14ac:dyDescent="0.35">
      <c r="A2039" s="622" t="s">
        <v>526</v>
      </c>
      <c r="B2039" s="622" t="s">
        <v>159</v>
      </c>
      <c r="C2039" s="622" t="s">
        <v>530</v>
      </c>
      <c r="D2039" s="622" t="s">
        <v>531</v>
      </c>
      <c r="E2039" s="622" t="s">
        <v>532</v>
      </c>
      <c r="F2039" s="622" t="s">
        <v>276</v>
      </c>
      <c r="G2039" s="622" t="s">
        <v>356</v>
      </c>
      <c r="H2039" s="622" t="s">
        <v>567</v>
      </c>
      <c r="I2039" s="622" t="s">
        <v>277</v>
      </c>
      <c r="J2039" s="622" t="s">
        <v>522</v>
      </c>
      <c r="K2039" s="622" t="s">
        <v>534</v>
      </c>
      <c r="L2039" s="622" t="s">
        <v>600</v>
      </c>
      <c r="M2039" s="622" t="s">
        <v>568</v>
      </c>
      <c r="N2039" s="622" t="s">
        <v>670</v>
      </c>
      <c r="O2039" s="622" t="s">
        <v>670</v>
      </c>
      <c r="P2039" s="622" t="s">
        <v>522</v>
      </c>
      <c r="Q2039" s="622" t="s">
        <v>670</v>
      </c>
      <c r="R2039" s="623">
        <v>45979</v>
      </c>
      <c r="S2039" s="622" t="s">
        <v>278</v>
      </c>
      <c r="T2039" s="623">
        <v>45979</v>
      </c>
      <c r="U2039" s="624">
        <v>2</v>
      </c>
      <c r="V2039" s="625">
        <v>185.3</v>
      </c>
      <c r="W2039" s="260">
        <v>45962</v>
      </c>
      <c r="X2039" s="845"/>
    </row>
    <row r="2040" spans="1:24" hidden="1" x14ac:dyDescent="0.35">
      <c r="A2040" s="622" t="s">
        <v>526</v>
      </c>
      <c r="B2040" s="622" t="s">
        <v>159</v>
      </c>
      <c r="C2040" s="622" t="s">
        <v>530</v>
      </c>
      <c r="D2040" s="622" t="s">
        <v>531</v>
      </c>
      <c r="E2040" s="622" t="s">
        <v>532</v>
      </c>
      <c r="F2040" s="622" t="s">
        <v>276</v>
      </c>
      <c r="G2040" s="622" t="s">
        <v>356</v>
      </c>
      <c r="H2040" s="622" t="s">
        <v>567</v>
      </c>
      <c r="I2040" s="622" t="s">
        <v>277</v>
      </c>
      <c r="J2040" s="622" t="s">
        <v>522</v>
      </c>
      <c r="K2040" s="622" t="s">
        <v>534</v>
      </c>
      <c r="L2040" s="622" t="s">
        <v>600</v>
      </c>
      <c r="M2040" s="622" t="s">
        <v>568</v>
      </c>
      <c r="N2040" s="622" t="s">
        <v>670</v>
      </c>
      <c r="O2040" s="622" t="s">
        <v>670</v>
      </c>
      <c r="P2040" s="622" t="s">
        <v>522</v>
      </c>
      <c r="Q2040" s="622" t="s">
        <v>670</v>
      </c>
      <c r="R2040" s="623">
        <v>45978</v>
      </c>
      <c r="S2040" s="622" t="s">
        <v>278</v>
      </c>
      <c r="T2040" s="623">
        <v>45979</v>
      </c>
      <c r="U2040" s="624">
        <v>2</v>
      </c>
      <c r="V2040" s="625">
        <v>185.3</v>
      </c>
      <c r="W2040" s="260">
        <v>45962</v>
      </c>
      <c r="X2040" s="845"/>
    </row>
    <row r="2041" spans="1:24" hidden="1" x14ac:dyDescent="0.35">
      <c r="A2041" s="622" t="s">
        <v>526</v>
      </c>
      <c r="B2041" s="622" t="s">
        <v>159</v>
      </c>
      <c r="C2041" s="622" t="s">
        <v>530</v>
      </c>
      <c r="D2041" s="622" t="s">
        <v>531</v>
      </c>
      <c r="E2041" s="622" t="s">
        <v>532</v>
      </c>
      <c r="F2041" s="622" t="s">
        <v>276</v>
      </c>
      <c r="G2041" s="622" t="s">
        <v>356</v>
      </c>
      <c r="H2041" s="622" t="s">
        <v>567</v>
      </c>
      <c r="I2041" s="622" t="s">
        <v>277</v>
      </c>
      <c r="J2041" s="622" t="s">
        <v>522</v>
      </c>
      <c r="K2041" s="622" t="s">
        <v>534</v>
      </c>
      <c r="L2041" s="622" t="s">
        <v>600</v>
      </c>
      <c r="M2041" s="622" t="s">
        <v>568</v>
      </c>
      <c r="N2041" s="622" t="s">
        <v>670</v>
      </c>
      <c r="O2041" s="622" t="s">
        <v>670</v>
      </c>
      <c r="P2041" s="622" t="s">
        <v>522</v>
      </c>
      <c r="Q2041" s="622" t="s">
        <v>670</v>
      </c>
      <c r="R2041" s="623">
        <v>45980</v>
      </c>
      <c r="S2041" s="622" t="s">
        <v>278</v>
      </c>
      <c r="T2041" s="623">
        <v>45980</v>
      </c>
      <c r="U2041" s="624">
        <v>2</v>
      </c>
      <c r="V2041" s="625">
        <v>185.3</v>
      </c>
      <c r="W2041" s="260">
        <v>45962</v>
      </c>
      <c r="X2041" s="845"/>
    </row>
    <row r="2042" spans="1:24" hidden="1" x14ac:dyDescent="0.35">
      <c r="A2042" s="622" t="s">
        <v>526</v>
      </c>
      <c r="B2042" s="622" t="s">
        <v>159</v>
      </c>
      <c r="C2042" s="622" t="s">
        <v>530</v>
      </c>
      <c r="D2042" s="622" t="s">
        <v>531</v>
      </c>
      <c r="E2042" s="622" t="s">
        <v>532</v>
      </c>
      <c r="F2042" s="622" t="s">
        <v>276</v>
      </c>
      <c r="G2042" s="622" t="s">
        <v>356</v>
      </c>
      <c r="H2042" s="622" t="s">
        <v>567</v>
      </c>
      <c r="I2042" s="622" t="s">
        <v>277</v>
      </c>
      <c r="J2042" s="622" t="s">
        <v>522</v>
      </c>
      <c r="K2042" s="622" t="s">
        <v>534</v>
      </c>
      <c r="L2042" s="622" t="s">
        <v>600</v>
      </c>
      <c r="M2042" s="622" t="s">
        <v>568</v>
      </c>
      <c r="N2042" s="622" t="s">
        <v>670</v>
      </c>
      <c r="O2042" s="622" t="s">
        <v>670</v>
      </c>
      <c r="P2042" s="622" t="s">
        <v>522</v>
      </c>
      <c r="Q2042" s="622" t="s">
        <v>670</v>
      </c>
      <c r="R2042" s="623">
        <v>45982</v>
      </c>
      <c r="S2042" s="622" t="s">
        <v>278</v>
      </c>
      <c r="T2042" s="623">
        <v>45982</v>
      </c>
      <c r="U2042" s="624">
        <v>2</v>
      </c>
      <c r="V2042" s="625">
        <v>185.3</v>
      </c>
      <c r="W2042" s="260">
        <v>45962</v>
      </c>
      <c r="X2042" s="845"/>
    </row>
    <row r="2043" spans="1:24" hidden="1" x14ac:dyDescent="0.35">
      <c r="A2043" s="622" t="s">
        <v>526</v>
      </c>
      <c r="B2043" s="622" t="s">
        <v>159</v>
      </c>
      <c r="C2043" s="622" t="s">
        <v>530</v>
      </c>
      <c r="D2043" s="622" t="s">
        <v>531</v>
      </c>
      <c r="E2043" s="622" t="s">
        <v>532</v>
      </c>
      <c r="F2043" s="622" t="s">
        <v>276</v>
      </c>
      <c r="G2043" s="622" t="s">
        <v>356</v>
      </c>
      <c r="H2043" s="622" t="s">
        <v>567</v>
      </c>
      <c r="I2043" s="622" t="s">
        <v>277</v>
      </c>
      <c r="J2043" s="622" t="s">
        <v>522</v>
      </c>
      <c r="K2043" s="622" t="s">
        <v>534</v>
      </c>
      <c r="L2043" s="622" t="s">
        <v>600</v>
      </c>
      <c r="M2043" s="622" t="s">
        <v>568</v>
      </c>
      <c r="N2043" s="622" t="s">
        <v>670</v>
      </c>
      <c r="O2043" s="622" t="s">
        <v>670</v>
      </c>
      <c r="P2043" s="622" t="s">
        <v>522</v>
      </c>
      <c r="Q2043" s="622" t="s">
        <v>670</v>
      </c>
      <c r="R2043" s="623">
        <v>45981</v>
      </c>
      <c r="S2043" s="622" t="s">
        <v>278</v>
      </c>
      <c r="T2043" s="623">
        <v>45981</v>
      </c>
      <c r="U2043" s="624">
        <v>2</v>
      </c>
      <c r="V2043" s="625">
        <v>185.3</v>
      </c>
      <c r="W2043" s="260">
        <v>45962</v>
      </c>
      <c r="X2043" s="845"/>
    </row>
    <row r="2044" spans="1:24" hidden="1" x14ac:dyDescent="0.35">
      <c r="A2044" s="622" t="s">
        <v>526</v>
      </c>
      <c r="B2044" s="622" t="s">
        <v>159</v>
      </c>
      <c r="C2044" s="622" t="s">
        <v>530</v>
      </c>
      <c r="D2044" s="622" t="s">
        <v>531</v>
      </c>
      <c r="E2044" s="622" t="s">
        <v>532</v>
      </c>
      <c r="F2044" s="622" t="s">
        <v>276</v>
      </c>
      <c r="G2044" s="622" t="s">
        <v>356</v>
      </c>
      <c r="H2044" s="622" t="s">
        <v>565</v>
      </c>
      <c r="I2044" s="622" t="s">
        <v>277</v>
      </c>
      <c r="J2044" s="622" t="s">
        <v>522</v>
      </c>
      <c r="K2044" s="622" t="s">
        <v>534</v>
      </c>
      <c r="L2044" s="622" t="s">
        <v>600</v>
      </c>
      <c r="M2044" s="622" t="s">
        <v>566</v>
      </c>
      <c r="N2044" s="622" t="s">
        <v>670</v>
      </c>
      <c r="O2044" s="622" t="s">
        <v>670</v>
      </c>
      <c r="P2044" s="622" t="s">
        <v>522</v>
      </c>
      <c r="Q2044" s="622" t="s">
        <v>670</v>
      </c>
      <c r="R2044" s="623">
        <v>45982</v>
      </c>
      <c r="S2044" s="622" t="s">
        <v>278</v>
      </c>
      <c r="T2044" s="623">
        <v>45986</v>
      </c>
      <c r="U2044" s="624">
        <v>5</v>
      </c>
      <c r="V2044" s="625">
        <v>463.25</v>
      </c>
      <c r="W2044" s="260">
        <v>45962</v>
      </c>
      <c r="X2044" s="845"/>
    </row>
    <row r="2045" spans="1:24" hidden="1" x14ac:dyDescent="0.35">
      <c r="A2045" s="622" t="s">
        <v>526</v>
      </c>
      <c r="B2045" s="622" t="s">
        <v>159</v>
      </c>
      <c r="C2045" s="622" t="s">
        <v>530</v>
      </c>
      <c r="D2045" s="622" t="s">
        <v>531</v>
      </c>
      <c r="E2045" s="622" t="s">
        <v>532</v>
      </c>
      <c r="F2045" s="622" t="s">
        <v>276</v>
      </c>
      <c r="G2045" s="622" t="s">
        <v>356</v>
      </c>
      <c r="H2045" s="622" t="s">
        <v>565</v>
      </c>
      <c r="I2045" s="622" t="s">
        <v>277</v>
      </c>
      <c r="J2045" s="622" t="s">
        <v>522</v>
      </c>
      <c r="K2045" s="622" t="s">
        <v>534</v>
      </c>
      <c r="L2045" s="622" t="s">
        <v>600</v>
      </c>
      <c r="M2045" s="622" t="s">
        <v>566</v>
      </c>
      <c r="N2045" s="622" t="s">
        <v>670</v>
      </c>
      <c r="O2045" s="622" t="s">
        <v>670</v>
      </c>
      <c r="P2045" s="622" t="s">
        <v>522</v>
      </c>
      <c r="Q2045" s="622" t="s">
        <v>670</v>
      </c>
      <c r="R2045" s="623">
        <v>45981</v>
      </c>
      <c r="S2045" s="622" t="s">
        <v>278</v>
      </c>
      <c r="T2045" s="623">
        <v>45986</v>
      </c>
      <c r="U2045" s="624">
        <v>5</v>
      </c>
      <c r="V2045" s="625">
        <v>463.25</v>
      </c>
      <c r="W2045" s="260">
        <v>45962</v>
      </c>
      <c r="X2045" s="845"/>
    </row>
    <row r="2046" spans="1:24" hidden="1" x14ac:dyDescent="0.35">
      <c r="A2046" s="622" t="s">
        <v>526</v>
      </c>
      <c r="B2046" s="622" t="s">
        <v>159</v>
      </c>
      <c r="C2046" s="622" t="s">
        <v>530</v>
      </c>
      <c r="D2046" s="622" t="s">
        <v>531</v>
      </c>
      <c r="E2046" s="622" t="s">
        <v>532</v>
      </c>
      <c r="F2046" s="622" t="s">
        <v>276</v>
      </c>
      <c r="G2046" s="622" t="s">
        <v>356</v>
      </c>
      <c r="H2046" s="622" t="s">
        <v>565</v>
      </c>
      <c r="I2046" s="622" t="s">
        <v>277</v>
      </c>
      <c r="J2046" s="622" t="s">
        <v>522</v>
      </c>
      <c r="K2046" s="622" t="s">
        <v>534</v>
      </c>
      <c r="L2046" s="622" t="s">
        <v>600</v>
      </c>
      <c r="M2046" s="622" t="s">
        <v>566</v>
      </c>
      <c r="N2046" s="622" t="s">
        <v>670</v>
      </c>
      <c r="O2046" s="622" t="s">
        <v>670</v>
      </c>
      <c r="P2046" s="622" t="s">
        <v>522</v>
      </c>
      <c r="Q2046" s="622" t="s">
        <v>670</v>
      </c>
      <c r="R2046" s="623">
        <v>45980</v>
      </c>
      <c r="S2046" s="622" t="s">
        <v>278</v>
      </c>
      <c r="T2046" s="623">
        <v>45986</v>
      </c>
      <c r="U2046" s="624">
        <v>5</v>
      </c>
      <c r="V2046" s="625">
        <v>463.25</v>
      </c>
      <c r="W2046" s="260">
        <v>45962</v>
      </c>
      <c r="X2046" s="845"/>
    </row>
    <row r="2047" spans="1:24" hidden="1" x14ac:dyDescent="0.35">
      <c r="A2047" s="622" t="s">
        <v>526</v>
      </c>
      <c r="B2047" s="622" t="s">
        <v>159</v>
      </c>
      <c r="C2047" s="622" t="s">
        <v>530</v>
      </c>
      <c r="D2047" s="622" t="s">
        <v>531</v>
      </c>
      <c r="E2047" s="622" t="s">
        <v>532</v>
      </c>
      <c r="F2047" s="622" t="s">
        <v>276</v>
      </c>
      <c r="G2047" s="622" t="s">
        <v>356</v>
      </c>
      <c r="H2047" s="622" t="s">
        <v>565</v>
      </c>
      <c r="I2047" s="622" t="s">
        <v>277</v>
      </c>
      <c r="J2047" s="622" t="s">
        <v>522</v>
      </c>
      <c r="K2047" s="622" t="s">
        <v>534</v>
      </c>
      <c r="L2047" s="622" t="s">
        <v>600</v>
      </c>
      <c r="M2047" s="622" t="s">
        <v>566</v>
      </c>
      <c r="N2047" s="622" t="s">
        <v>670</v>
      </c>
      <c r="O2047" s="622" t="s">
        <v>670</v>
      </c>
      <c r="P2047" s="622" t="s">
        <v>522</v>
      </c>
      <c r="Q2047" s="622" t="s">
        <v>670</v>
      </c>
      <c r="R2047" s="623">
        <v>45979</v>
      </c>
      <c r="S2047" s="622" t="s">
        <v>278</v>
      </c>
      <c r="T2047" s="623">
        <v>45986</v>
      </c>
      <c r="U2047" s="624">
        <v>5</v>
      </c>
      <c r="V2047" s="625">
        <v>463.25</v>
      </c>
      <c r="W2047" s="260">
        <v>45962</v>
      </c>
      <c r="X2047" s="845"/>
    </row>
    <row r="2048" spans="1:24" hidden="1" x14ac:dyDescent="0.35">
      <c r="A2048" s="622" t="s">
        <v>526</v>
      </c>
      <c r="B2048" s="622" t="s">
        <v>159</v>
      </c>
      <c r="C2048" s="622" t="s">
        <v>530</v>
      </c>
      <c r="D2048" s="622" t="s">
        <v>531</v>
      </c>
      <c r="E2048" s="622" t="s">
        <v>532</v>
      </c>
      <c r="F2048" s="622" t="s">
        <v>276</v>
      </c>
      <c r="G2048" s="622" t="s">
        <v>356</v>
      </c>
      <c r="H2048" s="622" t="s">
        <v>565</v>
      </c>
      <c r="I2048" s="622" t="s">
        <v>277</v>
      </c>
      <c r="J2048" s="622" t="s">
        <v>522</v>
      </c>
      <c r="K2048" s="622" t="s">
        <v>534</v>
      </c>
      <c r="L2048" s="622" t="s">
        <v>600</v>
      </c>
      <c r="M2048" s="622" t="s">
        <v>566</v>
      </c>
      <c r="N2048" s="622" t="s">
        <v>670</v>
      </c>
      <c r="O2048" s="622" t="s">
        <v>670</v>
      </c>
      <c r="P2048" s="622" t="s">
        <v>522</v>
      </c>
      <c r="Q2048" s="622" t="s">
        <v>670</v>
      </c>
      <c r="R2048" s="623">
        <v>45978</v>
      </c>
      <c r="S2048" s="622" t="s">
        <v>278</v>
      </c>
      <c r="T2048" s="623">
        <v>45986</v>
      </c>
      <c r="U2048" s="624">
        <v>5</v>
      </c>
      <c r="V2048" s="625">
        <v>463.25</v>
      </c>
      <c r="W2048" s="260">
        <v>45962</v>
      </c>
      <c r="X2048" s="845"/>
    </row>
    <row r="2049" spans="1:23" hidden="1" x14ac:dyDescent="0.35">
      <c r="A2049" s="622" t="s">
        <v>526</v>
      </c>
      <c r="B2049" s="622" t="s">
        <v>160</v>
      </c>
      <c r="C2049" s="622" t="s">
        <v>670</v>
      </c>
      <c r="D2049" s="622" t="s">
        <v>633</v>
      </c>
      <c r="E2049" s="622" t="s">
        <v>634</v>
      </c>
      <c r="F2049" s="622" t="s">
        <v>276</v>
      </c>
      <c r="G2049" s="622" t="s">
        <v>356</v>
      </c>
      <c r="H2049" s="622" t="s">
        <v>670</v>
      </c>
      <c r="I2049" s="622" t="s">
        <v>277</v>
      </c>
      <c r="J2049" s="622" t="s">
        <v>523</v>
      </c>
      <c r="K2049" s="622" t="s">
        <v>670</v>
      </c>
      <c r="L2049" s="622" t="s">
        <v>600</v>
      </c>
      <c r="M2049" s="622" t="s">
        <v>285</v>
      </c>
      <c r="N2049" s="622" t="s">
        <v>819</v>
      </c>
      <c r="O2049" s="622" t="s">
        <v>756</v>
      </c>
      <c r="P2049" s="622" t="s">
        <v>523</v>
      </c>
      <c r="Q2049" s="622" t="s">
        <v>387</v>
      </c>
      <c r="R2049" s="623">
        <v>45950</v>
      </c>
      <c r="S2049" s="622" t="s">
        <v>388</v>
      </c>
      <c r="T2049" s="623">
        <v>45978</v>
      </c>
      <c r="U2049" s="626">
        <v>1</v>
      </c>
      <c r="V2049" s="625">
        <v>13529.4</v>
      </c>
      <c r="W2049" s="260">
        <v>45962</v>
      </c>
    </row>
    <row r="2050" spans="1:23" hidden="1" x14ac:dyDescent="0.35">
      <c r="A2050" s="622" t="s">
        <v>526</v>
      </c>
      <c r="B2050" s="622" t="s">
        <v>160</v>
      </c>
      <c r="C2050" s="622" t="s">
        <v>670</v>
      </c>
      <c r="D2050" s="622" t="s">
        <v>633</v>
      </c>
      <c r="E2050" s="622" t="s">
        <v>634</v>
      </c>
      <c r="F2050" s="622" t="s">
        <v>276</v>
      </c>
      <c r="G2050" s="622" t="s">
        <v>356</v>
      </c>
      <c r="H2050" s="622" t="s">
        <v>670</v>
      </c>
      <c r="I2050" s="622" t="s">
        <v>277</v>
      </c>
      <c r="J2050" s="622" t="s">
        <v>523</v>
      </c>
      <c r="K2050" s="622" t="s">
        <v>670</v>
      </c>
      <c r="L2050" s="622" t="s">
        <v>600</v>
      </c>
      <c r="M2050" s="622" t="s">
        <v>285</v>
      </c>
      <c r="N2050" s="622" t="s">
        <v>755</v>
      </c>
      <c r="O2050" s="622" t="s">
        <v>756</v>
      </c>
      <c r="P2050" s="622" t="s">
        <v>523</v>
      </c>
      <c r="Q2050" s="622" t="s">
        <v>387</v>
      </c>
      <c r="R2050" s="623">
        <v>45950</v>
      </c>
      <c r="S2050" s="622" t="s">
        <v>388</v>
      </c>
      <c r="T2050" s="623">
        <v>45978</v>
      </c>
      <c r="U2050" s="626">
        <v>1</v>
      </c>
      <c r="V2050" s="625">
        <v>17647.2</v>
      </c>
      <c r="W2050" s="260">
        <v>45962</v>
      </c>
    </row>
    <row r="2051" spans="1:23" hidden="1" x14ac:dyDescent="0.35">
      <c r="A2051" s="622" t="s">
        <v>526</v>
      </c>
      <c r="B2051" s="622" t="s">
        <v>160</v>
      </c>
      <c r="C2051" s="622" t="s">
        <v>670</v>
      </c>
      <c r="D2051" s="622" t="s">
        <v>633</v>
      </c>
      <c r="E2051" s="622" t="s">
        <v>634</v>
      </c>
      <c r="F2051" s="622" t="s">
        <v>276</v>
      </c>
      <c r="G2051" s="622" t="s">
        <v>356</v>
      </c>
      <c r="H2051" s="622" t="s">
        <v>670</v>
      </c>
      <c r="I2051" s="622" t="s">
        <v>277</v>
      </c>
      <c r="J2051" s="622" t="s">
        <v>523</v>
      </c>
      <c r="K2051" s="622" t="s">
        <v>670</v>
      </c>
      <c r="L2051" s="622" t="s">
        <v>600</v>
      </c>
      <c r="M2051" s="622" t="s">
        <v>285</v>
      </c>
      <c r="N2051" s="622" t="s">
        <v>757</v>
      </c>
      <c r="O2051" s="622" t="s">
        <v>756</v>
      </c>
      <c r="P2051" s="622" t="s">
        <v>523</v>
      </c>
      <c r="Q2051" s="622" t="s">
        <v>387</v>
      </c>
      <c r="R2051" s="623">
        <v>45950</v>
      </c>
      <c r="S2051" s="622" t="s">
        <v>388</v>
      </c>
      <c r="T2051" s="623">
        <v>45978</v>
      </c>
      <c r="U2051" s="626">
        <v>1</v>
      </c>
      <c r="V2051" s="625">
        <v>10267.200000000001</v>
      </c>
      <c r="W2051" s="260">
        <v>45962</v>
      </c>
    </row>
    <row r="2052" spans="1:23" hidden="1" x14ac:dyDescent="0.35">
      <c r="A2052" s="622" t="s">
        <v>526</v>
      </c>
      <c r="B2052" s="622" t="s">
        <v>160</v>
      </c>
      <c r="C2052" s="622" t="s">
        <v>670</v>
      </c>
      <c r="D2052" s="622" t="s">
        <v>633</v>
      </c>
      <c r="E2052" s="622" t="s">
        <v>634</v>
      </c>
      <c r="F2052" s="622" t="s">
        <v>276</v>
      </c>
      <c r="G2052" s="622" t="s">
        <v>356</v>
      </c>
      <c r="H2052" s="622" t="s">
        <v>670</v>
      </c>
      <c r="I2052" s="622" t="s">
        <v>277</v>
      </c>
      <c r="J2052" s="622" t="s">
        <v>523</v>
      </c>
      <c r="K2052" s="622" t="s">
        <v>670</v>
      </c>
      <c r="L2052" s="622" t="s">
        <v>600</v>
      </c>
      <c r="M2052" s="622" t="s">
        <v>285</v>
      </c>
      <c r="N2052" s="622" t="s">
        <v>818</v>
      </c>
      <c r="O2052" s="622" t="s">
        <v>756</v>
      </c>
      <c r="P2052" s="622" t="s">
        <v>523</v>
      </c>
      <c r="Q2052" s="622" t="s">
        <v>387</v>
      </c>
      <c r="R2052" s="623">
        <v>45950</v>
      </c>
      <c r="S2052" s="622" t="s">
        <v>388</v>
      </c>
      <c r="T2052" s="623">
        <v>45978</v>
      </c>
      <c r="U2052" s="626">
        <v>1</v>
      </c>
      <c r="V2052" s="625">
        <v>400</v>
      </c>
      <c r="W2052" s="260">
        <v>45962</v>
      </c>
    </row>
    <row r="2053" spans="1:23" hidden="1" x14ac:dyDescent="0.35">
      <c r="A2053" s="622" t="s">
        <v>526</v>
      </c>
      <c r="B2053" s="622" t="s">
        <v>160</v>
      </c>
      <c r="C2053" s="622" t="s">
        <v>670</v>
      </c>
      <c r="D2053" s="622" t="s">
        <v>633</v>
      </c>
      <c r="E2053" s="622" t="s">
        <v>634</v>
      </c>
      <c r="F2053" s="622" t="s">
        <v>276</v>
      </c>
      <c r="G2053" s="622" t="s">
        <v>356</v>
      </c>
      <c r="H2053" s="622" t="s">
        <v>670</v>
      </c>
      <c r="I2053" s="622" t="s">
        <v>277</v>
      </c>
      <c r="J2053" s="622" t="s">
        <v>523</v>
      </c>
      <c r="K2053" s="622" t="s">
        <v>670</v>
      </c>
      <c r="L2053" s="622" t="s">
        <v>600</v>
      </c>
      <c r="M2053" s="622" t="s">
        <v>285</v>
      </c>
      <c r="N2053" s="622" t="s">
        <v>758</v>
      </c>
      <c r="O2053" s="622" t="s">
        <v>756</v>
      </c>
      <c r="P2053" s="622" t="s">
        <v>523</v>
      </c>
      <c r="Q2053" s="622" t="s">
        <v>387</v>
      </c>
      <c r="R2053" s="623">
        <v>45950</v>
      </c>
      <c r="S2053" s="622" t="s">
        <v>388</v>
      </c>
      <c r="T2053" s="623">
        <v>45978</v>
      </c>
      <c r="U2053" s="626">
        <v>1</v>
      </c>
      <c r="V2053" s="625">
        <v>1607.6</v>
      </c>
      <c r="W2053" s="260">
        <v>45962</v>
      </c>
    </row>
    <row r="2054" spans="1:23" hidden="1" x14ac:dyDescent="0.35">
      <c r="A2054" s="622" t="s">
        <v>526</v>
      </c>
      <c r="B2054" s="622" t="s">
        <v>160</v>
      </c>
      <c r="C2054" s="622" t="s">
        <v>670</v>
      </c>
      <c r="D2054" s="622" t="s">
        <v>633</v>
      </c>
      <c r="E2054" s="622" t="s">
        <v>634</v>
      </c>
      <c r="F2054" s="622" t="s">
        <v>276</v>
      </c>
      <c r="G2054" s="622" t="s">
        <v>356</v>
      </c>
      <c r="H2054" s="622" t="s">
        <v>670</v>
      </c>
      <c r="I2054" s="622" t="s">
        <v>277</v>
      </c>
      <c r="J2054" s="622" t="s">
        <v>523</v>
      </c>
      <c r="K2054" s="622" t="s">
        <v>670</v>
      </c>
      <c r="L2054" s="622" t="s">
        <v>600</v>
      </c>
      <c r="M2054" s="622" t="s">
        <v>285</v>
      </c>
      <c r="N2054" s="622" t="s">
        <v>759</v>
      </c>
      <c r="O2054" s="622" t="s">
        <v>756</v>
      </c>
      <c r="P2054" s="622" t="s">
        <v>523</v>
      </c>
      <c r="Q2054" s="622" t="s">
        <v>387</v>
      </c>
      <c r="R2054" s="623">
        <v>45950</v>
      </c>
      <c r="S2054" s="622" t="s">
        <v>388</v>
      </c>
      <c r="T2054" s="623">
        <v>45978</v>
      </c>
      <c r="U2054" s="626">
        <v>1</v>
      </c>
      <c r="V2054" s="625">
        <v>1141.2</v>
      </c>
      <c r="W2054" s="260">
        <v>45962</v>
      </c>
    </row>
    <row r="2055" spans="1:23" hidden="1" x14ac:dyDescent="0.35">
      <c r="A2055" s="622" t="s">
        <v>526</v>
      </c>
      <c r="B2055" s="622" t="s">
        <v>160</v>
      </c>
      <c r="C2055" s="622" t="s">
        <v>670</v>
      </c>
      <c r="D2055" s="622" t="s">
        <v>633</v>
      </c>
      <c r="E2055" s="622" t="s">
        <v>634</v>
      </c>
      <c r="F2055" s="622" t="s">
        <v>276</v>
      </c>
      <c r="G2055" s="622" t="s">
        <v>356</v>
      </c>
      <c r="H2055" s="622" t="s">
        <v>670</v>
      </c>
      <c r="I2055" s="622" t="s">
        <v>277</v>
      </c>
      <c r="J2055" s="622" t="s">
        <v>523</v>
      </c>
      <c r="K2055" s="622" t="s">
        <v>670</v>
      </c>
      <c r="L2055" s="622" t="s">
        <v>600</v>
      </c>
      <c r="M2055" s="622" t="s">
        <v>285</v>
      </c>
      <c r="N2055" s="622" t="s">
        <v>820</v>
      </c>
      <c r="O2055" s="622" t="s">
        <v>794</v>
      </c>
      <c r="P2055" s="622" t="s">
        <v>523</v>
      </c>
      <c r="Q2055" s="622" t="s">
        <v>387</v>
      </c>
      <c r="R2055" s="623">
        <v>45958</v>
      </c>
      <c r="S2055" s="622" t="s">
        <v>388</v>
      </c>
      <c r="T2055" s="623">
        <v>45979</v>
      </c>
      <c r="U2055" s="626">
        <v>1</v>
      </c>
      <c r="V2055" s="625">
        <v>1121.76</v>
      </c>
      <c r="W2055" s="260">
        <v>45962</v>
      </c>
    </row>
    <row r="2056" spans="1:23" hidden="1" x14ac:dyDescent="0.35">
      <c r="A2056" s="622" t="s">
        <v>526</v>
      </c>
      <c r="B2056" s="622" t="s">
        <v>160</v>
      </c>
      <c r="C2056" s="622" t="s">
        <v>670</v>
      </c>
      <c r="D2056" s="622" t="s">
        <v>633</v>
      </c>
      <c r="E2056" s="622" t="s">
        <v>634</v>
      </c>
      <c r="F2056" s="622" t="s">
        <v>276</v>
      </c>
      <c r="G2056" s="622" t="s">
        <v>356</v>
      </c>
      <c r="H2056" s="622" t="s">
        <v>670</v>
      </c>
      <c r="I2056" s="622" t="s">
        <v>277</v>
      </c>
      <c r="J2056" s="622" t="s">
        <v>523</v>
      </c>
      <c r="K2056" s="622" t="s">
        <v>670</v>
      </c>
      <c r="L2056" s="622" t="s">
        <v>600</v>
      </c>
      <c r="M2056" s="622" t="s">
        <v>285</v>
      </c>
      <c r="N2056" s="622" t="s">
        <v>820</v>
      </c>
      <c r="O2056" s="622" t="s">
        <v>794</v>
      </c>
      <c r="P2056" s="622" t="s">
        <v>523</v>
      </c>
      <c r="Q2056" s="622" t="s">
        <v>387</v>
      </c>
      <c r="R2056" s="623">
        <v>45938</v>
      </c>
      <c r="S2056" s="622" t="s">
        <v>388</v>
      </c>
      <c r="T2056" s="623">
        <v>45979</v>
      </c>
      <c r="U2056" s="626">
        <v>1</v>
      </c>
      <c r="V2056" s="625">
        <v>1121.76</v>
      </c>
      <c r="W2056" s="260">
        <v>45962</v>
      </c>
    </row>
    <row r="2057" spans="1:23" hidden="1" x14ac:dyDescent="0.35">
      <c r="A2057" s="622" t="s">
        <v>526</v>
      </c>
      <c r="B2057" s="622" t="s">
        <v>160</v>
      </c>
      <c r="C2057" s="622" t="s">
        <v>670</v>
      </c>
      <c r="D2057" s="622" t="s">
        <v>385</v>
      </c>
      <c r="E2057" s="622" t="s">
        <v>386</v>
      </c>
      <c r="F2057" s="622" t="s">
        <v>588</v>
      </c>
      <c r="G2057" s="622" t="s">
        <v>356</v>
      </c>
      <c r="H2057" s="622" t="s">
        <v>670</v>
      </c>
      <c r="I2057" s="622" t="s">
        <v>277</v>
      </c>
      <c r="J2057" s="622" t="s">
        <v>523</v>
      </c>
      <c r="K2057" s="622" t="s">
        <v>670</v>
      </c>
      <c r="L2057" s="622" t="s">
        <v>600</v>
      </c>
      <c r="M2057" s="622" t="s">
        <v>285</v>
      </c>
      <c r="N2057" s="622" t="s">
        <v>670</v>
      </c>
      <c r="O2057" s="622" t="s">
        <v>756</v>
      </c>
      <c r="P2057" s="622" t="s">
        <v>523</v>
      </c>
      <c r="Q2057" s="622" t="s">
        <v>589</v>
      </c>
      <c r="R2057" s="623">
        <v>45960</v>
      </c>
      <c r="S2057" s="622" t="s">
        <v>670</v>
      </c>
      <c r="T2057" s="623">
        <v>45962</v>
      </c>
      <c r="U2057" s="624">
        <v>0</v>
      </c>
      <c r="V2057" s="625">
        <v>-43360</v>
      </c>
      <c r="W2057" s="260">
        <v>45962</v>
      </c>
    </row>
    <row r="2058" spans="1:23" hidden="1" x14ac:dyDescent="0.35">
      <c r="A2058" s="622" t="s">
        <v>526</v>
      </c>
      <c r="B2058" s="622" t="s">
        <v>160</v>
      </c>
      <c r="C2058" s="622" t="s">
        <v>670</v>
      </c>
      <c r="D2058" s="622" t="s">
        <v>385</v>
      </c>
      <c r="E2058" s="622" t="s">
        <v>386</v>
      </c>
      <c r="F2058" s="622" t="s">
        <v>588</v>
      </c>
      <c r="G2058" s="622" t="s">
        <v>356</v>
      </c>
      <c r="H2058" s="622" t="s">
        <v>670</v>
      </c>
      <c r="I2058" s="622" t="s">
        <v>277</v>
      </c>
      <c r="J2058" s="622" t="s">
        <v>523</v>
      </c>
      <c r="K2058" s="622" t="s">
        <v>670</v>
      </c>
      <c r="L2058" s="622" t="s">
        <v>600</v>
      </c>
      <c r="M2058" s="622" t="s">
        <v>285</v>
      </c>
      <c r="N2058" s="622" t="s">
        <v>670</v>
      </c>
      <c r="O2058" s="622" t="s">
        <v>794</v>
      </c>
      <c r="P2058" s="622" t="s">
        <v>523</v>
      </c>
      <c r="Q2058" s="622" t="s">
        <v>589</v>
      </c>
      <c r="R2058" s="623">
        <v>45960</v>
      </c>
      <c r="S2058" s="622" t="s">
        <v>670</v>
      </c>
      <c r="T2058" s="623">
        <v>45962</v>
      </c>
      <c r="U2058" s="624">
        <v>0</v>
      </c>
      <c r="V2058" s="625">
        <v>-2804.4</v>
      </c>
      <c r="W2058" s="260">
        <v>45962</v>
      </c>
    </row>
    <row r="2059" spans="1:23" hidden="1" x14ac:dyDescent="0.35">
      <c r="A2059" s="622" t="s">
        <v>526</v>
      </c>
      <c r="B2059" s="622" t="s">
        <v>160</v>
      </c>
      <c r="C2059" s="622" t="s">
        <v>670</v>
      </c>
      <c r="D2059" s="622" t="s">
        <v>385</v>
      </c>
      <c r="E2059" s="622" t="s">
        <v>386</v>
      </c>
      <c r="F2059" s="622" t="s">
        <v>276</v>
      </c>
      <c r="G2059" s="622" t="s">
        <v>356</v>
      </c>
      <c r="H2059" s="622" t="s">
        <v>670</v>
      </c>
      <c r="I2059" s="622" t="s">
        <v>277</v>
      </c>
      <c r="J2059" s="622" t="s">
        <v>523</v>
      </c>
      <c r="K2059" s="622" t="s">
        <v>670</v>
      </c>
      <c r="L2059" s="622" t="s">
        <v>600</v>
      </c>
      <c r="M2059" s="622" t="s">
        <v>285</v>
      </c>
      <c r="N2059" s="622" t="s">
        <v>840</v>
      </c>
      <c r="O2059" s="622">
        <v>7000001857</v>
      </c>
      <c r="P2059" s="622" t="s">
        <v>523</v>
      </c>
      <c r="Q2059" s="622" t="s">
        <v>387</v>
      </c>
      <c r="R2059" s="623">
        <v>45966</v>
      </c>
      <c r="S2059" s="622" t="s">
        <v>388</v>
      </c>
      <c r="T2059" s="623">
        <v>45974</v>
      </c>
      <c r="U2059" s="626">
        <v>1</v>
      </c>
      <c r="V2059" s="625">
        <v>152877.87</v>
      </c>
      <c r="W2059" s="260">
        <v>45962</v>
      </c>
    </row>
    <row r="2060" spans="1:23" hidden="1" x14ac:dyDescent="0.35">
      <c r="A2060" s="622" t="s">
        <v>526</v>
      </c>
      <c r="B2060" s="622" t="s">
        <v>53</v>
      </c>
      <c r="C2060" s="622" t="s">
        <v>670</v>
      </c>
      <c r="D2060" s="622" t="s">
        <v>385</v>
      </c>
      <c r="E2060" s="622" t="s">
        <v>386</v>
      </c>
      <c r="F2060" s="622" t="s">
        <v>588</v>
      </c>
      <c r="G2060" s="622" t="s">
        <v>356</v>
      </c>
      <c r="H2060" s="622" t="s">
        <v>670</v>
      </c>
      <c r="I2060" s="622" t="s">
        <v>277</v>
      </c>
      <c r="J2060" s="622" t="s">
        <v>524</v>
      </c>
      <c r="K2060" s="622" t="s">
        <v>670</v>
      </c>
      <c r="L2060" s="622" t="s">
        <v>600</v>
      </c>
      <c r="M2060" s="622" t="s">
        <v>285</v>
      </c>
      <c r="N2060" s="622" t="s">
        <v>670</v>
      </c>
      <c r="O2060" s="622" t="s">
        <v>678</v>
      </c>
      <c r="P2060" s="622" t="s">
        <v>524</v>
      </c>
      <c r="Q2060" s="622" t="s">
        <v>589</v>
      </c>
      <c r="R2060" s="623">
        <v>45960</v>
      </c>
      <c r="S2060" s="622" t="s">
        <v>670</v>
      </c>
      <c r="T2060" s="623">
        <v>45962</v>
      </c>
      <c r="U2060" s="624">
        <v>0</v>
      </c>
      <c r="V2060" s="625">
        <v>-5931</v>
      </c>
      <c r="W2060" s="260">
        <v>45962</v>
      </c>
    </row>
    <row r="2061" spans="1:23" hidden="1" x14ac:dyDescent="0.35">
      <c r="A2061" s="622" t="s">
        <v>526</v>
      </c>
      <c r="B2061" s="622" t="s">
        <v>53</v>
      </c>
      <c r="C2061" s="622" t="s">
        <v>670</v>
      </c>
      <c r="D2061" s="622" t="s">
        <v>385</v>
      </c>
      <c r="E2061" s="622" t="s">
        <v>386</v>
      </c>
      <c r="F2061" s="622" t="s">
        <v>588</v>
      </c>
      <c r="G2061" s="622" t="s">
        <v>356</v>
      </c>
      <c r="H2061" s="622" t="s">
        <v>670</v>
      </c>
      <c r="I2061" s="622" t="s">
        <v>277</v>
      </c>
      <c r="J2061" s="622" t="s">
        <v>524</v>
      </c>
      <c r="K2061" s="622" t="s">
        <v>670</v>
      </c>
      <c r="L2061" s="622" t="s">
        <v>600</v>
      </c>
      <c r="M2061" s="622" t="s">
        <v>285</v>
      </c>
      <c r="N2061" s="622" t="s">
        <v>670</v>
      </c>
      <c r="O2061" s="622" t="s">
        <v>684</v>
      </c>
      <c r="P2061" s="622" t="s">
        <v>524</v>
      </c>
      <c r="Q2061" s="622" t="s">
        <v>589</v>
      </c>
      <c r="R2061" s="623">
        <v>45960</v>
      </c>
      <c r="S2061" s="622" t="s">
        <v>670</v>
      </c>
      <c r="T2061" s="623">
        <v>45962</v>
      </c>
      <c r="U2061" s="624">
        <v>0</v>
      </c>
      <c r="V2061" s="625">
        <v>-459849</v>
      </c>
      <c r="W2061" s="260">
        <v>45962</v>
      </c>
    </row>
    <row r="2062" spans="1:23" hidden="1" x14ac:dyDescent="0.35">
      <c r="A2062" s="622" t="s">
        <v>526</v>
      </c>
      <c r="B2062" s="622" t="s">
        <v>53</v>
      </c>
      <c r="C2062" s="622" t="s">
        <v>670</v>
      </c>
      <c r="D2062" s="622" t="s">
        <v>385</v>
      </c>
      <c r="E2062" s="622" t="s">
        <v>386</v>
      </c>
      <c r="F2062" s="622" t="s">
        <v>276</v>
      </c>
      <c r="G2062" s="622" t="s">
        <v>356</v>
      </c>
      <c r="H2062" s="622" t="s">
        <v>670</v>
      </c>
      <c r="I2062" s="622" t="s">
        <v>277</v>
      </c>
      <c r="J2062" s="622" t="s">
        <v>524</v>
      </c>
      <c r="K2062" s="622" t="s">
        <v>670</v>
      </c>
      <c r="L2062" s="622" t="s">
        <v>600</v>
      </c>
      <c r="M2062" s="622" t="s">
        <v>285</v>
      </c>
      <c r="N2062" s="622" t="s">
        <v>732</v>
      </c>
      <c r="O2062" s="622" t="s">
        <v>833</v>
      </c>
      <c r="P2062" s="622" t="s">
        <v>524</v>
      </c>
      <c r="Q2062" s="622" t="s">
        <v>387</v>
      </c>
      <c r="R2062" s="623">
        <v>45933</v>
      </c>
      <c r="S2062" s="622" t="s">
        <v>388</v>
      </c>
      <c r="T2062" s="623">
        <v>45966</v>
      </c>
      <c r="U2062" s="626">
        <v>1</v>
      </c>
      <c r="V2062" s="625">
        <v>2511.84</v>
      </c>
      <c r="W2062" s="260">
        <v>45962</v>
      </c>
    </row>
    <row r="2063" spans="1:23" hidden="1" x14ac:dyDescent="0.35">
      <c r="A2063" s="622" t="s">
        <v>526</v>
      </c>
      <c r="B2063" s="622" t="s">
        <v>53</v>
      </c>
      <c r="C2063" s="622" t="s">
        <v>670</v>
      </c>
      <c r="D2063" s="622" t="s">
        <v>385</v>
      </c>
      <c r="E2063" s="622" t="s">
        <v>386</v>
      </c>
      <c r="F2063" s="622" t="s">
        <v>276</v>
      </c>
      <c r="G2063" s="622" t="s">
        <v>356</v>
      </c>
      <c r="H2063" s="622" t="s">
        <v>670</v>
      </c>
      <c r="I2063" s="622" t="s">
        <v>277</v>
      </c>
      <c r="J2063" s="622" t="s">
        <v>524</v>
      </c>
      <c r="K2063" s="622" t="s">
        <v>670</v>
      </c>
      <c r="L2063" s="622" t="s">
        <v>600</v>
      </c>
      <c r="M2063" s="622" t="s">
        <v>285</v>
      </c>
      <c r="N2063" s="622" t="s">
        <v>731</v>
      </c>
      <c r="O2063" s="622" t="s">
        <v>678</v>
      </c>
      <c r="P2063" s="622" t="s">
        <v>524</v>
      </c>
      <c r="Q2063" s="622" t="s">
        <v>387</v>
      </c>
      <c r="R2063" s="623">
        <v>45933</v>
      </c>
      <c r="S2063" s="622" t="s">
        <v>388</v>
      </c>
      <c r="T2063" s="623">
        <v>45966</v>
      </c>
      <c r="U2063" s="626">
        <v>1</v>
      </c>
      <c r="V2063" s="625">
        <v>7017.43</v>
      </c>
      <c r="W2063" s="260">
        <v>45962</v>
      </c>
    </row>
    <row r="2064" spans="1:23" hidden="1" x14ac:dyDescent="0.35">
      <c r="A2064" s="622" t="s">
        <v>526</v>
      </c>
      <c r="B2064" s="622" t="s">
        <v>53</v>
      </c>
      <c r="C2064" s="622" t="s">
        <v>670</v>
      </c>
      <c r="D2064" s="622" t="s">
        <v>385</v>
      </c>
      <c r="E2064" s="622" t="s">
        <v>386</v>
      </c>
      <c r="F2064" s="622" t="s">
        <v>276</v>
      </c>
      <c r="G2064" s="622" t="s">
        <v>356</v>
      </c>
      <c r="H2064" s="622" t="s">
        <v>670</v>
      </c>
      <c r="I2064" s="622" t="s">
        <v>277</v>
      </c>
      <c r="J2064" s="622" t="s">
        <v>524</v>
      </c>
      <c r="K2064" s="622" t="s">
        <v>670</v>
      </c>
      <c r="L2064" s="622" t="s">
        <v>600</v>
      </c>
      <c r="M2064" s="622" t="s">
        <v>285</v>
      </c>
      <c r="N2064" s="622" t="s">
        <v>797</v>
      </c>
      <c r="O2064" s="622" t="s">
        <v>684</v>
      </c>
      <c r="P2064" s="622" t="s">
        <v>524</v>
      </c>
      <c r="Q2064" s="622" t="s">
        <v>387</v>
      </c>
      <c r="R2064" s="623">
        <v>45974</v>
      </c>
      <c r="S2064" s="622" t="s">
        <v>388</v>
      </c>
      <c r="T2064" s="623">
        <v>45982</v>
      </c>
      <c r="U2064" s="626">
        <v>1</v>
      </c>
      <c r="V2064" s="625">
        <v>5936</v>
      </c>
      <c r="W2064" s="260">
        <v>45962</v>
      </c>
    </row>
    <row r="2065" spans="1:23" hidden="1" x14ac:dyDescent="0.35">
      <c r="A2065" s="622" t="s">
        <v>526</v>
      </c>
      <c r="B2065" s="622" t="s">
        <v>53</v>
      </c>
      <c r="C2065" s="622" t="s">
        <v>670</v>
      </c>
      <c r="D2065" s="622">
        <v>5150100</v>
      </c>
      <c r="E2065" s="622" t="s">
        <v>386</v>
      </c>
      <c r="F2065" s="622" t="s">
        <v>276</v>
      </c>
      <c r="G2065" s="622" t="s">
        <v>356</v>
      </c>
      <c r="H2065" s="763" t="s">
        <v>670</v>
      </c>
      <c r="I2065" s="763" t="s">
        <v>277</v>
      </c>
      <c r="J2065" s="763" t="s">
        <v>524</v>
      </c>
      <c r="K2065" s="763" t="s">
        <v>670</v>
      </c>
      <c r="L2065" s="763" t="s">
        <v>600</v>
      </c>
      <c r="M2065" s="763" t="s">
        <v>285</v>
      </c>
      <c r="N2065" s="763" t="s">
        <v>796</v>
      </c>
      <c r="O2065" s="763" t="s">
        <v>684</v>
      </c>
      <c r="P2065" s="763" t="s">
        <v>524</v>
      </c>
      <c r="Q2065" s="763" t="s">
        <v>387</v>
      </c>
      <c r="R2065" s="764">
        <v>45972</v>
      </c>
      <c r="S2065" s="763" t="s">
        <v>388</v>
      </c>
      <c r="T2065" s="764">
        <v>45982</v>
      </c>
      <c r="U2065" s="765">
        <v>1</v>
      </c>
      <c r="V2065" s="766">
        <v>5500</v>
      </c>
      <c r="W2065" s="627">
        <v>45962</v>
      </c>
    </row>
    <row r="2066" spans="1:23" hidden="1" x14ac:dyDescent="0.35">
      <c r="A2066" s="622" t="s">
        <v>526</v>
      </c>
      <c r="B2066" s="622" t="s">
        <v>53</v>
      </c>
      <c r="C2066" s="622" t="s">
        <v>670</v>
      </c>
      <c r="D2066" s="622" t="s">
        <v>385</v>
      </c>
      <c r="E2066" s="622" t="s">
        <v>386</v>
      </c>
      <c r="F2066" s="622" t="s">
        <v>276</v>
      </c>
      <c r="G2066" s="622" t="s">
        <v>356</v>
      </c>
      <c r="H2066" s="622" t="s">
        <v>670</v>
      </c>
      <c r="I2066" s="622" t="s">
        <v>277</v>
      </c>
      <c r="J2066" s="622" t="s">
        <v>524</v>
      </c>
      <c r="K2066" s="622" t="s">
        <v>670</v>
      </c>
      <c r="L2066" s="622" t="s">
        <v>600</v>
      </c>
      <c r="M2066" s="622" t="s">
        <v>285</v>
      </c>
      <c r="N2066" s="622" t="s">
        <v>732</v>
      </c>
      <c r="O2066" s="622" t="s">
        <v>833</v>
      </c>
      <c r="P2066" s="622" t="s">
        <v>524</v>
      </c>
      <c r="Q2066" s="622" t="s">
        <v>387</v>
      </c>
      <c r="R2066" s="623">
        <v>45961</v>
      </c>
      <c r="S2066" s="622" t="s">
        <v>388</v>
      </c>
      <c r="T2066" s="623">
        <v>45985</v>
      </c>
      <c r="U2066" s="626">
        <v>1</v>
      </c>
      <c r="V2066" s="625">
        <v>1072.3699999999999</v>
      </c>
      <c r="W2066" s="260">
        <v>45962</v>
      </c>
    </row>
    <row r="2067" spans="1:23" hidden="1" x14ac:dyDescent="0.35">
      <c r="A2067" s="622" t="s">
        <v>526</v>
      </c>
      <c r="B2067" s="622" t="s">
        <v>53</v>
      </c>
      <c r="C2067" s="622" t="s">
        <v>670</v>
      </c>
      <c r="D2067" s="622" t="s">
        <v>385</v>
      </c>
      <c r="E2067" s="622" t="s">
        <v>386</v>
      </c>
      <c r="F2067" s="622" t="s">
        <v>276</v>
      </c>
      <c r="G2067" s="622" t="s">
        <v>356</v>
      </c>
      <c r="H2067" s="622" t="s">
        <v>670</v>
      </c>
      <c r="I2067" s="622" t="s">
        <v>277</v>
      </c>
      <c r="J2067" s="622" t="s">
        <v>524</v>
      </c>
      <c r="K2067" s="622" t="s">
        <v>670</v>
      </c>
      <c r="L2067" s="622" t="s">
        <v>600</v>
      </c>
      <c r="M2067" s="622" t="s">
        <v>285</v>
      </c>
      <c r="N2067" s="622" t="s">
        <v>731</v>
      </c>
      <c r="O2067" s="622" t="s">
        <v>678</v>
      </c>
      <c r="P2067" s="622" t="s">
        <v>524</v>
      </c>
      <c r="Q2067" s="622" t="s">
        <v>387</v>
      </c>
      <c r="R2067" s="623">
        <v>45968</v>
      </c>
      <c r="S2067" s="622" t="s">
        <v>388</v>
      </c>
      <c r="T2067" s="623">
        <v>45985</v>
      </c>
      <c r="U2067" s="626">
        <v>1</v>
      </c>
      <c r="V2067" s="625">
        <v>3495.23</v>
      </c>
      <c r="W2067" s="260">
        <v>45962</v>
      </c>
    </row>
    <row r="2068" spans="1:23" hidden="1" x14ac:dyDescent="0.35">
      <c r="A2068" s="622" t="s">
        <v>526</v>
      </c>
      <c r="B2068" s="622" t="s">
        <v>53</v>
      </c>
      <c r="C2068" s="622" t="s">
        <v>670</v>
      </c>
      <c r="D2068" s="622" t="s">
        <v>385</v>
      </c>
      <c r="E2068" s="622" t="s">
        <v>386</v>
      </c>
      <c r="F2068" s="622" t="s">
        <v>276</v>
      </c>
      <c r="G2068" s="622" t="s">
        <v>356</v>
      </c>
      <c r="H2068" s="622" t="s">
        <v>670</v>
      </c>
      <c r="I2068" s="622" t="s">
        <v>277</v>
      </c>
      <c r="J2068" s="622" t="s">
        <v>524</v>
      </c>
      <c r="K2068" s="622" t="s">
        <v>670</v>
      </c>
      <c r="L2068" s="622" t="s">
        <v>600</v>
      </c>
      <c r="M2068" s="622" t="s">
        <v>285</v>
      </c>
      <c r="N2068" s="622" t="s">
        <v>670</v>
      </c>
      <c r="O2068" s="622" t="s">
        <v>687</v>
      </c>
      <c r="P2068" s="622" t="s">
        <v>524</v>
      </c>
      <c r="Q2068" s="622" t="s">
        <v>400</v>
      </c>
      <c r="R2068" s="623">
        <v>45985</v>
      </c>
      <c r="S2068" s="622" t="s">
        <v>670</v>
      </c>
      <c r="T2068" s="623">
        <v>45991</v>
      </c>
      <c r="U2068" s="624">
        <v>0</v>
      </c>
      <c r="V2068" s="625">
        <v>5500</v>
      </c>
      <c r="W2068" s="260">
        <v>45962</v>
      </c>
    </row>
    <row r="2069" spans="1:23" hidden="1" x14ac:dyDescent="0.35">
      <c r="A2069" s="622" t="s">
        <v>526</v>
      </c>
      <c r="B2069" s="622" t="s">
        <v>53</v>
      </c>
      <c r="C2069" s="622" t="s">
        <v>670</v>
      </c>
      <c r="D2069" s="622" t="s">
        <v>385</v>
      </c>
      <c r="E2069" s="622" t="s">
        <v>386</v>
      </c>
      <c r="F2069" s="622" t="s">
        <v>276</v>
      </c>
      <c r="G2069" s="622" t="s">
        <v>356</v>
      </c>
      <c r="H2069" s="622" t="s">
        <v>670</v>
      </c>
      <c r="I2069" s="622" t="s">
        <v>277</v>
      </c>
      <c r="J2069" s="622" t="s">
        <v>524</v>
      </c>
      <c r="K2069" s="622" t="s">
        <v>670</v>
      </c>
      <c r="L2069" s="622" t="s">
        <v>600</v>
      </c>
      <c r="M2069" s="622" t="s">
        <v>285</v>
      </c>
      <c r="N2069" s="622" t="s">
        <v>670</v>
      </c>
      <c r="O2069" s="622" t="s">
        <v>678</v>
      </c>
      <c r="P2069" s="622" t="s">
        <v>524</v>
      </c>
      <c r="Q2069" s="622" t="s">
        <v>400</v>
      </c>
      <c r="R2069" s="623">
        <v>45985</v>
      </c>
      <c r="S2069" s="622" t="s">
        <v>670</v>
      </c>
      <c r="T2069" s="623">
        <v>45991</v>
      </c>
      <c r="U2069" s="624">
        <v>0</v>
      </c>
      <c r="V2069" s="625">
        <v>4845</v>
      </c>
      <c r="W2069" s="260">
        <v>45962</v>
      </c>
    </row>
    <row r="2070" spans="1:23" hidden="1" x14ac:dyDescent="0.35">
      <c r="A2070" s="622" t="s">
        <v>526</v>
      </c>
      <c r="B2070" s="622" t="s">
        <v>53</v>
      </c>
      <c r="C2070" s="622" t="s">
        <v>670</v>
      </c>
      <c r="D2070" s="622" t="s">
        <v>385</v>
      </c>
      <c r="E2070" s="622" t="s">
        <v>386</v>
      </c>
      <c r="F2070" s="622" t="s">
        <v>276</v>
      </c>
      <c r="G2070" s="622" t="s">
        <v>356</v>
      </c>
      <c r="H2070" s="622" t="s">
        <v>670</v>
      </c>
      <c r="I2070" s="622" t="s">
        <v>277</v>
      </c>
      <c r="J2070" s="622" t="s">
        <v>524</v>
      </c>
      <c r="K2070" s="622" t="s">
        <v>670</v>
      </c>
      <c r="L2070" s="622" t="s">
        <v>600</v>
      </c>
      <c r="M2070" s="622" t="s">
        <v>285</v>
      </c>
      <c r="N2070" s="622" t="s">
        <v>670</v>
      </c>
      <c r="O2070" s="622" t="s">
        <v>765</v>
      </c>
      <c r="P2070" s="622" t="s">
        <v>524</v>
      </c>
      <c r="Q2070" s="622" t="s">
        <v>400</v>
      </c>
      <c r="R2070" s="623">
        <v>45985</v>
      </c>
      <c r="S2070" s="622" t="s">
        <v>670</v>
      </c>
      <c r="T2070" s="623">
        <v>45991</v>
      </c>
      <c r="U2070" s="624">
        <v>0</v>
      </c>
      <c r="V2070" s="625">
        <v>23200</v>
      </c>
      <c r="W2070" s="260">
        <v>45962</v>
      </c>
    </row>
    <row r="2071" spans="1:23" hidden="1" x14ac:dyDescent="0.35">
      <c r="A2071" s="622" t="s">
        <v>526</v>
      </c>
      <c r="B2071" s="622" t="s">
        <v>53</v>
      </c>
      <c r="C2071" s="622" t="s">
        <v>670</v>
      </c>
      <c r="D2071" s="622" t="s">
        <v>385</v>
      </c>
      <c r="E2071" s="622" t="s">
        <v>386</v>
      </c>
      <c r="F2071" s="622" t="s">
        <v>276</v>
      </c>
      <c r="G2071" s="622" t="s">
        <v>356</v>
      </c>
      <c r="H2071" s="622" t="s">
        <v>670</v>
      </c>
      <c r="I2071" s="622" t="s">
        <v>277</v>
      </c>
      <c r="J2071" s="622" t="s">
        <v>524</v>
      </c>
      <c r="K2071" s="622" t="s">
        <v>670</v>
      </c>
      <c r="L2071" s="622" t="s">
        <v>600</v>
      </c>
      <c r="M2071" s="622" t="s">
        <v>285</v>
      </c>
      <c r="N2071" s="622" t="s">
        <v>670</v>
      </c>
      <c r="O2071" s="622" t="s">
        <v>824</v>
      </c>
      <c r="P2071" s="622" t="s">
        <v>524</v>
      </c>
      <c r="Q2071" s="622" t="s">
        <v>400</v>
      </c>
      <c r="R2071" s="623">
        <v>45985</v>
      </c>
      <c r="S2071" s="622" t="s">
        <v>670</v>
      </c>
      <c r="T2071" s="623">
        <v>45991</v>
      </c>
      <c r="U2071" s="624">
        <v>0</v>
      </c>
      <c r="V2071" s="625">
        <v>200340</v>
      </c>
      <c r="W2071" s="260">
        <v>45962</v>
      </c>
    </row>
    <row r="2072" spans="1:23" hidden="1" x14ac:dyDescent="0.35">
      <c r="A2072" s="622" t="s">
        <v>526</v>
      </c>
      <c r="B2072" s="622" t="s">
        <v>53</v>
      </c>
      <c r="C2072" s="622" t="s">
        <v>670</v>
      </c>
      <c r="D2072" s="622" t="s">
        <v>385</v>
      </c>
      <c r="E2072" s="622" t="s">
        <v>386</v>
      </c>
      <c r="F2072" s="622" t="s">
        <v>276</v>
      </c>
      <c r="G2072" s="622" t="s">
        <v>356</v>
      </c>
      <c r="H2072" s="622" t="s">
        <v>670</v>
      </c>
      <c r="I2072" s="622" t="s">
        <v>277</v>
      </c>
      <c r="J2072" s="622" t="s">
        <v>524</v>
      </c>
      <c r="K2072" s="622" t="s">
        <v>670</v>
      </c>
      <c r="L2072" s="622" t="s">
        <v>600</v>
      </c>
      <c r="M2072" s="622" t="s">
        <v>285</v>
      </c>
      <c r="N2072" s="622" t="s">
        <v>670</v>
      </c>
      <c r="O2072" s="622" t="s">
        <v>697</v>
      </c>
      <c r="P2072" s="622" t="s">
        <v>524</v>
      </c>
      <c r="Q2072" s="622" t="s">
        <v>400</v>
      </c>
      <c r="R2072" s="623">
        <v>45985</v>
      </c>
      <c r="S2072" s="622" t="s">
        <v>670</v>
      </c>
      <c r="T2072" s="623">
        <v>45991</v>
      </c>
      <c r="U2072" s="624">
        <v>0</v>
      </c>
      <c r="V2072" s="625">
        <v>70000</v>
      </c>
      <c r="W2072" s="260">
        <v>45962</v>
      </c>
    </row>
    <row r="2073" spans="1:23" hidden="1" x14ac:dyDescent="0.35">
      <c r="A2073" s="622" t="s">
        <v>526</v>
      </c>
      <c r="B2073" s="622" t="s">
        <v>53</v>
      </c>
      <c r="C2073" s="622" t="s">
        <v>670</v>
      </c>
      <c r="D2073" s="622" t="s">
        <v>385</v>
      </c>
      <c r="E2073" s="622" t="s">
        <v>386</v>
      </c>
      <c r="F2073" s="622" t="s">
        <v>276</v>
      </c>
      <c r="G2073" s="622" t="s">
        <v>356</v>
      </c>
      <c r="H2073" s="622" t="s">
        <v>670</v>
      </c>
      <c r="I2073" s="622" t="s">
        <v>277</v>
      </c>
      <c r="J2073" s="622" t="s">
        <v>524</v>
      </c>
      <c r="K2073" s="622" t="s">
        <v>670</v>
      </c>
      <c r="L2073" s="622" t="s">
        <v>600</v>
      </c>
      <c r="M2073" s="622" t="s">
        <v>285</v>
      </c>
      <c r="N2073" s="622" t="s">
        <v>670</v>
      </c>
      <c r="O2073" s="622">
        <v>7000001415</v>
      </c>
      <c r="P2073" s="622" t="s">
        <v>524</v>
      </c>
      <c r="Q2073" s="622" t="s">
        <v>400</v>
      </c>
      <c r="R2073" s="623">
        <v>45985</v>
      </c>
      <c r="S2073" s="622" t="s">
        <v>670</v>
      </c>
      <c r="T2073" s="623">
        <v>45991</v>
      </c>
      <c r="U2073" s="624">
        <v>0</v>
      </c>
      <c r="V2073" s="625">
        <v>87506</v>
      </c>
      <c r="W2073" s="260">
        <v>45962</v>
      </c>
    </row>
    <row r="2074" spans="1:23" hidden="1" x14ac:dyDescent="0.35">
      <c r="A2074" s="622" t="s">
        <v>526</v>
      </c>
      <c r="B2074" s="622" t="s">
        <v>53</v>
      </c>
      <c r="C2074" s="622" t="s">
        <v>670</v>
      </c>
      <c r="D2074" s="622" t="s">
        <v>385</v>
      </c>
      <c r="E2074" s="622" t="s">
        <v>386</v>
      </c>
      <c r="F2074" s="622" t="s">
        <v>276</v>
      </c>
      <c r="G2074" s="622" t="s">
        <v>356</v>
      </c>
      <c r="H2074" s="622" t="s">
        <v>670</v>
      </c>
      <c r="I2074" s="622" t="s">
        <v>277</v>
      </c>
      <c r="J2074" s="622" t="s">
        <v>524</v>
      </c>
      <c r="K2074" s="622" t="s">
        <v>670</v>
      </c>
      <c r="L2074" s="622" t="s">
        <v>600</v>
      </c>
      <c r="M2074" s="622" t="s">
        <v>285</v>
      </c>
      <c r="N2074" s="622" t="s">
        <v>670</v>
      </c>
      <c r="O2074" s="622" t="s">
        <v>739</v>
      </c>
      <c r="P2074" s="622" t="s">
        <v>524</v>
      </c>
      <c r="Q2074" s="622" t="s">
        <v>400</v>
      </c>
      <c r="R2074" s="623">
        <v>45985</v>
      </c>
      <c r="S2074" s="622" t="s">
        <v>670</v>
      </c>
      <c r="T2074" s="623">
        <v>45991</v>
      </c>
      <c r="U2074" s="624">
        <v>0</v>
      </c>
      <c r="V2074" s="625">
        <v>25000</v>
      </c>
      <c r="W2074" s="260">
        <v>45962</v>
      </c>
    </row>
    <row r="2075" spans="1:23" hidden="1" x14ac:dyDescent="0.35">
      <c r="A2075" s="622" t="s">
        <v>526</v>
      </c>
      <c r="B2075" s="622" t="s">
        <v>53</v>
      </c>
      <c r="C2075" s="622" t="s">
        <v>670</v>
      </c>
      <c r="D2075" s="622" t="s">
        <v>385</v>
      </c>
      <c r="E2075" s="622" t="s">
        <v>386</v>
      </c>
      <c r="F2075" s="622" t="s">
        <v>276</v>
      </c>
      <c r="G2075" s="622" t="s">
        <v>356</v>
      </c>
      <c r="H2075" s="622" t="s">
        <v>670</v>
      </c>
      <c r="I2075" s="622" t="s">
        <v>277</v>
      </c>
      <c r="J2075" s="622" t="s">
        <v>524</v>
      </c>
      <c r="K2075" s="622" t="s">
        <v>670</v>
      </c>
      <c r="L2075" s="622" t="s">
        <v>600</v>
      </c>
      <c r="M2075" s="622" t="s">
        <v>285</v>
      </c>
      <c r="N2075" s="622" t="s">
        <v>670</v>
      </c>
      <c r="O2075" s="622">
        <v>7000002102</v>
      </c>
      <c r="P2075" s="622" t="s">
        <v>524</v>
      </c>
      <c r="Q2075" s="622" t="s">
        <v>400</v>
      </c>
      <c r="R2075" s="623">
        <v>45985</v>
      </c>
      <c r="S2075" s="622" t="s">
        <v>670</v>
      </c>
      <c r="T2075" s="623">
        <v>45991</v>
      </c>
      <c r="U2075" s="624">
        <v>0</v>
      </c>
      <c r="V2075" s="625">
        <v>23520</v>
      </c>
      <c r="W2075" s="260">
        <v>45962</v>
      </c>
    </row>
    <row r="2076" spans="1:23" hidden="1" x14ac:dyDescent="0.35">
      <c r="A2076" s="622" t="s">
        <v>526</v>
      </c>
      <c r="B2076" s="622" t="s">
        <v>53</v>
      </c>
      <c r="C2076" s="622" t="s">
        <v>799</v>
      </c>
      <c r="D2076" s="622" t="s">
        <v>385</v>
      </c>
      <c r="E2076" s="622" t="s">
        <v>386</v>
      </c>
      <c r="F2076" s="622" t="s">
        <v>276</v>
      </c>
      <c r="G2076" s="622" t="s">
        <v>356</v>
      </c>
      <c r="H2076" s="622" t="s">
        <v>670</v>
      </c>
      <c r="I2076" s="622" t="s">
        <v>277</v>
      </c>
      <c r="J2076" s="622" t="s">
        <v>524</v>
      </c>
      <c r="K2076" s="622" t="s">
        <v>800</v>
      </c>
      <c r="L2076" s="622" t="s">
        <v>600</v>
      </c>
      <c r="M2076" s="622" t="s">
        <v>285</v>
      </c>
      <c r="N2076" s="622" t="s">
        <v>670</v>
      </c>
      <c r="O2076" s="622" t="s">
        <v>670</v>
      </c>
      <c r="P2076" s="622" t="s">
        <v>524</v>
      </c>
      <c r="Q2076" s="622" t="s">
        <v>670</v>
      </c>
      <c r="R2076" s="623">
        <v>45992</v>
      </c>
      <c r="S2076" s="622" t="s">
        <v>670</v>
      </c>
      <c r="T2076" s="623">
        <v>45991</v>
      </c>
      <c r="U2076" s="624">
        <v>0</v>
      </c>
      <c r="V2076" s="625">
        <v>2989.62</v>
      </c>
      <c r="W2076" s="260">
        <v>45962</v>
      </c>
    </row>
    <row r="2077" spans="1:23" hidden="1" x14ac:dyDescent="0.35">
      <c r="A2077" s="622" t="s">
        <v>526</v>
      </c>
      <c r="B2077" s="622" t="s">
        <v>53</v>
      </c>
      <c r="C2077" s="622" t="s">
        <v>799</v>
      </c>
      <c r="D2077" s="622" t="s">
        <v>801</v>
      </c>
      <c r="E2077" s="622" t="s">
        <v>802</v>
      </c>
      <c r="F2077" s="622" t="s">
        <v>276</v>
      </c>
      <c r="G2077" s="622" t="s">
        <v>356</v>
      </c>
      <c r="H2077" s="622" t="s">
        <v>670</v>
      </c>
      <c r="I2077" s="622" t="s">
        <v>277</v>
      </c>
      <c r="J2077" s="622" t="s">
        <v>524</v>
      </c>
      <c r="K2077" s="622" t="s">
        <v>800</v>
      </c>
      <c r="L2077" s="622" t="s">
        <v>600</v>
      </c>
      <c r="M2077" s="622" t="s">
        <v>285</v>
      </c>
      <c r="N2077" s="622" t="s">
        <v>670</v>
      </c>
      <c r="O2077" s="622" t="s">
        <v>670</v>
      </c>
      <c r="P2077" s="622" t="s">
        <v>524</v>
      </c>
      <c r="Q2077" s="622" t="s">
        <v>670</v>
      </c>
      <c r="R2077" s="623">
        <v>45992</v>
      </c>
      <c r="S2077" s="622" t="s">
        <v>670</v>
      </c>
      <c r="T2077" s="623">
        <v>45991</v>
      </c>
      <c r="U2077" s="624">
        <v>0</v>
      </c>
      <c r="V2077" s="625">
        <v>2644.5</v>
      </c>
      <c r="W2077" s="260">
        <v>45962</v>
      </c>
    </row>
    <row r="2078" spans="1:23" hidden="1" x14ac:dyDescent="0.35">
      <c r="A2078" s="622" t="s">
        <v>526</v>
      </c>
      <c r="B2078" s="622" t="s">
        <v>53</v>
      </c>
      <c r="C2078" s="622" t="s">
        <v>670</v>
      </c>
      <c r="D2078" s="622" t="s">
        <v>762</v>
      </c>
      <c r="E2078" s="622" t="s">
        <v>763</v>
      </c>
      <c r="F2078" s="622" t="s">
        <v>276</v>
      </c>
      <c r="G2078" s="622" t="s">
        <v>356</v>
      </c>
      <c r="H2078" s="622" t="s">
        <v>670</v>
      </c>
      <c r="I2078" s="622" t="s">
        <v>277</v>
      </c>
      <c r="J2078" s="622" t="s">
        <v>524</v>
      </c>
      <c r="K2078" s="622" t="s">
        <v>670</v>
      </c>
      <c r="L2078" s="622" t="s">
        <v>600</v>
      </c>
      <c r="M2078" s="622" t="s">
        <v>285</v>
      </c>
      <c r="N2078" s="622" t="s">
        <v>764</v>
      </c>
      <c r="O2078" s="622" t="s">
        <v>765</v>
      </c>
      <c r="P2078" s="622" t="s">
        <v>524</v>
      </c>
      <c r="Q2078" s="622" t="s">
        <v>387</v>
      </c>
      <c r="R2078" s="623">
        <v>45961</v>
      </c>
      <c r="S2078" s="622" t="s">
        <v>388</v>
      </c>
      <c r="T2078" s="623">
        <v>45965</v>
      </c>
      <c r="U2078" s="626">
        <v>1</v>
      </c>
      <c r="V2078" s="625">
        <v>26680</v>
      </c>
      <c r="W2078" s="260">
        <v>45962</v>
      </c>
    </row>
    <row r="2079" spans="1:23" hidden="1" x14ac:dyDescent="0.35">
      <c r="A2079" s="622" t="s">
        <v>526</v>
      </c>
      <c r="B2079" s="622" t="s">
        <v>53</v>
      </c>
      <c r="C2079" s="622" t="s">
        <v>521</v>
      </c>
      <c r="D2079" s="622" t="s">
        <v>681</v>
      </c>
      <c r="E2079" s="622" t="s">
        <v>682</v>
      </c>
      <c r="F2079" s="622" t="s">
        <v>276</v>
      </c>
      <c r="G2079" s="622" t="s">
        <v>356</v>
      </c>
      <c r="H2079" s="622" t="s">
        <v>670</v>
      </c>
      <c r="I2079" s="622" t="s">
        <v>277</v>
      </c>
      <c r="J2079" s="622" t="s">
        <v>524</v>
      </c>
      <c r="K2079" s="622" t="s">
        <v>683</v>
      </c>
      <c r="L2079" s="622" t="s">
        <v>600</v>
      </c>
      <c r="M2079" s="622" t="s">
        <v>285</v>
      </c>
      <c r="N2079" s="622" t="s">
        <v>670</v>
      </c>
      <c r="O2079" s="622" t="s">
        <v>670</v>
      </c>
      <c r="P2079" s="622" t="s">
        <v>524</v>
      </c>
      <c r="Q2079" s="622" t="s">
        <v>670</v>
      </c>
      <c r="R2079" s="623">
        <v>45992</v>
      </c>
      <c r="S2079" s="622" t="s">
        <v>670</v>
      </c>
      <c r="T2079" s="623">
        <v>45991</v>
      </c>
      <c r="U2079" s="624">
        <v>0</v>
      </c>
      <c r="V2079" s="625">
        <v>4830</v>
      </c>
      <c r="W2079" s="260">
        <v>45962</v>
      </c>
    </row>
    <row r="2080" spans="1:23" hidden="1" x14ac:dyDescent="0.35">
      <c r="A2080" s="622" t="s">
        <v>526</v>
      </c>
      <c r="B2080" s="622" t="s">
        <v>53</v>
      </c>
      <c r="C2080" s="622" t="s">
        <v>302</v>
      </c>
      <c r="D2080" s="622" t="s">
        <v>308</v>
      </c>
      <c r="E2080" s="622" t="s">
        <v>309</v>
      </c>
      <c r="F2080" s="622" t="s">
        <v>276</v>
      </c>
      <c r="G2080" s="622" t="s">
        <v>356</v>
      </c>
      <c r="H2080" s="622" t="s">
        <v>670</v>
      </c>
      <c r="I2080" s="622" t="s">
        <v>277</v>
      </c>
      <c r="J2080" s="622" t="s">
        <v>524</v>
      </c>
      <c r="K2080" s="622" t="s">
        <v>303</v>
      </c>
      <c r="L2080" s="622" t="s">
        <v>600</v>
      </c>
      <c r="M2080" s="622" t="s">
        <v>285</v>
      </c>
      <c r="N2080" s="622" t="s">
        <v>670</v>
      </c>
      <c r="O2080" s="622" t="s">
        <v>670</v>
      </c>
      <c r="P2080" s="622" t="s">
        <v>524</v>
      </c>
      <c r="Q2080" s="622" t="s">
        <v>670</v>
      </c>
      <c r="R2080" s="623">
        <v>45993</v>
      </c>
      <c r="S2080" s="622" t="s">
        <v>670</v>
      </c>
      <c r="T2080" s="623">
        <v>45991</v>
      </c>
      <c r="U2080" s="624">
        <v>0</v>
      </c>
      <c r="V2080" s="625">
        <v>170.51</v>
      </c>
      <c r="W2080" s="260">
        <v>45962</v>
      </c>
    </row>
    <row r="2081" spans="1:23" hidden="1" x14ac:dyDescent="0.35">
      <c r="A2081" s="622" t="s">
        <v>526</v>
      </c>
      <c r="B2081" s="622" t="s">
        <v>53</v>
      </c>
      <c r="C2081" s="622" t="s">
        <v>302</v>
      </c>
      <c r="D2081" s="622" t="s">
        <v>310</v>
      </c>
      <c r="E2081" s="622" t="s">
        <v>311</v>
      </c>
      <c r="F2081" s="622" t="s">
        <v>276</v>
      </c>
      <c r="G2081" s="622" t="s">
        <v>356</v>
      </c>
      <c r="H2081" s="622" t="s">
        <v>670</v>
      </c>
      <c r="I2081" s="622" t="s">
        <v>277</v>
      </c>
      <c r="J2081" s="622" t="s">
        <v>524</v>
      </c>
      <c r="K2081" s="622" t="s">
        <v>303</v>
      </c>
      <c r="L2081" s="622" t="s">
        <v>600</v>
      </c>
      <c r="M2081" s="622" t="s">
        <v>285</v>
      </c>
      <c r="N2081" s="622" t="s">
        <v>670</v>
      </c>
      <c r="O2081" s="622" t="s">
        <v>670</v>
      </c>
      <c r="P2081" s="622" t="s">
        <v>524</v>
      </c>
      <c r="Q2081" s="622" t="s">
        <v>670</v>
      </c>
      <c r="R2081" s="623">
        <v>45993</v>
      </c>
      <c r="S2081" s="622" t="s">
        <v>670</v>
      </c>
      <c r="T2081" s="623">
        <v>45991</v>
      </c>
      <c r="U2081" s="624">
        <v>0</v>
      </c>
      <c r="V2081" s="625">
        <v>461.31</v>
      </c>
      <c r="W2081" s="260">
        <v>45962</v>
      </c>
    </row>
    <row r="2082" spans="1:23" hidden="1" x14ac:dyDescent="0.35">
      <c r="A2082" s="622" t="s">
        <v>526</v>
      </c>
      <c r="B2082" s="622" t="s">
        <v>53</v>
      </c>
      <c r="C2082" s="622" t="s">
        <v>302</v>
      </c>
      <c r="D2082" s="622" t="s">
        <v>340</v>
      </c>
      <c r="E2082" s="622" t="s">
        <v>283</v>
      </c>
      <c r="F2082" s="622" t="s">
        <v>276</v>
      </c>
      <c r="G2082" s="622" t="s">
        <v>356</v>
      </c>
      <c r="H2082" s="622" t="s">
        <v>670</v>
      </c>
      <c r="I2082" s="622" t="s">
        <v>277</v>
      </c>
      <c r="J2082" s="622" t="s">
        <v>524</v>
      </c>
      <c r="K2082" s="622" t="s">
        <v>303</v>
      </c>
      <c r="L2082" s="622" t="s">
        <v>600</v>
      </c>
      <c r="M2082" s="622" t="s">
        <v>285</v>
      </c>
      <c r="N2082" s="622" t="s">
        <v>670</v>
      </c>
      <c r="O2082" s="622" t="s">
        <v>670</v>
      </c>
      <c r="P2082" s="622" t="s">
        <v>524</v>
      </c>
      <c r="Q2082" s="622" t="s">
        <v>670</v>
      </c>
      <c r="R2082" s="623">
        <v>45993</v>
      </c>
      <c r="S2082" s="622" t="s">
        <v>670</v>
      </c>
      <c r="T2082" s="623">
        <v>45991</v>
      </c>
      <c r="U2082" s="624">
        <v>0</v>
      </c>
      <c r="V2082" s="625">
        <v>12.24</v>
      </c>
      <c r="W2082" s="260">
        <v>45962</v>
      </c>
    </row>
    <row r="2083" spans="1:23" hidden="1" x14ac:dyDescent="0.35">
      <c r="A2083" s="622" t="s">
        <v>526</v>
      </c>
      <c r="B2083" s="622" t="s">
        <v>53</v>
      </c>
      <c r="C2083" s="622" t="s">
        <v>302</v>
      </c>
      <c r="D2083" s="622" t="s">
        <v>340</v>
      </c>
      <c r="E2083" s="622" t="s">
        <v>283</v>
      </c>
      <c r="F2083" s="622" t="s">
        <v>276</v>
      </c>
      <c r="G2083" s="622" t="s">
        <v>356</v>
      </c>
      <c r="H2083" s="622" t="s">
        <v>670</v>
      </c>
      <c r="I2083" s="622" t="s">
        <v>277</v>
      </c>
      <c r="J2083" s="622" t="s">
        <v>524</v>
      </c>
      <c r="K2083" s="622" t="s">
        <v>303</v>
      </c>
      <c r="L2083" s="622" t="s">
        <v>600</v>
      </c>
      <c r="M2083" s="622" t="s">
        <v>285</v>
      </c>
      <c r="N2083" s="622" t="s">
        <v>670</v>
      </c>
      <c r="O2083" s="622" t="s">
        <v>670</v>
      </c>
      <c r="P2083" s="622" t="s">
        <v>524</v>
      </c>
      <c r="Q2083" s="622" t="s">
        <v>670</v>
      </c>
      <c r="R2083" s="623">
        <v>45993</v>
      </c>
      <c r="S2083" s="622" t="s">
        <v>670</v>
      </c>
      <c r="T2083" s="623">
        <v>45991</v>
      </c>
      <c r="U2083" s="624">
        <v>0</v>
      </c>
      <c r="V2083" s="625">
        <v>3.32</v>
      </c>
      <c r="W2083" s="260">
        <v>45962</v>
      </c>
    </row>
    <row r="2084" spans="1:23" hidden="1" x14ac:dyDescent="0.35">
      <c r="A2084" s="622" t="s">
        <v>526</v>
      </c>
      <c r="B2084" s="622" t="s">
        <v>53</v>
      </c>
      <c r="C2084" s="622" t="s">
        <v>302</v>
      </c>
      <c r="D2084" s="622" t="s">
        <v>341</v>
      </c>
      <c r="E2084" s="622" t="s">
        <v>288</v>
      </c>
      <c r="F2084" s="622" t="s">
        <v>276</v>
      </c>
      <c r="G2084" s="622" t="s">
        <v>356</v>
      </c>
      <c r="H2084" s="622" t="s">
        <v>670</v>
      </c>
      <c r="I2084" s="622" t="s">
        <v>277</v>
      </c>
      <c r="J2084" s="622" t="s">
        <v>524</v>
      </c>
      <c r="K2084" s="622" t="s">
        <v>303</v>
      </c>
      <c r="L2084" s="622" t="s">
        <v>600</v>
      </c>
      <c r="M2084" s="622" t="s">
        <v>285</v>
      </c>
      <c r="N2084" s="622" t="s">
        <v>670</v>
      </c>
      <c r="O2084" s="622" t="s">
        <v>670</v>
      </c>
      <c r="P2084" s="622" t="s">
        <v>524</v>
      </c>
      <c r="Q2084" s="622" t="s">
        <v>670</v>
      </c>
      <c r="R2084" s="623">
        <v>45993</v>
      </c>
      <c r="S2084" s="622" t="s">
        <v>670</v>
      </c>
      <c r="T2084" s="623">
        <v>45991</v>
      </c>
      <c r="U2084" s="624">
        <v>0</v>
      </c>
      <c r="V2084" s="625">
        <v>34.340000000000003</v>
      </c>
      <c r="W2084" s="260">
        <v>45962</v>
      </c>
    </row>
    <row r="2085" spans="1:23" hidden="1" x14ac:dyDescent="0.35">
      <c r="A2085" s="622" t="s">
        <v>526</v>
      </c>
      <c r="B2085" s="622" t="s">
        <v>53</v>
      </c>
      <c r="C2085" s="622" t="s">
        <v>302</v>
      </c>
      <c r="D2085" s="622" t="s">
        <v>341</v>
      </c>
      <c r="E2085" s="622" t="s">
        <v>288</v>
      </c>
      <c r="F2085" s="622" t="s">
        <v>276</v>
      </c>
      <c r="G2085" s="622" t="s">
        <v>356</v>
      </c>
      <c r="H2085" s="622" t="s">
        <v>670</v>
      </c>
      <c r="I2085" s="622" t="s">
        <v>277</v>
      </c>
      <c r="J2085" s="622" t="s">
        <v>524</v>
      </c>
      <c r="K2085" s="622" t="s">
        <v>303</v>
      </c>
      <c r="L2085" s="622" t="s">
        <v>600</v>
      </c>
      <c r="M2085" s="622" t="s">
        <v>285</v>
      </c>
      <c r="N2085" s="622" t="s">
        <v>670</v>
      </c>
      <c r="O2085" s="622" t="s">
        <v>670</v>
      </c>
      <c r="P2085" s="622" t="s">
        <v>524</v>
      </c>
      <c r="Q2085" s="622" t="s">
        <v>670</v>
      </c>
      <c r="R2085" s="623">
        <v>45993</v>
      </c>
      <c r="S2085" s="622" t="s">
        <v>670</v>
      </c>
      <c r="T2085" s="623">
        <v>45991</v>
      </c>
      <c r="U2085" s="624">
        <v>0</v>
      </c>
      <c r="V2085" s="625">
        <v>29.31</v>
      </c>
      <c r="W2085" s="260">
        <v>45962</v>
      </c>
    </row>
    <row r="2086" spans="1:23" hidden="1" x14ac:dyDescent="0.35">
      <c r="A2086" s="622" t="s">
        <v>526</v>
      </c>
      <c r="B2086" s="622" t="s">
        <v>53</v>
      </c>
      <c r="C2086" s="622" t="s">
        <v>302</v>
      </c>
      <c r="D2086" s="622" t="s">
        <v>342</v>
      </c>
      <c r="E2086" s="622" t="s">
        <v>291</v>
      </c>
      <c r="F2086" s="622" t="s">
        <v>276</v>
      </c>
      <c r="G2086" s="622" t="s">
        <v>356</v>
      </c>
      <c r="H2086" s="622" t="s">
        <v>670</v>
      </c>
      <c r="I2086" s="622" t="s">
        <v>277</v>
      </c>
      <c r="J2086" s="622" t="s">
        <v>524</v>
      </c>
      <c r="K2086" s="622" t="s">
        <v>303</v>
      </c>
      <c r="L2086" s="622" t="s">
        <v>600</v>
      </c>
      <c r="M2086" s="622" t="s">
        <v>285</v>
      </c>
      <c r="N2086" s="622" t="s">
        <v>670</v>
      </c>
      <c r="O2086" s="622" t="s">
        <v>670</v>
      </c>
      <c r="P2086" s="622" t="s">
        <v>524</v>
      </c>
      <c r="Q2086" s="622" t="s">
        <v>670</v>
      </c>
      <c r="R2086" s="623">
        <v>45993</v>
      </c>
      <c r="S2086" s="622" t="s">
        <v>670</v>
      </c>
      <c r="T2086" s="623">
        <v>45991</v>
      </c>
      <c r="U2086" s="624">
        <v>0</v>
      </c>
      <c r="V2086" s="625">
        <v>7.91</v>
      </c>
      <c r="W2086" s="260">
        <v>45962</v>
      </c>
    </row>
    <row r="2087" spans="1:23" hidden="1" x14ac:dyDescent="0.35">
      <c r="A2087" s="622" t="s">
        <v>526</v>
      </c>
      <c r="B2087" s="622" t="s">
        <v>53</v>
      </c>
      <c r="C2087" s="622" t="s">
        <v>302</v>
      </c>
      <c r="D2087" s="622" t="s">
        <v>342</v>
      </c>
      <c r="E2087" s="622" t="s">
        <v>291</v>
      </c>
      <c r="F2087" s="622" t="s">
        <v>276</v>
      </c>
      <c r="G2087" s="622" t="s">
        <v>356</v>
      </c>
      <c r="H2087" s="622" t="s">
        <v>670</v>
      </c>
      <c r="I2087" s="622" t="s">
        <v>277</v>
      </c>
      <c r="J2087" s="622" t="s">
        <v>524</v>
      </c>
      <c r="K2087" s="622" t="s">
        <v>303</v>
      </c>
      <c r="L2087" s="622" t="s">
        <v>600</v>
      </c>
      <c r="M2087" s="622" t="s">
        <v>285</v>
      </c>
      <c r="N2087" s="622" t="s">
        <v>670</v>
      </c>
      <c r="O2087" s="622" t="s">
        <v>670</v>
      </c>
      <c r="P2087" s="622" t="s">
        <v>524</v>
      </c>
      <c r="Q2087" s="622" t="s">
        <v>670</v>
      </c>
      <c r="R2087" s="623">
        <v>45993</v>
      </c>
      <c r="S2087" s="622" t="s">
        <v>670</v>
      </c>
      <c r="T2087" s="623">
        <v>45991</v>
      </c>
      <c r="U2087" s="624">
        <v>0</v>
      </c>
      <c r="V2087" s="625">
        <v>2.37</v>
      </c>
      <c r="W2087" s="260">
        <v>45962</v>
      </c>
    </row>
    <row r="2088" spans="1:23" hidden="1" x14ac:dyDescent="0.35">
      <c r="A2088" s="622" t="s">
        <v>526</v>
      </c>
      <c r="B2088" s="622" t="s">
        <v>53</v>
      </c>
      <c r="C2088" s="622" t="s">
        <v>302</v>
      </c>
      <c r="D2088" s="622" t="s">
        <v>343</v>
      </c>
      <c r="E2088" s="622" t="s">
        <v>293</v>
      </c>
      <c r="F2088" s="622" t="s">
        <v>276</v>
      </c>
      <c r="G2088" s="622" t="s">
        <v>356</v>
      </c>
      <c r="H2088" s="622" t="s">
        <v>670</v>
      </c>
      <c r="I2088" s="622" t="s">
        <v>277</v>
      </c>
      <c r="J2088" s="622" t="s">
        <v>524</v>
      </c>
      <c r="K2088" s="622" t="s">
        <v>303</v>
      </c>
      <c r="L2088" s="622" t="s">
        <v>600</v>
      </c>
      <c r="M2088" s="622" t="s">
        <v>285</v>
      </c>
      <c r="N2088" s="622" t="s">
        <v>670</v>
      </c>
      <c r="O2088" s="622" t="s">
        <v>670</v>
      </c>
      <c r="P2088" s="622" t="s">
        <v>524</v>
      </c>
      <c r="Q2088" s="622" t="s">
        <v>670</v>
      </c>
      <c r="R2088" s="623">
        <v>45993</v>
      </c>
      <c r="S2088" s="622" t="s">
        <v>670</v>
      </c>
      <c r="T2088" s="623">
        <v>45991</v>
      </c>
      <c r="U2088" s="624">
        <v>0</v>
      </c>
      <c r="V2088" s="625">
        <v>8.75</v>
      </c>
      <c r="W2088" s="260">
        <v>45962</v>
      </c>
    </row>
    <row r="2089" spans="1:23" hidden="1" x14ac:dyDescent="0.35">
      <c r="A2089" s="622" t="s">
        <v>526</v>
      </c>
      <c r="B2089" s="622" t="s">
        <v>53</v>
      </c>
      <c r="C2089" s="622" t="s">
        <v>302</v>
      </c>
      <c r="D2089" s="622" t="s">
        <v>343</v>
      </c>
      <c r="E2089" s="622" t="s">
        <v>293</v>
      </c>
      <c r="F2089" s="622" t="s">
        <v>276</v>
      </c>
      <c r="G2089" s="622" t="s">
        <v>356</v>
      </c>
      <c r="H2089" s="622" t="s">
        <v>670</v>
      </c>
      <c r="I2089" s="622" t="s">
        <v>277</v>
      </c>
      <c r="J2089" s="622" t="s">
        <v>524</v>
      </c>
      <c r="K2089" s="622" t="s">
        <v>303</v>
      </c>
      <c r="L2089" s="622" t="s">
        <v>600</v>
      </c>
      <c r="M2089" s="622" t="s">
        <v>285</v>
      </c>
      <c r="N2089" s="622" t="s">
        <v>670</v>
      </c>
      <c r="O2089" s="622" t="s">
        <v>670</v>
      </c>
      <c r="P2089" s="622" t="s">
        <v>524</v>
      </c>
      <c r="Q2089" s="622" t="s">
        <v>670</v>
      </c>
      <c r="R2089" s="623">
        <v>45993</v>
      </c>
      <c r="S2089" s="622" t="s">
        <v>670</v>
      </c>
      <c r="T2089" s="623">
        <v>45991</v>
      </c>
      <c r="U2089" s="624">
        <v>0</v>
      </c>
      <c r="V2089" s="625">
        <v>2.99</v>
      </c>
      <c r="W2089" s="260">
        <v>45962</v>
      </c>
    </row>
    <row r="2090" spans="1:23" hidden="1" x14ac:dyDescent="0.35">
      <c r="A2090" s="622" t="s">
        <v>526</v>
      </c>
      <c r="B2090" s="622" t="s">
        <v>53</v>
      </c>
      <c r="C2090" s="622" t="s">
        <v>302</v>
      </c>
      <c r="D2090" s="622" t="s">
        <v>344</v>
      </c>
      <c r="E2090" s="622" t="s">
        <v>296</v>
      </c>
      <c r="F2090" s="622" t="s">
        <v>276</v>
      </c>
      <c r="G2090" s="622" t="s">
        <v>356</v>
      </c>
      <c r="H2090" s="622" t="s">
        <v>670</v>
      </c>
      <c r="I2090" s="622" t="s">
        <v>277</v>
      </c>
      <c r="J2090" s="622" t="s">
        <v>524</v>
      </c>
      <c r="K2090" s="622" t="s">
        <v>303</v>
      </c>
      <c r="L2090" s="622" t="s">
        <v>600</v>
      </c>
      <c r="M2090" s="622" t="s">
        <v>285</v>
      </c>
      <c r="N2090" s="622" t="s">
        <v>670</v>
      </c>
      <c r="O2090" s="622" t="s">
        <v>670</v>
      </c>
      <c r="P2090" s="622" t="s">
        <v>524</v>
      </c>
      <c r="Q2090" s="622" t="s">
        <v>670</v>
      </c>
      <c r="R2090" s="623">
        <v>45993</v>
      </c>
      <c r="S2090" s="622" t="s">
        <v>670</v>
      </c>
      <c r="T2090" s="623">
        <v>45991</v>
      </c>
      <c r="U2090" s="624">
        <v>0</v>
      </c>
      <c r="V2090" s="625">
        <v>18.72</v>
      </c>
      <c r="W2090" s="260">
        <v>45962</v>
      </c>
    </row>
    <row r="2091" spans="1:23" hidden="1" x14ac:dyDescent="0.35">
      <c r="A2091" s="622" t="s">
        <v>526</v>
      </c>
      <c r="B2091" s="622" t="s">
        <v>53</v>
      </c>
      <c r="C2091" s="622" t="s">
        <v>302</v>
      </c>
      <c r="D2091" s="622" t="s">
        <v>344</v>
      </c>
      <c r="E2091" s="622" t="s">
        <v>296</v>
      </c>
      <c r="F2091" s="622" t="s">
        <v>276</v>
      </c>
      <c r="G2091" s="622" t="s">
        <v>356</v>
      </c>
      <c r="H2091" s="622" t="s">
        <v>670</v>
      </c>
      <c r="I2091" s="622" t="s">
        <v>277</v>
      </c>
      <c r="J2091" s="622" t="s">
        <v>524</v>
      </c>
      <c r="K2091" s="622" t="s">
        <v>303</v>
      </c>
      <c r="L2091" s="622" t="s">
        <v>600</v>
      </c>
      <c r="M2091" s="622" t="s">
        <v>285</v>
      </c>
      <c r="N2091" s="622" t="s">
        <v>670</v>
      </c>
      <c r="O2091" s="622" t="s">
        <v>670</v>
      </c>
      <c r="P2091" s="622" t="s">
        <v>524</v>
      </c>
      <c r="Q2091" s="622" t="s">
        <v>670</v>
      </c>
      <c r="R2091" s="623">
        <v>45993</v>
      </c>
      <c r="S2091" s="622" t="s">
        <v>670</v>
      </c>
      <c r="T2091" s="623">
        <v>45991</v>
      </c>
      <c r="U2091" s="624">
        <v>0</v>
      </c>
      <c r="V2091" s="625">
        <v>7.09</v>
      </c>
      <c r="W2091" s="260">
        <v>45962</v>
      </c>
    </row>
    <row r="2092" spans="1:23" hidden="1" x14ac:dyDescent="0.35">
      <c r="A2092" s="622" t="s">
        <v>526</v>
      </c>
      <c r="B2092" s="622" t="s">
        <v>159</v>
      </c>
      <c r="C2092" s="622" t="s">
        <v>542</v>
      </c>
      <c r="D2092" s="622" t="s">
        <v>543</v>
      </c>
      <c r="E2092" s="622" t="s">
        <v>544</v>
      </c>
      <c r="F2092" s="622" t="s">
        <v>276</v>
      </c>
      <c r="G2092" s="622" t="s">
        <v>356</v>
      </c>
      <c r="H2092" s="622" t="s">
        <v>670</v>
      </c>
      <c r="I2092" s="622" t="s">
        <v>277</v>
      </c>
      <c r="J2092" s="622" t="s">
        <v>528</v>
      </c>
      <c r="K2092" s="622" t="s">
        <v>545</v>
      </c>
      <c r="L2092" s="622" t="s">
        <v>602</v>
      </c>
      <c r="M2092" s="622" t="s">
        <v>285</v>
      </c>
      <c r="N2092" s="622" t="s">
        <v>670</v>
      </c>
      <c r="O2092" s="622" t="s">
        <v>670</v>
      </c>
      <c r="P2092" s="622" t="s">
        <v>528</v>
      </c>
      <c r="Q2092" s="622" t="s">
        <v>670</v>
      </c>
      <c r="R2092" s="623">
        <v>46024</v>
      </c>
      <c r="S2092" s="622" t="s">
        <v>670</v>
      </c>
      <c r="T2092" s="623">
        <v>46022</v>
      </c>
      <c r="U2092" s="624">
        <v>0</v>
      </c>
      <c r="V2092" s="625">
        <v>-93.99</v>
      </c>
      <c r="W2092" s="260">
        <v>45992</v>
      </c>
    </row>
    <row r="2093" spans="1:23" hidden="1" x14ac:dyDescent="0.35">
      <c r="A2093" s="622" t="s">
        <v>526</v>
      </c>
      <c r="B2093" s="622" t="s">
        <v>159</v>
      </c>
      <c r="C2093" s="622" t="s">
        <v>546</v>
      </c>
      <c r="D2093" s="622" t="s">
        <v>547</v>
      </c>
      <c r="E2093" s="622" t="s">
        <v>548</v>
      </c>
      <c r="F2093" s="622" t="s">
        <v>276</v>
      </c>
      <c r="G2093" s="622" t="s">
        <v>356</v>
      </c>
      <c r="H2093" s="622" t="s">
        <v>670</v>
      </c>
      <c r="I2093" s="622" t="s">
        <v>277</v>
      </c>
      <c r="J2093" s="622" t="s">
        <v>528</v>
      </c>
      <c r="K2093" s="622" t="s">
        <v>549</v>
      </c>
      <c r="L2093" s="622" t="s">
        <v>602</v>
      </c>
      <c r="M2093" s="622" t="s">
        <v>285</v>
      </c>
      <c r="N2093" s="622" t="s">
        <v>670</v>
      </c>
      <c r="O2093" s="622" t="s">
        <v>670</v>
      </c>
      <c r="P2093" s="622" t="s">
        <v>528</v>
      </c>
      <c r="Q2093" s="622" t="s">
        <v>670</v>
      </c>
      <c r="R2093" s="623">
        <v>46024</v>
      </c>
      <c r="S2093" s="622" t="s">
        <v>670</v>
      </c>
      <c r="T2093" s="623">
        <v>46022</v>
      </c>
      <c r="U2093" s="624">
        <v>0</v>
      </c>
      <c r="V2093" s="625">
        <v>-263.63</v>
      </c>
      <c r="W2093" s="260">
        <v>45992</v>
      </c>
    </row>
    <row r="2094" spans="1:23" hidden="1" x14ac:dyDescent="0.35">
      <c r="A2094" s="622" t="s">
        <v>526</v>
      </c>
      <c r="B2094" s="622" t="s">
        <v>159</v>
      </c>
      <c r="C2094" s="622" t="s">
        <v>542</v>
      </c>
      <c r="D2094" s="622" t="s">
        <v>550</v>
      </c>
      <c r="E2094" s="622" t="s">
        <v>551</v>
      </c>
      <c r="F2094" s="622" t="s">
        <v>276</v>
      </c>
      <c r="G2094" s="622" t="s">
        <v>356</v>
      </c>
      <c r="H2094" s="622" t="s">
        <v>670</v>
      </c>
      <c r="I2094" s="622" t="s">
        <v>277</v>
      </c>
      <c r="J2094" s="622" t="s">
        <v>528</v>
      </c>
      <c r="K2094" s="622" t="s">
        <v>545</v>
      </c>
      <c r="L2094" s="622" t="s">
        <v>602</v>
      </c>
      <c r="M2094" s="622" t="s">
        <v>285</v>
      </c>
      <c r="N2094" s="622" t="s">
        <v>670</v>
      </c>
      <c r="O2094" s="622" t="s">
        <v>670</v>
      </c>
      <c r="P2094" s="622" t="s">
        <v>528</v>
      </c>
      <c r="Q2094" s="622" t="s">
        <v>670</v>
      </c>
      <c r="R2094" s="623">
        <v>46024</v>
      </c>
      <c r="S2094" s="622" t="s">
        <v>670</v>
      </c>
      <c r="T2094" s="623">
        <v>46022</v>
      </c>
      <c r="U2094" s="624">
        <v>0</v>
      </c>
      <c r="V2094" s="625">
        <v>-60.74</v>
      </c>
      <c r="W2094" s="260">
        <v>45992</v>
      </c>
    </row>
    <row r="2095" spans="1:23" hidden="1" x14ac:dyDescent="0.35">
      <c r="A2095" s="622" t="s">
        <v>526</v>
      </c>
      <c r="B2095" s="622" t="s">
        <v>159</v>
      </c>
      <c r="C2095" s="622" t="s">
        <v>542</v>
      </c>
      <c r="D2095" s="622" t="s">
        <v>552</v>
      </c>
      <c r="E2095" s="622" t="s">
        <v>553</v>
      </c>
      <c r="F2095" s="622" t="s">
        <v>276</v>
      </c>
      <c r="G2095" s="622" t="s">
        <v>356</v>
      </c>
      <c r="H2095" s="622" t="s">
        <v>670</v>
      </c>
      <c r="I2095" s="622" t="s">
        <v>277</v>
      </c>
      <c r="J2095" s="622" t="s">
        <v>528</v>
      </c>
      <c r="K2095" s="622" t="s">
        <v>554</v>
      </c>
      <c r="L2095" s="622" t="s">
        <v>602</v>
      </c>
      <c r="M2095" s="622" t="s">
        <v>285</v>
      </c>
      <c r="N2095" s="622" t="s">
        <v>670</v>
      </c>
      <c r="O2095" s="622" t="s">
        <v>670</v>
      </c>
      <c r="P2095" s="622" t="s">
        <v>528</v>
      </c>
      <c r="Q2095" s="622" t="s">
        <v>670</v>
      </c>
      <c r="R2095" s="623">
        <v>46024</v>
      </c>
      <c r="S2095" s="622" t="s">
        <v>670</v>
      </c>
      <c r="T2095" s="623">
        <v>46022</v>
      </c>
      <c r="U2095" s="624">
        <v>0</v>
      </c>
      <c r="V2095" s="625">
        <v>-67.150000000000006</v>
      </c>
      <c r="W2095" s="260">
        <v>45992</v>
      </c>
    </row>
    <row r="2096" spans="1:23" hidden="1" x14ac:dyDescent="0.35">
      <c r="A2096" s="622" t="s">
        <v>526</v>
      </c>
      <c r="B2096" s="622" t="s">
        <v>159</v>
      </c>
      <c r="C2096" s="622" t="s">
        <v>546</v>
      </c>
      <c r="D2096" s="622" t="s">
        <v>555</v>
      </c>
      <c r="E2096" s="622" t="s">
        <v>556</v>
      </c>
      <c r="F2096" s="622" t="s">
        <v>276</v>
      </c>
      <c r="G2096" s="622" t="s">
        <v>356</v>
      </c>
      <c r="H2096" s="622" t="s">
        <v>670</v>
      </c>
      <c r="I2096" s="622" t="s">
        <v>277</v>
      </c>
      <c r="J2096" s="622" t="s">
        <v>528</v>
      </c>
      <c r="K2096" s="622" t="s">
        <v>557</v>
      </c>
      <c r="L2096" s="622" t="s">
        <v>602</v>
      </c>
      <c r="M2096" s="622" t="s">
        <v>285</v>
      </c>
      <c r="N2096" s="622" t="s">
        <v>670</v>
      </c>
      <c r="O2096" s="622" t="s">
        <v>670</v>
      </c>
      <c r="P2096" s="622" t="s">
        <v>528</v>
      </c>
      <c r="Q2096" s="622" t="s">
        <v>670</v>
      </c>
      <c r="R2096" s="623">
        <v>46024</v>
      </c>
      <c r="S2096" s="622" t="s">
        <v>670</v>
      </c>
      <c r="T2096" s="623">
        <v>46022</v>
      </c>
      <c r="U2096" s="624">
        <v>0</v>
      </c>
      <c r="V2096" s="625">
        <v>-143.72999999999999</v>
      </c>
      <c r="W2096" s="260">
        <v>45992</v>
      </c>
    </row>
    <row r="2097" spans="1:24" hidden="1" x14ac:dyDescent="0.35">
      <c r="A2097" s="622" t="s">
        <v>526</v>
      </c>
      <c r="B2097" s="622" t="s">
        <v>159</v>
      </c>
      <c r="C2097" s="622" t="s">
        <v>542</v>
      </c>
      <c r="D2097" s="622" t="s">
        <v>560</v>
      </c>
      <c r="E2097" s="622" t="s">
        <v>544</v>
      </c>
      <c r="F2097" s="622" t="s">
        <v>276</v>
      </c>
      <c r="G2097" s="622" t="s">
        <v>356</v>
      </c>
      <c r="H2097" s="622" t="s">
        <v>670</v>
      </c>
      <c r="I2097" s="622" t="s">
        <v>277</v>
      </c>
      <c r="J2097" s="622" t="s">
        <v>528</v>
      </c>
      <c r="K2097" s="622" t="s">
        <v>545</v>
      </c>
      <c r="L2097" s="622" t="s">
        <v>602</v>
      </c>
      <c r="M2097" s="622" t="s">
        <v>285</v>
      </c>
      <c r="N2097" s="622" t="s">
        <v>670</v>
      </c>
      <c r="O2097" s="622" t="s">
        <v>670</v>
      </c>
      <c r="P2097" s="622" t="s">
        <v>528</v>
      </c>
      <c r="Q2097" s="622" t="s">
        <v>670</v>
      </c>
      <c r="R2097" s="623">
        <v>46024</v>
      </c>
      <c r="S2097" s="622" t="s">
        <v>670</v>
      </c>
      <c r="T2097" s="623">
        <v>46022</v>
      </c>
      <c r="U2097" s="624">
        <v>0</v>
      </c>
      <c r="V2097" s="625">
        <v>17.87</v>
      </c>
      <c r="W2097" s="260">
        <v>45992</v>
      </c>
    </row>
    <row r="2098" spans="1:24" hidden="1" x14ac:dyDescent="0.35">
      <c r="A2098" s="622" t="s">
        <v>526</v>
      </c>
      <c r="B2098" s="622" t="s">
        <v>159</v>
      </c>
      <c r="C2098" s="622" t="s">
        <v>546</v>
      </c>
      <c r="D2098" s="622" t="s">
        <v>561</v>
      </c>
      <c r="E2098" s="622" t="s">
        <v>548</v>
      </c>
      <c r="F2098" s="622" t="s">
        <v>276</v>
      </c>
      <c r="G2098" s="622" t="s">
        <v>356</v>
      </c>
      <c r="H2098" s="622" t="s">
        <v>670</v>
      </c>
      <c r="I2098" s="622" t="s">
        <v>277</v>
      </c>
      <c r="J2098" s="622" t="s">
        <v>528</v>
      </c>
      <c r="K2098" s="622" t="s">
        <v>549</v>
      </c>
      <c r="L2098" s="622" t="s">
        <v>602</v>
      </c>
      <c r="M2098" s="622" t="s">
        <v>285</v>
      </c>
      <c r="N2098" s="622" t="s">
        <v>670</v>
      </c>
      <c r="O2098" s="622" t="s">
        <v>670</v>
      </c>
      <c r="P2098" s="622" t="s">
        <v>528</v>
      </c>
      <c r="Q2098" s="622" t="s">
        <v>670</v>
      </c>
      <c r="R2098" s="623">
        <v>46024</v>
      </c>
      <c r="S2098" s="622" t="s">
        <v>670</v>
      </c>
      <c r="T2098" s="623">
        <v>46022</v>
      </c>
      <c r="U2098" s="624">
        <v>0</v>
      </c>
      <c r="V2098" s="625">
        <v>-6.74</v>
      </c>
      <c r="W2098" s="260">
        <v>45992</v>
      </c>
    </row>
    <row r="2099" spans="1:24" hidden="1" x14ac:dyDescent="0.35">
      <c r="A2099" s="622" t="s">
        <v>526</v>
      </c>
      <c r="B2099" s="622" t="s">
        <v>159</v>
      </c>
      <c r="C2099" s="622" t="s">
        <v>542</v>
      </c>
      <c r="D2099" s="622" t="s">
        <v>562</v>
      </c>
      <c r="E2099" s="622" t="s">
        <v>551</v>
      </c>
      <c r="F2099" s="622" t="s">
        <v>276</v>
      </c>
      <c r="G2099" s="622" t="s">
        <v>356</v>
      </c>
      <c r="H2099" s="622" t="s">
        <v>670</v>
      </c>
      <c r="I2099" s="622" t="s">
        <v>277</v>
      </c>
      <c r="J2099" s="622" t="s">
        <v>528</v>
      </c>
      <c r="K2099" s="622" t="s">
        <v>545</v>
      </c>
      <c r="L2099" s="622" t="s">
        <v>602</v>
      </c>
      <c r="M2099" s="622" t="s">
        <v>285</v>
      </c>
      <c r="N2099" s="622" t="s">
        <v>670</v>
      </c>
      <c r="O2099" s="622" t="s">
        <v>670</v>
      </c>
      <c r="P2099" s="622" t="s">
        <v>528</v>
      </c>
      <c r="Q2099" s="622" t="s">
        <v>670</v>
      </c>
      <c r="R2099" s="623">
        <v>46024</v>
      </c>
      <c r="S2099" s="622" t="s">
        <v>670</v>
      </c>
      <c r="T2099" s="623">
        <v>46022</v>
      </c>
      <c r="U2099" s="624">
        <v>0</v>
      </c>
      <c r="V2099" s="625">
        <v>16.940000000000001</v>
      </c>
      <c r="W2099" s="260">
        <v>45992</v>
      </c>
    </row>
    <row r="2100" spans="1:24" hidden="1" x14ac:dyDescent="0.35">
      <c r="A2100" s="622" t="s">
        <v>526</v>
      </c>
      <c r="B2100" s="622" t="s">
        <v>159</v>
      </c>
      <c r="C2100" s="622" t="s">
        <v>542</v>
      </c>
      <c r="D2100" s="622" t="s">
        <v>563</v>
      </c>
      <c r="E2100" s="622" t="s">
        <v>553</v>
      </c>
      <c r="F2100" s="622" t="s">
        <v>276</v>
      </c>
      <c r="G2100" s="622" t="s">
        <v>356</v>
      </c>
      <c r="H2100" s="622" t="s">
        <v>670</v>
      </c>
      <c r="I2100" s="622" t="s">
        <v>277</v>
      </c>
      <c r="J2100" s="622" t="s">
        <v>528</v>
      </c>
      <c r="K2100" s="622" t="s">
        <v>554</v>
      </c>
      <c r="L2100" s="622" t="s">
        <v>602</v>
      </c>
      <c r="M2100" s="622" t="s">
        <v>285</v>
      </c>
      <c r="N2100" s="622" t="s">
        <v>670</v>
      </c>
      <c r="O2100" s="622" t="s">
        <v>670</v>
      </c>
      <c r="P2100" s="622" t="s">
        <v>528</v>
      </c>
      <c r="Q2100" s="622" t="s">
        <v>670</v>
      </c>
      <c r="R2100" s="623">
        <v>46024</v>
      </c>
      <c r="S2100" s="622" t="s">
        <v>670</v>
      </c>
      <c r="T2100" s="623">
        <v>46022</v>
      </c>
      <c r="U2100" s="624">
        <v>0</v>
      </c>
      <c r="V2100" s="625">
        <v>19.690000000000001</v>
      </c>
      <c r="W2100" s="260">
        <v>45992</v>
      </c>
    </row>
    <row r="2101" spans="1:24" hidden="1" x14ac:dyDescent="0.35">
      <c r="A2101" s="622" t="s">
        <v>526</v>
      </c>
      <c r="B2101" s="622" t="s">
        <v>159</v>
      </c>
      <c r="C2101" s="622" t="s">
        <v>546</v>
      </c>
      <c r="D2101" s="622" t="s">
        <v>564</v>
      </c>
      <c r="E2101" s="622" t="s">
        <v>556</v>
      </c>
      <c r="F2101" s="622" t="s">
        <v>276</v>
      </c>
      <c r="G2101" s="622" t="s">
        <v>356</v>
      </c>
      <c r="H2101" s="622" t="s">
        <v>670</v>
      </c>
      <c r="I2101" s="622" t="s">
        <v>277</v>
      </c>
      <c r="J2101" s="622" t="s">
        <v>528</v>
      </c>
      <c r="K2101" s="622" t="s">
        <v>557</v>
      </c>
      <c r="L2101" s="622" t="s">
        <v>602</v>
      </c>
      <c r="M2101" s="622" t="s">
        <v>285</v>
      </c>
      <c r="N2101" s="622" t="s">
        <v>670</v>
      </c>
      <c r="O2101" s="622" t="s">
        <v>670</v>
      </c>
      <c r="P2101" s="622" t="s">
        <v>528</v>
      </c>
      <c r="Q2101" s="622" t="s">
        <v>670</v>
      </c>
      <c r="R2101" s="623">
        <v>46024</v>
      </c>
      <c r="S2101" s="622" t="s">
        <v>670</v>
      </c>
      <c r="T2101" s="623">
        <v>46022</v>
      </c>
      <c r="U2101" s="624">
        <v>0</v>
      </c>
      <c r="V2101" s="625">
        <v>15.62</v>
      </c>
      <c r="W2101" s="260">
        <v>45992</v>
      </c>
    </row>
    <row r="2102" spans="1:24" hidden="1" x14ac:dyDescent="0.35">
      <c r="A2102" s="622" t="s">
        <v>526</v>
      </c>
      <c r="B2102" s="622" t="s">
        <v>159</v>
      </c>
      <c r="C2102" s="622" t="s">
        <v>834</v>
      </c>
      <c r="D2102" s="622" t="s">
        <v>835</v>
      </c>
      <c r="E2102" s="622" t="s">
        <v>836</v>
      </c>
      <c r="F2102" s="622" t="s">
        <v>276</v>
      </c>
      <c r="G2102" s="622" t="s">
        <v>356</v>
      </c>
      <c r="H2102" s="622" t="s">
        <v>837</v>
      </c>
      <c r="I2102" s="622" t="s">
        <v>277</v>
      </c>
      <c r="J2102" s="622" t="s">
        <v>528</v>
      </c>
      <c r="K2102" s="622" t="s">
        <v>838</v>
      </c>
      <c r="L2102" s="622" t="s">
        <v>602</v>
      </c>
      <c r="M2102" s="622" t="s">
        <v>839</v>
      </c>
      <c r="N2102" s="622" t="s">
        <v>670</v>
      </c>
      <c r="O2102" s="622" t="s">
        <v>670</v>
      </c>
      <c r="P2102" s="622" t="s">
        <v>528</v>
      </c>
      <c r="Q2102" s="622" t="s">
        <v>670</v>
      </c>
      <c r="R2102" s="623">
        <v>45966</v>
      </c>
      <c r="S2102" s="622" t="s">
        <v>278</v>
      </c>
      <c r="T2102" s="623">
        <v>46007</v>
      </c>
      <c r="U2102" s="624">
        <v>-6</v>
      </c>
      <c r="V2102" s="625">
        <v>-561</v>
      </c>
      <c r="W2102" s="260">
        <v>45992</v>
      </c>
      <c r="X2102" s="845"/>
    </row>
    <row r="2103" spans="1:24" hidden="1" x14ac:dyDescent="0.35">
      <c r="A2103" s="622" t="s">
        <v>526</v>
      </c>
      <c r="B2103" s="622" t="s">
        <v>159</v>
      </c>
      <c r="C2103" s="622" t="s">
        <v>834</v>
      </c>
      <c r="D2103" s="622" t="s">
        <v>835</v>
      </c>
      <c r="E2103" s="622" t="s">
        <v>836</v>
      </c>
      <c r="F2103" s="622" t="s">
        <v>276</v>
      </c>
      <c r="G2103" s="622" t="s">
        <v>356</v>
      </c>
      <c r="H2103" s="622" t="s">
        <v>837</v>
      </c>
      <c r="I2103" s="622" t="s">
        <v>277</v>
      </c>
      <c r="J2103" s="622" t="s">
        <v>528</v>
      </c>
      <c r="K2103" s="622" t="s">
        <v>838</v>
      </c>
      <c r="L2103" s="622" t="s">
        <v>602</v>
      </c>
      <c r="M2103" s="622" t="s">
        <v>839</v>
      </c>
      <c r="N2103" s="622" t="s">
        <v>670</v>
      </c>
      <c r="O2103" s="622" t="s">
        <v>670</v>
      </c>
      <c r="P2103" s="622" t="s">
        <v>528</v>
      </c>
      <c r="Q2103" s="622" t="s">
        <v>670</v>
      </c>
      <c r="R2103" s="623">
        <v>45965</v>
      </c>
      <c r="S2103" s="622" t="s">
        <v>278</v>
      </c>
      <c r="T2103" s="623">
        <v>46007</v>
      </c>
      <c r="U2103" s="624">
        <v>-4</v>
      </c>
      <c r="V2103" s="625">
        <v>-374</v>
      </c>
      <c r="W2103" s="260">
        <v>45992</v>
      </c>
      <c r="X2103" s="845"/>
    </row>
    <row r="2104" spans="1:24" hidden="1" x14ac:dyDescent="0.35">
      <c r="A2104" s="622" t="s">
        <v>526</v>
      </c>
      <c r="B2104" s="622" t="s">
        <v>159</v>
      </c>
      <c r="C2104" s="622" t="s">
        <v>834</v>
      </c>
      <c r="D2104" s="622" t="s">
        <v>835</v>
      </c>
      <c r="E2104" s="622" t="s">
        <v>836</v>
      </c>
      <c r="F2104" s="622" t="s">
        <v>276</v>
      </c>
      <c r="G2104" s="622" t="s">
        <v>356</v>
      </c>
      <c r="H2104" s="868" t="s">
        <v>837</v>
      </c>
      <c r="I2104" s="622" t="s">
        <v>277</v>
      </c>
      <c r="J2104" s="622" t="s">
        <v>528</v>
      </c>
      <c r="K2104" s="622" t="s">
        <v>838</v>
      </c>
      <c r="L2104" s="622" t="s">
        <v>602</v>
      </c>
      <c r="M2104" s="622" t="s">
        <v>839</v>
      </c>
      <c r="N2104" s="622" t="s">
        <v>670</v>
      </c>
      <c r="O2104" s="622" t="s">
        <v>670</v>
      </c>
      <c r="P2104" s="622" t="s">
        <v>528</v>
      </c>
      <c r="Q2104" s="622" t="s">
        <v>670</v>
      </c>
      <c r="R2104" s="623">
        <v>45964</v>
      </c>
      <c r="S2104" s="622" t="s">
        <v>278</v>
      </c>
      <c r="T2104" s="623">
        <v>46007</v>
      </c>
      <c r="U2104" s="624">
        <v>-4</v>
      </c>
      <c r="V2104" s="625">
        <v>-374</v>
      </c>
      <c r="W2104" s="260">
        <v>45992</v>
      </c>
      <c r="X2104" s="845"/>
    </row>
    <row r="2105" spans="1:24" hidden="1" x14ac:dyDescent="0.35">
      <c r="A2105" s="622" t="s">
        <v>526</v>
      </c>
      <c r="B2105" s="622" t="s">
        <v>159</v>
      </c>
      <c r="C2105" s="622" t="s">
        <v>848</v>
      </c>
      <c r="D2105" s="622" t="s">
        <v>849</v>
      </c>
      <c r="E2105" s="622" t="s">
        <v>850</v>
      </c>
      <c r="F2105" s="622" t="s">
        <v>276</v>
      </c>
      <c r="G2105" s="622" t="s">
        <v>356</v>
      </c>
      <c r="H2105" s="622" t="s">
        <v>851</v>
      </c>
      <c r="I2105" s="622" t="s">
        <v>277</v>
      </c>
      <c r="J2105" s="622" t="s">
        <v>528</v>
      </c>
      <c r="K2105" s="622" t="s">
        <v>852</v>
      </c>
      <c r="L2105" s="622" t="s">
        <v>602</v>
      </c>
      <c r="M2105" s="622" t="s">
        <v>853</v>
      </c>
      <c r="N2105" s="622" t="s">
        <v>670</v>
      </c>
      <c r="O2105" s="622" t="s">
        <v>670</v>
      </c>
      <c r="P2105" s="622" t="s">
        <v>528</v>
      </c>
      <c r="Q2105" s="622" t="s">
        <v>670</v>
      </c>
      <c r="R2105" s="623">
        <v>45996</v>
      </c>
      <c r="S2105" s="622" t="s">
        <v>278</v>
      </c>
      <c r="T2105" s="623">
        <v>46000</v>
      </c>
      <c r="U2105" s="624">
        <v>8</v>
      </c>
      <c r="V2105" s="625">
        <v>603.12</v>
      </c>
      <c r="W2105" s="260">
        <v>45992</v>
      </c>
      <c r="X2105" s="845"/>
    </row>
    <row r="2106" spans="1:24" hidden="1" x14ac:dyDescent="0.35">
      <c r="A2106" s="622" t="s">
        <v>526</v>
      </c>
      <c r="B2106" s="622" t="s">
        <v>159</v>
      </c>
      <c r="C2106" s="622" t="s">
        <v>848</v>
      </c>
      <c r="D2106" s="622" t="s">
        <v>849</v>
      </c>
      <c r="E2106" s="622" t="s">
        <v>850</v>
      </c>
      <c r="F2106" s="622" t="s">
        <v>276</v>
      </c>
      <c r="G2106" s="622" t="s">
        <v>356</v>
      </c>
      <c r="H2106" s="622" t="s">
        <v>854</v>
      </c>
      <c r="I2106" s="622" t="s">
        <v>277</v>
      </c>
      <c r="J2106" s="622" t="s">
        <v>528</v>
      </c>
      <c r="K2106" s="622" t="s">
        <v>852</v>
      </c>
      <c r="L2106" s="622" t="s">
        <v>602</v>
      </c>
      <c r="M2106" s="622" t="s">
        <v>855</v>
      </c>
      <c r="N2106" s="622" t="s">
        <v>670</v>
      </c>
      <c r="O2106" s="622" t="s">
        <v>670</v>
      </c>
      <c r="P2106" s="622" t="s">
        <v>528</v>
      </c>
      <c r="Q2106" s="622" t="s">
        <v>670</v>
      </c>
      <c r="R2106" s="623">
        <v>45995</v>
      </c>
      <c r="S2106" s="622" t="s">
        <v>278</v>
      </c>
      <c r="T2106" s="623">
        <v>46000</v>
      </c>
      <c r="U2106" s="624">
        <v>8</v>
      </c>
      <c r="V2106" s="625">
        <v>603.12</v>
      </c>
      <c r="W2106" s="260">
        <v>45992</v>
      </c>
      <c r="X2106" s="845"/>
    </row>
    <row r="2107" spans="1:24" hidden="1" x14ac:dyDescent="0.35">
      <c r="A2107" s="622" t="s">
        <v>526</v>
      </c>
      <c r="B2107" s="622" t="s">
        <v>159</v>
      </c>
      <c r="C2107" s="622" t="s">
        <v>848</v>
      </c>
      <c r="D2107" s="622" t="s">
        <v>849</v>
      </c>
      <c r="E2107" s="622" t="s">
        <v>850</v>
      </c>
      <c r="F2107" s="622" t="s">
        <v>276</v>
      </c>
      <c r="G2107" s="622" t="s">
        <v>356</v>
      </c>
      <c r="H2107" s="622" t="s">
        <v>856</v>
      </c>
      <c r="I2107" s="622" t="s">
        <v>277</v>
      </c>
      <c r="J2107" s="622" t="s">
        <v>528</v>
      </c>
      <c r="K2107" s="622" t="s">
        <v>852</v>
      </c>
      <c r="L2107" s="622" t="s">
        <v>602</v>
      </c>
      <c r="M2107" s="622" t="s">
        <v>857</v>
      </c>
      <c r="N2107" s="622" t="s">
        <v>670</v>
      </c>
      <c r="O2107" s="622" t="s">
        <v>670</v>
      </c>
      <c r="P2107" s="622" t="s">
        <v>528</v>
      </c>
      <c r="Q2107" s="622" t="s">
        <v>670</v>
      </c>
      <c r="R2107" s="623">
        <v>45992</v>
      </c>
      <c r="S2107" s="622" t="s">
        <v>278</v>
      </c>
      <c r="T2107" s="623">
        <v>46000</v>
      </c>
      <c r="U2107" s="624">
        <v>8</v>
      </c>
      <c r="V2107" s="625">
        <v>603.12</v>
      </c>
      <c r="W2107" s="260">
        <v>45992</v>
      </c>
      <c r="X2107" s="845"/>
    </row>
    <row r="2108" spans="1:24" hidden="1" x14ac:dyDescent="0.35">
      <c r="A2108" s="622" t="s">
        <v>526</v>
      </c>
      <c r="B2108" s="622" t="s">
        <v>159</v>
      </c>
      <c r="C2108" s="622" t="s">
        <v>848</v>
      </c>
      <c r="D2108" s="622" t="s">
        <v>849</v>
      </c>
      <c r="E2108" s="622" t="s">
        <v>850</v>
      </c>
      <c r="F2108" s="622" t="s">
        <v>276</v>
      </c>
      <c r="G2108" s="622" t="s">
        <v>356</v>
      </c>
      <c r="H2108" s="622" t="s">
        <v>854</v>
      </c>
      <c r="I2108" s="622" t="s">
        <v>277</v>
      </c>
      <c r="J2108" s="622" t="s">
        <v>528</v>
      </c>
      <c r="K2108" s="622" t="s">
        <v>852</v>
      </c>
      <c r="L2108" s="622" t="s">
        <v>602</v>
      </c>
      <c r="M2108" s="622" t="s">
        <v>855</v>
      </c>
      <c r="N2108" s="622" t="s">
        <v>670</v>
      </c>
      <c r="O2108" s="622" t="s">
        <v>670</v>
      </c>
      <c r="P2108" s="622" t="s">
        <v>528</v>
      </c>
      <c r="Q2108" s="622" t="s">
        <v>670</v>
      </c>
      <c r="R2108" s="623">
        <v>45993</v>
      </c>
      <c r="S2108" s="622" t="s">
        <v>278</v>
      </c>
      <c r="T2108" s="623">
        <v>46000</v>
      </c>
      <c r="U2108" s="624">
        <v>8</v>
      </c>
      <c r="V2108" s="625">
        <v>603.12</v>
      </c>
      <c r="W2108" s="260">
        <v>45992</v>
      </c>
      <c r="X2108" s="845"/>
    </row>
    <row r="2109" spans="1:24" hidden="1" x14ac:dyDescent="0.35">
      <c r="A2109" s="622" t="s">
        <v>526</v>
      </c>
      <c r="B2109" s="622" t="s">
        <v>159</v>
      </c>
      <c r="C2109" s="622" t="s">
        <v>848</v>
      </c>
      <c r="D2109" s="622" t="s">
        <v>849</v>
      </c>
      <c r="E2109" s="622" t="s">
        <v>850</v>
      </c>
      <c r="F2109" s="622" t="s">
        <v>276</v>
      </c>
      <c r="G2109" s="622" t="s">
        <v>356</v>
      </c>
      <c r="H2109" s="622" t="s">
        <v>854</v>
      </c>
      <c r="I2109" s="622" t="s">
        <v>277</v>
      </c>
      <c r="J2109" s="622" t="s">
        <v>528</v>
      </c>
      <c r="K2109" s="622" t="s">
        <v>852</v>
      </c>
      <c r="L2109" s="622" t="s">
        <v>602</v>
      </c>
      <c r="M2109" s="622" t="s">
        <v>855</v>
      </c>
      <c r="N2109" s="622" t="s">
        <v>670</v>
      </c>
      <c r="O2109" s="622" t="s">
        <v>670</v>
      </c>
      <c r="P2109" s="622" t="s">
        <v>528</v>
      </c>
      <c r="Q2109" s="622" t="s">
        <v>670</v>
      </c>
      <c r="R2109" s="623">
        <v>45992</v>
      </c>
      <c r="S2109" s="622" t="s">
        <v>278</v>
      </c>
      <c r="T2109" s="623">
        <v>46000</v>
      </c>
      <c r="U2109" s="624">
        <v>8</v>
      </c>
      <c r="V2109" s="625">
        <v>603.12</v>
      </c>
      <c r="W2109" s="260">
        <v>45992</v>
      </c>
      <c r="X2109" s="845"/>
    </row>
    <row r="2110" spans="1:24" hidden="1" x14ac:dyDescent="0.35">
      <c r="A2110" s="622" t="s">
        <v>526</v>
      </c>
      <c r="B2110" s="622" t="s">
        <v>159</v>
      </c>
      <c r="C2110" s="622" t="s">
        <v>848</v>
      </c>
      <c r="D2110" s="622" t="s">
        <v>849</v>
      </c>
      <c r="E2110" s="622" t="s">
        <v>850</v>
      </c>
      <c r="F2110" s="622" t="s">
        <v>276</v>
      </c>
      <c r="G2110" s="622" t="s">
        <v>356</v>
      </c>
      <c r="H2110" s="622" t="s">
        <v>851</v>
      </c>
      <c r="I2110" s="622" t="s">
        <v>277</v>
      </c>
      <c r="J2110" s="622" t="s">
        <v>528</v>
      </c>
      <c r="K2110" s="622" t="s">
        <v>852</v>
      </c>
      <c r="L2110" s="622" t="s">
        <v>602</v>
      </c>
      <c r="M2110" s="622" t="s">
        <v>853</v>
      </c>
      <c r="N2110" s="622" t="s">
        <v>670</v>
      </c>
      <c r="O2110" s="622" t="s">
        <v>670</v>
      </c>
      <c r="P2110" s="622" t="s">
        <v>528</v>
      </c>
      <c r="Q2110" s="622" t="s">
        <v>670</v>
      </c>
      <c r="R2110" s="623">
        <v>45995</v>
      </c>
      <c r="S2110" s="622" t="s">
        <v>278</v>
      </c>
      <c r="T2110" s="623">
        <v>46000</v>
      </c>
      <c r="U2110" s="624">
        <v>8</v>
      </c>
      <c r="V2110" s="625">
        <v>603.12</v>
      </c>
      <c r="W2110" s="260">
        <v>45992</v>
      </c>
      <c r="X2110" s="845"/>
    </row>
    <row r="2111" spans="1:24" hidden="1" x14ac:dyDescent="0.35">
      <c r="A2111" s="622" t="s">
        <v>526</v>
      </c>
      <c r="B2111" s="622" t="s">
        <v>159</v>
      </c>
      <c r="C2111" s="622" t="s">
        <v>848</v>
      </c>
      <c r="D2111" s="622" t="s">
        <v>849</v>
      </c>
      <c r="E2111" s="622" t="s">
        <v>850</v>
      </c>
      <c r="F2111" s="622" t="s">
        <v>276</v>
      </c>
      <c r="G2111" s="622" t="s">
        <v>356</v>
      </c>
      <c r="H2111" s="622" t="s">
        <v>854</v>
      </c>
      <c r="I2111" s="622" t="s">
        <v>277</v>
      </c>
      <c r="J2111" s="622" t="s">
        <v>528</v>
      </c>
      <c r="K2111" s="622" t="s">
        <v>852</v>
      </c>
      <c r="L2111" s="622" t="s">
        <v>602</v>
      </c>
      <c r="M2111" s="622" t="s">
        <v>855</v>
      </c>
      <c r="N2111" s="622" t="s">
        <v>670</v>
      </c>
      <c r="O2111" s="622" t="s">
        <v>670</v>
      </c>
      <c r="P2111" s="622" t="s">
        <v>528</v>
      </c>
      <c r="Q2111" s="622" t="s">
        <v>670</v>
      </c>
      <c r="R2111" s="623">
        <v>45996</v>
      </c>
      <c r="S2111" s="622" t="s">
        <v>278</v>
      </c>
      <c r="T2111" s="623">
        <v>46000</v>
      </c>
      <c r="U2111" s="624">
        <v>8</v>
      </c>
      <c r="V2111" s="625">
        <v>603.12</v>
      </c>
      <c r="W2111" s="260">
        <v>45992</v>
      </c>
      <c r="X2111" s="845"/>
    </row>
    <row r="2112" spans="1:24" hidden="1" x14ac:dyDescent="0.35">
      <c r="A2112" s="622" t="s">
        <v>526</v>
      </c>
      <c r="B2112" s="622" t="s">
        <v>159</v>
      </c>
      <c r="C2112" s="622" t="s">
        <v>848</v>
      </c>
      <c r="D2112" s="622" t="s">
        <v>849</v>
      </c>
      <c r="E2112" s="622" t="s">
        <v>850</v>
      </c>
      <c r="F2112" s="622" t="s">
        <v>276</v>
      </c>
      <c r="G2112" s="622" t="s">
        <v>356</v>
      </c>
      <c r="H2112" s="622" t="s">
        <v>854</v>
      </c>
      <c r="I2112" s="622" t="s">
        <v>277</v>
      </c>
      <c r="J2112" s="622" t="s">
        <v>528</v>
      </c>
      <c r="K2112" s="622" t="s">
        <v>852</v>
      </c>
      <c r="L2112" s="622" t="s">
        <v>602</v>
      </c>
      <c r="M2112" s="622" t="s">
        <v>855</v>
      </c>
      <c r="N2112" s="622" t="s">
        <v>670</v>
      </c>
      <c r="O2112" s="622" t="s">
        <v>670</v>
      </c>
      <c r="P2112" s="622" t="s">
        <v>528</v>
      </c>
      <c r="Q2112" s="622" t="s">
        <v>670</v>
      </c>
      <c r="R2112" s="623">
        <v>46000</v>
      </c>
      <c r="S2112" s="622" t="s">
        <v>278</v>
      </c>
      <c r="T2112" s="623">
        <v>46008</v>
      </c>
      <c r="U2112" s="624">
        <v>-8</v>
      </c>
      <c r="V2112" s="625">
        <v>-603.12</v>
      </c>
      <c r="W2112" s="260">
        <v>45992</v>
      </c>
      <c r="X2112" s="845"/>
    </row>
    <row r="2113" spans="1:24" hidden="1" x14ac:dyDescent="0.35">
      <c r="A2113" s="622" t="s">
        <v>526</v>
      </c>
      <c r="B2113" s="622" t="s">
        <v>159</v>
      </c>
      <c r="C2113" s="622" t="s">
        <v>848</v>
      </c>
      <c r="D2113" s="622" t="s">
        <v>849</v>
      </c>
      <c r="E2113" s="622" t="s">
        <v>850</v>
      </c>
      <c r="F2113" s="622" t="s">
        <v>276</v>
      </c>
      <c r="G2113" s="622" t="s">
        <v>356</v>
      </c>
      <c r="H2113" s="622" t="s">
        <v>854</v>
      </c>
      <c r="I2113" s="622" t="s">
        <v>277</v>
      </c>
      <c r="J2113" s="622" t="s">
        <v>528</v>
      </c>
      <c r="K2113" s="622" t="s">
        <v>852</v>
      </c>
      <c r="L2113" s="622" t="s">
        <v>602</v>
      </c>
      <c r="M2113" s="622" t="s">
        <v>855</v>
      </c>
      <c r="N2113" s="622" t="s">
        <v>670</v>
      </c>
      <c r="O2113" s="622" t="s">
        <v>670</v>
      </c>
      <c r="P2113" s="622" t="s">
        <v>528</v>
      </c>
      <c r="Q2113" s="622" t="s">
        <v>670</v>
      </c>
      <c r="R2113" s="623">
        <v>46000</v>
      </c>
      <c r="S2113" s="622" t="s">
        <v>278</v>
      </c>
      <c r="T2113" s="623">
        <v>46007</v>
      </c>
      <c r="U2113" s="624">
        <v>8</v>
      </c>
      <c r="V2113" s="625">
        <v>603.12</v>
      </c>
      <c r="W2113" s="260">
        <v>45992</v>
      </c>
      <c r="X2113" s="845"/>
    </row>
    <row r="2114" spans="1:24" hidden="1" x14ac:dyDescent="0.35">
      <c r="A2114" s="622" t="s">
        <v>526</v>
      </c>
      <c r="B2114" s="622" t="s">
        <v>159</v>
      </c>
      <c r="C2114" s="622" t="s">
        <v>848</v>
      </c>
      <c r="D2114" s="622" t="s">
        <v>849</v>
      </c>
      <c r="E2114" s="622" t="s">
        <v>850</v>
      </c>
      <c r="F2114" s="622" t="s">
        <v>276</v>
      </c>
      <c r="G2114" s="622" t="s">
        <v>356</v>
      </c>
      <c r="H2114" s="868" t="s">
        <v>854</v>
      </c>
      <c r="I2114" s="622" t="s">
        <v>277</v>
      </c>
      <c r="J2114" s="622" t="s">
        <v>528</v>
      </c>
      <c r="K2114" s="622" t="s">
        <v>852</v>
      </c>
      <c r="L2114" s="622" t="s">
        <v>602</v>
      </c>
      <c r="M2114" s="622" t="s">
        <v>855</v>
      </c>
      <c r="N2114" s="622" t="s">
        <v>670</v>
      </c>
      <c r="O2114" s="622" t="s">
        <v>670</v>
      </c>
      <c r="P2114" s="622" t="s">
        <v>528</v>
      </c>
      <c r="Q2114" s="622" t="s">
        <v>670</v>
      </c>
      <c r="R2114" s="623">
        <v>45999</v>
      </c>
      <c r="S2114" s="622" t="s">
        <v>278</v>
      </c>
      <c r="T2114" s="623">
        <v>46007</v>
      </c>
      <c r="U2114" s="624">
        <v>8</v>
      </c>
      <c r="V2114" s="625">
        <v>603.12</v>
      </c>
      <c r="W2114" s="260">
        <v>45992</v>
      </c>
      <c r="X2114" s="845"/>
    </row>
    <row r="2115" spans="1:24" hidden="1" x14ac:dyDescent="0.35">
      <c r="A2115" s="622" t="s">
        <v>526</v>
      </c>
      <c r="B2115" s="622" t="s">
        <v>159</v>
      </c>
      <c r="C2115" s="622" t="s">
        <v>848</v>
      </c>
      <c r="D2115" s="622" t="s">
        <v>849</v>
      </c>
      <c r="E2115" s="622" t="s">
        <v>850</v>
      </c>
      <c r="F2115" s="622" t="s">
        <v>276</v>
      </c>
      <c r="G2115" s="622" t="s">
        <v>356</v>
      </c>
      <c r="H2115" s="622" t="s">
        <v>854</v>
      </c>
      <c r="I2115" s="622" t="s">
        <v>277</v>
      </c>
      <c r="J2115" s="622" t="s">
        <v>528</v>
      </c>
      <c r="K2115" s="622" t="s">
        <v>852</v>
      </c>
      <c r="L2115" s="622" t="s">
        <v>602</v>
      </c>
      <c r="M2115" s="622" t="s">
        <v>855</v>
      </c>
      <c r="N2115" s="622" t="s">
        <v>670</v>
      </c>
      <c r="O2115" s="622" t="s">
        <v>670</v>
      </c>
      <c r="P2115" s="622" t="s">
        <v>528</v>
      </c>
      <c r="Q2115" s="622" t="s">
        <v>670</v>
      </c>
      <c r="R2115" s="623">
        <v>45996</v>
      </c>
      <c r="S2115" s="622" t="s">
        <v>278</v>
      </c>
      <c r="T2115" s="623">
        <v>46014</v>
      </c>
      <c r="U2115" s="624">
        <v>-8</v>
      </c>
      <c r="V2115" s="625">
        <v>-603.12</v>
      </c>
      <c r="W2115" s="260">
        <v>45992</v>
      </c>
      <c r="X2115" s="845"/>
    </row>
    <row r="2116" spans="1:24" hidden="1" x14ac:dyDescent="0.35">
      <c r="A2116" s="622" t="s">
        <v>526</v>
      </c>
      <c r="B2116" s="622" t="s">
        <v>159</v>
      </c>
      <c r="C2116" s="622" t="s">
        <v>848</v>
      </c>
      <c r="D2116" s="622" t="s">
        <v>849</v>
      </c>
      <c r="E2116" s="622" t="s">
        <v>850</v>
      </c>
      <c r="F2116" s="622" t="s">
        <v>276</v>
      </c>
      <c r="G2116" s="622" t="s">
        <v>356</v>
      </c>
      <c r="H2116" s="622" t="s">
        <v>854</v>
      </c>
      <c r="I2116" s="622" t="s">
        <v>277</v>
      </c>
      <c r="J2116" s="622" t="s">
        <v>528</v>
      </c>
      <c r="K2116" s="622" t="s">
        <v>852</v>
      </c>
      <c r="L2116" s="622" t="s">
        <v>602</v>
      </c>
      <c r="M2116" s="622" t="s">
        <v>855</v>
      </c>
      <c r="N2116" s="622" t="s">
        <v>670</v>
      </c>
      <c r="O2116" s="622" t="s">
        <v>670</v>
      </c>
      <c r="P2116" s="622" t="s">
        <v>528</v>
      </c>
      <c r="Q2116" s="622" t="s">
        <v>670</v>
      </c>
      <c r="R2116" s="623">
        <v>45999</v>
      </c>
      <c r="S2116" s="622" t="s">
        <v>278</v>
      </c>
      <c r="T2116" s="623">
        <v>46014</v>
      </c>
      <c r="U2116" s="624">
        <v>-8</v>
      </c>
      <c r="V2116" s="625">
        <v>-603.12</v>
      </c>
      <c r="W2116" s="260">
        <v>45992</v>
      </c>
      <c r="X2116" s="845"/>
    </row>
    <row r="2117" spans="1:24" hidden="1" x14ac:dyDescent="0.35">
      <c r="A2117" s="622" t="s">
        <v>526</v>
      </c>
      <c r="B2117" s="622" t="s">
        <v>159</v>
      </c>
      <c r="C2117" s="622" t="s">
        <v>848</v>
      </c>
      <c r="D2117" s="622" t="s">
        <v>849</v>
      </c>
      <c r="E2117" s="622" t="s">
        <v>850</v>
      </c>
      <c r="F2117" s="622" t="s">
        <v>276</v>
      </c>
      <c r="G2117" s="622" t="s">
        <v>356</v>
      </c>
      <c r="H2117" s="622" t="s">
        <v>851</v>
      </c>
      <c r="I2117" s="622" t="s">
        <v>277</v>
      </c>
      <c r="J2117" s="622" t="s">
        <v>528</v>
      </c>
      <c r="K2117" s="622" t="s">
        <v>852</v>
      </c>
      <c r="L2117" s="622" t="s">
        <v>602</v>
      </c>
      <c r="M2117" s="622" t="s">
        <v>853</v>
      </c>
      <c r="N2117" s="622" t="s">
        <v>670</v>
      </c>
      <c r="O2117" s="622" t="s">
        <v>670</v>
      </c>
      <c r="P2117" s="622" t="s">
        <v>528</v>
      </c>
      <c r="Q2117" s="622" t="s">
        <v>670</v>
      </c>
      <c r="R2117" s="623">
        <v>45996</v>
      </c>
      <c r="S2117" s="622" t="s">
        <v>278</v>
      </c>
      <c r="T2117" s="623">
        <v>46014</v>
      </c>
      <c r="U2117" s="624">
        <v>-8</v>
      </c>
      <c r="V2117" s="625">
        <v>-603.12</v>
      </c>
      <c r="W2117" s="260">
        <v>45992</v>
      </c>
      <c r="X2117" s="845"/>
    </row>
    <row r="2118" spans="1:24" hidden="1" x14ac:dyDescent="0.35">
      <c r="A2118" s="622" t="s">
        <v>526</v>
      </c>
      <c r="B2118" s="622" t="s">
        <v>159</v>
      </c>
      <c r="C2118" s="622" t="s">
        <v>848</v>
      </c>
      <c r="D2118" s="622" t="s">
        <v>849</v>
      </c>
      <c r="E2118" s="622" t="s">
        <v>850</v>
      </c>
      <c r="F2118" s="622" t="s">
        <v>276</v>
      </c>
      <c r="G2118" s="622" t="s">
        <v>356</v>
      </c>
      <c r="H2118" s="868" t="s">
        <v>856</v>
      </c>
      <c r="I2118" s="622" t="s">
        <v>277</v>
      </c>
      <c r="J2118" s="622" t="s">
        <v>528</v>
      </c>
      <c r="K2118" s="622" t="s">
        <v>852</v>
      </c>
      <c r="L2118" s="622" t="s">
        <v>602</v>
      </c>
      <c r="M2118" s="622" t="s">
        <v>857</v>
      </c>
      <c r="N2118" s="622" t="s">
        <v>670</v>
      </c>
      <c r="O2118" s="622" t="s">
        <v>670</v>
      </c>
      <c r="P2118" s="622" t="s">
        <v>528</v>
      </c>
      <c r="Q2118" s="622" t="s">
        <v>670</v>
      </c>
      <c r="R2118" s="623">
        <v>45992</v>
      </c>
      <c r="S2118" s="622" t="s">
        <v>278</v>
      </c>
      <c r="T2118" s="623">
        <v>46014</v>
      </c>
      <c r="U2118" s="624">
        <v>-8</v>
      </c>
      <c r="V2118" s="625">
        <v>-603.12</v>
      </c>
      <c r="W2118" s="260">
        <v>45992</v>
      </c>
      <c r="X2118" s="845"/>
    </row>
    <row r="2119" spans="1:24" hidden="1" x14ac:dyDescent="0.35">
      <c r="A2119" s="622" t="s">
        <v>526</v>
      </c>
      <c r="B2119" s="622" t="s">
        <v>159</v>
      </c>
      <c r="C2119" s="622" t="s">
        <v>848</v>
      </c>
      <c r="D2119" s="622" t="s">
        <v>849</v>
      </c>
      <c r="E2119" s="622" t="s">
        <v>850</v>
      </c>
      <c r="F2119" s="622" t="s">
        <v>276</v>
      </c>
      <c r="G2119" s="622" t="s">
        <v>356</v>
      </c>
      <c r="H2119" s="622" t="s">
        <v>854</v>
      </c>
      <c r="I2119" s="622" t="s">
        <v>277</v>
      </c>
      <c r="J2119" s="622" t="s">
        <v>528</v>
      </c>
      <c r="K2119" s="622" t="s">
        <v>852</v>
      </c>
      <c r="L2119" s="622" t="s">
        <v>602</v>
      </c>
      <c r="M2119" s="622" t="s">
        <v>855</v>
      </c>
      <c r="N2119" s="622" t="s">
        <v>670</v>
      </c>
      <c r="O2119" s="622" t="s">
        <v>670</v>
      </c>
      <c r="P2119" s="622" t="s">
        <v>528</v>
      </c>
      <c r="Q2119" s="622" t="s">
        <v>670</v>
      </c>
      <c r="R2119" s="623">
        <v>45993</v>
      </c>
      <c r="S2119" s="622" t="s">
        <v>278</v>
      </c>
      <c r="T2119" s="623">
        <v>46014</v>
      </c>
      <c r="U2119" s="624">
        <v>-8</v>
      </c>
      <c r="V2119" s="625">
        <v>-603.12</v>
      </c>
      <c r="W2119" s="260">
        <v>45992</v>
      </c>
      <c r="X2119" s="845"/>
    </row>
    <row r="2120" spans="1:24" hidden="1" x14ac:dyDescent="0.35">
      <c r="A2120" s="622" t="s">
        <v>526</v>
      </c>
      <c r="B2120" s="622" t="s">
        <v>159</v>
      </c>
      <c r="C2120" s="622" t="s">
        <v>848</v>
      </c>
      <c r="D2120" s="622" t="s">
        <v>849</v>
      </c>
      <c r="E2120" s="622" t="s">
        <v>850</v>
      </c>
      <c r="F2120" s="622" t="s">
        <v>276</v>
      </c>
      <c r="G2120" s="622" t="s">
        <v>356</v>
      </c>
      <c r="H2120" s="622" t="s">
        <v>854</v>
      </c>
      <c r="I2120" s="622" t="s">
        <v>277</v>
      </c>
      <c r="J2120" s="622" t="s">
        <v>528</v>
      </c>
      <c r="K2120" s="622" t="s">
        <v>852</v>
      </c>
      <c r="L2120" s="622" t="s">
        <v>602</v>
      </c>
      <c r="M2120" s="622" t="s">
        <v>855</v>
      </c>
      <c r="N2120" s="622" t="s">
        <v>670</v>
      </c>
      <c r="O2120" s="622" t="s">
        <v>670</v>
      </c>
      <c r="P2120" s="622" t="s">
        <v>528</v>
      </c>
      <c r="Q2120" s="622" t="s">
        <v>670</v>
      </c>
      <c r="R2120" s="623">
        <v>45992</v>
      </c>
      <c r="S2120" s="622" t="s">
        <v>278</v>
      </c>
      <c r="T2120" s="623">
        <v>46014</v>
      </c>
      <c r="U2120" s="624">
        <v>-8</v>
      </c>
      <c r="V2120" s="625">
        <v>-603.12</v>
      </c>
      <c r="W2120" s="260">
        <v>45992</v>
      </c>
      <c r="X2120" s="845"/>
    </row>
    <row r="2121" spans="1:24" hidden="1" x14ac:dyDescent="0.35">
      <c r="A2121" s="622" t="s">
        <v>526</v>
      </c>
      <c r="B2121" s="622" t="s">
        <v>159</v>
      </c>
      <c r="C2121" s="622" t="s">
        <v>848</v>
      </c>
      <c r="D2121" s="622" t="s">
        <v>849</v>
      </c>
      <c r="E2121" s="622" t="s">
        <v>850</v>
      </c>
      <c r="F2121" s="622" t="s">
        <v>276</v>
      </c>
      <c r="G2121" s="622" t="s">
        <v>356</v>
      </c>
      <c r="H2121" s="868" t="s">
        <v>851</v>
      </c>
      <c r="I2121" s="622" t="s">
        <v>277</v>
      </c>
      <c r="J2121" s="622" t="s">
        <v>528</v>
      </c>
      <c r="K2121" s="622" t="s">
        <v>852</v>
      </c>
      <c r="L2121" s="622" t="s">
        <v>602</v>
      </c>
      <c r="M2121" s="622" t="s">
        <v>853</v>
      </c>
      <c r="N2121" s="622" t="s">
        <v>670</v>
      </c>
      <c r="O2121" s="622" t="s">
        <v>670</v>
      </c>
      <c r="P2121" s="622" t="s">
        <v>528</v>
      </c>
      <c r="Q2121" s="622" t="s">
        <v>670</v>
      </c>
      <c r="R2121" s="623">
        <v>45995</v>
      </c>
      <c r="S2121" s="622" t="s">
        <v>278</v>
      </c>
      <c r="T2121" s="623">
        <v>46014</v>
      </c>
      <c r="U2121" s="624">
        <v>-8</v>
      </c>
      <c r="V2121" s="625">
        <v>-603.12</v>
      </c>
      <c r="W2121" s="260">
        <v>45992</v>
      </c>
      <c r="X2121" s="845"/>
    </row>
    <row r="2122" spans="1:24" hidden="1" x14ac:dyDescent="0.35">
      <c r="A2122" s="622" t="s">
        <v>526</v>
      </c>
      <c r="B2122" s="622" t="s">
        <v>159</v>
      </c>
      <c r="C2122" s="622" t="s">
        <v>848</v>
      </c>
      <c r="D2122" s="622" t="s">
        <v>849</v>
      </c>
      <c r="E2122" s="622" t="s">
        <v>850</v>
      </c>
      <c r="F2122" s="622" t="s">
        <v>276</v>
      </c>
      <c r="G2122" s="622" t="s">
        <v>356</v>
      </c>
      <c r="H2122" s="622" t="s">
        <v>854</v>
      </c>
      <c r="I2122" s="622" t="s">
        <v>277</v>
      </c>
      <c r="J2122" s="622" t="s">
        <v>528</v>
      </c>
      <c r="K2122" s="622" t="s">
        <v>852</v>
      </c>
      <c r="L2122" s="622" t="s">
        <v>602</v>
      </c>
      <c r="M2122" s="622" t="s">
        <v>855</v>
      </c>
      <c r="N2122" s="622" t="s">
        <v>670</v>
      </c>
      <c r="O2122" s="622" t="s">
        <v>670</v>
      </c>
      <c r="P2122" s="622" t="s">
        <v>528</v>
      </c>
      <c r="Q2122" s="622" t="s">
        <v>670</v>
      </c>
      <c r="R2122" s="623">
        <v>45995</v>
      </c>
      <c r="S2122" s="622" t="s">
        <v>278</v>
      </c>
      <c r="T2122" s="623">
        <v>46014</v>
      </c>
      <c r="U2122" s="624">
        <v>-8</v>
      </c>
      <c r="V2122" s="625">
        <v>-603.12</v>
      </c>
      <c r="W2122" s="260">
        <v>45992</v>
      </c>
      <c r="X2122" s="845"/>
    </row>
    <row r="2123" spans="1:24" hidden="1" x14ac:dyDescent="0.35">
      <c r="A2123" s="622" t="s">
        <v>526</v>
      </c>
      <c r="B2123" s="622" t="s">
        <v>53</v>
      </c>
      <c r="C2123" s="622" t="s">
        <v>670</v>
      </c>
      <c r="D2123" s="622" t="s">
        <v>385</v>
      </c>
      <c r="E2123" s="622" t="s">
        <v>386</v>
      </c>
      <c r="F2123" s="622" t="s">
        <v>276</v>
      </c>
      <c r="G2123" s="622" t="s">
        <v>356</v>
      </c>
      <c r="H2123" s="622" t="s">
        <v>670</v>
      </c>
      <c r="I2123" s="622" t="s">
        <v>277</v>
      </c>
      <c r="J2123" s="622" t="s">
        <v>577</v>
      </c>
      <c r="K2123" s="622" t="s">
        <v>670</v>
      </c>
      <c r="L2123" s="622" t="s">
        <v>602</v>
      </c>
      <c r="M2123" s="622" t="s">
        <v>285</v>
      </c>
      <c r="N2123" s="622" t="s">
        <v>637</v>
      </c>
      <c r="O2123" s="622" t="s">
        <v>677</v>
      </c>
      <c r="P2123" s="622" t="s">
        <v>577</v>
      </c>
      <c r="Q2123" s="622" t="s">
        <v>387</v>
      </c>
      <c r="R2123" s="623">
        <v>45971</v>
      </c>
      <c r="S2123" s="622" t="s">
        <v>388</v>
      </c>
      <c r="T2123" s="623">
        <v>45999</v>
      </c>
      <c r="U2123" s="626">
        <v>1</v>
      </c>
      <c r="V2123" s="625">
        <v>1977.6</v>
      </c>
      <c r="W2123" s="260">
        <v>45992</v>
      </c>
    </row>
    <row r="2124" spans="1:24" hidden="1" x14ac:dyDescent="0.35">
      <c r="A2124" s="622" t="s">
        <v>526</v>
      </c>
      <c r="B2124" s="622" t="s">
        <v>53</v>
      </c>
      <c r="C2124" s="622" t="s">
        <v>670</v>
      </c>
      <c r="D2124" s="622" t="s">
        <v>385</v>
      </c>
      <c r="E2124" s="622" t="s">
        <v>386</v>
      </c>
      <c r="F2124" s="622" t="s">
        <v>588</v>
      </c>
      <c r="G2124" s="622" t="s">
        <v>356</v>
      </c>
      <c r="H2124" s="622" t="s">
        <v>670</v>
      </c>
      <c r="I2124" s="622" t="s">
        <v>277</v>
      </c>
      <c r="J2124" s="622" t="s">
        <v>577</v>
      </c>
      <c r="K2124" s="622" t="s">
        <v>670</v>
      </c>
      <c r="L2124" s="622" t="s">
        <v>602</v>
      </c>
      <c r="M2124" s="622" t="s">
        <v>285</v>
      </c>
      <c r="N2124" s="622" t="s">
        <v>670</v>
      </c>
      <c r="O2124" s="622" t="s">
        <v>677</v>
      </c>
      <c r="P2124" s="622" t="s">
        <v>577</v>
      </c>
      <c r="Q2124" s="622" t="s">
        <v>734</v>
      </c>
      <c r="R2124" s="623">
        <v>46021</v>
      </c>
      <c r="S2124" s="622" t="s">
        <v>670</v>
      </c>
      <c r="T2124" s="623">
        <v>46022</v>
      </c>
      <c r="U2124" s="624">
        <v>0</v>
      </c>
      <c r="V2124" s="625">
        <v>-3296</v>
      </c>
      <c r="W2124" s="260">
        <v>45992</v>
      </c>
    </row>
    <row r="2125" spans="1:24" hidden="1" x14ac:dyDescent="0.35">
      <c r="A2125" s="622" t="s">
        <v>526</v>
      </c>
      <c r="B2125" s="622" t="s">
        <v>159</v>
      </c>
      <c r="C2125" s="622" t="s">
        <v>281</v>
      </c>
      <c r="D2125" s="622" t="s">
        <v>282</v>
      </c>
      <c r="E2125" s="622" t="s">
        <v>283</v>
      </c>
      <c r="F2125" s="622" t="s">
        <v>276</v>
      </c>
      <c r="G2125" s="622" t="s">
        <v>356</v>
      </c>
      <c r="H2125" s="622" t="s">
        <v>670</v>
      </c>
      <c r="I2125" s="622" t="s">
        <v>277</v>
      </c>
      <c r="J2125" s="622" t="s">
        <v>522</v>
      </c>
      <c r="K2125" s="622" t="s">
        <v>284</v>
      </c>
      <c r="L2125" s="622" t="s">
        <v>602</v>
      </c>
      <c r="M2125" s="622" t="s">
        <v>285</v>
      </c>
      <c r="N2125" s="622" t="s">
        <v>670</v>
      </c>
      <c r="O2125" s="622" t="s">
        <v>670</v>
      </c>
      <c r="P2125" s="622" t="s">
        <v>522</v>
      </c>
      <c r="Q2125" s="622" t="s">
        <v>670</v>
      </c>
      <c r="R2125" s="623">
        <v>46024</v>
      </c>
      <c r="S2125" s="622" t="s">
        <v>670</v>
      </c>
      <c r="T2125" s="623">
        <v>46022</v>
      </c>
      <c r="U2125" s="624">
        <v>0</v>
      </c>
      <c r="V2125" s="625">
        <v>731.75</v>
      </c>
      <c r="W2125" s="260">
        <v>45992</v>
      </c>
    </row>
    <row r="2126" spans="1:24" hidden="1" x14ac:dyDescent="0.35">
      <c r="A2126" s="622" t="s">
        <v>526</v>
      </c>
      <c r="B2126" s="622" t="s">
        <v>159</v>
      </c>
      <c r="C2126" s="622" t="s">
        <v>286</v>
      </c>
      <c r="D2126" s="622" t="s">
        <v>287</v>
      </c>
      <c r="E2126" s="622" t="s">
        <v>288</v>
      </c>
      <c r="F2126" s="622" t="s">
        <v>276</v>
      </c>
      <c r="G2126" s="622" t="s">
        <v>356</v>
      </c>
      <c r="H2126" s="622" t="s">
        <v>670</v>
      </c>
      <c r="I2126" s="622" t="s">
        <v>277</v>
      </c>
      <c r="J2126" s="622" t="s">
        <v>522</v>
      </c>
      <c r="K2126" s="622" t="s">
        <v>289</v>
      </c>
      <c r="L2126" s="622" t="s">
        <v>602</v>
      </c>
      <c r="M2126" s="622" t="s">
        <v>285</v>
      </c>
      <c r="N2126" s="622" t="s">
        <v>670</v>
      </c>
      <c r="O2126" s="622" t="s">
        <v>670</v>
      </c>
      <c r="P2126" s="622" t="s">
        <v>522</v>
      </c>
      <c r="Q2126" s="622" t="s">
        <v>670</v>
      </c>
      <c r="R2126" s="623">
        <v>46024</v>
      </c>
      <c r="S2126" s="622" t="s">
        <v>670</v>
      </c>
      <c r="T2126" s="623">
        <v>46022</v>
      </c>
      <c r="U2126" s="624">
        <v>0</v>
      </c>
      <c r="V2126" s="625">
        <v>2052.5700000000002</v>
      </c>
      <c r="W2126" s="260">
        <v>45992</v>
      </c>
    </row>
    <row r="2127" spans="1:24" hidden="1" x14ac:dyDescent="0.35">
      <c r="A2127" s="622" t="s">
        <v>526</v>
      </c>
      <c r="B2127" s="622" t="s">
        <v>159</v>
      </c>
      <c r="C2127" s="622" t="s">
        <v>281</v>
      </c>
      <c r="D2127" s="622" t="s">
        <v>290</v>
      </c>
      <c r="E2127" s="622" t="s">
        <v>291</v>
      </c>
      <c r="F2127" s="622" t="s">
        <v>276</v>
      </c>
      <c r="G2127" s="622" t="s">
        <v>356</v>
      </c>
      <c r="H2127" s="622" t="s">
        <v>670</v>
      </c>
      <c r="I2127" s="622" t="s">
        <v>277</v>
      </c>
      <c r="J2127" s="622" t="s">
        <v>522</v>
      </c>
      <c r="K2127" s="622" t="s">
        <v>284</v>
      </c>
      <c r="L2127" s="622" t="s">
        <v>602</v>
      </c>
      <c r="M2127" s="622" t="s">
        <v>285</v>
      </c>
      <c r="N2127" s="622" t="s">
        <v>670</v>
      </c>
      <c r="O2127" s="622" t="s">
        <v>670</v>
      </c>
      <c r="P2127" s="622" t="s">
        <v>522</v>
      </c>
      <c r="Q2127" s="622" t="s">
        <v>670</v>
      </c>
      <c r="R2127" s="623">
        <v>46024</v>
      </c>
      <c r="S2127" s="622" t="s">
        <v>670</v>
      </c>
      <c r="T2127" s="623">
        <v>46022</v>
      </c>
      <c r="U2127" s="624">
        <v>0</v>
      </c>
      <c r="V2127" s="625">
        <v>472.89</v>
      </c>
      <c r="W2127" s="260">
        <v>45992</v>
      </c>
    </row>
    <row r="2128" spans="1:24" hidden="1" x14ac:dyDescent="0.35">
      <c r="A2128" s="622" t="s">
        <v>526</v>
      </c>
      <c r="B2128" s="622" t="s">
        <v>159</v>
      </c>
      <c r="C2128" s="622" t="s">
        <v>281</v>
      </c>
      <c r="D2128" s="622" t="s">
        <v>292</v>
      </c>
      <c r="E2128" s="622" t="s">
        <v>293</v>
      </c>
      <c r="F2128" s="622" t="s">
        <v>276</v>
      </c>
      <c r="G2128" s="622" t="s">
        <v>356</v>
      </c>
      <c r="H2128" s="622" t="s">
        <v>670</v>
      </c>
      <c r="I2128" s="622" t="s">
        <v>277</v>
      </c>
      <c r="J2128" s="622" t="s">
        <v>522</v>
      </c>
      <c r="K2128" s="622" t="s">
        <v>294</v>
      </c>
      <c r="L2128" s="622" t="s">
        <v>602</v>
      </c>
      <c r="M2128" s="622" t="s">
        <v>285</v>
      </c>
      <c r="N2128" s="622" t="s">
        <v>670</v>
      </c>
      <c r="O2128" s="622" t="s">
        <v>670</v>
      </c>
      <c r="P2128" s="622" t="s">
        <v>522</v>
      </c>
      <c r="Q2128" s="622" t="s">
        <v>670</v>
      </c>
      <c r="R2128" s="623">
        <v>46024</v>
      </c>
      <c r="S2128" s="622" t="s">
        <v>670</v>
      </c>
      <c r="T2128" s="623">
        <v>46022</v>
      </c>
      <c r="U2128" s="624">
        <v>0</v>
      </c>
      <c r="V2128" s="625">
        <v>522.82000000000005</v>
      </c>
      <c r="W2128" s="260">
        <v>45992</v>
      </c>
    </row>
    <row r="2129" spans="1:23" hidden="1" x14ac:dyDescent="0.35">
      <c r="A2129" s="622" t="s">
        <v>526</v>
      </c>
      <c r="B2129" s="622" t="s">
        <v>159</v>
      </c>
      <c r="C2129" s="622" t="s">
        <v>286</v>
      </c>
      <c r="D2129" s="622" t="s">
        <v>295</v>
      </c>
      <c r="E2129" s="622" t="s">
        <v>296</v>
      </c>
      <c r="F2129" s="622" t="s">
        <v>276</v>
      </c>
      <c r="G2129" s="622" t="s">
        <v>356</v>
      </c>
      <c r="H2129" s="622" t="s">
        <v>670</v>
      </c>
      <c r="I2129" s="622" t="s">
        <v>277</v>
      </c>
      <c r="J2129" s="622" t="s">
        <v>522</v>
      </c>
      <c r="K2129" s="622" t="s">
        <v>297</v>
      </c>
      <c r="L2129" s="622" t="s">
        <v>602</v>
      </c>
      <c r="M2129" s="622" t="s">
        <v>285</v>
      </c>
      <c r="N2129" s="622" t="s">
        <v>670</v>
      </c>
      <c r="O2129" s="622" t="s">
        <v>670</v>
      </c>
      <c r="P2129" s="622" t="s">
        <v>522</v>
      </c>
      <c r="Q2129" s="622" t="s">
        <v>670</v>
      </c>
      <c r="R2129" s="623">
        <v>46024</v>
      </c>
      <c r="S2129" s="622" t="s">
        <v>670</v>
      </c>
      <c r="T2129" s="623">
        <v>46022</v>
      </c>
      <c r="U2129" s="624">
        <v>0</v>
      </c>
      <c r="V2129" s="625">
        <v>1119.03</v>
      </c>
      <c r="W2129" s="260">
        <v>45992</v>
      </c>
    </row>
    <row r="2130" spans="1:23" hidden="1" x14ac:dyDescent="0.35">
      <c r="A2130" s="622" t="s">
        <v>526</v>
      </c>
      <c r="B2130" s="622" t="s">
        <v>159</v>
      </c>
      <c r="C2130" s="622" t="s">
        <v>542</v>
      </c>
      <c r="D2130" s="622" t="s">
        <v>543</v>
      </c>
      <c r="E2130" s="622" t="s">
        <v>544</v>
      </c>
      <c r="F2130" s="622" t="s">
        <v>276</v>
      </c>
      <c r="G2130" s="622" t="s">
        <v>356</v>
      </c>
      <c r="H2130" s="622" t="s">
        <v>670</v>
      </c>
      <c r="I2130" s="622" t="s">
        <v>277</v>
      </c>
      <c r="J2130" s="622" t="s">
        <v>522</v>
      </c>
      <c r="K2130" s="622" t="s">
        <v>545</v>
      </c>
      <c r="L2130" s="622" t="s">
        <v>602</v>
      </c>
      <c r="M2130" s="622" t="s">
        <v>285</v>
      </c>
      <c r="N2130" s="622" t="s">
        <v>670</v>
      </c>
      <c r="O2130" s="622" t="s">
        <v>670</v>
      </c>
      <c r="P2130" s="622" t="s">
        <v>522</v>
      </c>
      <c r="Q2130" s="622" t="s">
        <v>670</v>
      </c>
      <c r="R2130" s="623">
        <v>46024</v>
      </c>
      <c r="S2130" s="622" t="s">
        <v>670</v>
      </c>
      <c r="T2130" s="623">
        <v>46022</v>
      </c>
      <c r="U2130" s="624">
        <v>0</v>
      </c>
      <c r="V2130" s="625">
        <v>646.04</v>
      </c>
      <c r="W2130" s="260">
        <v>45992</v>
      </c>
    </row>
    <row r="2131" spans="1:23" hidden="1" x14ac:dyDescent="0.35">
      <c r="A2131" s="622" t="s">
        <v>526</v>
      </c>
      <c r="B2131" s="622" t="s">
        <v>159</v>
      </c>
      <c r="C2131" s="622" t="s">
        <v>546</v>
      </c>
      <c r="D2131" s="622" t="s">
        <v>547</v>
      </c>
      <c r="E2131" s="622" t="s">
        <v>548</v>
      </c>
      <c r="F2131" s="622" t="s">
        <v>276</v>
      </c>
      <c r="G2131" s="622" t="s">
        <v>356</v>
      </c>
      <c r="H2131" s="622" t="s">
        <v>670</v>
      </c>
      <c r="I2131" s="622" t="s">
        <v>277</v>
      </c>
      <c r="J2131" s="622" t="s">
        <v>522</v>
      </c>
      <c r="K2131" s="622" t="s">
        <v>549</v>
      </c>
      <c r="L2131" s="622" t="s">
        <v>602</v>
      </c>
      <c r="M2131" s="622" t="s">
        <v>285</v>
      </c>
      <c r="N2131" s="622" t="s">
        <v>670</v>
      </c>
      <c r="O2131" s="622" t="s">
        <v>670</v>
      </c>
      <c r="P2131" s="622" t="s">
        <v>522</v>
      </c>
      <c r="Q2131" s="622" t="s">
        <v>670</v>
      </c>
      <c r="R2131" s="623">
        <v>46024</v>
      </c>
      <c r="S2131" s="622" t="s">
        <v>670</v>
      </c>
      <c r="T2131" s="623">
        <v>46022</v>
      </c>
      <c r="U2131" s="624">
        <v>0</v>
      </c>
      <c r="V2131" s="625">
        <v>1812.16</v>
      </c>
      <c r="W2131" s="260">
        <v>45992</v>
      </c>
    </row>
    <row r="2132" spans="1:23" hidden="1" x14ac:dyDescent="0.35">
      <c r="A2132" s="622" t="s">
        <v>526</v>
      </c>
      <c r="B2132" s="622" t="s">
        <v>159</v>
      </c>
      <c r="C2132" s="622" t="s">
        <v>542</v>
      </c>
      <c r="D2132" s="622" t="s">
        <v>550</v>
      </c>
      <c r="E2132" s="622" t="s">
        <v>551</v>
      </c>
      <c r="F2132" s="622" t="s">
        <v>276</v>
      </c>
      <c r="G2132" s="622" t="s">
        <v>356</v>
      </c>
      <c r="H2132" s="622" t="s">
        <v>670</v>
      </c>
      <c r="I2132" s="622" t="s">
        <v>277</v>
      </c>
      <c r="J2132" s="622" t="s">
        <v>522</v>
      </c>
      <c r="K2132" s="622" t="s">
        <v>545</v>
      </c>
      <c r="L2132" s="622" t="s">
        <v>602</v>
      </c>
      <c r="M2132" s="622" t="s">
        <v>285</v>
      </c>
      <c r="N2132" s="622" t="s">
        <v>670</v>
      </c>
      <c r="O2132" s="622" t="s">
        <v>670</v>
      </c>
      <c r="P2132" s="622" t="s">
        <v>522</v>
      </c>
      <c r="Q2132" s="622" t="s">
        <v>670</v>
      </c>
      <c r="R2132" s="623">
        <v>46024</v>
      </c>
      <c r="S2132" s="622" t="s">
        <v>670</v>
      </c>
      <c r="T2132" s="623">
        <v>46022</v>
      </c>
      <c r="U2132" s="624">
        <v>0</v>
      </c>
      <c r="V2132" s="625">
        <v>417.5</v>
      </c>
      <c r="W2132" s="260">
        <v>45992</v>
      </c>
    </row>
    <row r="2133" spans="1:23" hidden="1" x14ac:dyDescent="0.35">
      <c r="A2133" s="622" t="s">
        <v>526</v>
      </c>
      <c r="B2133" s="622" t="s">
        <v>159</v>
      </c>
      <c r="C2133" s="622" t="s">
        <v>542</v>
      </c>
      <c r="D2133" s="622" t="s">
        <v>552</v>
      </c>
      <c r="E2133" s="622" t="s">
        <v>553</v>
      </c>
      <c r="F2133" s="622" t="s">
        <v>276</v>
      </c>
      <c r="G2133" s="622" t="s">
        <v>356</v>
      </c>
      <c r="H2133" s="622" t="s">
        <v>670</v>
      </c>
      <c r="I2133" s="622" t="s">
        <v>277</v>
      </c>
      <c r="J2133" s="622" t="s">
        <v>522</v>
      </c>
      <c r="K2133" s="622" t="s">
        <v>554</v>
      </c>
      <c r="L2133" s="622" t="s">
        <v>602</v>
      </c>
      <c r="M2133" s="622" t="s">
        <v>285</v>
      </c>
      <c r="N2133" s="622" t="s">
        <v>670</v>
      </c>
      <c r="O2133" s="622" t="s">
        <v>670</v>
      </c>
      <c r="P2133" s="622" t="s">
        <v>522</v>
      </c>
      <c r="Q2133" s="622" t="s">
        <v>670</v>
      </c>
      <c r="R2133" s="623">
        <v>46024</v>
      </c>
      <c r="S2133" s="622" t="s">
        <v>670</v>
      </c>
      <c r="T2133" s="623">
        <v>46022</v>
      </c>
      <c r="U2133" s="624">
        <v>0</v>
      </c>
      <c r="V2133" s="625">
        <v>461.59</v>
      </c>
      <c r="W2133" s="260">
        <v>45992</v>
      </c>
    </row>
    <row r="2134" spans="1:23" hidden="1" x14ac:dyDescent="0.35">
      <c r="A2134" s="622" t="s">
        <v>526</v>
      </c>
      <c r="B2134" s="622" t="s">
        <v>159</v>
      </c>
      <c r="C2134" s="622" t="s">
        <v>546</v>
      </c>
      <c r="D2134" s="622" t="s">
        <v>555</v>
      </c>
      <c r="E2134" s="622" t="s">
        <v>556</v>
      </c>
      <c r="F2134" s="622" t="s">
        <v>276</v>
      </c>
      <c r="G2134" s="622" t="s">
        <v>356</v>
      </c>
      <c r="H2134" s="622" t="s">
        <v>670</v>
      </c>
      <c r="I2134" s="622" t="s">
        <v>277</v>
      </c>
      <c r="J2134" s="622" t="s">
        <v>522</v>
      </c>
      <c r="K2134" s="622" t="s">
        <v>557</v>
      </c>
      <c r="L2134" s="622" t="s">
        <v>602</v>
      </c>
      <c r="M2134" s="622" t="s">
        <v>285</v>
      </c>
      <c r="N2134" s="622" t="s">
        <v>670</v>
      </c>
      <c r="O2134" s="622" t="s">
        <v>670</v>
      </c>
      <c r="P2134" s="622" t="s">
        <v>522</v>
      </c>
      <c r="Q2134" s="622" t="s">
        <v>670</v>
      </c>
      <c r="R2134" s="623">
        <v>46024</v>
      </c>
      <c r="S2134" s="622" t="s">
        <v>670</v>
      </c>
      <c r="T2134" s="623">
        <v>46022</v>
      </c>
      <c r="U2134" s="624">
        <v>0</v>
      </c>
      <c r="V2134" s="625">
        <v>987.96</v>
      </c>
      <c r="W2134" s="260">
        <v>45992</v>
      </c>
    </row>
    <row r="2135" spans="1:23" hidden="1" x14ac:dyDescent="0.35">
      <c r="A2135" s="622" t="s">
        <v>526</v>
      </c>
      <c r="B2135" s="622" t="s">
        <v>159</v>
      </c>
      <c r="C2135" s="622" t="s">
        <v>298</v>
      </c>
      <c r="D2135" s="622" t="s">
        <v>299</v>
      </c>
      <c r="E2135" s="622" t="s">
        <v>300</v>
      </c>
      <c r="F2135" s="622" t="s">
        <v>276</v>
      </c>
      <c r="G2135" s="622" t="s">
        <v>356</v>
      </c>
      <c r="H2135" s="622" t="s">
        <v>670</v>
      </c>
      <c r="I2135" s="622" t="s">
        <v>277</v>
      </c>
      <c r="J2135" s="622" t="s">
        <v>522</v>
      </c>
      <c r="K2135" s="622" t="s">
        <v>301</v>
      </c>
      <c r="L2135" s="622" t="s">
        <v>602</v>
      </c>
      <c r="M2135" s="622" t="s">
        <v>285</v>
      </c>
      <c r="N2135" s="622" t="s">
        <v>670</v>
      </c>
      <c r="O2135" s="622" t="s">
        <v>670</v>
      </c>
      <c r="P2135" s="622" t="s">
        <v>522</v>
      </c>
      <c r="Q2135" s="622" t="s">
        <v>670</v>
      </c>
      <c r="R2135" s="623">
        <v>46027</v>
      </c>
      <c r="S2135" s="622" t="s">
        <v>670</v>
      </c>
      <c r="T2135" s="623">
        <v>46022</v>
      </c>
      <c r="U2135" s="624">
        <v>0</v>
      </c>
      <c r="V2135" s="625">
        <v>0.03</v>
      </c>
      <c r="W2135" s="260">
        <v>45992</v>
      </c>
    </row>
    <row r="2136" spans="1:23" hidden="1" x14ac:dyDescent="0.35">
      <c r="A2136" s="622" t="s">
        <v>526</v>
      </c>
      <c r="B2136" s="622" t="s">
        <v>159</v>
      </c>
      <c r="C2136" s="622" t="s">
        <v>298</v>
      </c>
      <c r="D2136" s="622" t="s">
        <v>299</v>
      </c>
      <c r="E2136" s="622" t="s">
        <v>300</v>
      </c>
      <c r="F2136" s="622" t="s">
        <v>276</v>
      </c>
      <c r="G2136" s="622" t="s">
        <v>356</v>
      </c>
      <c r="H2136" s="622" t="s">
        <v>670</v>
      </c>
      <c r="I2136" s="622" t="s">
        <v>277</v>
      </c>
      <c r="J2136" s="622" t="s">
        <v>522</v>
      </c>
      <c r="K2136" s="622" t="s">
        <v>301</v>
      </c>
      <c r="L2136" s="622" t="s">
        <v>602</v>
      </c>
      <c r="M2136" s="622" t="s">
        <v>285</v>
      </c>
      <c r="N2136" s="622" t="s">
        <v>670</v>
      </c>
      <c r="O2136" s="622" t="s">
        <v>670</v>
      </c>
      <c r="P2136" s="622" t="s">
        <v>522</v>
      </c>
      <c r="Q2136" s="622" t="s">
        <v>670</v>
      </c>
      <c r="R2136" s="623">
        <v>46027</v>
      </c>
      <c r="S2136" s="622" t="s">
        <v>670</v>
      </c>
      <c r="T2136" s="623">
        <v>46022</v>
      </c>
      <c r="U2136" s="624">
        <v>0</v>
      </c>
      <c r="V2136" s="625">
        <v>0.55000000000000004</v>
      </c>
      <c r="W2136" s="260">
        <v>45992</v>
      </c>
    </row>
    <row r="2137" spans="1:23" hidden="1" x14ac:dyDescent="0.35">
      <c r="A2137" s="622" t="s">
        <v>526</v>
      </c>
      <c r="B2137" s="622" t="s">
        <v>159</v>
      </c>
      <c r="C2137" s="622" t="s">
        <v>298</v>
      </c>
      <c r="D2137" s="622" t="s">
        <v>304</v>
      </c>
      <c r="E2137" s="622" t="s">
        <v>305</v>
      </c>
      <c r="F2137" s="622" t="s">
        <v>276</v>
      </c>
      <c r="G2137" s="622" t="s">
        <v>356</v>
      </c>
      <c r="H2137" s="622" t="s">
        <v>670</v>
      </c>
      <c r="I2137" s="622" t="s">
        <v>277</v>
      </c>
      <c r="J2137" s="622" t="s">
        <v>522</v>
      </c>
      <c r="K2137" s="622" t="s">
        <v>301</v>
      </c>
      <c r="L2137" s="622" t="s">
        <v>602</v>
      </c>
      <c r="M2137" s="622" t="s">
        <v>285</v>
      </c>
      <c r="N2137" s="622" t="s">
        <v>670</v>
      </c>
      <c r="O2137" s="622" t="s">
        <v>670</v>
      </c>
      <c r="P2137" s="622" t="s">
        <v>522</v>
      </c>
      <c r="Q2137" s="622" t="s">
        <v>670</v>
      </c>
      <c r="R2137" s="623">
        <v>46027</v>
      </c>
      <c r="S2137" s="622" t="s">
        <v>670</v>
      </c>
      <c r="T2137" s="623">
        <v>46022</v>
      </c>
      <c r="U2137" s="624">
        <v>0</v>
      </c>
      <c r="V2137" s="625">
        <v>0.61</v>
      </c>
      <c r="W2137" s="260">
        <v>45992</v>
      </c>
    </row>
    <row r="2138" spans="1:23" hidden="1" x14ac:dyDescent="0.35">
      <c r="A2138" s="622" t="s">
        <v>526</v>
      </c>
      <c r="B2138" s="622" t="s">
        <v>159</v>
      </c>
      <c r="C2138" s="622" t="s">
        <v>298</v>
      </c>
      <c r="D2138" s="622" t="s">
        <v>306</v>
      </c>
      <c r="E2138" s="622" t="s">
        <v>307</v>
      </c>
      <c r="F2138" s="622" t="s">
        <v>276</v>
      </c>
      <c r="G2138" s="622" t="s">
        <v>356</v>
      </c>
      <c r="H2138" s="622" t="s">
        <v>670</v>
      </c>
      <c r="I2138" s="622" t="s">
        <v>277</v>
      </c>
      <c r="J2138" s="622" t="s">
        <v>522</v>
      </c>
      <c r="K2138" s="622" t="s">
        <v>301</v>
      </c>
      <c r="L2138" s="622" t="s">
        <v>602</v>
      </c>
      <c r="M2138" s="622" t="s">
        <v>285</v>
      </c>
      <c r="N2138" s="622" t="s">
        <v>670</v>
      </c>
      <c r="O2138" s="622" t="s">
        <v>670</v>
      </c>
      <c r="P2138" s="622" t="s">
        <v>522</v>
      </c>
      <c r="Q2138" s="622" t="s">
        <v>670</v>
      </c>
      <c r="R2138" s="623">
        <v>46027</v>
      </c>
      <c r="S2138" s="622" t="s">
        <v>670</v>
      </c>
      <c r="T2138" s="623">
        <v>46022</v>
      </c>
      <c r="U2138" s="624">
        <v>0</v>
      </c>
      <c r="V2138" s="625">
        <v>0.04</v>
      </c>
      <c r="W2138" s="260">
        <v>45992</v>
      </c>
    </row>
    <row r="2139" spans="1:23" hidden="1" x14ac:dyDescent="0.35">
      <c r="A2139" s="622" t="s">
        <v>526</v>
      </c>
      <c r="B2139" s="622" t="s">
        <v>159</v>
      </c>
      <c r="C2139" s="622" t="s">
        <v>298</v>
      </c>
      <c r="D2139" s="622" t="s">
        <v>306</v>
      </c>
      <c r="E2139" s="622" t="s">
        <v>307</v>
      </c>
      <c r="F2139" s="622" t="s">
        <v>276</v>
      </c>
      <c r="G2139" s="622" t="s">
        <v>356</v>
      </c>
      <c r="H2139" s="622" t="s">
        <v>670</v>
      </c>
      <c r="I2139" s="622" t="s">
        <v>277</v>
      </c>
      <c r="J2139" s="622" t="s">
        <v>522</v>
      </c>
      <c r="K2139" s="622" t="s">
        <v>301</v>
      </c>
      <c r="L2139" s="622" t="s">
        <v>602</v>
      </c>
      <c r="M2139" s="622" t="s">
        <v>285</v>
      </c>
      <c r="N2139" s="622" t="s">
        <v>670</v>
      </c>
      <c r="O2139" s="622" t="s">
        <v>670</v>
      </c>
      <c r="P2139" s="622" t="s">
        <v>522</v>
      </c>
      <c r="Q2139" s="622" t="s">
        <v>670</v>
      </c>
      <c r="R2139" s="623">
        <v>46027</v>
      </c>
      <c r="S2139" s="622" t="s">
        <v>670</v>
      </c>
      <c r="T2139" s="623">
        <v>46022</v>
      </c>
      <c r="U2139" s="624">
        <v>0</v>
      </c>
      <c r="V2139" s="625">
        <v>0.85</v>
      </c>
      <c r="W2139" s="260">
        <v>45992</v>
      </c>
    </row>
    <row r="2140" spans="1:23" hidden="1" x14ac:dyDescent="0.35">
      <c r="A2140" s="622" t="s">
        <v>526</v>
      </c>
      <c r="B2140" s="622" t="s">
        <v>159</v>
      </c>
      <c r="C2140" s="622" t="s">
        <v>298</v>
      </c>
      <c r="D2140" s="622" t="s">
        <v>308</v>
      </c>
      <c r="E2140" s="622" t="s">
        <v>309</v>
      </c>
      <c r="F2140" s="622" t="s">
        <v>276</v>
      </c>
      <c r="G2140" s="622" t="s">
        <v>356</v>
      </c>
      <c r="H2140" s="622" t="s">
        <v>670</v>
      </c>
      <c r="I2140" s="622" t="s">
        <v>277</v>
      </c>
      <c r="J2140" s="622" t="s">
        <v>522</v>
      </c>
      <c r="K2140" s="622" t="s">
        <v>301</v>
      </c>
      <c r="L2140" s="622" t="s">
        <v>602</v>
      </c>
      <c r="M2140" s="622" t="s">
        <v>285</v>
      </c>
      <c r="N2140" s="622" t="s">
        <v>670</v>
      </c>
      <c r="O2140" s="622" t="s">
        <v>670</v>
      </c>
      <c r="P2140" s="622" t="s">
        <v>522</v>
      </c>
      <c r="Q2140" s="622" t="s">
        <v>670</v>
      </c>
      <c r="R2140" s="623">
        <v>46027</v>
      </c>
      <c r="S2140" s="622" t="s">
        <v>670</v>
      </c>
      <c r="T2140" s="623">
        <v>46022</v>
      </c>
      <c r="U2140" s="624">
        <v>0</v>
      </c>
      <c r="V2140" s="625">
        <v>213.73</v>
      </c>
      <c r="W2140" s="260">
        <v>45992</v>
      </c>
    </row>
    <row r="2141" spans="1:23" hidden="1" x14ac:dyDescent="0.35">
      <c r="A2141" s="622" t="s">
        <v>526</v>
      </c>
      <c r="B2141" s="622" t="s">
        <v>159</v>
      </c>
      <c r="C2141" s="622" t="s">
        <v>302</v>
      </c>
      <c r="D2141" s="622" t="s">
        <v>308</v>
      </c>
      <c r="E2141" s="622" t="s">
        <v>309</v>
      </c>
      <c r="F2141" s="622" t="s">
        <v>276</v>
      </c>
      <c r="G2141" s="622" t="s">
        <v>356</v>
      </c>
      <c r="H2141" s="622" t="s">
        <v>670</v>
      </c>
      <c r="I2141" s="622" t="s">
        <v>277</v>
      </c>
      <c r="J2141" s="622" t="s">
        <v>522</v>
      </c>
      <c r="K2141" s="622" t="s">
        <v>303</v>
      </c>
      <c r="L2141" s="622" t="s">
        <v>602</v>
      </c>
      <c r="M2141" s="622" t="s">
        <v>285</v>
      </c>
      <c r="N2141" s="622" t="s">
        <v>670</v>
      </c>
      <c r="O2141" s="622" t="s">
        <v>670</v>
      </c>
      <c r="P2141" s="622" t="s">
        <v>522</v>
      </c>
      <c r="Q2141" s="622" t="s">
        <v>670</v>
      </c>
      <c r="R2141" s="623">
        <v>46027</v>
      </c>
      <c r="S2141" s="622" t="s">
        <v>670</v>
      </c>
      <c r="T2141" s="623">
        <v>46022</v>
      </c>
      <c r="U2141" s="624">
        <v>0</v>
      </c>
      <c r="V2141" s="625">
        <v>169.51</v>
      </c>
      <c r="W2141" s="260">
        <v>45992</v>
      </c>
    </row>
    <row r="2142" spans="1:23" hidden="1" x14ac:dyDescent="0.35">
      <c r="A2142" s="622" t="s">
        <v>526</v>
      </c>
      <c r="B2142" s="622" t="s">
        <v>159</v>
      </c>
      <c r="C2142" s="622" t="s">
        <v>302</v>
      </c>
      <c r="D2142" s="622" t="s">
        <v>310</v>
      </c>
      <c r="E2142" s="622" t="s">
        <v>311</v>
      </c>
      <c r="F2142" s="622" t="s">
        <v>276</v>
      </c>
      <c r="G2142" s="622" t="s">
        <v>356</v>
      </c>
      <c r="H2142" s="622" t="s">
        <v>670</v>
      </c>
      <c r="I2142" s="622" t="s">
        <v>277</v>
      </c>
      <c r="J2142" s="622" t="s">
        <v>522</v>
      </c>
      <c r="K2142" s="622" t="s">
        <v>303</v>
      </c>
      <c r="L2142" s="622" t="s">
        <v>602</v>
      </c>
      <c r="M2142" s="622" t="s">
        <v>285</v>
      </c>
      <c r="N2142" s="622" t="s">
        <v>670</v>
      </c>
      <c r="O2142" s="622" t="s">
        <v>670</v>
      </c>
      <c r="P2142" s="622" t="s">
        <v>522</v>
      </c>
      <c r="Q2142" s="622" t="s">
        <v>670</v>
      </c>
      <c r="R2142" s="623">
        <v>46027</v>
      </c>
      <c r="S2142" s="622" t="s">
        <v>670</v>
      </c>
      <c r="T2142" s="623">
        <v>46022</v>
      </c>
      <c r="U2142" s="624">
        <v>0</v>
      </c>
      <c r="V2142" s="625">
        <v>1125.73</v>
      </c>
      <c r="W2142" s="260">
        <v>45992</v>
      </c>
    </row>
    <row r="2143" spans="1:23" hidden="1" x14ac:dyDescent="0.35">
      <c r="A2143" s="622" t="s">
        <v>526</v>
      </c>
      <c r="B2143" s="622" t="s">
        <v>159</v>
      </c>
      <c r="C2143" s="622" t="s">
        <v>298</v>
      </c>
      <c r="D2143" s="622" t="s">
        <v>312</v>
      </c>
      <c r="E2143" s="622" t="s">
        <v>313</v>
      </c>
      <c r="F2143" s="622" t="s">
        <v>276</v>
      </c>
      <c r="G2143" s="622" t="s">
        <v>356</v>
      </c>
      <c r="H2143" s="622" t="s">
        <v>670</v>
      </c>
      <c r="I2143" s="622" t="s">
        <v>277</v>
      </c>
      <c r="J2143" s="622" t="s">
        <v>522</v>
      </c>
      <c r="K2143" s="622" t="s">
        <v>301</v>
      </c>
      <c r="L2143" s="622" t="s">
        <v>602</v>
      </c>
      <c r="M2143" s="622" t="s">
        <v>285</v>
      </c>
      <c r="N2143" s="622" t="s">
        <v>670</v>
      </c>
      <c r="O2143" s="622" t="s">
        <v>670</v>
      </c>
      <c r="P2143" s="622" t="s">
        <v>522</v>
      </c>
      <c r="Q2143" s="622" t="s">
        <v>670</v>
      </c>
      <c r="R2143" s="623">
        <v>46027</v>
      </c>
      <c r="S2143" s="622" t="s">
        <v>670</v>
      </c>
      <c r="T2143" s="623">
        <v>46022</v>
      </c>
      <c r="U2143" s="624">
        <v>0</v>
      </c>
      <c r="V2143" s="625">
        <v>108.85</v>
      </c>
      <c r="W2143" s="260">
        <v>45992</v>
      </c>
    </row>
    <row r="2144" spans="1:23" hidden="1" x14ac:dyDescent="0.35">
      <c r="A2144" s="622" t="s">
        <v>526</v>
      </c>
      <c r="B2144" s="622" t="s">
        <v>159</v>
      </c>
      <c r="C2144" s="622" t="s">
        <v>298</v>
      </c>
      <c r="D2144" s="622" t="s">
        <v>314</v>
      </c>
      <c r="E2144" s="622" t="s">
        <v>315</v>
      </c>
      <c r="F2144" s="622" t="s">
        <v>276</v>
      </c>
      <c r="G2144" s="622" t="s">
        <v>356</v>
      </c>
      <c r="H2144" s="622" t="s">
        <v>670</v>
      </c>
      <c r="I2144" s="622" t="s">
        <v>277</v>
      </c>
      <c r="J2144" s="622" t="s">
        <v>522</v>
      </c>
      <c r="K2144" s="622" t="s">
        <v>301</v>
      </c>
      <c r="L2144" s="622" t="s">
        <v>602</v>
      </c>
      <c r="M2144" s="622" t="s">
        <v>285</v>
      </c>
      <c r="N2144" s="622" t="s">
        <v>670</v>
      </c>
      <c r="O2144" s="622" t="s">
        <v>670</v>
      </c>
      <c r="P2144" s="622" t="s">
        <v>522</v>
      </c>
      <c r="Q2144" s="622" t="s">
        <v>670</v>
      </c>
      <c r="R2144" s="623">
        <v>46027</v>
      </c>
      <c r="S2144" s="622" t="s">
        <v>670</v>
      </c>
      <c r="T2144" s="623">
        <v>46022</v>
      </c>
      <c r="U2144" s="624">
        <v>0</v>
      </c>
      <c r="V2144" s="625">
        <v>81.11</v>
      </c>
      <c r="W2144" s="260">
        <v>45992</v>
      </c>
    </row>
    <row r="2145" spans="1:23" hidden="1" x14ac:dyDescent="0.35">
      <c r="A2145" s="622" t="s">
        <v>526</v>
      </c>
      <c r="B2145" s="622" t="s">
        <v>159</v>
      </c>
      <c r="C2145" s="622" t="s">
        <v>298</v>
      </c>
      <c r="D2145" s="622" t="s">
        <v>316</v>
      </c>
      <c r="E2145" s="622" t="s">
        <v>317</v>
      </c>
      <c r="F2145" s="622" t="s">
        <v>276</v>
      </c>
      <c r="G2145" s="622" t="s">
        <v>356</v>
      </c>
      <c r="H2145" s="622" t="s">
        <v>670</v>
      </c>
      <c r="I2145" s="622" t="s">
        <v>277</v>
      </c>
      <c r="J2145" s="622" t="s">
        <v>522</v>
      </c>
      <c r="K2145" s="622" t="s">
        <v>301</v>
      </c>
      <c r="L2145" s="622" t="s">
        <v>602</v>
      </c>
      <c r="M2145" s="622" t="s">
        <v>285</v>
      </c>
      <c r="N2145" s="622" t="s">
        <v>670</v>
      </c>
      <c r="O2145" s="622" t="s">
        <v>670</v>
      </c>
      <c r="P2145" s="622" t="s">
        <v>522</v>
      </c>
      <c r="Q2145" s="622" t="s">
        <v>670</v>
      </c>
      <c r="R2145" s="623">
        <v>46027</v>
      </c>
      <c r="S2145" s="622" t="s">
        <v>670</v>
      </c>
      <c r="T2145" s="623">
        <v>46022</v>
      </c>
      <c r="U2145" s="624">
        <v>0</v>
      </c>
      <c r="V2145" s="625">
        <v>106</v>
      </c>
      <c r="W2145" s="260">
        <v>45992</v>
      </c>
    </row>
    <row r="2146" spans="1:23" hidden="1" x14ac:dyDescent="0.35">
      <c r="A2146" s="622" t="s">
        <v>526</v>
      </c>
      <c r="B2146" s="622" t="s">
        <v>159</v>
      </c>
      <c r="C2146" s="622" t="s">
        <v>298</v>
      </c>
      <c r="D2146" s="622" t="s">
        <v>318</v>
      </c>
      <c r="E2146" s="622" t="s">
        <v>319</v>
      </c>
      <c r="F2146" s="622" t="s">
        <v>276</v>
      </c>
      <c r="G2146" s="622" t="s">
        <v>356</v>
      </c>
      <c r="H2146" s="622" t="s">
        <v>670</v>
      </c>
      <c r="I2146" s="622" t="s">
        <v>277</v>
      </c>
      <c r="J2146" s="622" t="s">
        <v>522</v>
      </c>
      <c r="K2146" s="622" t="s">
        <v>301</v>
      </c>
      <c r="L2146" s="622" t="s">
        <v>602</v>
      </c>
      <c r="M2146" s="622" t="s">
        <v>285</v>
      </c>
      <c r="N2146" s="622" t="s">
        <v>670</v>
      </c>
      <c r="O2146" s="622" t="s">
        <v>670</v>
      </c>
      <c r="P2146" s="622" t="s">
        <v>522</v>
      </c>
      <c r="Q2146" s="622" t="s">
        <v>670</v>
      </c>
      <c r="R2146" s="623">
        <v>46027</v>
      </c>
      <c r="S2146" s="622" t="s">
        <v>670</v>
      </c>
      <c r="T2146" s="623">
        <v>46022</v>
      </c>
      <c r="U2146" s="624">
        <v>0</v>
      </c>
      <c r="V2146" s="625">
        <v>0.08</v>
      </c>
      <c r="W2146" s="260">
        <v>45992</v>
      </c>
    </row>
    <row r="2147" spans="1:23" hidden="1" x14ac:dyDescent="0.35">
      <c r="A2147" s="622" t="s">
        <v>526</v>
      </c>
      <c r="B2147" s="622" t="s">
        <v>159</v>
      </c>
      <c r="C2147" s="622" t="s">
        <v>298</v>
      </c>
      <c r="D2147" s="622" t="s">
        <v>318</v>
      </c>
      <c r="E2147" s="622" t="s">
        <v>319</v>
      </c>
      <c r="F2147" s="622" t="s">
        <v>276</v>
      </c>
      <c r="G2147" s="622" t="s">
        <v>356</v>
      </c>
      <c r="H2147" s="622" t="s">
        <v>670</v>
      </c>
      <c r="I2147" s="622" t="s">
        <v>277</v>
      </c>
      <c r="J2147" s="622" t="s">
        <v>522</v>
      </c>
      <c r="K2147" s="622" t="s">
        <v>301</v>
      </c>
      <c r="L2147" s="622" t="s">
        <v>602</v>
      </c>
      <c r="M2147" s="622" t="s">
        <v>285</v>
      </c>
      <c r="N2147" s="622" t="s">
        <v>670</v>
      </c>
      <c r="O2147" s="622" t="s">
        <v>670</v>
      </c>
      <c r="P2147" s="622" t="s">
        <v>522</v>
      </c>
      <c r="Q2147" s="622" t="s">
        <v>670</v>
      </c>
      <c r="R2147" s="623">
        <v>46027</v>
      </c>
      <c r="S2147" s="622" t="s">
        <v>670</v>
      </c>
      <c r="T2147" s="623">
        <v>46022</v>
      </c>
      <c r="U2147" s="624">
        <v>0</v>
      </c>
      <c r="V2147" s="625">
        <v>1.06</v>
      </c>
      <c r="W2147" s="260">
        <v>45992</v>
      </c>
    </row>
    <row r="2148" spans="1:23" hidden="1" x14ac:dyDescent="0.35">
      <c r="A2148" s="622" t="s">
        <v>526</v>
      </c>
      <c r="B2148" s="622" t="s">
        <v>159</v>
      </c>
      <c r="C2148" s="622" t="s">
        <v>298</v>
      </c>
      <c r="D2148" s="622" t="s">
        <v>391</v>
      </c>
      <c r="E2148" s="622" t="s">
        <v>392</v>
      </c>
      <c r="F2148" s="622" t="s">
        <v>276</v>
      </c>
      <c r="G2148" s="622" t="s">
        <v>356</v>
      </c>
      <c r="H2148" s="622" t="s">
        <v>670</v>
      </c>
      <c r="I2148" s="622" t="s">
        <v>277</v>
      </c>
      <c r="J2148" s="622" t="s">
        <v>522</v>
      </c>
      <c r="K2148" s="622" t="s">
        <v>301</v>
      </c>
      <c r="L2148" s="622" t="s">
        <v>602</v>
      </c>
      <c r="M2148" s="622" t="s">
        <v>285</v>
      </c>
      <c r="N2148" s="622" t="s">
        <v>670</v>
      </c>
      <c r="O2148" s="622" t="s">
        <v>670</v>
      </c>
      <c r="P2148" s="622" t="s">
        <v>522</v>
      </c>
      <c r="Q2148" s="622" t="s">
        <v>670</v>
      </c>
      <c r="R2148" s="623">
        <v>46027</v>
      </c>
      <c r="S2148" s="622" t="s">
        <v>670</v>
      </c>
      <c r="T2148" s="623">
        <v>46022</v>
      </c>
      <c r="U2148" s="624">
        <v>0</v>
      </c>
      <c r="V2148" s="625">
        <v>0.21</v>
      </c>
      <c r="W2148" s="260">
        <v>45992</v>
      </c>
    </row>
    <row r="2149" spans="1:23" hidden="1" x14ac:dyDescent="0.35">
      <c r="A2149" s="622" t="s">
        <v>526</v>
      </c>
      <c r="B2149" s="622" t="s">
        <v>159</v>
      </c>
      <c r="C2149" s="622" t="s">
        <v>298</v>
      </c>
      <c r="D2149" s="622" t="s">
        <v>320</v>
      </c>
      <c r="E2149" s="622" t="s">
        <v>321</v>
      </c>
      <c r="F2149" s="622" t="s">
        <v>276</v>
      </c>
      <c r="G2149" s="622" t="s">
        <v>356</v>
      </c>
      <c r="H2149" s="622" t="s">
        <v>670</v>
      </c>
      <c r="I2149" s="622" t="s">
        <v>277</v>
      </c>
      <c r="J2149" s="622" t="s">
        <v>522</v>
      </c>
      <c r="K2149" s="622" t="s">
        <v>301</v>
      </c>
      <c r="L2149" s="622" t="s">
        <v>602</v>
      </c>
      <c r="M2149" s="622" t="s">
        <v>285</v>
      </c>
      <c r="N2149" s="622" t="s">
        <v>670</v>
      </c>
      <c r="O2149" s="622" t="s">
        <v>670</v>
      </c>
      <c r="P2149" s="622" t="s">
        <v>522</v>
      </c>
      <c r="Q2149" s="622" t="s">
        <v>670</v>
      </c>
      <c r="R2149" s="623">
        <v>46027</v>
      </c>
      <c r="S2149" s="622" t="s">
        <v>670</v>
      </c>
      <c r="T2149" s="623">
        <v>46022</v>
      </c>
      <c r="U2149" s="624">
        <v>0</v>
      </c>
      <c r="V2149" s="625">
        <v>150.15</v>
      </c>
      <c r="W2149" s="260">
        <v>45992</v>
      </c>
    </row>
    <row r="2150" spans="1:23" hidden="1" x14ac:dyDescent="0.35">
      <c r="A2150" s="622" t="s">
        <v>526</v>
      </c>
      <c r="B2150" s="622" t="s">
        <v>159</v>
      </c>
      <c r="C2150" s="622" t="s">
        <v>298</v>
      </c>
      <c r="D2150" s="622" t="s">
        <v>322</v>
      </c>
      <c r="E2150" s="622" t="s">
        <v>323</v>
      </c>
      <c r="F2150" s="622" t="s">
        <v>276</v>
      </c>
      <c r="G2150" s="622" t="s">
        <v>356</v>
      </c>
      <c r="H2150" s="622" t="s">
        <v>670</v>
      </c>
      <c r="I2150" s="622" t="s">
        <v>277</v>
      </c>
      <c r="J2150" s="622" t="s">
        <v>522</v>
      </c>
      <c r="K2150" s="622" t="s">
        <v>301</v>
      </c>
      <c r="L2150" s="622" t="s">
        <v>602</v>
      </c>
      <c r="M2150" s="622" t="s">
        <v>285</v>
      </c>
      <c r="N2150" s="622" t="s">
        <v>670</v>
      </c>
      <c r="O2150" s="622" t="s">
        <v>670</v>
      </c>
      <c r="P2150" s="622" t="s">
        <v>522</v>
      </c>
      <c r="Q2150" s="622" t="s">
        <v>670</v>
      </c>
      <c r="R2150" s="623">
        <v>46027</v>
      </c>
      <c r="S2150" s="622" t="s">
        <v>670</v>
      </c>
      <c r="T2150" s="623">
        <v>46022</v>
      </c>
      <c r="U2150" s="624">
        <v>0</v>
      </c>
      <c r="V2150" s="625">
        <v>0.35</v>
      </c>
      <c r="W2150" s="260">
        <v>45992</v>
      </c>
    </row>
    <row r="2151" spans="1:23" hidden="1" x14ac:dyDescent="0.35">
      <c r="A2151" s="622" t="s">
        <v>526</v>
      </c>
      <c r="B2151" s="622" t="s">
        <v>159</v>
      </c>
      <c r="C2151" s="622" t="s">
        <v>298</v>
      </c>
      <c r="D2151" s="622" t="s">
        <v>322</v>
      </c>
      <c r="E2151" s="622" t="s">
        <v>323</v>
      </c>
      <c r="F2151" s="622" t="s">
        <v>276</v>
      </c>
      <c r="G2151" s="622" t="s">
        <v>356</v>
      </c>
      <c r="H2151" s="622" t="s">
        <v>670</v>
      </c>
      <c r="I2151" s="622" t="s">
        <v>277</v>
      </c>
      <c r="J2151" s="622" t="s">
        <v>522</v>
      </c>
      <c r="K2151" s="622" t="s">
        <v>301</v>
      </c>
      <c r="L2151" s="622" t="s">
        <v>602</v>
      </c>
      <c r="M2151" s="622" t="s">
        <v>285</v>
      </c>
      <c r="N2151" s="622" t="s">
        <v>670</v>
      </c>
      <c r="O2151" s="622" t="s">
        <v>670</v>
      </c>
      <c r="P2151" s="622" t="s">
        <v>522</v>
      </c>
      <c r="Q2151" s="622" t="s">
        <v>670</v>
      </c>
      <c r="R2151" s="623">
        <v>46027</v>
      </c>
      <c r="S2151" s="622" t="s">
        <v>670</v>
      </c>
      <c r="T2151" s="623">
        <v>46022</v>
      </c>
      <c r="U2151" s="624">
        <v>0</v>
      </c>
      <c r="V2151" s="625">
        <v>0.06</v>
      </c>
      <c r="W2151" s="260">
        <v>45992</v>
      </c>
    </row>
    <row r="2152" spans="1:23" hidden="1" x14ac:dyDescent="0.35">
      <c r="A2152" s="622" t="s">
        <v>526</v>
      </c>
      <c r="B2152" s="622" t="s">
        <v>159</v>
      </c>
      <c r="C2152" s="622" t="s">
        <v>298</v>
      </c>
      <c r="D2152" s="622" t="s">
        <v>324</v>
      </c>
      <c r="E2152" s="622" t="s">
        <v>325</v>
      </c>
      <c r="F2152" s="622" t="s">
        <v>276</v>
      </c>
      <c r="G2152" s="622" t="s">
        <v>356</v>
      </c>
      <c r="H2152" s="622" t="s">
        <v>670</v>
      </c>
      <c r="I2152" s="622" t="s">
        <v>277</v>
      </c>
      <c r="J2152" s="622" t="s">
        <v>522</v>
      </c>
      <c r="K2152" s="622" t="s">
        <v>301</v>
      </c>
      <c r="L2152" s="622" t="s">
        <v>602</v>
      </c>
      <c r="M2152" s="622" t="s">
        <v>285</v>
      </c>
      <c r="N2152" s="622" t="s">
        <v>670</v>
      </c>
      <c r="O2152" s="622" t="s">
        <v>670</v>
      </c>
      <c r="P2152" s="622" t="s">
        <v>522</v>
      </c>
      <c r="Q2152" s="622" t="s">
        <v>670</v>
      </c>
      <c r="R2152" s="623">
        <v>46027</v>
      </c>
      <c r="S2152" s="622" t="s">
        <v>670</v>
      </c>
      <c r="T2152" s="623">
        <v>46022</v>
      </c>
      <c r="U2152" s="624">
        <v>0</v>
      </c>
      <c r="V2152" s="625">
        <v>227.29</v>
      </c>
      <c r="W2152" s="260">
        <v>45992</v>
      </c>
    </row>
    <row r="2153" spans="1:23" hidden="1" x14ac:dyDescent="0.35">
      <c r="A2153" s="622" t="s">
        <v>526</v>
      </c>
      <c r="B2153" s="622" t="s">
        <v>159</v>
      </c>
      <c r="C2153" s="622" t="s">
        <v>298</v>
      </c>
      <c r="D2153" s="622" t="s">
        <v>326</v>
      </c>
      <c r="E2153" s="622" t="s">
        <v>327</v>
      </c>
      <c r="F2153" s="622" t="s">
        <v>276</v>
      </c>
      <c r="G2153" s="622" t="s">
        <v>356</v>
      </c>
      <c r="H2153" s="622" t="s">
        <v>670</v>
      </c>
      <c r="I2153" s="622" t="s">
        <v>277</v>
      </c>
      <c r="J2153" s="622" t="s">
        <v>522</v>
      </c>
      <c r="K2153" s="622" t="s">
        <v>301</v>
      </c>
      <c r="L2153" s="622" t="s">
        <v>602</v>
      </c>
      <c r="M2153" s="622" t="s">
        <v>285</v>
      </c>
      <c r="N2153" s="622" t="s">
        <v>670</v>
      </c>
      <c r="O2153" s="622" t="s">
        <v>670</v>
      </c>
      <c r="P2153" s="622" t="s">
        <v>522</v>
      </c>
      <c r="Q2153" s="622" t="s">
        <v>670</v>
      </c>
      <c r="R2153" s="623">
        <v>46027</v>
      </c>
      <c r="S2153" s="622" t="s">
        <v>670</v>
      </c>
      <c r="T2153" s="623">
        <v>46022</v>
      </c>
      <c r="U2153" s="624">
        <v>0</v>
      </c>
      <c r="V2153" s="625">
        <v>0.5</v>
      </c>
      <c r="W2153" s="260">
        <v>45992</v>
      </c>
    </row>
    <row r="2154" spans="1:23" hidden="1" x14ac:dyDescent="0.35">
      <c r="A2154" s="622" t="s">
        <v>526</v>
      </c>
      <c r="B2154" s="622" t="s">
        <v>159</v>
      </c>
      <c r="C2154" s="622" t="s">
        <v>298</v>
      </c>
      <c r="D2154" s="622" t="s">
        <v>326</v>
      </c>
      <c r="E2154" s="622" t="s">
        <v>327</v>
      </c>
      <c r="F2154" s="622" t="s">
        <v>276</v>
      </c>
      <c r="G2154" s="622" t="s">
        <v>356</v>
      </c>
      <c r="H2154" s="622" t="s">
        <v>670</v>
      </c>
      <c r="I2154" s="622" t="s">
        <v>277</v>
      </c>
      <c r="J2154" s="622" t="s">
        <v>522</v>
      </c>
      <c r="K2154" s="622" t="s">
        <v>301</v>
      </c>
      <c r="L2154" s="622" t="s">
        <v>602</v>
      </c>
      <c r="M2154" s="622" t="s">
        <v>285</v>
      </c>
      <c r="N2154" s="622" t="s">
        <v>670</v>
      </c>
      <c r="O2154" s="622" t="s">
        <v>670</v>
      </c>
      <c r="P2154" s="622" t="s">
        <v>522</v>
      </c>
      <c r="Q2154" s="622" t="s">
        <v>670</v>
      </c>
      <c r="R2154" s="623">
        <v>46027</v>
      </c>
      <c r="S2154" s="622" t="s">
        <v>670</v>
      </c>
      <c r="T2154" s="623">
        <v>46022</v>
      </c>
      <c r="U2154" s="624">
        <v>0</v>
      </c>
      <c r="V2154" s="625">
        <v>10.51</v>
      </c>
      <c r="W2154" s="260">
        <v>45992</v>
      </c>
    </row>
    <row r="2155" spans="1:23" hidden="1" x14ac:dyDescent="0.35">
      <c r="A2155" s="622" t="s">
        <v>526</v>
      </c>
      <c r="B2155" s="622" t="s">
        <v>159</v>
      </c>
      <c r="C2155" s="622" t="s">
        <v>298</v>
      </c>
      <c r="D2155" s="622" t="s">
        <v>393</v>
      </c>
      <c r="E2155" s="622" t="s">
        <v>394</v>
      </c>
      <c r="F2155" s="622" t="s">
        <v>276</v>
      </c>
      <c r="G2155" s="622" t="s">
        <v>356</v>
      </c>
      <c r="H2155" s="622" t="s">
        <v>670</v>
      </c>
      <c r="I2155" s="622" t="s">
        <v>277</v>
      </c>
      <c r="J2155" s="622" t="s">
        <v>522</v>
      </c>
      <c r="K2155" s="622" t="s">
        <v>301</v>
      </c>
      <c r="L2155" s="622" t="s">
        <v>602</v>
      </c>
      <c r="M2155" s="622" t="s">
        <v>285</v>
      </c>
      <c r="N2155" s="622" t="s">
        <v>670</v>
      </c>
      <c r="O2155" s="622" t="s">
        <v>670</v>
      </c>
      <c r="P2155" s="622" t="s">
        <v>522</v>
      </c>
      <c r="Q2155" s="622" t="s">
        <v>670</v>
      </c>
      <c r="R2155" s="623">
        <v>46027</v>
      </c>
      <c r="S2155" s="622" t="s">
        <v>670</v>
      </c>
      <c r="T2155" s="623">
        <v>46022</v>
      </c>
      <c r="U2155" s="624">
        <v>0</v>
      </c>
      <c r="V2155" s="625">
        <v>0.27</v>
      </c>
      <c r="W2155" s="260">
        <v>45992</v>
      </c>
    </row>
    <row r="2156" spans="1:23" hidden="1" x14ac:dyDescent="0.35">
      <c r="A2156" s="622" t="s">
        <v>526</v>
      </c>
      <c r="B2156" s="622" t="s">
        <v>159</v>
      </c>
      <c r="C2156" s="622" t="s">
        <v>298</v>
      </c>
      <c r="D2156" s="622" t="s">
        <v>328</v>
      </c>
      <c r="E2156" s="622" t="s">
        <v>329</v>
      </c>
      <c r="F2156" s="622" t="s">
        <v>276</v>
      </c>
      <c r="G2156" s="622" t="s">
        <v>356</v>
      </c>
      <c r="H2156" s="622" t="s">
        <v>670</v>
      </c>
      <c r="I2156" s="622" t="s">
        <v>277</v>
      </c>
      <c r="J2156" s="622" t="s">
        <v>522</v>
      </c>
      <c r="K2156" s="622" t="s">
        <v>301</v>
      </c>
      <c r="L2156" s="622" t="s">
        <v>602</v>
      </c>
      <c r="M2156" s="622" t="s">
        <v>285</v>
      </c>
      <c r="N2156" s="622" t="s">
        <v>670</v>
      </c>
      <c r="O2156" s="622" t="s">
        <v>670</v>
      </c>
      <c r="P2156" s="622" t="s">
        <v>522</v>
      </c>
      <c r="Q2156" s="622" t="s">
        <v>670</v>
      </c>
      <c r="R2156" s="623">
        <v>46027</v>
      </c>
      <c r="S2156" s="622" t="s">
        <v>670</v>
      </c>
      <c r="T2156" s="623">
        <v>46022</v>
      </c>
      <c r="U2156" s="624">
        <v>0</v>
      </c>
      <c r="V2156" s="625">
        <v>5960.12</v>
      </c>
      <c r="W2156" s="260">
        <v>45992</v>
      </c>
    </row>
    <row r="2157" spans="1:23" hidden="1" x14ac:dyDescent="0.35">
      <c r="A2157" s="622" t="s">
        <v>526</v>
      </c>
      <c r="B2157" s="622" t="s">
        <v>159</v>
      </c>
      <c r="C2157" s="622" t="s">
        <v>298</v>
      </c>
      <c r="D2157" s="622" t="s">
        <v>330</v>
      </c>
      <c r="E2157" s="622" t="s">
        <v>331</v>
      </c>
      <c r="F2157" s="622" t="s">
        <v>276</v>
      </c>
      <c r="G2157" s="622" t="s">
        <v>356</v>
      </c>
      <c r="H2157" s="622" t="s">
        <v>670</v>
      </c>
      <c r="I2157" s="622" t="s">
        <v>277</v>
      </c>
      <c r="J2157" s="622" t="s">
        <v>522</v>
      </c>
      <c r="K2157" s="622" t="s">
        <v>301</v>
      </c>
      <c r="L2157" s="622" t="s">
        <v>602</v>
      </c>
      <c r="M2157" s="622" t="s">
        <v>285</v>
      </c>
      <c r="N2157" s="622" t="s">
        <v>670</v>
      </c>
      <c r="O2157" s="622" t="s">
        <v>670</v>
      </c>
      <c r="P2157" s="622" t="s">
        <v>522</v>
      </c>
      <c r="Q2157" s="622" t="s">
        <v>670</v>
      </c>
      <c r="R2157" s="623">
        <v>46027</v>
      </c>
      <c r="S2157" s="622" t="s">
        <v>670</v>
      </c>
      <c r="T2157" s="623">
        <v>46022</v>
      </c>
      <c r="U2157" s="624">
        <v>0</v>
      </c>
      <c r="V2157" s="625">
        <v>4.32</v>
      </c>
      <c r="W2157" s="260">
        <v>45992</v>
      </c>
    </row>
    <row r="2158" spans="1:23" hidden="1" x14ac:dyDescent="0.35">
      <c r="A2158" s="622" t="s">
        <v>526</v>
      </c>
      <c r="B2158" s="622" t="s">
        <v>159</v>
      </c>
      <c r="C2158" s="622" t="s">
        <v>298</v>
      </c>
      <c r="D2158" s="622" t="s">
        <v>332</v>
      </c>
      <c r="E2158" s="622" t="s">
        <v>333</v>
      </c>
      <c r="F2158" s="622" t="s">
        <v>276</v>
      </c>
      <c r="G2158" s="622" t="s">
        <v>356</v>
      </c>
      <c r="H2158" s="622" t="s">
        <v>670</v>
      </c>
      <c r="I2158" s="622" t="s">
        <v>277</v>
      </c>
      <c r="J2158" s="622" t="s">
        <v>522</v>
      </c>
      <c r="K2158" s="622" t="s">
        <v>301</v>
      </c>
      <c r="L2158" s="622" t="s">
        <v>602</v>
      </c>
      <c r="M2158" s="622" t="s">
        <v>285</v>
      </c>
      <c r="N2158" s="622" t="s">
        <v>670</v>
      </c>
      <c r="O2158" s="622" t="s">
        <v>670</v>
      </c>
      <c r="P2158" s="622" t="s">
        <v>522</v>
      </c>
      <c r="Q2158" s="622" t="s">
        <v>670</v>
      </c>
      <c r="R2158" s="623">
        <v>46027</v>
      </c>
      <c r="S2158" s="622" t="s">
        <v>670</v>
      </c>
      <c r="T2158" s="623">
        <v>46022</v>
      </c>
      <c r="U2158" s="624">
        <v>0</v>
      </c>
      <c r="V2158" s="625">
        <v>97.58</v>
      </c>
      <c r="W2158" s="260">
        <v>45992</v>
      </c>
    </row>
    <row r="2159" spans="1:23" hidden="1" x14ac:dyDescent="0.35">
      <c r="A2159" s="622" t="s">
        <v>526</v>
      </c>
      <c r="B2159" s="622" t="s">
        <v>159</v>
      </c>
      <c r="C2159" s="622" t="s">
        <v>298</v>
      </c>
      <c r="D2159" s="622" t="s">
        <v>334</v>
      </c>
      <c r="E2159" s="622" t="s">
        <v>335</v>
      </c>
      <c r="F2159" s="622" t="s">
        <v>276</v>
      </c>
      <c r="G2159" s="622" t="s">
        <v>356</v>
      </c>
      <c r="H2159" s="622" t="s">
        <v>670</v>
      </c>
      <c r="I2159" s="622" t="s">
        <v>277</v>
      </c>
      <c r="J2159" s="622" t="s">
        <v>522</v>
      </c>
      <c r="K2159" s="622" t="s">
        <v>301</v>
      </c>
      <c r="L2159" s="622" t="s">
        <v>602</v>
      </c>
      <c r="M2159" s="622" t="s">
        <v>285</v>
      </c>
      <c r="N2159" s="622" t="s">
        <v>670</v>
      </c>
      <c r="O2159" s="622" t="s">
        <v>670</v>
      </c>
      <c r="P2159" s="622" t="s">
        <v>522</v>
      </c>
      <c r="Q2159" s="622" t="s">
        <v>670</v>
      </c>
      <c r="R2159" s="623">
        <v>46027</v>
      </c>
      <c r="S2159" s="622" t="s">
        <v>670</v>
      </c>
      <c r="T2159" s="623">
        <v>46022</v>
      </c>
      <c r="U2159" s="624">
        <v>0</v>
      </c>
      <c r="V2159" s="625">
        <v>-61.1</v>
      </c>
      <c r="W2159" s="260">
        <v>45992</v>
      </c>
    </row>
    <row r="2160" spans="1:23" hidden="1" x14ac:dyDescent="0.35">
      <c r="A2160" s="622" t="s">
        <v>526</v>
      </c>
      <c r="B2160" s="622" t="s">
        <v>159</v>
      </c>
      <c r="C2160" s="622" t="s">
        <v>298</v>
      </c>
      <c r="D2160" s="622" t="s">
        <v>336</v>
      </c>
      <c r="E2160" s="622" t="s">
        <v>337</v>
      </c>
      <c r="F2160" s="622" t="s">
        <v>276</v>
      </c>
      <c r="G2160" s="622" t="s">
        <v>356</v>
      </c>
      <c r="H2160" s="622" t="s">
        <v>670</v>
      </c>
      <c r="I2160" s="622" t="s">
        <v>277</v>
      </c>
      <c r="J2160" s="622" t="s">
        <v>522</v>
      </c>
      <c r="K2160" s="622" t="s">
        <v>301</v>
      </c>
      <c r="L2160" s="622" t="s">
        <v>602</v>
      </c>
      <c r="M2160" s="622" t="s">
        <v>285</v>
      </c>
      <c r="N2160" s="622" t="s">
        <v>670</v>
      </c>
      <c r="O2160" s="622" t="s">
        <v>670</v>
      </c>
      <c r="P2160" s="622" t="s">
        <v>522</v>
      </c>
      <c r="Q2160" s="622" t="s">
        <v>670</v>
      </c>
      <c r="R2160" s="623">
        <v>46027</v>
      </c>
      <c r="S2160" s="622" t="s">
        <v>670</v>
      </c>
      <c r="T2160" s="623">
        <v>46022</v>
      </c>
      <c r="U2160" s="624">
        <v>0</v>
      </c>
      <c r="V2160" s="625">
        <v>2.5299999999999998</v>
      </c>
      <c r="W2160" s="260">
        <v>45992</v>
      </c>
    </row>
    <row r="2161" spans="1:23" hidden="1" x14ac:dyDescent="0.35">
      <c r="A2161" s="622" t="s">
        <v>526</v>
      </c>
      <c r="B2161" s="622" t="s">
        <v>159</v>
      </c>
      <c r="C2161" s="622" t="s">
        <v>298</v>
      </c>
      <c r="D2161" s="622" t="s">
        <v>397</v>
      </c>
      <c r="E2161" s="622" t="s">
        <v>398</v>
      </c>
      <c r="F2161" s="622" t="s">
        <v>276</v>
      </c>
      <c r="G2161" s="622" t="s">
        <v>356</v>
      </c>
      <c r="H2161" s="622" t="s">
        <v>670</v>
      </c>
      <c r="I2161" s="622" t="s">
        <v>277</v>
      </c>
      <c r="J2161" s="622" t="s">
        <v>522</v>
      </c>
      <c r="K2161" s="622" t="s">
        <v>301</v>
      </c>
      <c r="L2161" s="622" t="s">
        <v>602</v>
      </c>
      <c r="M2161" s="622" t="s">
        <v>285</v>
      </c>
      <c r="N2161" s="622" t="s">
        <v>670</v>
      </c>
      <c r="O2161" s="622" t="s">
        <v>670</v>
      </c>
      <c r="P2161" s="622" t="s">
        <v>522</v>
      </c>
      <c r="Q2161" s="622" t="s">
        <v>670</v>
      </c>
      <c r="R2161" s="623">
        <v>46027</v>
      </c>
      <c r="S2161" s="622" t="s">
        <v>670</v>
      </c>
      <c r="T2161" s="623">
        <v>46022</v>
      </c>
      <c r="U2161" s="624">
        <v>0</v>
      </c>
      <c r="V2161" s="625">
        <v>-0.2</v>
      </c>
      <c r="W2161" s="260">
        <v>45992</v>
      </c>
    </row>
    <row r="2162" spans="1:23" hidden="1" x14ac:dyDescent="0.35">
      <c r="A2162" s="622" t="s">
        <v>526</v>
      </c>
      <c r="B2162" s="622" t="s">
        <v>159</v>
      </c>
      <c r="C2162" s="622" t="s">
        <v>298</v>
      </c>
      <c r="D2162" s="622" t="s">
        <v>338</v>
      </c>
      <c r="E2162" s="622" t="s">
        <v>339</v>
      </c>
      <c r="F2162" s="622" t="s">
        <v>276</v>
      </c>
      <c r="G2162" s="622" t="s">
        <v>356</v>
      </c>
      <c r="H2162" s="622" t="s">
        <v>670</v>
      </c>
      <c r="I2162" s="622" t="s">
        <v>277</v>
      </c>
      <c r="J2162" s="622" t="s">
        <v>522</v>
      </c>
      <c r="K2162" s="622" t="s">
        <v>301</v>
      </c>
      <c r="L2162" s="622" t="s">
        <v>602</v>
      </c>
      <c r="M2162" s="622" t="s">
        <v>285</v>
      </c>
      <c r="N2162" s="622" t="s">
        <v>670</v>
      </c>
      <c r="O2162" s="622" t="s">
        <v>670</v>
      </c>
      <c r="P2162" s="622" t="s">
        <v>522</v>
      </c>
      <c r="Q2162" s="622" t="s">
        <v>670</v>
      </c>
      <c r="R2162" s="623">
        <v>46027</v>
      </c>
      <c r="S2162" s="622" t="s">
        <v>670</v>
      </c>
      <c r="T2162" s="623">
        <v>46022</v>
      </c>
      <c r="U2162" s="624">
        <v>0</v>
      </c>
      <c r="V2162" s="625">
        <v>-7.0000000000000007E-2</v>
      </c>
      <c r="W2162" s="260">
        <v>45992</v>
      </c>
    </row>
    <row r="2163" spans="1:23" hidden="1" x14ac:dyDescent="0.35">
      <c r="A2163" s="622" t="s">
        <v>526</v>
      </c>
      <c r="B2163" s="622" t="s">
        <v>159</v>
      </c>
      <c r="C2163" s="622" t="s">
        <v>281</v>
      </c>
      <c r="D2163" s="622" t="s">
        <v>340</v>
      </c>
      <c r="E2163" s="622" t="s">
        <v>283</v>
      </c>
      <c r="F2163" s="622" t="s">
        <v>276</v>
      </c>
      <c r="G2163" s="622" t="s">
        <v>356</v>
      </c>
      <c r="H2163" s="622" t="s">
        <v>670</v>
      </c>
      <c r="I2163" s="622" t="s">
        <v>277</v>
      </c>
      <c r="J2163" s="622" t="s">
        <v>522</v>
      </c>
      <c r="K2163" s="622" t="s">
        <v>284</v>
      </c>
      <c r="L2163" s="622" t="s">
        <v>602</v>
      </c>
      <c r="M2163" s="622" t="s">
        <v>285</v>
      </c>
      <c r="N2163" s="622" t="s">
        <v>670</v>
      </c>
      <c r="O2163" s="622" t="s">
        <v>670</v>
      </c>
      <c r="P2163" s="622" t="s">
        <v>522</v>
      </c>
      <c r="Q2163" s="622" t="s">
        <v>670</v>
      </c>
      <c r="R2163" s="623">
        <v>46024</v>
      </c>
      <c r="S2163" s="622" t="s">
        <v>670</v>
      </c>
      <c r="T2163" s="623">
        <v>46022</v>
      </c>
      <c r="U2163" s="624">
        <v>0</v>
      </c>
      <c r="V2163" s="625">
        <v>196.83</v>
      </c>
      <c r="W2163" s="260">
        <v>45992</v>
      </c>
    </row>
    <row r="2164" spans="1:23" hidden="1" x14ac:dyDescent="0.35">
      <c r="A2164" s="622" t="s">
        <v>526</v>
      </c>
      <c r="B2164" s="622" t="s">
        <v>159</v>
      </c>
      <c r="C2164" s="622" t="s">
        <v>302</v>
      </c>
      <c r="D2164" s="622" t="s">
        <v>340</v>
      </c>
      <c r="E2164" s="622" t="s">
        <v>283</v>
      </c>
      <c r="F2164" s="622" t="s">
        <v>276</v>
      </c>
      <c r="G2164" s="622" t="s">
        <v>356</v>
      </c>
      <c r="H2164" s="622" t="s">
        <v>670</v>
      </c>
      <c r="I2164" s="622" t="s">
        <v>277</v>
      </c>
      <c r="J2164" s="622" t="s">
        <v>522</v>
      </c>
      <c r="K2164" s="622" t="s">
        <v>303</v>
      </c>
      <c r="L2164" s="622" t="s">
        <v>602</v>
      </c>
      <c r="M2164" s="622" t="s">
        <v>285</v>
      </c>
      <c r="N2164" s="622" t="s">
        <v>670</v>
      </c>
      <c r="O2164" s="622" t="s">
        <v>670</v>
      </c>
      <c r="P2164" s="622" t="s">
        <v>522</v>
      </c>
      <c r="Q2164" s="622" t="s">
        <v>670</v>
      </c>
      <c r="R2164" s="623">
        <v>46027</v>
      </c>
      <c r="S2164" s="622" t="s">
        <v>670</v>
      </c>
      <c r="T2164" s="623">
        <v>46022</v>
      </c>
      <c r="U2164" s="624">
        <v>0</v>
      </c>
      <c r="V2164" s="625">
        <v>12.17</v>
      </c>
      <c r="W2164" s="260">
        <v>45992</v>
      </c>
    </row>
    <row r="2165" spans="1:23" hidden="1" x14ac:dyDescent="0.35">
      <c r="A2165" s="622" t="s">
        <v>526</v>
      </c>
      <c r="B2165" s="622" t="s">
        <v>159</v>
      </c>
      <c r="C2165" s="622" t="s">
        <v>302</v>
      </c>
      <c r="D2165" s="622" t="s">
        <v>340</v>
      </c>
      <c r="E2165" s="622" t="s">
        <v>283</v>
      </c>
      <c r="F2165" s="622" t="s">
        <v>276</v>
      </c>
      <c r="G2165" s="622" t="s">
        <v>356</v>
      </c>
      <c r="H2165" s="622" t="s">
        <v>670</v>
      </c>
      <c r="I2165" s="622" t="s">
        <v>277</v>
      </c>
      <c r="J2165" s="622" t="s">
        <v>522</v>
      </c>
      <c r="K2165" s="622" t="s">
        <v>303</v>
      </c>
      <c r="L2165" s="622" t="s">
        <v>602</v>
      </c>
      <c r="M2165" s="622" t="s">
        <v>285</v>
      </c>
      <c r="N2165" s="622" t="s">
        <v>670</v>
      </c>
      <c r="O2165" s="622" t="s">
        <v>670</v>
      </c>
      <c r="P2165" s="622" t="s">
        <v>522</v>
      </c>
      <c r="Q2165" s="622" t="s">
        <v>670</v>
      </c>
      <c r="R2165" s="623">
        <v>46027</v>
      </c>
      <c r="S2165" s="622" t="s">
        <v>670</v>
      </c>
      <c r="T2165" s="623">
        <v>46022</v>
      </c>
      <c r="U2165" s="624">
        <v>0</v>
      </c>
      <c r="V2165" s="625">
        <v>3.27</v>
      </c>
      <c r="W2165" s="260">
        <v>45992</v>
      </c>
    </row>
    <row r="2166" spans="1:23" hidden="1" x14ac:dyDescent="0.35">
      <c r="A2166" s="622" t="s">
        <v>526</v>
      </c>
      <c r="B2166" s="622" t="s">
        <v>159</v>
      </c>
      <c r="C2166" s="622" t="s">
        <v>286</v>
      </c>
      <c r="D2166" s="622" t="s">
        <v>341</v>
      </c>
      <c r="E2166" s="622" t="s">
        <v>288</v>
      </c>
      <c r="F2166" s="622" t="s">
        <v>276</v>
      </c>
      <c r="G2166" s="622" t="s">
        <v>356</v>
      </c>
      <c r="H2166" s="622" t="s">
        <v>670</v>
      </c>
      <c r="I2166" s="622" t="s">
        <v>277</v>
      </c>
      <c r="J2166" s="622" t="s">
        <v>522</v>
      </c>
      <c r="K2166" s="622" t="s">
        <v>289</v>
      </c>
      <c r="L2166" s="622" t="s">
        <v>602</v>
      </c>
      <c r="M2166" s="622" t="s">
        <v>285</v>
      </c>
      <c r="N2166" s="622" t="s">
        <v>670</v>
      </c>
      <c r="O2166" s="622" t="s">
        <v>670</v>
      </c>
      <c r="P2166" s="622" t="s">
        <v>522</v>
      </c>
      <c r="Q2166" s="622" t="s">
        <v>670</v>
      </c>
      <c r="R2166" s="623">
        <v>46024</v>
      </c>
      <c r="S2166" s="622" t="s">
        <v>670</v>
      </c>
      <c r="T2166" s="623">
        <v>46022</v>
      </c>
      <c r="U2166" s="624">
        <v>0</v>
      </c>
      <c r="V2166" s="625">
        <v>147.16</v>
      </c>
      <c r="W2166" s="260">
        <v>45992</v>
      </c>
    </row>
    <row r="2167" spans="1:23" hidden="1" x14ac:dyDescent="0.35">
      <c r="A2167" s="622" t="s">
        <v>526</v>
      </c>
      <c r="B2167" s="622" t="s">
        <v>159</v>
      </c>
      <c r="C2167" s="622" t="s">
        <v>302</v>
      </c>
      <c r="D2167" s="622" t="s">
        <v>341</v>
      </c>
      <c r="E2167" s="622" t="s">
        <v>288</v>
      </c>
      <c r="F2167" s="622" t="s">
        <v>276</v>
      </c>
      <c r="G2167" s="622" t="s">
        <v>356</v>
      </c>
      <c r="H2167" s="622" t="s">
        <v>670</v>
      </c>
      <c r="I2167" s="622" t="s">
        <v>277</v>
      </c>
      <c r="J2167" s="622" t="s">
        <v>522</v>
      </c>
      <c r="K2167" s="622" t="s">
        <v>303</v>
      </c>
      <c r="L2167" s="622" t="s">
        <v>602</v>
      </c>
      <c r="M2167" s="622" t="s">
        <v>285</v>
      </c>
      <c r="N2167" s="622" t="s">
        <v>670</v>
      </c>
      <c r="O2167" s="622" t="s">
        <v>670</v>
      </c>
      <c r="P2167" s="622" t="s">
        <v>522</v>
      </c>
      <c r="Q2167" s="622" t="s">
        <v>670</v>
      </c>
      <c r="R2167" s="623">
        <v>46027</v>
      </c>
      <c r="S2167" s="622" t="s">
        <v>670</v>
      </c>
      <c r="T2167" s="623">
        <v>46022</v>
      </c>
      <c r="U2167" s="624">
        <v>0</v>
      </c>
      <c r="V2167" s="625">
        <v>34.14</v>
      </c>
      <c r="W2167" s="260">
        <v>45992</v>
      </c>
    </row>
    <row r="2168" spans="1:23" hidden="1" x14ac:dyDescent="0.35">
      <c r="A2168" s="622" t="s">
        <v>526</v>
      </c>
      <c r="B2168" s="622" t="s">
        <v>159</v>
      </c>
      <c r="C2168" s="622" t="s">
        <v>302</v>
      </c>
      <c r="D2168" s="622" t="s">
        <v>341</v>
      </c>
      <c r="E2168" s="622" t="s">
        <v>288</v>
      </c>
      <c r="F2168" s="622" t="s">
        <v>276</v>
      </c>
      <c r="G2168" s="622" t="s">
        <v>356</v>
      </c>
      <c r="H2168" s="622" t="s">
        <v>670</v>
      </c>
      <c r="I2168" s="622" t="s">
        <v>277</v>
      </c>
      <c r="J2168" s="622" t="s">
        <v>522</v>
      </c>
      <c r="K2168" s="622" t="s">
        <v>303</v>
      </c>
      <c r="L2168" s="622" t="s">
        <v>602</v>
      </c>
      <c r="M2168" s="622" t="s">
        <v>285</v>
      </c>
      <c r="N2168" s="622" t="s">
        <v>670</v>
      </c>
      <c r="O2168" s="622" t="s">
        <v>670</v>
      </c>
      <c r="P2168" s="622" t="s">
        <v>522</v>
      </c>
      <c r="Q2168" s="622" t="s">
        <v>670</v>
      </c>
      <c r="R2168" s="623">
        <v>46027</v>
      </c>
      <c r="S2168" s="622" t="s">
        <v>670</v>
      </c>
      <c r="T2168" s="623">
        <v>46022</v>
      </c>
      <c r="U2168" s="624">
        <v>0</v>
      </c>
      <c r="V2168" s="625">
        <v>2.4500000000000002</v>
      </c>
      <c r="W2168" s="260">
        <v>45992</v>
      </c>
    </row>
    <row r="2169" spans="1:23" hidden="1" x14ac:dyDescent="0.35">
      <c r="A2169" s="622" t="s">
        <v>526</v>
      </c>
      <c r="B2169" s="622" t="s">
        <v>159</v>
      </c>
      <c r="C2169" s="622" t="s">
        <v>281</v>
      </c>
      <c r="D2169" s="622" t="s">
        <v>342</v>
      </c>
      <c r="E2169" s="622" t="s">
        <v>291</v>
      </c>
      <c r="F2169" s="622" t="s">
        <v>276</v>
      </c>
      <c r="G2169" s="622" t="s">
        <v>356</v>
      </c>
      <c r="H2169" s="622" t="s">
        <v>670</v>
      </c>
      <c r="I2169" s="622" t="s">
        <v>277</v>
      </c>
      <c r="J2169" s="622" t="s">
        <v>522</v>
      </c>
      <c r="K2169" s="622" t="s">
        <v>284</v>
      </c>
      <c r="L2169" s="622" t="s">
        <v>602</v>
      </c>
      <c r="M2169" s="622" t="s">
        <v>285</v>
      </c>
      <c r="N2169" s="622" t="s">
        <v>670</v>
      </c>
      <c r="O2169" s="622" t="s">
        <v>670</v>
      </c>
      <c r="P2169" s="622" t="s">
        <v>522</v>
      </c>
      <c r="Q2169" s="622" t="s">
        <v>670</v>
      </c>
      <c r="R2169" s="623">
        <v>46024</v>
      </c>
      <c r="S2169" s="622" t="s">
        <v>670</v>
      </c>
      <c r="T2169" s="623">
        <v>46022</v>
      </c>
      <c r="U2169" s="624">
        <v>0</v>
      </c>
      <c r="V2169" s="625">
        <v>-58.2</v>
      </c>
      <c r="W2169" s="260">
        <v>45992</v>
      </c>
    </row>
    <row r="2170" spans="1:23" hidden="1" x14ac:dyDescent="0.35">
      <c r="A2170" s="622" t="s">
        <v>526</v>
      </c>
      <c r="B2170" s="622" t="s">
        <v>159</v>
      </c>
      <c r="C2170" s="622" t="s">
        <v>302</v>
      </c>
      <c r="D2170" s="622" t="s">
        <v>342</v>
      </c>
      <c r="E2170" s="622" t="s">
        <v>291</v>
      </c>
      <c r="F2170" s="622" t="s">
        <v>276</v>
      </c>
      <c r="G2170" s="622" t="s">
        <v>356</v>
      </c>
      <c r="H2170" s="622" t="s">
        <v>670</v>
      </c>
      <c r="I2170" s="622" t="s">
        <v>277</v>
      </c>
      <c r="J2170" s="622" t="s">
        <v>522</v>
      </c>
      <c r="K2170" s="622" t="s">
        <v>303</v>
      </c>
      <c r="L2170" s="622" t="s">
        <v>602</v>
      </c>
      <c r="M2170" s="622" t="s">
        <v>285</v>
      </c>
      <c r="N2170" s="622" t="s">
        <v>670</v>
      </c>
      <c r="O2170" s="622" t="s">
        <v>670</v>
      </c>
      <c r="P2170" s="622" t="s">
        <v>522</v>
      </c>
      <c r="Q2170" s="622" t="s">
        <v>670</v>
      </c>
      <c r="R2170" s="623">
        <v>46027</v>
      </c>
      <c r="S2170" s="622" t="s">
        <v>670</v>
      </c>
      <c r="T2170" s="623">
        <v>46022</v>
      </c>
      <c r="U2170" s="624">
        <v>0</v>
      </c>
      <c r="V2170" s="625">
        <v>7.86</v>
      </c>
      <c r="W2170" s="260">
        <v>45992</v>
      </c>
    </row>
    <row r="2171" spans="1:23" hidden="1" x14ac:dyDescent="0.35">
      <c r="A2171" s="622" t="s">
        <v>526</v>
      </c>
      <c r="B2171" s="622" t="s">
        <v>159</v>
      </c>
      <c r="C2171" s="622" t="s">
        <v>302</v>
      </c>
      <c r="D2171" s="622" t="s">
        <v>342</v>
      </c>
      <c r="E2171" s="622" t="s">
        <v>291</v>
      </c>
      <c r="F2171" s="622" t="s">
        <v>276</v>
      </c>
      <c r="G2171" s="622" t="s">
        <v>356</v>
      </c>
      <c r="H2171" s="622" t="s">
        <v>670</v>
      </c>
      <c r="I2171" s="622" t="s">
        <v>277</v>
      </c>
      <c r="J2171" s="622" t="s">
        <v>522</v>
      </c>
      <c r="K2171" s="622" t="s">
        <v>303</v>
      </c>
      <c r="L2171" s="622" t="s">
        <v>602</v>
      </c>
      <c r="M2171" s="622" t="s">
        <v>285</v>
      </c>
      <c r="N2171" s="622" t="s">
        <v>670</v>
      </c>
      <c r="O2171" s="622" t="s">
        <v>670</v>
      </c>
      <c r="P2171" s="622" t="s">
        <v>522</v>
      </c>
      <c r="Q2171" s="622" t="s">
        <v>670</v>
      </c>
      <c r="R2171" s="623">
        <v>46027</v>
      </c>
      <c r="S2171" s="622" t="s">
        <v>670</v>
      </c>
      <c r="T2171" s="623">
        <v>46022</v>
      </c>
      <c r="U2171" s="624">
        <v>0</v>
      </c>
      <c r="V2171" s="625">
        <v>-0.97</v>
      </c>
      <c r="W2171" s="260">
        <v>45992</v>
      </c>
    </row>
    <row r="2172" spans="1:23" hidden="1" x14ac:dyDescent="0.35">
      <c r="A2172" s="622" t="s">
        <v>526</v>
      </c>
      <c r="B2172" s="622" t="s">
        <v>159</v>
      </c>
      <c r="C2172" s="622" t="s">
        <v>281</v>
      </c>
      <c r="D2172" s="622" t="s">
        <v>343</v>
      </c>
      <c r="E2172" s="622" t="s">
        <v>293</v>
      </c>
      <c r="F2172" s="622" t="s">
        <v>276</v>
      </c>
      <c r="G2172" s="622" t="s">
        <v>356</v>
      </c>
      <c r="H2172" s="622" t="s">
        <v>670</v>
      </c>
      <c r="I2172" s="622" t="s">
        <v>277</v>
      </c>
      <c r="J2172" s="622" t="s">
        <v>522</v>
      </c>
      <c r="K2172" s="622" t="s">
        <v>294</v>
      </c>
      <c r="L2172" s="622" t="s">
        <v>602</v>
      </c>
      <c r="M2172" s="622" t="s">
        <v>285</v>
      </c>
      <c r="N2172" s="622" t="s">
        <v>670</v>
      </c>
      <c r="O2172" s="622" t="s">
        <v>670</v>
      </c>
      <c r="P2172" s="622" t="s">
        <v>522</v>
      </c>
      <c r="Q2172" s="622" t="s">
        <v>670</v>
      </c>
      <c r="R2172" s="623">
        <v>46024</v>
      </c>
      <c r="S2172" s="622" t="s">
        <v>670</v>
      </c>
      <c r="T2172" s="623">
        <v>46022</v>
      </c>
      <c r="U2172" s="624">
        <v>0</v>
      </c>
      <c r="V2172" s="625">
        <v>-72.459999999999994</v>
      </c>
      <c r="W2172" s="260">
        <v>45992</v>
      </c>
    </row>
    <row r="2173" spans="1:23" hidden="1" x14ac:dyDescent="0.35">
      <c r="A2173" s="622" t="s">
        <v>526</v>
      </c>
      <c r="B2173" s="622" t="s">
        <v>159</v>
      </c>
      <c r="C2173" s="622" t="s">
        <v>302</v>
      </c>
      <c r="D2173" s="622" t="s">
        <v>343</v>
      </c>
      <c r="E2173" s="622" t="s">
        <v>293</v>
      </c>
      <c r="F2173" s="622" t="s">
        <v>276</v>
      </c>
      <c r="G2173" s="622" t="s">
        <v>356</v>
      </c>
      <c r="H2173" s="622" t="s">
        <v>670</v>
      </c>
      <c r="I2173" s="622" t="s">
        <v>277</v>
      </c>
      <c r="J2173" s="622" t="s">
        <v>522</v>
      </c>
      <c r="K2173" s="622" t="s">
        <v>303</v>
      </c>
      <c r="L2173" s="622" t="s">
        <v>602</v>
      </c>
      <c r="M2173" s="622" t="s">
        <v>285</v>
      </c>
      <c r="N2173" s="622" t="s">
        <v>670</v>
      </c>
      <c r="O2173" s="622" t="s">
        <v>670</v>
      </c>
      <c r="P2173" s="622" t="s">
        <v>522</v>
      </c>
      <c r="Q2173" s="622" t="s">
        <v>670</v>
      </c>
      <c r="R2173" s="623">
        <v>46027</v>
      </c>
      <c r="S2173" s="622" t="s">
        <v>670</v>
      </c>
      <c r="T2173" s="623">
        <v>46022</v>
      </c>
      <c r="U2173" s="624">
        <v>0</v>
      </c>
      <c r="V2173" s="625">
        <v>8.6999999999999993</v>
      </c>
      <c r="W2173" s="260">
        <v>45992</v>
      </c>
    </row>
    <row r="2174" spans="1:23" hidden="1" x14ac:dyDescent="0.35">
      <c r="A2174" s="622" t="s">
        <v>526</v>
      </c>
      <c r="B2174" s="622" t="s">
        <v>159</v>
      </c>
      <c r="C2174" s="622" t="s">
        <v>302</v>
      </c>
      <c r="D2174" s="622" t="s">
        <v>343</v>
      </c>
      <c r="E2174" s="622" t="s">
        <v>293</v>
      </c>
      <c r="F2174" s="622" t="s">
        <v>276</v>
      </c>
      <c r="G2174" s="622" t="s">
        <v>356</v>
      </c>
      <c r="H2174" s="622" t="s">
        <v>670</v>
      </c>
      <c r="I2174" s="622" t="s">
        <v>277</v>
      </c>
      <c r="J2174" s="622" t="s">
        <v>522</v>
      </c>
      <c r="K2174" s="622" t="s">
        <v>303</v>
      </c>
      <c r="L2174" s="622" t="s">
        <v>602</v>
      </c>
      <c r="M2174" s="622" t="s">
        <v>285</v>
      </c>
      <c r="N2174" s="622" t="s">
        <v>670</v>
      </c>
      <c r="O2174" s="622" t="s">
        <v>670</v>
      </c>
      <c r="P2174" s="622" t="s">
        <v>522</v>
      </c>
      <c r="Q2174" s="622" t="s">
        <v>670</v>
      </c>
      <c r="R2174" s="623">
        <v>46027</v>
      </c>
      <c r="S2174" s="622" t="s">
        <v>670</v>
      </c>
      <c r="T2174" s="623">
        <v>46022</v>
      </c>
      <c r="U2174" s="624">
        <v>0</v>
      </c>
      <c r="V2174" s="625">
        <v>-1.21</v>
      </c>
      <c r="W2174" s="260">
        <v>45992</v>
      </c>
    </row>
    <row r="2175" spans="1:23" hidden="1" x14ac:dyDescent="0.35">
      <c r="A2175" s="622" t="s">
        <v>526</v>
      </c>
      <c r="B2175" s="622" t="s">
        <v>159</v>
      </c>
      <c r="C2175" s="622" t="s">
        <v>286</v>
      </c>
      <c r="D2175" s="622" t="s">
        <v>344</v>
      </c>
      <c r="E2175" s="622" t="s">
        <v>296</v>
      </c>
      <c r="F2175" s="622" t="s">
        <v>276</v>
      </c>
      <c r="G2175" s="622" t="s">
        <v>356</v>
      </c>
      <c r="H2175" s="622" t="s">
        <v>670</v>
      </c>
      <c r="I2175" s="622" t="s">
        <v>277</v>
      </c>
      <c r="J2175" s="622" t="s">
        <v>522</v>
      </c>
      <c r="K2175" s="622" t="s">
        <v>297</v>
      </c>
      <c r="L2175" s="622" t="s">
        <v>602</v>
      </c>
      <c r="M2175" s="622" t="s">
        <v>285</v>
      </c>
      <c r="N2175" s="622" t="s">
        <v>670</v>
      </c>
      <c r="O2175" s="622" t="s">
        <v>670</v>
      </c>
      <c r="P2175" s="622" t="s">
        <v>522</v>
      </c>
      <c r="Q2175" s="622" t="s">
        <v>670</v>
      </c>
      <c r="R2175" s="623">
        <v>46024</v>
      </c>
      <c r="S2175" s="622" t="s">
        <v>670</v>
      </c>
      <c r="T2175" s="623">
        <v>46022</v>
      </c>
      <c r="U2175" s="624">
        <v>0</v>
      </c>
      <c r="V2175" s="625">
        <v>-73.23</v>
      </c>
      <c r="W2175" s="260">
        <v>45992</v>
      </c>
    </row>
    <row r="2176" spans="1:23" hidden="1" x14ac:dyDescent="0.35">
      <c r="A2176" s="622" t="s">
        <v>526</v>
      </c>
      <c r="B2176" s="622" t="s">
        <v>159</v>
      </c>
      <c r="C2176" s="622" t="s">
        <v>302</v>
      </c>
      <c r="D2176" s="622" t="s">
        <v>344</v>
      </c>
      <c r="E2176" s="622" t="s">
        <v>296</v>
      </c>
      <c r="F2176" s="622" t="s">
        <v>276</v>
      </c>
      <c r="G2176" s="622" t="s">
        <v>356</v>
      </c>
      <c r="H2176" s="622" t="s">
        <v>670</v>
      </c>
      <c r="I2176" s="622" t="s">
        <v>277</v>
      </c>
      <c r="J2176" s="622" t="s">
        <v>522</v>
      </c>
      <c r="K2176" s="622" t="s">
        <v>303</v>
      </c>
      <c r="L2176" s="622" t="s">
        <v>602</v>
      </c>
      <c r="M2176" s="622" t="s">
        <v>285</v>
      </c>
      <c r="N2176" s="622" t="s">
        <v>670</v>
      </c>
      <c r="O2176" s="622" t="s">
        <v>670</v>
      </c>
      <c r="P2176" s="622" t="s">
        <v>522</v>
      </c>
      <c r="Q2176" s="622" t="s">
        <v>670</v>
      </c>
      <c r="R2176" s="623">
        <v>46027</v>
      </c>
      <c r="S2176" s="622" t="s">
        <v>670</v>
      </c>
      <c r="T2176" s="623">
        <v>46022</v>
      </c>
      <c r="U2176" s="624">
        <v>0</v>
      </c>
      <c r="V2176" s="625">
        <v>18.61</v>
      </c>
      <c r="W2176" s="260">
        <v>45992</v>
      </c>
    </row>
    <row r="2177" spans="1:24" hidden="1" x14ac:dyDescent="0.35">
      <c r="A2177" s="622" t="s">
        <v>526</v>
      </c>
      <c r="B2177" s="622" t="s">
        <v>159</v>
      </c>
      <c r="C2177" s="622" t="s">
        <v>302</v>
      </c>
      <c r="D2177" s="622" t="s">
        <v>344</v>
      </c>
      <c r="E2177" s="622" t="s">
        <v>296</v>
      </c>
      <c r="F2177" s="622" t="s">
        <v>276</v>
      </c>
      <c r="G2177" s="622" t="s">
        <v>356</v>
      </c>
      <c r="H2177" s="622" t="s">
        <v>670</v>
      </c>
      <c r="I2177" s="622" t="s">
        <v>277</v>
      </c>
      <c r="J2177" s="622" t="s">
        <v>522</v>
      </c>
      <c r="K2177" s="622" t="s">
        <v>303</v>
      </c>
      <c r="L2177" s="622" t="s">
        <v>602</v>
      </c>
      <c r="M2177" s="622" t="s">
        <v>285</v>
      </c>
      <c r="N2177" s="622" t="s">
        <v>670</v>
      </c>
      <c r="O2177" s="622" t="s">
        <v>670</v>
      </c>
      <c r="P2177" s="622" t="s">
        <v>522</v>
      </c>
      <c r="Q2177" s="622" t="s">
        <v>670</v>
      </c>
      <c r="R2177" s="623">
        <v>46027</v>
      </c>
      <c r="S2177" s="622" t="s">
        <v>670</v>
      </c>
      <c r="T2177" s="623">
        <v>46022</v>
      </c>
      <c r="U2177" s="624">
        <v>0</v>
      </c>
      <c r="V2177" s="625">
        <v>-1.22</v>
      </c>
      <c r="W2177" s="260">
        <v>45992</v>
      </c>
    </row>
    <row r="2178" spans="1:24" hidden="1" x14ac:dyDescent="0.35">
      <c r="A2178" s="622" t="s">
        <v>526</v>
      </c>
      <c r="B2178" s="622" t="s">
        <v>159</v>
      </c>
      <c r="C2178" s="622" t="s">
        <v>298</v>
      </c>
      <c r="D2178" s="622" t="s">
        <v>345</v>
      </c>
      <c r="E2178" s="622" t="s">
        <v>346</v>
      </c>
      <c r="F2178" s="622" t="s">
        <v>276</v>
      </c>
      <c r="G2178" s="622" t="s">
        <v>356</v>
      </c>
      <c r="H2178" s="622" t="s">
        <v>670</v>
      </c>
      <c r="I2178" s="622" t="s">
        <v>277</v>
      </c>
      <c r="J2178" s="622" t="s">
        <v>522</v>
      </c>
      <c r="K2178" s="622" t="s">
        <v>301</v>
      </c>
      <c r="L2178" s="622" t="s">
        <v>602</v>
      </c>
      <c r="M2178" s="622" t="s">
        <v>285</v>
      </c>
      <c r="N2178" s="622" t="s">
        <v>670</v>
      </c>
      <c r="O2178" s="622" t="s">
        <v>670</v>
      </c>
      <c r="P2178" s="622" t="s">
        <v>522</v>
      </c>
      <c r="Q2178" s="622" t="s">
        <v>670</v>
      </c>
      <c r="R2178" s="623">
        <v>46027</v>
      </c>
      <c r="S2178" s="622" t="s">
        <v>670</v>
      </c>
      <c r="T2178" s="623">
        <v>46022</v>
      </c>
      <c r="U2178" s="624">
        <v>0</v>
      </c>
      <c r="V2178" s="625">
        <v>-0.1</v>
      </c>
      <c r="W2178" s="260">
        <v>45992</v>
      </c>
    </row>
    <row r="2179" spans="1:24" hidden="1" x14ac:dyDescent="0.35">
      <c r="A2179" s="622" t="s">
        <v>526</v>
      </c>
      <c r="B2179" s="622" t="s">
        <v>159</v>
      </c>
      <c r="C2179" s="622" t="s">
        <v>298</v>
      </c>
      <c r="D2179" s="622" t="s">
        <v>347</v>
      </c>
      <c r="E2179" s="622" t="s">
        <v>348</v>
      </c>
      <c r="F2179" s="622" t="s">
        <v>276</v>
      </c>
      <c r="G2179" s="622" t="s">
        <v>356</v>
      </c>
      <c r="H2179" s="622" t="s">
        <v>670</v>
      </c>
      <c r="I2179" s="622" t="s">
        <v>277</v>
      </c>
      <c r="J2179" s="622" t="s">
        <v>522</v>
      </c>
      <c r="K2179" s="622" t="s">
        <v>301</v>
      </c>
      <c r="L2179" s="622" t="s">
        <v>602</v>
      </c>
      <c r="M2179" s="622" t="s">
        <v>285</v>
      </c>
      <c r="N2179" s="622" t="s">
        <v>670</v>
      </c>
      <c r="O2179" s="622" t="s">
        <v>670</v>
      </c>
      <c r="P2179" s="622" t="s">
        <v>522</v>
      </c>
      <c r="Q2179" s="622" t="s">
        <v>670</v>
      </c>
      <c r="R2179" s="623">
        <v>46027</v>
      </c>
      <c r="S2179" s="622" t="s">
        <v>670</v>
      </c>
      <c r="T2179" s="623">
        <v>46022</v>
      </c>
      <c r="U2179" s="624">
        <v>0</v>
      </c>
      <c r="V2179" s="625">
        <v>2.33</v>
      </c>
      <c r="W2179" s="260">
        <v>45992</v>
      </c>
    </row>
    <row r="2180" spans="1:24" hidden="1" x14ac:dyDescent="0.35">
      <c r="A2180" s="622" t="s">
        <v>526</v>
      </c>
      <c r="B2180" s="622" t="s">
        <v>159</v>
      </c>
      <c r="C2180" s="622" t="s">
        <v>298</v>
      </c>
      <c r="D2180" s="622" t="s">
        <v>347</v>
      </c>
      <c r="E2180" s="622" t="s">
        <v>348</v>
      </c>
      <c r="F2180" s="622" t="s">
        <v>276</v>
      </c>
      <c r="G2180" s="622" t="s">
        <v>356</v>
      </c>
      <c r="H2180" s="622" t="s">
        <v>670</v>
      </c>
      <c r="I2180" s="622" t="s">
        <v>277</v>
      </c>
      <c r="J2180" s="622" t="s">
        <v>522</v>
      </c>
      <c r="K2180" s="622" t="s">
        <v>301</v>
      </c>
      <c r="L2180" s="622" t="s">
        <v>602</v>
      </c>
      <c r="M2180" s="622" t="s">
        <v>285</v>
      </c>
      <c r="N2180" s="622" t="s">
        <v>670</v>
      </c>
      <c r="O2180" s="622" t="s">
        <v>670</v>
      </c>
      <c r="P2180" s="622" t="s">
        <v>522</v>
      </c>
      <c r="Q2180" s="622" t="s">
        <v>670</v>
      </c>
      <c r="R2180" s="623">
        <v>46027</v>
      </c>
      <c r="S2180" s="622" t="s">
        <v>670</v>
      </c>
      <c r="T2180" s="623">
        <v>46022</v>
      </c>
      <c r="U2180" s="624">
        <v>0</v>
      </c>
      <c r="V2180" s="625">
        <v>0.21</v>
      </c>
      <c r="W2180" s="260">
        <v>45992</v>
      </c>
    </row>
    <row r="2181" spans="1:24" hidden="1" x14ac:dyDescent="0.35">
      <c r="A2181" s="622" t="s">
        <v>526</v>
      </c>
      <c r="B2181" s="622" t="s">
        <v>159</v>
      </c>
      <c r="C2181" s="622" t="s">
        <v>298</v>
      </c>
      <c r="D2181" s="622" t="s">
        <v>349</v>
      </c>
      <c r="E2181" s="622" t="s">
        <v>350</v>
      </c>
      <c r="F2181" s="622" t="s">
        <v>276</v>
      </c>
      <c r="G2181" s="622" t="s">
        <v>356</v>
      </c>
      <c r="H2181" s="622" t="s">
        <v>670</v>
      </c>
      <c r="I2181" s="622" t="s">
        <v>277</v>
      </c>
      <c r="J2181" s="622" t="s">
        <v>522</v>
      </c>
      <c r="K2181" s="622" t="s">
        <v>301</v>
      </c>
      <c r="L2181" s="622" t="s">
        <v>602</v>
      </c>
      <c r="M2181" s="622" t="s">
        <v>285</v>
      </c>
      <c r="N2181" s="622" t="s">
        <v>670</v>
      </c>
      <c r="O2181" s="622" t="s">
        <v>670</v>
      </c>
      <c r="P2181" s="622" t="s">
        <v>522</v>
      </c>
      <c r="Q2181" s="622" t="s">
        <v>670</v>
      </c>
      <c r="R2181" s="623">
        <v>46027</v>
      </c>
      <c r="S2181" s="622" t="s">
        <v>670</v>
      </c>
      <c r="T2181" s="623">
        <v>46022</v>
      </c>
      <c r="U2181" s="624">
        <v>0</v>
      </c>
      <c r="V2181" s="625">
        <v>-0.09</v>
      </c>
      <c r="W2181" s="260">
        <v>45992</v>
      </c>
    </row>
    <row r="2182" spans="1:24" hidden="1" x14ac:dyDescent="0.35">
      <c r="A2182" s="622" t="s">
        <v>526</v>
      </c>
      <c r="B2182" s="622" t="s">
        <v>159</v>
      </c>
      <c r="C2182" s="622" t="s">
        <v>298</v>
      </c>
      <c r="D2182" s="622" t="s">
        <v>351</v>
      </c>
      <c r="E2182" s="622" t="s">
        <v>352</v>
      </c>
      <c r="F2182" s="622" t="s">
        <v>276</v>
      </c>
      <c r="G2182" s="622" t="s">
        <v>356</v>
      </c>
      <c r="H2182" s="622" t="s">
        <v>670</v>
      </c>
      <c r="I2182" s="622" t="s">
        <v>277</v>
      </c>
      <c r="J2182" s="622" t="s">
        <v>522</v>
      </c>
      <c r="K2182" s="622" t="s">
        <v>301</v>
      </c>
      <c r="L2182" s="622" t="s">
        <v>602</v>
      </c>
      <c r="M2182" s="622" t="s">
        <v>285</v>
      </c>
      <c r="N2182" s="622" t="s">
        <v>670</v>
      </c>
      <c r="O2182" s="622" t="s">
        <v>670</v>
      </c>
      <c r="P2182" s="622" t="s">
        <v>522</v>
      </c>
      <c r="Q2182" s="622" t="s">
        <v>670</v>
      </c>
      <c r="R2182" s="623">
        <v>46027</v>
      </c>
      <c r="S2182" s="622" t="s">
        <v>670</v>
      </c>
      <c r="T2182" s="623">
        <v>46022</v>
      </c>
      <c r="U2182" s="624">
        <v>0</v>
      </c>
      <c r="V2182" s="625">
        <v>1.27</v>
      </c>
      <c r="W2182" s="260">
        <v>45992</v>
      </c>
    </row>
    <row r="2183" spans="1:24" hidden="1" x14ac:dyDescent="0.35">
      <c r="A2183" s="622" t="s">
        <v>526</v>
      </c>
      <c r="B2183" s="622" t="s">
        <v>159</v>
      </c>
      <c r="C2183" s="622" t="s">
        <v>298</v>
      </c>
      <c r="D2183" s="622" t="s">
        <v>351</v>
      </c>
      <c r="E2183" s="622" t="s">
        <v>352</v>
      </c>
      <c r="F2183" s="622" t="s">
        <v>276</v>
      </c>
      <c r="G2183" s="622" t="s">
        <v>356</v>
      </c>
      <c r="H2183" s="622" t="s">
        <v>670</v>
      </c>
      <c r="I2183" s="622" t="s">
        <v>277</v>
      </c>
      <c r="J2183" s="622" t="s">
        <v>522</v>
      </c>
      <c r="K2183" s="622" t="s">
        <v>301</v>
      </c>
      <c r="L2183" s="622" t="s">
        <v>602</v>
      </c>
      <c r="M2183" s="622" t="s">
        <v>285</v>
      </c>
      <c r="N2183" s="622" t="s">
        <v>670</v>
      </c>
      <c r="O2183" s="622" t="s">
        <v>670</v>
      </c>
      <c r="P2183" s="622" t="s">
        <v>522</v>
      </c>
      <c r="Q2183" s="622" t="s">
        <v>670</v>
      </c>
      <c r="R2183" s="623">
        <v>46027</v>
      </c>
      <c r="S2183" s="622" t="s">
        <v>670</v>
      </c>
      <c r="T2183" s="623">
        <v>46022</v>
      </c>
      <c r="U2183" s="624">
        <v>0</v>
      </c>
      <c r="V2183" s="625">
        <v>-0.05</v>
      </c>
      <c r="W2183" s="260">
        <v>45992</v>
      </c>
    </row>
    <row r="2184" spans="1:24" hidden="1" x14ac:dyDescent="0.35">
      <c r="A2184" s="622" t="s">
        <v>526</v>
      </c>
      <c r="B2184" s="622" t="s">
        <v>159</v>
      </c>
      <c r="C2184" s="622" t="s">
        <v>298</v>
      </c>
      <c r="D2184" s="622" t="s">
        <v>354</v>
      </c>
      <c r="E2184" s="622" t="s">
        <v>355</v>
      </c>
      <c r="F2184" s="622" t="s">
        <v>276</v>
      </c>
      <c r="G2184" s="622" t="s">
        <v>356</v>
      </c>
      <c r="H2184" s="622" t="s">
        <v>670</v>
      </c>
      <c r="I2184" s="622" t="s">
        <v>277</v>
      </c>
      <c r="J2184" s="622" t="s">
        <v>522</v>
      </c>
      <c r="K2184" s="622" t="s">
        <v>301</v>
      </c>
      <c r="L2184" s="622" t="s">
        <v>602</v>
      </c>
      <c r="M2184" s="622" t="s">
        <v>285</v>
      </c>
      <c r="N2184" s="622" t="s">
        <v>670</v>
      </c>
      <c r="O2184" s="622" t="s">
        <v>670</v>
      </c>
      <c r="P2184" s="622" t="s">
        <v>522</v>
      </c>
      <c r="Q2184" s="622" t="s">
        <v>670</v>
      </c>
      <c r="R2184" s="623">
        <v>46027</v>
      </c>
      <c r="S2184" s="622" t="s">
        <v>670</v>
      </c>
      <c r="T2184" s="623">
        <v>46022</v>
      </c>
      <c r="U2184" s="624">
        <v>0</v>
      </c>
      <c r="V2184" s="625">
        <v>0.14000000000000001</v>
      </c>
      <c r="W2184" s="260">
        <v>45992</v>
      </c>
    </row>
    <row r="2185" spans="1:24" hidden="1" x14ac:dyDescent="0.35">
      <c r="A2185" s="622" t="s">
        <v>526</v>
      </c>
      <c r="B2185" s="622" t="s">
        <v>159</v>
      </c>
      <c r="C2185" s="622" t="s">
        <v>542</v>
      </c>
      <c r="D2185" s="622" t="s">
        <v>560</v>
      </c>
      <c r="E2185" s="622" t="s">
        <v>544</v>
      </c>
      <c r="F2185" s="622" t="s">
        <v>276</v>
      </c>
      <c r="G2185" s="622" t="s">
        <v>356</v>
      </c>
      <c r="H2185" s="622" t="s">
        <v>670</v>
      </c>
      <c r="I2185" s="622" t="s">
        <v>277</v>
      </c>
      <c r="J2185" s="622" t="s">
        <v>522</v>
      </c>
      <c r="K2185" s="622" t="s">
        <v>545</v>
      </c>
      <c r="L2185" s="622" t="s">
        <v>602</v>
      </c>
      <c r="M2185" s="622" t="s">
        <v>285</v>
      </c>
      <c r="N2185" s="622" t="s">
        <v>670</v>
      </c>
      <c r="O2185" s="622" t="s">
        <v>670</v>
      </c>
      <c r="P2185" s="622" t="s">
        <v>522</v>
      </c>
      <c r="Q2185" s="622" t="s">
        <v>670</v>
      </c>
      <c r="R2185" s="623">
        <v>46024</v>
      </c>
      <c r="S2185" s="622" t="s">
        <v>670</v>
      </c>
      <c r="T2185" s="623">
        <v>46022</v>
      </c>
      <c r="U2185" s="624">
        <v>0</v>
      </c>
      <c r="V2185" s="625">
        <v>-122.81</v>
      </c>
      <c r="W2185" s="260">
        <v>45992</v>
      </c>
    </row>
    <row r="2186" spans="1:24" hidden="1" x14ac:dyDescent="0.35">
      <c r="A2186" s="622" t="s">
        <v>526</v>
      </c>
      <c r="B2186" s="622" t="s">
        <v>159</v>
      </c>
      <c r="C2186" s="622" t="s">
        <v>546</v>
      </c>
      <c r="D2186" s="622" t="s">
        <v>561</v>
      </c>
      <c r="E2186" s="622" t="s">
        <v>548</v>
      </c>
      <c r="F2186" s="622" t="s">
        <v>276</v>
      </c>
      <c r="G2186" s="622" t="s">
        <v>356</v>
      </c>
      <c r="H2186" s="622" t="s">
        <v>670</v>
      </c>
      <c r="I2186" s="622" t="s">
        <v>277</v>
      </c>
      <c r="J2186" s="622" t="s">
        <v>522</v>
      </c>
      <c r="K2186" s="622" t="s">
        <v>549</v>
      </c>
      <c r="L2186" s="622" t="s">
        <v>602</v>
      </c>
      <c r="M2186" s="622" t="s">
        <v>285</v>
      </c>
      <c r="N2186" s="622" t="s">
        <v>670</v>
      </c>
      <c r="O2186" s="622" t="s">
        <v>670</v>
      </c>
      <c r="P2186" s="622" t="s">
        <v>522</v>
      </c>
      <c r="Q2186" s="622" t="s">
        <v>670</v>
      </c>
      <c r="R2186" s="623">
        <v>46024</v>
      </c>
      <c r="S2186" s="622" t="s">
        <v>670</v>
      </c>
      <c r="T2186" s="623">
        <v>46022</v>
      </c>
      <c r="U2186" s="624">
        <v>0</v>
      </c>
      <c r="V2186" s="625">
        <v>46.32</v>
      </c>
      <c r="W2186" s="260">
        <v>45992</v>
      </c>
    </row>
    <row r="2187" spans="1:24" hidden="1" x14ac:dyDescent="0.35">
      <c r="A2187" s="622" t="s">
        <v>526</v>
      </c>
      <c r="B2187" s="622" t="s">
        <v>159</v>
      </c>
      <c r="C2187" s="622" t="s">
        <v>542</v>
      </c>
      <c r="D2187" s="622" t="s">
        <v>562</v>
      </c>
      <c r="E2187" s="622" t="s">
        <v>551</v>
      </c>
      <c r="F2187" s="622" t="s">
        <v>276</v>
      </c>
      <c r="G2187" s="622" t="s">
        <v>356</v>
      </c>
      <c r="H2187" s="622" t="s">
        <v>670</v>
      </c>
      <c r="I2187" s="622" t="s">
        <v>277</v>
      </c>
      <c r="J2187" s="622" t="s">
        <v>522</v>
      </c>
      <c r="K2187" s="622" t="s">
        <v>545</v>
      </c>
      <c r="L2187" s="622" t="s">
        <v>602</v>
      </c>
      <c r="M2187" s="622" t="s">
        <v>285</v>
      </c>
      <c r="N2187" s="622" t="s">
        <v>670</v>
      </c>
      <c r="O2187" s="622" t="s">
        <v>670</v>
      </c>
      <c r="P2187" s="622" t="s">
        <v>522</v>
      </c>
      <c r="Q2187" s="622" t="s">
        <v>670</v>
      </c>
      <c r="R2187" s="623">
        <v>46024</v>
      </c>
      <c r="S2187" s="622" t="s">
        <v>670</v>
      </c>
      <c r="T2187" s="623">
        <v>46022</v>
      </c>
      <c r="U2187" s="624">
        <v>0</v>
      </c>
      <c r="V2187" s="625">
        <v>-116.42</v>
      </c>
      <c r="W2187" s="260">
        <v>45992</v>
      </c>
    </row>
    <row r="2188" spans="1:24" hidden="1" x14ac:dyDescent="0.35">
      <c r="A2188" s="622" t="s">
        <v>526</v>
      </c>
      <c r="B2188" s="622" t="s">
        <v>159</v>
      </c>
      <c r="C2188" s="622" t="s">
        <v>542</v>
      </c>
      <c r="D2188" s="622" t="s">
        <v>563</v>
      </c>
      <c r="E2188" s="622" t="s">
        <v>553</v>
      </c>
      <c r="F2188" s="622" t="s">
        <v>276</v>
      </c>
      <c r="G2188" s="622" t="s">
        <v>356</v>
      </c>
      <c r="H2188" s="622" t="s">
        <v>670</v>
      </c>
      <c r="I2188" s="622" t="s">
        <v>277</v>
      </c>
      <c r="J2188" s="622" t="s">
        <v>522</v>
      </c>
      <c r="K2188" s="622" t="s">
        <v>554</v>
      </c>
      <c r="L2188" s="622" t="s">
        <v>602</v>
      </c>
      <c r="M2188" s="622" t="s">
        <v>285</v>
      </c>
      <c r="N2188" s="622" t="s">
        <v>670</v>
      </c>
      <c r="O2188" s="622" t="s">
        <v>670</v>
      </c>
      <c r="P2188" s="622" t="s">
        <v>522</v>
      </c>
      <c r="Q2188" s="622" t="s">
        <v>670</v>
      </c>
      <c r="R2188" s="623">
        <v>46024</v>
      </c>
      <c r="S2188" s="622" t="s">
        <v>670</v>
      </c>
      <c r="T2188" s="623">
        <v>46022</v>
      </c>
      <c r="U2188" s="624">
        <v>0</v>
      </c>
      <c r="V2188" s="625">
        <v>-135.36000000000001</v>
      </c>
      <c r="W2188" s="260">
        <v>45992</v>
      </c>
    </row>
    <row r="2189" spans="1:24" hidden="1" x14ac:dyDescent="0.35">
      <c r="A2189" s="622" t="s">
        <v>526</v>
      </c>
      <c r="B2189" s="622" t="s">
        <v>159</v>
      </c>
      <c r="C2189" s="622" t="s">
        <v>546</v>
      </c>
      <c r="D2189" s="622" t="s">
        <v>564</v>
      </c>
      <c r="E2189" s="622" t="s">
        <v>556</v>
      </c>
      <c r="F2189" s="622" t="s">
        <v>276</v>
      </c>
      <c r="G2189" s="622" t="s">
        <v>356</v>
      </c>
      <c r="H2189" s="622" t="s">
        <v>670</v>
      </c>
      <c r="I2189" s="622" t="s">
        <v>277</v>
      </c>
      <c r="J2189" s="622" t="s">
        <v>522</v>
      </c>
      <c r="K2189" s="622" t="s">
        <v>557</v>
      </c>
      <c r="L2189" s="622" t="s">
        <v>602</v>
      </c>
      <c r="M2189" s="622" t="s">
        <v>285</v>
      </c>
      <c r="N2189" s="622" t="s">
        <v>670</v>
      </c>
      <c r="O2189" s="622" t="s">
        <v>670</v>
      </c>
      <c r="P2189" s="622" t="s">
        <v>522</v>
      </c>
      <c r="Q2189" s="622" t="s">
        <v>670</v>
      </c>
      <c r="R2189" s="623">
        <v>46024</v>
      </c>
      <c r="S2189" s="622" t="s">
        <v>670</v>
      </c>
      <c r="T2189" s="623">
        <v>46022</v>
      </c>
      <c r="U2189" s="624">
        <v>0</v>
      </c>
      <c r="V2189" s="625">
        <v>-107.37</v>
      </c>
      <c r="W2189" s="260">
        <v>45992</v>
      </c>
    </row>
    <row r="2190" spans="1:24" hidden="1" x14ac:dyDescent="0.35">
      <c r="A2190" s="622" t="s">
        <v>526</v>
      </c>
      <c r="B2190" s="622" t="s">
        <v>159</v>
      </c>
      <c r="C2190" s="622" t="s">
        <v>530</v>
      </c>
      <c r="D2190" s="622" t="s">
        <v>531</v>
      </c>
      <c r="E2190" s="622" t="s">
        <v>532</v>
      </c>
      <c r="F2190" s="622" t="s">
        <v>276</v>
      </c>
      <c r="G2190" s="622" t="s">
        <v>356</v>
      </c>
      <c r="H2190" s="622" t="s">
        <v>565</v>
      </c>
      <c r="I2190" s="622" t="s">
        <v>277</v>
      </c>
      <c r="J2190" s="622" t="s">
        <v>522</v>
      </c>
      <c r="K2190" s="622" t="s">
        <v>534</v>
      </c>
      <c r="L2190" s="622" t="s">
        <v>602</v>
      </c>
      <c r="M2190" s="622" t="s">
        <v>566</v>
      </c>
      <c r="N2190" s="622" t="s">
        <v>670</v>
      </c>
      <c r="O2190" s="622" t="s">
        <v>670</v>
      </c>
      <c r="P2190" s="622" t="s">
        <v>522</v>
      </c>
      <c r="Q2190" s="622" t="s">
        <v>670</v>
      </c>
      <c r="R2190" s="623">
        <v>45985</v>
      </c>
      <c r="S2190" s="622" t="s">
        <v>278</v>
      </c>
      <c r="T2190" s="623">
        <v>45995</v>
      </c>
      <c r="U2190" s="624">
        <v>8</v>
      </c>
      <c r="V2190" s="625">
        <v>741.2</v>
      </c>
      <c r="W2190" s="260">
        <v>45992</v>
      </c>
      <c r="X2190" s="845"/>
    </row>
    <row r="2191" spans="1:24" hidden="1" x14ac:dyDescent="0.35">
      <c r="A2191" s="622" t="s">
        <v>526</v>
      </c>
      <c r="B2191" s="622" t="s">
        <v>159</v>
      </c>
      <c r="C2191" s="622" t="s">
        <v>530</v>
      </c>
      <c r="D2191" s="622" t="s">
        <v>531</v>
      </c>
      <c r="E2191" s="622" t="s">
        <v>532</v>
      </c>
      <c r="F2191" s="622" t="s">
        <v>276</v>
      </c>
      <c r="G2191" s="622" t="s">
        <v>356</v>
      </c>
      <c r="H2191" s="622" t="s">
        <v>565</v>
      </c>
      <c r="I2191" s="622" t="s">
        <v>277</v>
      </c>
      <c r="J2191" s="622" t="s">
        <v>522</v>
      </c>
      <c r="K2191" s="622" t="s">
        <v>534</v>
      </c>
      <c r="L2191" s="622" t="s">
        <v>602</v>
      </c>
      <c r="M2191" s="622" t="s">
        <v>566</v>
      </c>
      <c r="N2191" s="622" t="s">
        <v>670</v>
      </c>
      <c r="O2191" s="622" t="s">
        <v>670</v>
      </c>
      <c r="P2191" s="622" t="s">
        <v>522</v>
      </c>
      <c r="Q2191" s="622" t="s">
        <v>670</v>
      </c>
      <c r="R2191" s="623">
        <v>45992</v>
      </c>
      <c r="S2191" s="622" t="s">
        <v>278</v>
      </c>
      <c r="T2191" s="623">
        <v>46001</v>
      </c>
      <c r="U2191" s="624">
        <v>8</v>
      </c>
      <c r="V2191" s="625">
        <v>741.2</v>
      </c>
      <c r="W2191" s="260">
        <v>45992</v>
      </c>
      <c r="X2191" s="845"/>
    </row>
    <row r="2192" spans="1:24" hidden="1" x14ac:dyDescent="0.35">
      <c r="A2192" s="622" t="s">
        <v>526</v>
      </c>
      <c r="B2192" s="622" t="s">
        <v>159</v>
      </c>
      <c r="C2192" s="622" t="s">
        <v>530</v>
      </c>
      <c r="D2192" s="622" t="s">
        <v>531</v>
      </c>
      <c r="E2192" s="622" t="s">
        <v>532</v>
      </c>
      <c r="F2192" s="622" t="s">
        <v>276</v>
      </c>
      <c r="G2192" s="622" t="s">
        <v>356</v>
      </c>
      <c r="H2192" s="622" t="s">
        <v>565</v>
      </c>
      <c r="I2192" s="622" t="s">
        <v>277</v>
      </c>
      <c r="J2192" s="622" t="s">
        <v>522</v>
      </c>
      <c r="K2192" s="622" t="s">
        <v>534</v>
      </c>
      <c r="L2192" s="622" t="s">
        <v>602</v>
      </c>
      <c r="M2192" s="622" t="s">
        <v>566</v>
      </c>
      <c r="N2192" s="622" t="s">
        <v>670</v>
      </c>
      <c r="O2192" s="622" t="s">
        <v>670</v>
      </c>
      <c r="P2192" s="622" t="s">
        <v>522</v>
      </c>
      <c r="Q2192" s="622" t="s">
        <v>670</v>
      </c>
      <c r="R2192" s="623">
        <v>45993</v>
      </c>
      <c r="S2192" s="622" t="s">
        <v>278</v>
      </c>
      <c r="T2192" s="623">
        <v>46001</v>
      </c>
      <c r="U2192" s="624">
        <v>8</v>
      </c>
      <c r="V2192" s="625">
        <v>741.2</v>
      </c>
      <c r="W2192" s="260">
        <v>45992</v>
      </c>
      <c r="X2192" s="845"/>
    </row>
    <row r="2193" spans="1:24" hidden="1" x14ac:dyDescent="0.35">
      <c r="A2193" s="622" t="s">
        <v>526</v>
      </c>
      <c r="B2193" s="622" t="s">
        <v>159</v>
      </c>
      <c r="C2193" s="622" t="s">
        <v>530</v>
      </c>
      <c r="D2193" s="622" t="s">
        <v>531</v>
      </c>
      <c r="E2193" s="622" t="s">
        <v>532</v>
      </c>
      <c r="F2193" s="622" t="s">
        <v>276</v>
      </c>
      <c r="G2193" s="622" t="s">
        <v>356</v>
      </c>
      <c r="H2193" s="622" t="s">
        <v>565</v>
      </c>
      <c r="I2193" s="622" t="s">
        <v>277</v>
      </c>
      <c r="J2193" s="622" t="s">
        <v>522</v>
      </c>
      <c r="K2193" s="622" t="s">
        <v>534</v>
      </c>
      <c r="L2193" s="622" t="s">
        <v>602</v>
      </c>
      <c r="M2193" s="622" t="s">
        <v>566</v>
      </c>
      <c r="N2193" s="622" t="s">
        <v>670</v>
      </c>
      <c r="O2193" s="622" t="s">
        <v>670</v>
      </c>
      <c r="P2193" s="622" t="s">
        <v>522</v>
      </c>
      <c r="Q2193" s="622" t="s">
        <v>670</v>
      </c>
      <c r="R2193" s="623">
        <v>45995</v>
      </c>
      <c r="S2193" s="622" t="s">
        <v>278</v>
      </c>
      <c r="T2193" s="623">
        <v>46001</v>
      </c>
      <c r="U2193" s="624">
        <v>8</v>
      </c>
      <c r="V2193" s="625">
        <v>741.2</v>
      </c>
      <c r="W2193" s="260">
        <v>45992</v>
      </c>
      <c r="X2193" s="845"/>
    </row>
    <row r="2194" spans="1:24" hidden="1" x14ac:dyDescent="0.35">
      <c r="A2194" s="622" t="s">
        <v>526</v>
      </c>
      <c r="B2194" s="622" t="s">
        <v>159</v>
      </c>
      <c r="C2194" s="622" t="s">
        <v>530</v>
      </c>
      <c r="D2194" s="622" t="s">
        <v>531</v>
      </c>
      <c r="E2194" s="622" t="s">
        <v>532</v>
      </c>
      <c r="F2194" s="622" t="s">
        <v>276</v>
      </c>
      <c r="G2194" s="622" t="s">
        <v>356</v>
      </c>
      <c r="H2194" s="622" t="s">
        <v>565</v>
      </c>
      <c r="I2194" s="622" t="s">
        <v>277</v>
      </c>
      <c r="J2194" s="622" t="s">
        <v>522</v>
      </c>
      <c r="K2194" s="622" t="s">
        <v>534</v>
      </c>
      <c r="L2194" s="622" t="s">
        <v>602</v>
      </c>
      <c r="M2194" s="622" t="s">
        <v>566</v>
      </c>
      <c r="N2194" s="622" t="s">
        <v>670</v>
      </c>
      <c r="O2194" s="622" t="s">
        <v>670</v>
      </c>
      <c r="P2194" s="622" t="s">
        <v>522</v>
      </c>
      <c r="Q2194" s="622" t="s">
        <v>670</v>
      </c>
      <c r="R2194" s="623">
        <v>45996</v>
      </c>
      <c r="S2194" s="622" t="s">
        <v>278</v>
      </c>
      <c r="T2194" s="623">
        <v>46001</v>
      </c>
      <c r="U2194" s="624">
        <v>4</v>
      </c>
      <c r="V2194" s="625">
        <v>370.6</v>
      </c>
      <c r="W2194" s="260">
        <v>45992</v>
      </c>
      <c r="X2194" s="845"/>
    </row>
    <row r="2195" spans="1:24" hidden="1" x14ac:dyDescent="0.35">
      <c r="A2195" s="622" t="s">
        <v>526</v>
      </c>
      <c r="B2195" s="622" t="s">
        <v>159</v>
      </c>
      <c r="C2195" s="622" t="s">
        <v>530</v>
      </c>
      <c r="D2195" s="622" t="s">
        <v>531</v>
      </c>
      <c r="E2195" s="622" t="s">
        <v>532</v>
      </c>
      <c r="F2195" s="622" t="s">
        <v>276</v>
      </c>
      <c r="G2195" s="622" t="s">
        <v>356</v>
      </c>
      <c r="H2195" s="622" t="s">
        <v>565</v>
      </c>
      <c r="I2195" s="622" t="s">
        <v>277</v>
      </c>
      <c r="J2195" s="622" t="s">
        <v>522</v>
      </c>
      <c r="K2195" s="622" t="s">
        <v>534</v>
      </c>
      <c r="L2195" s="622" t="s">
        <v>602</v>
      </c>
      <c r="M2195" s="622" t="s">
        <v>566</v>
      </c>
      <c r="N2195" s="622" t="s">
        <v>670</v>
      </c>
      <c r="O2195" s="622" t="s">
        <v>670</v>
      </c>
      <c r="P2195" s="622" t="s">
        <v>522</v>
      </c>
      <c r="Q2195" s="622" t="s">
        <v>670</v>
      </c>
      <c r="R2195" s="623">
        <v>46003</v>
      </c>
      <c r="S2195" s="622" t="s">
        <v>278</v>
      </c>
      <c r="T2195" s="623">
        <v>46007</v>
      </c>
      <c r="U2195" s="624">
        <v>2</v>
      </c>
      <c r="V2195" s="625">
        <v>185.3</v>
      </c>
      <c r="W2195" s="260">
        <v>45992</v>
      </c>
      <c r="X2195" s="845"/>
    </row>
    <row r="2196" spans="1:24" hidden="1" x14ac:dyDescent="0.35">
      <c r="A2196" s="622" t="s">
        <v>526</v>
      </c>
      <c r="B2196" s="622" t="s">
        <v>159</v>
      </c>
      <c r="C2196" s="622" t="s">
        <v>530</v>
      </c>
      <c r="D2196" s="622" t="s">
        <v>531</v>
      </c>
      <c r="E2196" s="622" t="s">
        <v>532</v>
      </c>
      <c r="F2196" s="622" t="s">
        <v>276</v>
      </c>
      <c r="G2196" s="622" t="s">
        <v>356</v>
      </c>
      <c r="H2196" s="622" t="s">
        <v>565</v>
      </c>
      <c r="I2196" s="622" t="s">
        <v>277</v>
      </c>
      <c r="J2196" s="622" t="s">
        <v>522</v>
      </c>
      <c r="K2196" s="622" t="s">
        <v>534</v>
      </c>
      <c r="L2196" s="622" t="s">
        <v>602</v>
      </c>
      <c r="M2196" s="622" t="s">
        <v>566</v>
      </c>
      <c r="N2196" s="622" t="s">
        <v>670</v>
      </c>
      <c r="O2196" s="622" t="s">
        <v>670</v>
      </c>
      <c r="P2196" s="622" t="s">
        <v>522</v>
      </c>
      <c r="Q2196" s="622" t="s">
        <v>670</v>
      </c>
      <c r="R2196" s="623">
        <v>46002</v>
      </c>
      <c r="S2196" s="622" t="s">
        <v>278</v>
      </c>
      <c r="T2196" s="623">
        <v>46007</v>
      </c>
      <c r="U2196" s="624">
        <v>4</v>
      </c>
      <c r="V2196" s="625">
        <v>370.6</v>
      </c>
      <c r="W2196" s="260">
        <v>45992</v>
      </c>
      <c r="X2196" s="845"/>
    </row>
    <row r="2197" spans="1:24" hidden="1" x14ac:dyDescent="0.35">
      <c r="A2197" s="622" t="s">
        <v>526</v>
      </c>
      <c r="B2197" s="622" t="s">
        <v>159</v>
      </c>
      <c r="C2197" s="622" t="s">
        <v>530</v>
      </c>
      <c r="D2197" s="622" t="s">
        <v>531</v>
      </c>
      <c r="E2197" s="622" t="s">
        <v>532</v>
      </c>
      <c r="F2197" s="622" t="s">
        <v>276</v>
      </c>
      <c r="G2197" s="622" t="s">
        <v>356</v>
      </c>
      <c r="H2197" s="622" t="s">
        <v>565</v>
      </c>
      <c r="I2197" s="622" t="s">
        <v>277</v>
      </c>
      <c r="J2197" s="622" t="s">
        <v>522</v>
      </c>
      <c r="K2197" s="622" t="s">
        <v>534</v>
      </c>
      <c r="L2197" s="622" t="s">
        <v>602</v>
      </c>
      <c r="M2197" s="622" t="s">
        <v>566</v>
      </c>
      <c r="N2197" s="622" t="s">
        <v>670</v>
      </c>
      <c r="O2197" s="622" t="s">
        <v>670</v>
      </c>
      <c r="P2197" s="622" t="s">
        <v>522</v>
      </c>
      <c r="Q2197" s="622" t="s">
        <v>670</v>
      </c>
      <c r="R2197" s="623">
        <v>46001</v>
      </c>
      <c r="S2197" s="622" t="s">
        <v>278</v>
      </c>
      <c r="T2197" s="623">
        <v>46007</v>
      </c>
      <c r="U2197" s="624">
        <v>8</v>
      </c>
      <c r="V2197" s="625">
        <v>741.2</v>
      </c>
      <c r="W2197" s="260">
        <v>45992</v>
      </c>
      <c r="X2197" s="845"/>
    </row>
    <row r="2198" spans="1:24" hidden="1" x14ac:dyDescent="0.35">
      <c r="A2198" s="622" t="s">
        <v>526</v>
      </c>
      <c r="B2198" s="622" t="s">
        <v>159</v>
      </c>
      <c r="C2198" s="622" t="s">
        <v>530</v>
      </c>
      <c r="D2198" s="622" t="s">
        <v>531</v>
      </c>
      <c r="E2198" s="622" t="s">
        <v>532</v>
      </c>
      <c r="F2198" s="622" t="s">
        <v>276</v>
      </c>
      <c r="G2198" s="622" t="s">
        <v>356</v>
      </c>
      <c r="H2198" s="622" t="s">
        <v>565</v>
      </c>
      <c r="I2198" s="622" t="s">
        <v>277</v>
      </c>
      <c r="J2198" s="622" t="s">
        <v>522</v>
      </c>
      <c r="K2198" s="622" t="s">
        <v>534</v>
      </c>
      <c r="L2198" s="622" t="s">
        <v>602</v>
      </c>
      <c r="M2198" s="622" t="s">
        <v>566</v>
      </c>
      <c r="N2198" s="622" t="s">
        <v>670</v>
      </c>
      <c r="O2198" s="622" t="s">
        <v>670</v>
      </c>
      <c r="P2198" s="622" t="s">
        <v>522</v>
      </c>
      <c r="Q2198" s="622" t="s">
        <v>670</v>
      </c>
      <c r="R2198" s="623">
        <v>46000</v>
      </c>
      <c r="S2198" s="622" t="s">
        <v>278</v>
      </c>
      <c r="T2198" s="623">
        <v>46007</v>
      </c>
      <c r="U2198" s="624">
        <v>8</v>
      </c>
      <c r="V2198" s="625">
        <v>741.2</v>
      </c>
      <c r="W2198" s="260">
        <v>45992</v>
      </c>
      <c r="X2198" s="845"/>
    </row>
    <row r="2199" spans="1:24" hidden="1" x14ac:dyDescent="0.35">
      <c r="A2199" s="622" t="s">
        <v>526</v>
      </c>
      <c r="B2199" s="622" t="s">
        <v>159</v>
      </c>
      <c r="C2199" s="622" t="s">
        <v>530</v>
      </c>
      <c r="D2199" s="622" t="s">
        <v>531</v>
      </c>
      <c r="E2199" s="622" t="s">
        <v>532</v>
      </c>
      <c r="F2199" s="622" t="s">
        <v>276</v>
      </c>
      <c r="G2199" s="622" t="s">
        <v>356</v>
      </c>
      <c r="H2199" s="622" t="s">
        <v>565</v>
      </c>
      <c r="I2199" s="622" t="s">
        <v>277</v>
      </c>
      <c r="J2199" s="622" t="s">
        <v>522</v>
      </c>
      <c r="K2199" s="622" t="s">
        <v>534</v>
      </c>
      <c r="L2199" s="622" t="s">
        <v>602</v>
      </c>
      <c r="M2199" s="622" t="s">
        <v>566</v>
      </c>
      <c r="N2199" s="622" t="s">
        <v>670</v>
      </c>
      <c r="O2199" s="622" t="s">
        <v>670</v>
      </c>
      <c r="P2199" s="622" t="s">
        <v>522</v>
      </c>
      <c r="Q2199" s="622" t="s">
        <v>670</v>
      </c>
      <c r="R2199" s="623">
        <v>45999</v>
      </c>
      <c r="S2199" s="622" t="s">
        <v>278</v>
      </c>
      <c r="T2199" s="623">
        <v>46007</v>
      </c>
      <c r="U2199" s="624">
        <v>8</v>
      </c>
      <c r="V2199" s="625">
        <v>741.2</v>
      </c>
      <c r="W2199" s="260">
        <v>45992</v>
      </c>
      <c r="X2199" s="845"/>
    </row>
    <row r="2200" spans="1:24" hidden="1" x14ac:dyDescent="0.35">
      <c r="A2200" s="622" t="s">
        <v>526</v>
      </c>
      <c r="B2200" s="622" t="s">
        <v>159</v>
      </c>
      <c r="C2200" s="622" t="s">
        <v>530</v>
      </c>
      <c r="D2200" s="622" t="s">
        <v>531</v>
      </c>
      <c r="E2200" s="622" t="s">
        <v>532</v>
      </c>
      <c r="F2200" s="622" t="s">
        <v>276</v>
      </c>
      <c r="G2200" s="622" t="s">
        <v>356</v>
      </c>
      <c r="H2200" s="622" t="s">
        <v>565</v>
      </c>
      <c r="I2200" s="622" t="s">
        <v>277</v>
      </c>
      <c r="J2200" s="622" t="s">
        <v>522</v>
      </c>
      <c r="K2200" s="622" t="s">
        <v>534</v>
      </c>
      <c r="L2200" s="622" t="s">
        <v>602</v>
      </c>
      <c r="M2200" s="622" t="s">
        <v>566</v>
      </c>
      <c r="N2200" s="622" t="s">
        <v>670</v>
      </c>
      <c r="O2200" s="622" t="s">
        <v>670</v>
      </c>
      <c r="P2200" s="622" t="s">
        <v>522</v>
      </c>
      <c r="Q2200" s="622" t="s">
        <v>670</v>
      </c>
      <c r="R2200" s="623">
        <v>46010</v>
      </c>
      <c r="S2200" s="622" t="s">
        <v>278</v>
      </c>
      <c r="T2200" s="623">
        <v>46015</v>
      </c>
      <c r="U2200" s="624">
        <v>8</v>
      </c>
      <c r="V2200" s="625">
        <v>741.2</v>
      </c>
      <c r="W2200" s="260">
        <v>45992</v>
      </c>
      <c r="X2200" s="845"/>
    </row>
    <row r="2201" spans="1:24" hidden="1" x14ac:dyDescent="0.35">
      <c r="A2201" s="622" t="s">
        <v>526</v>
      </c>
      <c r="B2201" s="622" t="s">
        <v>159</v>
      </c>
      <c r="C2201" s="622" t="s">
        <v>530</v>
      </c>
      <c r="D2201" s="622" t="s">
        <v>531</v>
      </c>
      <c r="E2201" s="622" t="s">
        <v>532</v>
      </c>
      <c r="F2201" s="622" t="s">
        <v>276</v>
      </c>
      <c r="G2201" s="622" t="s">
        <v>356</v>
      </c>
      <c r="H2201" s="622" t="s">
        <v>565</v>
      </c>
      <c r="I2201" s="622" t="s">
        <v>277</v>
      </c>
      <c r="J2201" s="622" t="s">
        <v>522</v>
      </c>
      <c r="K2201" s="622" t="s">
        <v>534</v>
      </c>
      <c r="L2201" s="622" t="s">
        <v>602</v>
      </c>
      <c r="M2201" s="622" t="s">
        <v>566</v>
      </c>
      <c r="N2201" s="622" t="s">
        <v>670</v>
      </c>
      <c r="O2201" s="622" t="s">
        <v>670</v>
      </c>
      <c r="P2201" s="622" t="s">
        <v>522</v>
      </c>
      <c r="Q2201" s="622" t="s">
        <v>670</v>
      </c>
      <c r="R2201" s="623">
        <v>46009</v>
      </c>
      <c r="S2201" s="622" t="s">
        <v>278</v>
      </c>
      <c r="T2201" s="623">
        <v>46015</v>
      </c>
      <c r="U2201" s="624">
        <v>8</v>
      </c>
      <c r="V2201" s="625">
        <v>741.2</v>
      </c>
      <c r="W2201" s="260">
        <v>45992</v>
      </c>
      <c r="X2201" s="845"/>
    </row>
    <row r="2202" spans="1:24" hidden="1" x14ac:dyDescent="0.35">
      <c r="A2202" s="622" t="s">
        <v>526</v>
      </c>
      <c r="B2202" s="622" t="s">
        <v>159</v>
      </c>
      <c r="C2202" s="622" t="s">
        <v>530</v>
      </c>
      <c r="D2202" s="622" t="s">
        <v>531</v>
      </c>
      <c r="E2202" s="622" t="s">
        <v>532</v>
      </c>
      <c r="F2202" s="622" t="s">
        <v>276</v>
      </c>
      <c r="G2202" s="622" t="s">
        <v>356</v>
      </c>
      <c r="H2202" s="622" t="s">
        <v>565</v>
      </c>
      <c r="I2202" s="622" t="s">
        <v>277</v>
      </c>
      <c r="J2202" s="622" t="s">
        <v>522</v>
      </c>
      <c r="K2202" s="622" t="s">
        <v>534</v>
      </c>
      <c r="L2202" s="622" t="s">
        <v>602</v>
      </c>
      <c r="M2202" s="622" t="s">
        <v>566</v>
      </c>
      <c r="N2202" s="622" t="s">
        <v>670</v>
      </c>
      <c r="O2202" s="622" t="s">
        <v>670</v>
      </c>
      <c r="P2202" s="622" t="s">
        <v>522</v>
      </c>
      <c r="Q2202" s="622" t="s">
        <v>670</v>
      </c>
      <c r="R2202" s="623">
        <v>46008</v>
      </c>
      <c r="S2202" s="622" t="s">
        <v>278</v>
      </c>
      <c r="T2202" s="623">
        <v>46015</v>
      </c>
      <c r="U2202" s="624">
        <v>8</v>
      </c>
      <c r="V2202" s="625">
        <v>741.2</v>
      </c>
      <c r="W2202" s="260">
        <v>45992</v>
      </c>
      <c r="X2202" s="845"/>
    </row>
    <row r="2203" spans="1:24" hidden="1" x14ac:dyDescent="0.35">
      <c r="A2203" s="622" t="s">
        <v>526</v>
      </c>
      <c r="B2203" s="622" t="s">
        <v>159</v>
      </c>
      <c r="C2203" s="622" t="s">
        <v>530</v>
      </c>
      <c r="D2203" s="622" t="s">
        <v>531</v>
      </c>
      <c r="E2203" s="622" t="s">
        <v>532</v>
      </c>
      <c r="F2203" s="622" t="s">
        <v>276</v>
      </c>
      <c r="G2203" s="622" t="s">
        <v>356</v>
      </c>
      <c r="H2203" s="622" t="s">
        <v>565</v>
      </c>
      <c r="I2203" s="622" t="s">
        <v>277</v>
      </c>
      <c r="J2203" s="622" t="s">
        <v>522</v>
      </c>
      <c r="K2203" s="622" t="s">
        <v>534</v>
      </c>
      <c r="L2203" s="622" t="s">
        <v>602</v>
      </c>
      <c r="M2203" s="622" t="s">
        <v>566</v>
      </c>
      <c r="N2203" s="622" t="s">
        <v>670</v>
      </c>
      <c r="O2203" s="622" t="s">
        <v>670</v>
      </c>
      <c r="P2203" s="622" t="s">
        <v>522</v>
      </c>
      <c r="Q2203" s="622" t="s">
        <v>670</v>
      </c>
      <c r="R2203" s="623">
        <v>46006</v>
      </c>
      <c r="S2203" s="622" t="s">
        <v>278</v>
      </c>
      <c r="T2203" s="623">
        <v>46015</v>
      </c>
      <c r="U2203" s="624">
        <v>8</v>
      </c>
      <c r="V2203" s="625">
        <v>741.2</v>
      </c>
      <c r="W2203" s="260">
        <v>45992</v>
      </c>
      <c r="X2203" s="845"/>
    </row>
    <row r="2204" spans="1:24" hidden="1" x14ac:dyDescent="0.35">
      <c r="A2204" s="622" t="s">
        <v>526</v>
      </c>
      <c r="B2204" s="622" t="s">
        <v>159</v>
      </c>
      <c r="C2204" s="622" t="s">
        <v>530</v>
      </c>
      <c r="D2204" s="622" t="s">
        <v>531</v>
      </c>
      <c r="E2204" s="622" t="s">
        <v>532</v>
      </c>
      <c r="F2204" s="622" t="s">
        <v>276</v>
      </c>
      <c r="G2204" s="622" t="s">
        <v>356</v>
      </c>
      <c r="H2204" s="622" t="s">
        <v>565</v>
      </c>
      <c r="I2204" s="622" t="s">
        <v>277</v>
      </c>
      <c r="J2204" s="622" t="s">
        <v>522</v>
      </c>
      <c r="K2204" s="622" t="s">
        <v>534</v>
      </c>
      <c r="L2204" s="622" t="s">
        <v>602</v>
      </c>
      <c r="M2204" s="622" t="s">
        <v>566</v>
      </c>
      <c r="N2204" s="622" t="s">
        <v>670</v>
      </c>
      <c r="O2204" s="622" t="s">
        <v>670</v>
      </c>
      <c r="P2204" s="622" t="s">
        <v>522</v>
      </c>
      <c r="Q2204" s="622" t="s">
        <v>670</v>
      </c>
      <c r="R2204" s="623">
        <v>46007</v>
      </c>
      <c r="S2204" s="622" t="s">
        <v>278</v>
      </c>
      <c r="T2204" s="623">
        <v>46015</v>
      </c>
      <c r="U2204" s="624">
        <v>8</v>
      </c>
      <c r="V2204" s="625">
        <v>741.2</v>
      </c>
      <c r="W2204" s="260">
        <v>45992</v>
      </c>
      <c r="X2204" s="845"/>
    </row>
    <row r="2205" spans="1:24" hidden="1" x14ac:dyDescent="0.35">
      <c r="A2205" s="622" t="s">
        <v>526</v>
      </c>
      <c r="B2205" s="622" t="s">
        <v>159</v>
      </c>
      <c r="C2205" s="622" t="s">
        <v>530</v>
      </c>
      <c r="D2205" s="622" t="s">
        <v>531</v>
      </c>
      <c r="E2205" s="622" t="s">
        <v>532</v>
      </c>
      <c r="F2205" s="622" t="s">
        <v>276</v>
      </c>
      <c r="G2205" s="622" t="s">
        <v>356</v>
      </c>
      <c r="H2205" s="868" t="s">
        <v>567</v>
      </c>
      <c r="I2205" s="622" t="s">
        <v>277</v>
      </c>
      <c r="J2205" s="622" t="s">
        <v>522</v>
      </c>
      <c r="K2205" s="622" t="s">
        <v>534</v>
      </c>
      <c r="L2205" s="622" t="s">
        <v>602</v>
      </c>
      <c r="M2205" s="622" t="s">
        <v>568</v>
      </c>
      <c r="N2205" s="622" t="s">
        <v>670</v>
      </c>
      <c r="O2205" s="622" t="s">
        <v>670</v>
      </c>
      <c r="P2205" s="622" t="s">
        <v>522</v>
      </c>
      <c r="Q2205" s="622" t="s">
        <v>670</v>
      </c>
      <c r="R2205" s="623">
        <v>46008</v>
      </c>
      <c r="S2205" s="622" t="s">
        <v>278</v>
      </c>
      <c r="T2205" s="623">
        <v>46015</v>
      </c>
      <c r="U2205" s="624">
        <v>4</v>
      </c>
      <c r="V2205" s="625">
        <v>370.6</v>
      </c>
      <c r="W2205" s="260">
        <v>45992</v>
      </c>
      <c r="X2205" s="845"/>
    </row>
    <row r="2206" spans="1:24" hidden="1" x14ac:dyDescent="0.35">
      <c r="A2206" s="622" t="s">
        <v>526</v>
      </c>
      <c r="B2206" s="622" t="s">
        <v>159</v>
      </c>
      <c r="C2206" s="622" t="s">
        <v>834</v>
      </c>
      <c r="D2206" s="622" t="s">
        <v>835</v>
      </c>
      <c r="E2206" s="622" t="s">
        <v>836</v>
      </c>
      <c r="F2206" s="622" t="s">
        <v>276</v>
      </c>
      <c r="G2206" s="622" t="s">
        <v>356</v>
      </c>
      <c r="H2206" s="622" t="s">
        <v>837</v>
      </c>
      <c r="I2206" s="622" t="s">
        <v>277</v>
      </c>
      <c r="J2206" s="622" t="s">
        <v>522</v>
      </c>
      <c r="K2206" s="622" t="s">
        <v>838</v>
      </c>
      <c r="L2206" s="622" t="s">
        <v>602</v>
      </c>
      <c r="M2206" s="622" t="s">
        <v>839</v>
      </c>
      <c r="N2206" s="622" t="s">
        <v>670</v>
      </c>
      <c r="O2206" s="622" t="s">
        <v>670</v>
      </c>
      <c r="P2206" s="622" t="s">
        <v>522</v>
      </c>
      <c r="Q2206" s="622" t="s">
        <v>670</v>
      </c>
      <c r="R2206" s="623">
        <v>45964</v>
      </c>
      <c r="S2206" s="622" t="s">
        <v>278</v>
      </c>
      <c r="T2206" s="623">
        <v>46007</v>
      </c>
      <c r="U2206" s="624">
        <v>4</v>
      </c>
      <c r="V2206" s="625">
        <v>374</v>
      </c>
      <c r="W2206" s="260">
        <v>45992</v>
      </c>
      <c r="X2206" s="845"/>
    </row>
    <row r="2207" spans="1:24" hidden="1" x14ac:dyDescent="0.35">
      <c r="A2207" s="622" t="s">
        <v>526</v>
      </c>
      <c r="B2207" s="622" t="s">
        <v>159</v>
      </c>
      <c r="C2207" s="622" t="s">
        <v>834</v>
      </c>
      <c r="D2207" s="622" t="s">
        <v>835</v>
      </c>
      <c r="E2207" s="622" t="s">
        <v>836</v>
      </c>
      <c r="F2207" s="622" t="s">
        <v>276</v>
      </c>
      <c r="G2207" s="622" t="s">
        <v>356</v>
      </c>
      <c r="H2207" s="622" t="s">
        <v>837</v>
      </c>
      <c r="I2207" s="622" t="s">
        <v>277</v>
      </c>
      <c r="J2207" s="622" t="s">
        <v>522</v>
      </c>
      <c r="K2207" s="622" t="s">
        <v>838</v>
      </c>
      <c r="L2207" s="622" t="s">
        <v>602</v>
      </c>
      <c r="M2207" s="622" t="s">
        <v>839</v>
      </c>
      <c r="N2207" s="622" t="s">
        <v>670</v>
      </c>
      <c r="O2207" s="622" t="s">
        <v>670</v>
      </c>
      <c r="P2207" s="622" t="s">
        <v>522</v>
      </c>
      <c r="Q2207" s="622" t="s">
        <v>670</v>
      </c>
      <c r="R2207" s="623">
        <v>45965</v>
      </c>
      <c r="S2207" s="622" t="s">
        <v>278</v>
      </c>
      <c r="T2207" s="623">
        <v>46007</v>
      </c>
      <c r="U2207" s="624">
        <v>4</v>
      </c>
      <c r="V2207" s="625">
        <v>374</v>
      </c>
      <c r="W2207" s="260">
        <v>45992</v>
      </c>
      <c r="X2207" s="845"/>
    </row>
    <row r="2208" spans="1:24" hidden="1" x14ac:dyDescent="0.35">
      <c r="A2208" s="622" t="s">
        <v>526</v>
      </c>
      <c r="B2208" s="622" t="s">
        <v>159</v>
      </c>
      <c r="C2208" s="622" t="s">
        <v>834</v>
      </c>
      <c r="D2208" s="622" t="s">
        <v>835</v>
      </c>
      <c r="E2208" s="622" t="s">
        <v>836</v>
      </c>
      <c r="F2208" s="622" t="s">
        <v>276</v>
      </c>
      <c r="G2208" s="622" t="s">
        <v>356</v>
      </c>
      <c r="H2208" s="622" t="s">
        <v>837</v>
      </c>
      <c r="I2208" s="622" t="s">
        <v>277</v>
      </c>
      <c r="J2208" s="622" t="s">
        <v>522</v>
      </c>
      <c r="K2208" s="622" t="s">
        <v>838</v>
      </c>
      <c r="L2208" s="622" t="s">
        <v>602</v>
      </c>
      <c r="M2208" s="622" t="s">
        <v>839</v>
      </c>
      <c r="N2208" s="622" t="s">
        <v>670</v>
      </c>
      <c r="O2208" s="622" t="s">
        <v>670</v>
      </c>
      <c r="P2208" s="622" t="s">
        <v>522</v>
      </c>
      <c r="Q2208" s="622" t="s">
        <v>670</v>
      </c>
      <c r="R2208" s="623">
        <v>45966</v>
      </c>
      <c r="S2208" s="622" t="s">
        <v>278</v>
      </c>
      <c r="T2208" s="623">
        <v>46007</v>
      </c>
      <c r="U2208" s="624">
        <v>6</v>
      </c>
      <c r="V2208" s="625">
        <v>561</v>
      </c>
      <c r="W2208" s="260">
        <v>45992</v>
      </c>
      <c r="X2208" s="845"/>
    </row>
    <row r="2209" spans="1:24" hidden="1" x14ac:dyDescent="0.35">
      <c r="A2209" s="622" t="s">
        <v>526</v>
      </c>
      <c r="B2209" s="622" t="s">
        <v>159</v>
      </c>
      <c r="C2209" s="622" t="s">
        <v>834</v>
      </c>
      <c r="D2209" s="622" t="s">
        <v>835</v>
      </c>
      <c r="E2209" s="622" t="s">
        <v>836</v>
      </c>
      <c r="F2209" s="622" t="s">
        <v>276</v>
      </c>
      <c r="G2209" s="622" t="s">
        <v>356</v>
      </c>
      <c r="H2209" s="622" t="s">
        <v>837</v>
      </c>
      <c r="I2209" s="622" t="s">
        <v>277</v>
      </c>
      <c r="J2209" s="622" t="s">
        <v>522</v>
      </c>
      <c r="K2209" s="622" t="s">
        <v>838</v>
      </c>
      <c r="L2209" s="622" t="s">
        <v>602</v>
      </c>
      <c r="M2209" s="622" t="s">
        <v>839</v>
      </c>
      <c r="N2209" s="622" t="s">
        <v>670</v>
      </c>
      <c r="O2209" s="622" t="s">
        <v>670</v>
      </c>
      <c r="P2209" s="622" t="s">
        <v>522</v>
      </c>
      <c r="Q2209" s="622" t="s">
        <v>670</v>
      </c>
      <c r="R2209" s="623">
        <v>46000</v>
      </c>
      <c r="S2209" s="622" t="s">
        <v>278</v>
      </c>
      <c r="T2209" s="623">
        <v>46007</v>
      </c>
      <c r="U2209" s="624">
        <v>4</v>
      </c>
      <c r="V2209" s="625">
        <v>374</v>
      </c>
      <c r="W2209" s="260">
        <v>45992</v>
      </c>
      <c r="X2209" s="845"/>
    </row>
    <row r="2210" spans="1:24" hidden="1" x14ac:dyDescent="0.35">
      <c r="A2210" s="622" t="s">
        <v>526</v>
      </c>
      <c r="B2210" s="622" t="s">
        <v>159</v>
      </c>
      <c r="C2210" s="622" t="s">
        <v>834</v>
      </c>
      <c r="D2210" s="622" t="s">
        <v>835</v>
      </c>
      <c r="E2210" s="622" t="s">
        <v>836</v>
      </c>
      <c r="F2210" s="622" t="s">
        <v>276</v>
      </c>
      <c r="G2210" s="622" t="s">
        <v>356</v>
      </c>
      <c r="H2210" s="622" t="s">
        <v>837</v>
      </c>
      <c r="I2210" s="622" t="s">
        <v>277</v>
      </c>
      <c r="J2210" s="622" t="s">
        <v>522</v>
      </c>
      <c r="K2210" s="622" t="s">
        <v>838</v>
      </c>
      <c r="L2210" s="622" t="s">
        <v>602</v>
      </c>
      <c r="M2210" s="622" t="s">
        <v>839</v>
      </c>
      <c r="N2210" s="622" t="s">
        <v>670</v>
      </c>
      <c r="O2210" s="622" t="s">
        <v>670</v>
      </c>
      <c r="P2210" s="622" t="s">
        <v>522</v>
      </c>
      <c r="Q2210" s="622" t="s">
        <v>670</v>
      </c>
      <c r="R2210" s="623">
        <v>46001</v>
      </c>
      <c r="S2210" s="622" t="s">
        <v>278</v>
      </c>
      <c r="T2210" s="623">
        <v>46007</v>
      </c>
      <c r="U2210" s="624">
        <v>6</v>
      </c>
      <c r="V2210" s="625">
        <v>561</v>
      </c>
      <c r="W2210" s="260">
        <v>45992</v>
      </c>
      <c r="X2210" s="845"/>
    </row>
    <row r="2211" spans="1:24" hidden="1" x14ac:dyDescent="0.35">
      <c r="A2211" s="622" t="s">
        <v>526</v>
      </c>
      <c r="B2211" s="622" t="s">
        <v>159</v>
      </c>
      <c r="C2211" s="622" t="s">
        <v>860</v>
      </c>
      <c r="D2211" s="622" t="s">
        <v>861</v>
      </c>
      <c r="E2211" s="622" t="s">
        <v>862</v>
      </c>
      <c r="F2211" s="622" t="s">
        <v>276</v>
      </c>
      <c r="G2211" s="622" t="s">
        <v>356</v>
      </c>
      <c r="H2211" s="622" t="s">
        <v>863</v>
      </c>
      <c r="I2211" s="622" t="s">
        <v>277</v>
      </c>
      <c r="J2211" s="622" t="s">
        <v>522</v>
      </c>
      <c r="K2211" s="622" t="s">
        <v>864</v>
      </c>
      <c r="L2211" s="622" t="s">
        <v>602</v>
      </c>
      <c r="M2211" s="622" t="s">
        <v>865</v>
      </c>
      <c r="N2211" s="622" t="s">
        <v>670</v>
      </c>
      <c r="O2211" s="622" t="s">
        <v>670</v>
      </c>
      <c r="P2211" s="622" t="s">
        <v>522</v>
      </c>
      <c r="Q2211" s="622" t="s">
        <v>670</v>
      </c>
      <c r="R2211" s="623">
        <v>45999</v>
      </c>
      <c r="S2211" s="622" t="s">
        <v>278</v>
      </c>
      <c r="T2211" s="623">
        <v>46008</v>
      </c>
      <c r="U2211" s="624">
        <v>8</v>
      </c>
      <c r="V2211" s="625">
        <v>662.88</v>
      </c>
      <c r="W2211" s="260">
        <v>45992</v>
      </c>
      <c r="X2211" s="845"/>
    </row>
    <row r="2212" spans="1:24" hidden="1" x14ac:dyDescent="0.35">
      <c r="A2212" s="622" t="s">
        <v>526</v>
      </c>
      <c r="B2212" s="622" t="s">
        <v>159</v>
      </c>
      <c r="C2212" s="622" t="s">
        <v>860</v>
      </c>
      <c r="D2212" s="622" t="s">
        <v>861</v>
      </c>
      <c r="E2212" s="622" t="s">
        <v>862</v>
      </c>
      <c r="F2212" s="622" t="s">
        <v>276</v>
      </c>
      <c r="G2212" s="622" t="s">
        <v>356</v>
      </c>
      <c r="H2212" s="868" t="s">
        <v>863</v>
      </c>
      <c r="I2212" s="622" t="s">
        <v>277</v>
      </c>
      <c r="J2212" s="622" t="s">
        <v>522</v>
      </c>
      <c r="K2212" s="622" t="s">
        <v>864</v>
      </c>
      <c r="L2212" s="622" t="s">
        <v>602</v>
      </c>
      <c r="M2212" s="622" t="s">
        <v>865</v>
      </c>
      <c r="N2212" s="622" t="s">
        <v>670</v>
      </c>
      <c r="O2212" s="622" t="s">
        <v>670</v>
      </c>
      <c r="P2212" s="622" t="s">
        <v>522</v>
      </c>
      <c r="Q2212" s="622" t="s">
        <v>670</v>
      </c>
      <c r="R2212" s="623">
        <v>46000</v>
      </c>
      <c r="S2212" s="622" t="s">
        <v>278</v>
      </c>
      <c r="T2212" s="623">
        <v>46008</v>
      </c>
      <c r="U2212" s="624">
        <v>8</v>
      </c>
      <c r="V2212" s="625">
        <v>662.88</v>
      </c>
      <c r="W2212" s="260">
        <v>45992</v>
      </c>
      <c r="X2212" s="845"/>
    </row>
    <row r="2213" spans="1:24" hidden="1" x14ac:dyDescent="0.35">
      <c r="A2213" s="622" t="s">
        <v>526</v>
      </c>
      <c r="B2213" s="622" t="s">
        <v>159</v>
      </c>
      <c r="C2213" s="622" t="s">
        <v>848</v>
      </c>
      <c r="D2213" s="622" t="s">
        <v>849</v>
      </c>
      <c r="E2213" s="622" t="s">
        <v>850</v>
      </c>
      <c r="F2213" s="622" t="s">
        <v>276</v>
      </c>
      <c r="G2213" s="622" t="s">
        <v>356</v>
      </c>
      <c r="H2213" s="622" t="s">
        <v>854</v>
      </c>
      <c r="I2213" s="622" t="s">
        <v>277</v>
      </c>
      <c r="J2213" s="622" t="s">
        <v>522</v>
      </c>
      <c r="K2213" s="622" t="s">
        <v>852</v>
      </c>
      <c r="L2213" s="622" t="s">
        <v>602</v>
      </c>
      <c r="M2213" s="622" t="s">
        <v>855</v>
      </c>
      <c r="N2213" s="622" t="s">
        <v>670</v>
      </c>
      <c r="O2213" s="622" t="s">
        <v>670</v>
      </c>
      <c r="P2213" s="622" t="s">
        <v>522</v>
      </c>
      <c r="Q2213" s="622" t="s">
        <v>670</v>
      </c>
      <c r="R2213" s="623">
        <v>46000</v>
      </c>
      <c r="S2213" s="622" t="s">
        <v>278</v>
      </c>
      <c r="T2213" s="623">
        <v>46008</v>
      </c>
      <c r="U2213" s="624">
        <v>8</v>
      </c>
      <c r="V2213" s="625">
        <v>603.12</v>
      </c>
      <c r="W2213" s="260">
        <v>45992</v>
      </c>
      <c r="X2213" s="845"/>
    </row>
    <row r="2214" spans="1:24" hidden="1" x14ac:dyDescent="0.35">
      <c r="A2214" s="622" t="s">
        <v>526</v>
      </c>
      <c r="B2214" s="622" t="s">
        <v>159</v>
      </c>
      <c r="C2214" s="622" t="s">
        <v>848</v>
      </c>
      <c r="D2214" s="622" t="s">
        <v>849</v>
      </c>
      <c r="E2214" s="622" t="s">
        <v>850</v>
      </c>
      <c r="F2214" s="622" t="s">
        <v>276</v>
      </c>
      <c r="G2214" s="622" t="s">
        <v>356</v>
      </c>
      <c r="H2214" s="622" t="s">
        <v>851</v>
      </c>
      <c r="I2214" s="622" t="s">
        <v>277</v>
      </c>
      <c r="J2214" s="622" t="s">
        <v>522</v>
      </c>
      <c r="K2214" s="622" t="s">
        <v>852</v>
      </c>
      <c r="L2214" s="622" t="s">
        <v>602</v>
      </c>
      <c r="M2214" s="622" t="s">
        <v>853</v>
      </c>
      <c r="N2214" s="622" t="s">
        <v>670</v>
      </c>
      <c r="O2214" s="622" t="s">
        <v>670</v>
      </c>
      <c r="P2214" s="622" t="s">
        <v>522</v>
      </c>
      <c r="Q2214" s="622" t="s">
        <v>670</v>
      </c>
      <c r="R2214" s="623">
        <v>45995</v>
      </c>
      <c r="S2214" s="622" t="s">
        <v>278</v>
      </c>
      <c r="T2214" s="623">
        <v>46014</v>
      </c>
      <c r="U2214" s="624">
        <v>8</v>
      </c>
      <c r="V2214" s="625">
        <v>603.12</v>
      </c>
      <c r="W2214" s="260">
        <v>45992</v>
      </c>
      <c r="X2214" s="845"/>
    </row>
    <row r="2215" spans="1:24" hidden="1" x14ac:dyDescent="0.35">
      <c r="A2215" s="622" t="s">
        <v>526</v>
      </c>
      <c r="B2215" s="622" t="s">
        <v>159</v>
      </c>
      <c r="C2215" s="622" t="s">
        <v>848</v>
      </c>
      <c r="D2215" s="622" t="s">
        <v>849</v>
      </c>
      <c r="E2215" s="622" t="s">
        <v>850</v>
      </c>
      <c r="F2215" s="622" t="s">
        <v>276</v>
      </c>
      <c r="G2215" s="622" t="s">
        <v>356</v>
      </c>
      <c r="H2215" s="622" t="s">
        <v>851</v>
      </c>
      <c r="I2215" s="622" t="s">
        <v>277</v>
      </c>
      <c r="J2215" s="622" t="s">
        <v>522</v>
      </c>
      <c r="K2215" s="622" t="s">
        <v>852</v>
      </c>
      <c r="L2215" s="622" t="s">
        <v>602</v>
      </c>
      <c r="M2215" s="622" t="s">
        <v>853</v>
      </c>
      <c r="N2215" s="622" t="s">
        <v>670</v>
      </c>
      <c r="O2215" s="622" t="s">
        <v>670</v>
      </c>
      <c r="P2215" s="622" t="s">
        <v>522</v>
      </c>
      <c r="Q2215" s="622" t="s">
        <v>670</v>
      </c>
      <c r="R2215" s="623">
        <v>45996</v>
      </c>
      <c r="S2215" s="622" t="s">
        <v>278</v>
      </c>
      <c r="T2215" s="623">
        <v>46014</v>
      </c>
      <c r="U2215" s="624">
        <v>8</v>
      </c>
      <c r="V2215" s="625">
        <v>603.12</v>
      </c>
      <c r="W2215" s="260">
        <v>45992</v>
      </c>
      <c r="X2215" s="845"/>
    </row>
    <row r="2216" spans="1:24" hidden="1" x14ac:dyDescent="0.35">
      <c r="A2216" s="622" t="s">
        <v>526</v>
      </c>
      <c r="B2216" s="622" t="s">
        <v>159</v>
      </c>
      <c r="C2216" s="622" t="s">
        <v>848</v>
      </c>
      <c r="D2216" s="622" t="s">
        <v>849</v>
      </c>
      <c r="E2216" s="622" t="s">
        <v>850</v>
      </c>
      <c r="F2216" s="622" t="s">
        <v>276</v>
      </c>
      <c r="G2216" s="622" t="s">
        <v>356</v>
      </c>
      <c r="H2216" s="622" t="s">
        <v>854</v>
      </c>
      <c r="I2216" s="622" t="s">
        <v>277</v>
      </c>
      <c r="J2216" s="622" t="s">
        <v>522</v>
      </c>
      <c r="K2216" s="622" t="s">
        <v>852</v>
      </c>
      <c r="L2216" s="622" t="s">
        <v>602</v>
      </c>
      <c r="M2216" s="622" t="s">
        <v>855</v>
      </c>
      <c r="N2216" s="622" t="s">
        <v>670</v>
      </c>
      <c r="O2216" s="622" t="s">
        <v>670</v>
      </c>
      <c r="P2216" s="622" t="s">
        <v>522</v>
      </c>
      <c r="Q2216" s="622" t="s">
        <v>670</v>
      </c>
      <c r="R2216" s="623">
        <v>45992</v>
      </c>
      <c r="S2216" s="622" t="s">
        <v>278</v>
      </c>
      <c r="T2216" s="623">
        <v>46014</v>
      </c>
      <c r="U2216" s="624">
        <v>8</v>
      </c>
      <c r="V2216" s="625">
        <v>603.12</v>
      </c>
      <c r="W2216" s="260">
        <v>45992</v>
      </c>
      <c r="X2216" s="845"/>
    </row>
    <row r="2217" spans="1:24" hidden="1" x14ac:dyDescent="0.35">
      <c r="A2217" s="622" t="s">
        <v>526</v>
      </c>
      <c r="B2217" s="622" t="s">
        <v>159</v>
      </c>
      <c r="C2217" s="622" t="s">
        <v>848</v>
      </c>
      <c r="D2217" s="622" t="s">
        <v>849</v>
      </c>
      <c r="E2217" s="622" t="s">
        <v>850</v>
      </c>
      <c r="F2217" s="622" t="s">
        <v>276</v>
      </c>
      <c r="G2217" s="622" t="s">
        <v>356</v>
      </c>
      <c r="H2217" s="622" t="s">
        <v>854</v>
      </c>
      <c r="I2217" s="622" t="s">
        <v>277</v>
      </c>
      <c r="J2217" s="622" t="s">
        <v>522</v>
      </c>
      <c r="K2217" s="622" t="s">
        <v>852</v>
      </c>
      <c r="L2217" s="622" t="s">
        <v>602</v>
      </c>
      <c r="M2217" s="622" t="s">
        <v>855</v>
      </c>
      <c r="N2217" s="622" t="s">
        <v>670</v>
      </c>
      <c r="O2217" s="622" t="s">
        <v>670</v>
      </c>
      <c r="P2217" s="622" t="s">
        <v>522</v>
      </c>
      <c r="Q2217" s="622" t="s">
        <v>670</v>
      </c>
      <c r="R2217" s="623">
        <v>45993</v>
      </c>
      <c r="S2217" s="622" t="s">
        <v>278</v>
      </c>
      <c r="T2217" s="623">
        <v>46014</v>
      </c>
      <c r="U2217" s="624">
        <v>8</v>
      </c>
      <c r="V2217" s="625">
        <v>603.12</v>
      </c>
      <c r="W2217" s="260">
        <v>45992</v>
      </c>
      <c r="X2217" s="845"/>
    </row>
    <row r="2218" spans="1:24" hidden="1" x14ac:dyDescent="0.35">
      <c r="A2218" s="622" t="s">
        <v>526</v>
      </c>
      <c r="B2218" s="622" t="s">
        <v>159</v>
      </c>
      <c r="C2218" s="622" t="s">
        <v>848</v>
      </c>
      <c r="D2218" s="622" t="s">
        <v>849</v>
      </c>
      <c r="E2218" s="622" t="s">
        <v>850</v>
      </c>
      <c r="F2218" s="622" t="s">
        <v>276</v>
      </c>
      <c r="G2218" s="622" t="s">
        <v>356</v>
      </c>
      <c r="H2218" s="622" t="s">
        <v>854</v>
      </c>
      <c r="I2218" s="622" t="s">
        <v>277</v>
      </c>
      <c r="J2218" s="622" t="s">
        <v>522</v>
      </c>
      <c r="K2218" s="622" t="s">
        <v>852</v>
      </c>
      <c r="L2218" s="622" t="s">
        <v>602</v>
      </c>
      <c r="M2218" s="622" t="s">
        <v>855</v>
      </c>
      <c r="N2218" s="622" t="s">
        <v>670</v>
      </c>
      <c r="O2218" s="622" t="s">
        <v>670</v>
      </c>
      <c r="P2218" s="622" t="s">
        <v>522</v>
      </c>
      <c r="Q2218" s="622" t="s">
        <v>670</v>
      </c>
      <c r="R2218" s="623">
        <v>45995</v>
      </c>
      <c r="S2218" s="622" t="s">
        <v>278</v>
      </c>
      <c r="T2218" s="623">
        <v>46014</v>
      </c>
      <c r="U2218" s="624">
        <v>8</v>
      </c>
      <c r="V2218" s="625">
        <v>603.12</v>
      </c>
      <c r="W2218" s="260">
        <v>45992</v>
      </c>
      <c r="X2218" s="845"/>
    </row>
    <row r="2219" spans="1:24" hidden="1" x14ac:dyDescent="0.35">
      <c r="A2219" s="622" t="s">
        <v>526</v>
      </c>
      <c r="B2219" s="622" t="s">
        <v>159</v>
      </c>
      <c r="C2219" s="622" t="s">
        <v>848</v>
      </c>
      <c r="D2219" s="622" t="s">
        <v>849</v>
      </c>
      <c r="E2219" s="622" t="s">
        <v>850</v>
      </c>
      <c r="F2219" s="622" t="s">
        <v>276</v>
      </c>
      <c r="G2219" s="622" t="s">
        <v>356</v>
      </c>
      <c r="H2219" s="622" t="s">
        <v>854</v>
      </c>
      <c r="I2219" s="622" t="s">
        <v>277</v>
      </c>
      <c r="J2219" s="622" t="s">
        <v>522</v>
      </c>
      <c r="K2219" s="622" t="s">
        <v>852</v>
      </c>
      <c r="L2219" s="622" t="s">
        <v>602</v>
      </c>
      <c r="M2219" s="622" t="s">
        <v>855</v>
      </c>
      <c r="N2219" s="622" t="s">
        <v>670</v>
      </c>
      <c r="O2219" s="622" t="s">
        <v>670</v>
      </c>
      <c r="P2219" s="622" t="s">
        <v>522</v>
      </c>
      <c r="Q2219" s="622" t="s">
        <v>670</v>
      </c>
      <c r="R2219" s="623">
        <v>45996</v>
      </c>
      <c r="S2219" s="622" t="s">
        <v>278</v>
      </c>
      <c r="T2219" s="623">
        <v>46014</v>
      </c>
      <c r="U2219" s="624">
        <v>8</v>
      </c>
      <c r="V2219" s="625">
        <v>603.12</v>
      </c>
      <c r="W2219" s="260">
        <v>45992</v>
      </c>
      <c r="X2219" s="845"/>
    </row>
    <row r="2220" spans="1:24" hidden="1" x14ac:dyDescent="0.35">
      <c r="A2220" s="622" t="s">
        <v>526</v>
      </c>
      <c r="B2220" s="622" t="s">
        <v>159</v>
      </c>
      <c r="C2220" s="622" t="s">
        <v>848</v>
      </c>
      <c r="D2220" s="622" t="s">
        <v>849</v>
      </c>
      <c r="E2220" s="622" t="s">
        <v>850</v>
      </c>
      <c r="F2220" s="622" t="s">
        <v>276</v>
      </c>
      <c r="G2220" s="622" t="s">
        <v>356</v>
      </c>
      <c r="H2220" s="622" t="s">
        <v>854</v>
      </c>
      <c r="I2220" s="622" t="s">
        <v>277</v>
      </c>
      <c r="J2220" s="622" t="s">
        <v>522</v>
      </c>
      <c r="K2220" s="622" t="s">
        <v>852</v>
      </c>
      <c r="L2220" s="622" t="s">
        <v>602</v>
      </c>
      <c r="M2220" s="622" t="s">
        <v>855</v>
      </c>
      <c r="N2220" s="622" t="s">
        <v>670</v>
      </c>
      <c r="O2220" s="622" t="s">
        <v>670</v>
      </c>
      <c r="P2220" s="622" t="s">
        <v>522</v>
      </c>
      <c r="Q2220" s="622" t="s">
        <v>670</v>
      </c>
      <c r="R2220" s="623">
        <v>45999</v>
      </c>
      <c r="S2220" s="622" t="s">
        <v>278</v>
      </c>
      <c r="T2220" s="623">
        <v>46014</v>
      </c>
      <c r="U2220" s="624">
        <v>8</v>
      </c>
      <c r="V2220" s="625">
        <v>603.12</v>
      </c>
      <c r="W2220" s="260">
        <v>45992</v>
      </c>
      <c r="X2220" s="845"/>
    </row>
    <row r="2221" spans="1:24" hidden="1" x14ac:dyDescent="0.35">
      <c r="A2221" s="622" t="s">
        <v>526</v>
      </c>
      <c r="B2221" s="622" t="s">
        <v>159</v>
      </c>
      <c r="C2221" s="622" t="s">
        <v>848</v>
      </c>
      <c r="D2221" s="622" t="s">
        <v>849</v>
      </c>
      <c r="E2221" s="622" t="s">
        <v>850</v>
      </c>
      <c r="F2221" s="622" t="s">
        <v>276</v>
      </c>
      <c r="G2221" s="622" t="s">
        <v>356</v>
      </c>
      <c r="H2221" s="622" t="s">
        <v>856</v>
      </c>
      <c r="I2221" s="622" t="s">
        <v>277</v>
      </c>
      <c r="J2221" s="622" t="s">
        <v>522</v>
      </c>
      <c r="K2221" s="622" t="s">
        <v>852</v>
      </c>
      <c r="L2221" s="622" t="s">
        <v>602</v>
      </c>
      <c r="M2221" s="622" t="s">
        <v>857</v>
      </c>
      <c r="N2221" s="622" t="s">
        <v>670</v>
      </c>
      <c r="O2221" s="622" t="s">
        <v>670</v>
      </c>
      <c r="P2221" s="622" t="s">
        <v>522</v>
      </c>
      <c r="Q2221" s="622" t="s">
        <v>670</v>
      </c>
      <c r="R2221" s="623">
        <v>45992</v>
      </c>
      <c r="S2221" s="622" t="s">
        <v>278</v>
      </c>
      <c r="T2221" s="623">
        <v>46014</v>
      </c>
      <c r="U2221" s="624">
        <v>8</v>
      </c>
      <c r="V2221" s="625">
        <v>603.12</v>
      </c>
      <c r="W2221" s="260">
        <v>45992</v>
      </c>
      <c r="X2221" s="845"/>
    </row>
    <row r="2222" spans="1:24" hidden="1" x14ac:dyDescent="0.35">
      <c r="A2222" s="622" t="s">
        <v>526</v>
      </c>
      <c r="B2222" s="622" t="s">
        <v>160</v>
      </c>
      <c r="C2222" s="622" t="s">
        <v>670</v>
      </c>
      <c r="D2222" s="622" t="s">
        <v>633</v>
      </c>
      <c r="E2222" s="622" t="s">
        <v>634</v>
      </c>
      <c r="F2222" s="622" t="s">
        <v>276</v>
      </c>
      <c r="G2222" s="622" t="s">
        <v>356</v>
      </c>
      <c r="H2222" s="622" t="s">
        <v>670</v>
      </c>
      <c r="I2222" s="622" t="s">
        <v>277</v>
      </c>
      <c r="J2222" s="622" t="s">
        <v>523</v>
      </c>
      <c r="K2222" s="622" t="s">
        <v>670</v>
      </c>
      <c r="L2222" s="622" t="s">
        <v>602</v>
      </c>
      <c r="M2222" s="622" t="s">
        <v>285</v>
      </c>
      <c r="N2222" s="622" t="s">
        <v>819</v>
      </c>
      <c r="O2222" s="622" t="s">
        <v>756</v>
      </c>
      <c r="P2222" s="622" t="s">
        <v>523</v>
      </c>
      <c r="Q2222" s="622" t="s">
        <v>387</v>
      </c>
      <c r="R2222" s="623">
        <v>45972</v>
      </c>
      <c r="S2222" s="622" t="s">
        <v>388</v>
      </c>
      <c r="T2222" s="623">
        <v>46001</v>
      </c>
      <c r="U2222" s="626">
        <v>1</v>
      </c>
      <c r="V2222" s="625">
        <v>13529.4</v>
      </c>
      <c r="W2222" s="260">
        <v>45992</v>
      </c>
    </row>
    <row r="2223" spans="1:24" hidden="1" x14ac:dyDescent="0.35">
      <c r="A2223" s="622" t="s">
        <v>526</v>
      </c>
      <c r="B2223" s="622" t="s">
        <v>160</v>
      </c>
      <c r="C2223" s="622" t="s">
        <v>670</v>
      </c>
      <c r="D2223" s="622" t="s">
        <v>633</v>
      </c>
      <c r="E2223" s="622" t="s">
        <v>634</v>
      </c>
      <c r="F2223" s="622" t="s">
        <v>276</v>
      </c>
      <c r="G2223" s="622" t="s">
        <v>356</v>
      </c>
      <c r="H2223" s="622" t="s">
        <v>670</v>
      </c>
      <c r="I2223" s="622" t="s">
        <v>277</v>
      </c>
      <c r="J2223" s="622" t="s">
        <v>523</v>
      </c>
      <c r="K2223" s="622" t="s">
        <v>670</v>
      </c>
      <c r="L2223" s="622" t="s">
        <v>602</v>
      </c>
      <c r="M2223" s="622" t="s">
        <v>285</v>
      </c>
      <c r="N2223" s="622" t="s">
        <v>858</v>
      </c>
      <c r="O2223" s="622" t="s">
        <v>756</v>
      </c>
      <c r="P2223" s="622" t="s">
        <v>523</v>
      </c>
      <c r="Q2223" s="622" t="s">
        <v>387</v>
      </c>
      <c r="R2223" s="623">
        <v>45972</v>
      </c>
      <c r="S2223" s="622" t="s">
        <v>388</v>
      </c>
      <c r="T2223" s="623">
        <v>46001</v>
      </c>
      <c r="U2223" s="626">
        <v>1</v>
      </c>
      <c r="V2223" s="625">
        <v>3129.6</v>
      </c>
      <c r="W2223" s="260">
        <v>45992</v>
      </c>
    </row>
    <row r="2224" spans="1:24" hidden="1" x14ac:dyDescent="0.35">
      <c r="A2224" s="622" t="s">
        <v>526</v>
      </c>
      <c r="B2224" s="622" t="s">
        <v>53</v>
      </c>
      <c r="C2224" s="622" t="s">
        <v>670</v>
      </c>
      <c r="D2224" s="622" t="s">
        <v>385</v>
      </c>
      <c r="E2224" s="622" t="s">
        <v>386</v>
      </c>
      <c r="F2224" s="622" t="s">
        <v>588</v>
      </c>
      <c r="G2224" s="622" t="s">
        <v>356</v>
      </c>
      <c r="H2224" s="622" t="s">
        <v>670</v>
      </c>
      <c r="I2224" s="622" t="s">
        <v>277</v>
      </c>
      <c r="J2224" s="622" t="s">
        <v>524</v>
      </c>
      <c r="K2224" s="622" t="s">
        <v>670</v>
      </c>
      <c r="L2224" s="622" t="s">
        <v>602</v>
      </c>
      <c r="M2224" s="622" t="s">
        <v>285</v>
      </c>
      <c r="N2224" s="622" t="s">
        <v>670</v>
      </c>
      <c r="O2224" s="622" t="s">
        <v>687</v>
      </c>
      <c r="P2224" s="622" t="s">
        <v>524</v>
      </c>
      <c r="Q2224" s="622" t="s">
        <v>589</v>
      </c>
      <c r="R2224" s="623">
        <v>45985</v>
      </c>
      <c r="S2224" s="622" t="s">
        <v>670</v>
      </c>
      <c r="T2224" s="623">
        <v>45992</v>
      </c>
      <c r="U2224" s="624">
        <v>0</v>
      </c>
      <c r="V2224" s="625">
        <v>-5500</v>
      </c>
      <c r="W2224" s="260">
        <v>45992</v>
      </c>
    </row>
    <row r="2225" spans="1:23" hidden="1" x14ac:dyDescent="0.35">
      <c r="A2225" s="622" t="s">
        <v>526</v>
      </c>
      <c r="B2225" s="622" t="s">
        <v>53</v>
      </c>
      <c r="C2225" s="622" t="s">
        <v>670</v>
      </c>
      <c r="D2225" s="622" t="s">
        <v>385</v>
      </c>
      <c r="E2225" s="622" t="s">
        <v>386</v>
      </c>
      <c r="F2225" s="622" t="s">
        <v>588</v>
      </c>
      <c r="G2225" s="622" t="s">
        <v>356</v>
      </c>
      <c r="H2225" s="622" t="s">
        <v>670</v>
      </c>
      <c r="I2225" s="622" t="s">
        <v>277</v>
      </c>
      <c r="J2225" s="622" t="s">
        <v>524</v>
      </c>
      <c r="K2225" s="622" t="s">
        <v>670</v>
      </c>
      <c r="L2225" s="622" t="s">
        <v>602</v>
      </c>
      <c r="M2225" s="622" t="s">
        <v>285</v>
      </c>
      <c r="N2225" s="622" t="s">
        <v>670</v>
      </c>
      <c r="O2225" s="622" t="s">
        <v>678</v>
      </c>
      <c r="P2225" s="622" t="s">
        <v>524</v>
      </c>
      <c r="Q2225" s="622" t="s">
        <v>589</v>
      </c>
      <c r="R2225" s="623">
        <v>45985</v>
      </c>
      <c r="S2225" s="622" t="s">
        <v>670</v>
      </c>
      <c r="T2225" s="623">
        <v>45992</v>
      </c>
      <c r="U2225" s="624">
        <v>0</v>
      </c>
      <c r="V2225" s="625">
        <v>-4845</v>
      </c>
      <c r="W2225" s="260">
        <v>45992</v>
      </c>
    </row>
    <row r="2226" spans="1:23" hidden="1" x14ac:dyDescent="0.35">
      <c r="A2226" s="622" t="s">
        <v>526</v>
      </c>
      <c r="B2226" s="622" t="s">
        <v>53</v>
      </c>
      <c r="C2226" s="622" t="s">
        <v>670</v>
      </c>
      <c r="D2226" s="622" t="s">
        <v>385</v>
      </c>
      <c r="E2226" s="622" t="s">
        <v>386</v>
      </c>
      <c r="F2226" s="622" t="s">
        <v>588</v>
      </c>
      <c r="G2226" s="622" t="s">
        <v>356</v>
      </c>
      <c r="H2226" s="622" t="s">
        <v>670</v>
      </c>
      <c r="I2226" s="622" t="s">
        <v>277</v>
      </c>
      <c r="J2226" s="622" t="s">
        <v>524</v>
      </c>
      <c r="K2226" s="622" t="s">
        <v>670</v>
      </c>
      <c r="L2226" s="622" t="s">
        <v>602</v>
      </c>
      <c r="M2226" s="622" t="s">
        <v>285</v>
      </c>
      <c r="N2226" s="622" t="s">
        <v>670</v>
      </c>
      <c r="O2226" s="622" t="s">
        <v>765</v>
      </c>
      <c r="P2226" s="622" t="s">
        <v>524</v>
      </c>
      <c r="Q2226" s="622" t="s">
        <v>589</v>
      </c>
      <c r="R2226" s="623">
        <v>45985</v>
      </c>
      <c r="S2226" s="622" t="s">
        <v>670</v>
      </c>
      <c r="T2226" s="623">
        <v>45992</v>
      </c>
      <c r="U2226" s="624">
        <v>0</v>
      </c>
      <c r="V2226" s="625">
        <v>-23200</v>
      </c>
      <c r="W2226" s="260">
        <v>45992</v>
      </c>
    </row>
    <row r="2227" spans="1:23" hidden="1" x14ac:dyDescent="0.35">
      <c r="A2227" s="622" t="s">
        <v>526</v>
      </c>
      <c r="B2227" s="622" t="s">
        <v>53</v>
      </c>
      <c r="C2227" s="622" t="s">
        <v>670</v>
      </c>
      <c r="D2227" s="622" t="s">
        <v>385</v>
      </c>
      <c r="E2227" s="622" t="s">
        <v>386</v>
      </c>
      <c r="F2227" s="622" t="s">
        <v>588</v>
      </c>
      <c r="G2227" s="622" t="s">
        <v>356</v>
      </c>
      <c r="H2227" s="622" t="s">
        <v>670</v>
      </c>
      <c r="I2227" s="622" t="s">
        <v>277</v>
      </c>
      <c r="J2227" s="622" t="s">
        <v>524</v>
      </c>
      <c r="K2227" s="622" t="s">
        <v>670</v>
      </c>
      <c r="L2227" s="622" t="s">
        <v>602</v>
      </c>
      <c r="M2227" s="622" t="s">
        <v>285</v>
      </c>
      <c r="N2227" s="622" t="s">
        <v>670</v>
      </c>
      <c r="O2227" s="622" t="s">
        <v>824</v>
      </c>
      <c r="P2227" s="622" t="s">
        <v>524</v>
      </c>
      <c r="Q2227" s="622" t="s">
        <v>589</v>
      </c>
      <c r="R2227" s="623">
        <v>45985</v>
      </c>
      <c r="S2227" s="622" t="s">
        <v>670</v>
      </c>
      <c r="T2227" s="623">
        <v>45992</v>
      </c>
      <c r="U2227" s="624">
        <v>0</v>
      </c>
      <c r="V2227" s="625">
        <v>-200340</v>
      </c>
      <c r="W2227" s="260">
        <v>45992</v>
      </c>
    </row>
    <row r="2228" spans="1:23" hidden="1" x14ac:dyDescent="0.35">
      <c r="A2228" s="622" t="s">
        <v>526</v>
      </c>
      <c r="B2228" s="622" t="s">
        <v>53</v>
      </c>
      <c r="C2228" s="622" t="s">
        <v>670</v>
      </c>
      <c r="D2228" s="622" t="s">
        <v>385</v>
      </c>
      <c r="E2228" s="622" t="s">
        <v>386</v>
      </c>
      <c r="F2228" s="622" t="s">
        <v>588</v>
      </c>
      <c r="G2228" s="622" t="s">
        <v>356</v>
      </c>
      <c r="H2228" s="622" t="s">
        <v>670</v>
      </c>
      <c r="I2228" s="622" t="s">
        <v>277</v>
      </c>
      <c r="J2228" s="622" t="s">
        <v>524</v>
      </c>
      <c r="K2228" s="622" t="s">
        <v>670</v>
      </c>
      <c r="L2228" s="622" t="s">
        <v>602</v>
      </c>
      <c r="M2228" s="622" t="s">
        <v>285</v>
      </c>
      <c r="N2228" s="622" t="s">
        <v>670</v>
      </c>
      <c r="O2228" s="622" t="s">
        <v>697</v>
      </c>
      <c r="P2228" s="622" t="s">
        <v>524</v>
      </c>
      <c r="Q2228" s="622" t="s">
        <v>589</v>
      </c>
      <c r="R2228" s="623">
        <v>45985</v>
      </c>
      <c r="S2228" s="622" t="s">
        <v>670</v>
      </c>
      <c r="T2228" s="623">
        <v>45992</v>
      </c>
      <c r="U2228" s="624">
        <v>0</v>
      </c>
      <c r="V2228" s="625">
        <v>-70000</v>
      </c>
      <c r="W2228" s="260">
        <v>45992</v>
      </c>
    </row>
    <row r="2229" spans="1:23" hidden="1" x14ac:dyDescent="0.35">
      <c r="A2229" s="622" t="s">
        <v>526</v>
      </c>
      <c r="B2229" s="622" t="s">
        <v>53</v>
      </c>
      <c r="C2229" s="622" t="s">
        <v>670</v>
      </c>
      <c r="D2229" s="622" t="s">
        <v>385</v>
      </c>
      <c r="E2229" s="622" t="s">
        <v>386</v>
      </c>
      <c r="F2229" s="622" t="s">
        <v>588</v>
      </c>
      <c r="G2229" s="622" t="s">
        <v>356</v>
      </c>
      <c r="H2229" s="622" t="s">
        <v>670</v>
      </c>
      <c r="I2229" s="622" t="s">
        <v>277</v>
      </c>
      <c r="J2229" s="622" t="s">
        <v>524</v>
      </c>
      <c r="K2229" s="622" t="s">
        <v>670</v>
      </c>
      <c r="L2229" s="622" t="s">
        <v>602</v>
      </c>
      <c r="M2229" s="622" t="s">
        <v>285</v>
      </c>
      <c r="N2229" s="622" t="s">
        <v>670</v>
      </c>
      <c r="O2229" s="622" t="s">
        <v>684</v>
      </c>
      <c r="P2229" s="622" t="s">
        <v>524</v>
      </c>
      <c r="Q2229" s="622" t="s">
        <v>589</v>
      </c>
      <c r="R2229" s="623">
        <v>45985</v>
      </c>
      <c r="S2229" s="622" t="s">
        <v>670</v>
      </c>
      <c r="T2229" s="623">
        <v>45992</v>
      </c>
      <c r="U2229" s="624">
        <v>0</v>
      </c>
      <c r="V2229" s="625">
        <v>-87506</v>
      </c>
      <c r="W2229" s="260">
        <v>45992</v>
      </c>
    </row>
    <row r="2230" spans="1:23" hidden="1" x14ac:dyDescent="0.35">
      <c r="A2230" s="622" t="s">
        <v>526</v>
      </c>
      <c r="B2230" s="622" t="s">
        <v>53</v>
      </c>
      <c r="C2230" s="622" t="s">
        <v>670</v>
      </c>
      <c r="D2230" s="622" t="s">
        <v>385</v>
      </c>
      <c r="E2230" s="622" t="s">
        <v>386</v>
      </c>
      <c r="F2230" s="622" t="s">
        <v>588</v>
      </c>
      <c r="G2230" s="622" t="s">
        <v>356</v>
      </c>
      <c r="H2230" s="622" t="s">
        <v>670</v>
      </c>
      <c r="I2230" s="622" t="s">
        <v>277</v>
      </c>
      <c r="J2230" s="622" t="s">
        <v>524</v>
      </c>
      <c r="K2230" s="622" t="s">
        <v>670</v>
      </c>
      <c r="L2230" s="622" t="s">
        <v>602</v>
      </c>
      <c r="M2230" s="622" t="s">
        <v>285</v>
      </c>
      <c r="N2230" s="622" t="s">
        <v>670</v>
      </c>
      <c r="O2230" s="622" t="s">
        <v>739</v>
      </c>
      <c r="P2230" s="622" t="s">
        <v>524</v>
      </c>
      <c r="Q2230" s="622" t="s">
        <v>589</v>
      </c>
      <c r="R2230" s="623">
        <v>45985</v>
      </c>
      <c r="S2230" s="622" t="s">
        <v>670</v>
      </c>
      <c r="T2230" s="623">
        <v>45992</v>
      </c>
      <c r="U2230" s="624">
        <v>0</v>
      </c>
      <c r="V2230" s="625">
        <v>-25000</v>
      </c>
      <c r="W2230" s="260">
        <v>45992</v>
      </c>
    </row>
    <row r="2231" spans="1:23" hidden="1" x14ac:dyDescent="0.35">
      <c r="A2231" s="622" t="s">
        <v>526</v>
      </c>
      <c r="B2231" s="622" t="s">
        <v>53</v>
      </c>
      <c r="C2231" s="622" t="s">
        <v>670</v>
      </c>
      <c r="D2231" s="622" t="s">
        <v>385</v>
      </c>
      <c r="E2231" s="622" t="s">
        <v>386</v>
      </c>
      <c r="F2231" s="622" t="s">
        <v>588</v>
      </c>
      <c r="G2231" s="622" t="s">
        <v>356</v>
      </c>
      <c r="H2231" s="622" t="s">
        <v>670</v>
      </c>
      <c r="I2231" s="622" t="s">
        <v>277</v>
      </c>
      <c r="J2231" s="622" t="s">
        <v>524</v>
      </c>
      <c r="K2231" s="622" t="s">
        <v>670</v>
      </c>
      <c r="L2231" s="622" t="s">
        <v>602</v>
      </c>
      <c r="M2231" s="622" t="s">
        <v>285</v>
      </c>
      <c r="N2231" s="622" t="s">
        <v>670</v>
      </c>
      <c r="O2231" s="622" t="s">
        <v>859</v>
      </c>
      <c r="P2231" s="622" t="s">
        <v>524</v>
      </c>
      <c r="Q2231" s="622" t="s">
        <v>589</v>
      </c>
      <c r="R2231" s="623">
        <v>45985</v>
      </c>
      <c r="S2231" s="622" t="s">
        <v>670</v>
      </c>
      <c r="T2231" s="623">
        <v>45992</v>
      </c>
      <c r="U2231" s="624">
        <v>0</v>
      </c>
      <c r="V2231" s="625">
        <v>-23520</v>
      </c>
      <c r="W2231" s="260">
        <v>45992</v>
      </c>
    </row>
    <row r="2232" spans="1:23" hidden="1" x14ac:dyDescent="0.35">
      <c r="A2232" s="622" t="s">
        <v>526</v>
      </c>
      <c r="B2232" s="622" t="s">
        <v>53</v>
      </c>
      <c r="C2232" s="622" t="s">
        <v>670</v>
      </c>
      <c r="D2232" s="622" t="s">
        <v>385</v>
      </c>
      <c r="E2232" s="622" t="s">
        <v>386</v>
      </c>
      <c r="F2232" s="622" t="s">
        <v>276</v>
      </c>
      <c r="G2232" s="622" t="s">
        <v>356</v>
      </c>
      <c r="H2232" s="622" t="s">
        <v>670</v>
      </c>
      <c r="I2232" s="622" t="s">
        <v>277</v>
      </c>
      <c r="J2232" s="622" t="s">
        <v>524</v>
      </c>
      <c r="K2232" s="622" t="s">
        <v>670</v>
      </c>
      <c r="L2232" s="622" t="s">
        <v>602</v>
      </c>
      <c r="M2232" s="622" t="s">
        <v>285</v>
      </c>
      <c r="N2232" s="622" t="s">
        <v>700</v>
      </c>
      <c r="O2232" s="622" t="s">
        <v>739</v>
      </c>
      <c r="P2232" s="622" t="s">
        <v>524</v>
      </c>
      <c r="Q2232" s="622" t="s">
        <v>387</v>
      </c>
      <c r="R2232" s="623">
        <v>45930</v>
      </c>
      <c r="S2232" s="622" t="s">
        <v>388</v>
      </c>
      <c r="T2232" s="623">
        <v>45995</v>
      </c>
      <c r="U2232" s="626">
        <v>1</v>
      </c>
      <c r="V2232" s="625">
        <v>15000</v>
      </c>
      <c r="W2232" s="260">
        <v>45992</v>
      </c>
    </row>
    <row r="2233" spans="1:23" hidden="1" x14ac:dyDescent="0.35">
      <c r="A2233" s="622" t="s">
        <v>526</v>
      </c>
      <c r="B2233" s="622" t="s">
        <v>53</v>
      </c>
      <c r="C2233" s="622" t="s">
        <v>670</v>
      </c>
      <c r="D2233" s="622" t="s">
        <v>385</v>
      </c>
      <c r="E2233" s="622" t="s">
        <v>386</v>
      </c>
      <c r="F2233" s="622" t="s">
        <v>276</v>
      </c>
      <c r="G2233" s="622" t="s">
        <v>356</v>
      </c>
      <c r="H2233" s="622" t="s">
        <v>670</v>
      </c>
      <c r="I2233" s="622" t="s">
        <v>277</v>
      </c>
      <c r="J2233" s="622" t="s">
        <v>524</v>
      </c>
      <c r="K2233" s="622" t="s">
        <v>670</v>
      </c>
      <c r="L2233" s="622" t="s">
        <v>602</v>
      </c>
      <c r="M2233" s="622" t="s">
        <v>285</v>
      </c>
      <c r="N2233" s="622" t="s">
        <v>796</v>
      </c>
      <c r="O2233" s="622" t="s">
        <v>684</v>
      </c>
      <c r="P2233" s="622" t="s">
        <v>524</v>
      </c>
      <c r="Q2233" s="622" t="s">
        <v>387</v>
      </c>
      <c r="R2233" s="623">
        <v>45891</v>
      </c>
      <c r="S2233" s="622" t="s">
        <v>388</v>
      </c>
      <c r="T2233" s="623">
        <v>46006</v>
      </c>
      <c r="U2233" s="626">
        <v>1</v>
      </c>
      <c r="V2233" s="625">
        <v>5500</v>
      </c>
      <c r="W2233" s="260">
        <v>45992</v>
      </c>
    </row>
    <row r="2234" spans="1:23" hidden="1" x14ac:dyDescent="0.35">
      <c r="A2234" s="622" t="s">
        <v>526</v>
      </c>
      <c r="B2234" s="622" t="s">
        <v>53</v>
      </c>
      <c r="C2234" s="622" t="s">
        <v>670</v>
      </c>
      <c r="D2234" s="622" t="s">
        <v>385</v>
      </c>
      <c r="E2234" s="622" t="s">
        <v>386</v>
      </c>
      <c r="F2234" s="622" t="s">
        <v>276</v>
      </c>
      <c r="G2234" s="622" t="s">
        <v>356</v>
      </c>
      <c r="H2234" s="622" t="s">
        <v>670</v>
      </c>
      <c r="I2234" s="622" t="s">
        <v>277</v>
      </c>
      <c r="J2234" s="622" t="s">
        <v>524</v>
      </c>
      <c r="K2234" s="622" t="s">
        <v>670</v>
      </c>
      <c r="L2234" s="622" t="s">
        <v>602</v>
      </c>
      <c r="M2234" s="622" t="s">
        <v>285</v>
      </c>
      <c r="N2234" s="622" t="s">
        <v>841</v>
      </c>
      <c r="O2234" s="622" t="s">
        <v>866</v>
      </c>
      <c r="P2234" s="622" t="s">
        <v>524</v>
      </c>
      <c r="Q2234" s="622" t="s">
        <v>387</v>
      </c>
      <c r="R2234" s="623">
        <v>45986</v>
      </c>
      <c r="S2234" s="622" t="s">
        <v>388</v>
      </c>
      <c r="T2234" s="623">
        <v>46006</v>
      </c>
      <c r="U2234" s="626">
        <v>1</v>
      </c>
      <c r="V2234" s="625">
        <v>147330</v>
      </c>
      <c r="W2234" s="260">
        <v>45992</v>
      </c>
    </row>
    <row r="2235" spans="1:23" hidden="1" x14ac:dyDescent="0.35">
      <c r="A2235" s="622" t="s">
        <v>526</v>
      </c>
      <c r="B2235" s="622" t="s">
        <v>53</v>
      </c>
      <c r="C2235" s="622" t="s">
        <v>670</v>
      </c>
      <c r="D2235" s="622" t="s">
        <v>385</v>
      </c>
      <c r="E2235" s="622" t="s">
        <v>386</v>
      </c>
      <c r="F2235" s="622" t="s">
        <v>276</v>
      </c>
      <c r="G2235" s="622" t="s">
        <v>356</v>
      </c>
      <c r="H2235" s="622" t="s">
        <v>670</v>
      </c>
      <c r="I2235" s="622" t="s">
        <v>277</v>
      </c>
      <c r="J2235" s="622" t="s">
        <v>524</v>
      </c>
      <c r="K2235" s="622" t="s">
        <v>670</v>
      </c>
      <c r="L2235" s="622" t="s">
        <v>602</v>
      </c>
      <c r="M2235" s="622" t="s">
        <v>285</v>
      </c>
      <c r="N2235" s="622" t="s">
        <v>700</v>
      </c>
      <c r="O2235" s="622" t="s">
        <v>739</v>
      </c>
      <c r="P2235" s="622" t="s">
        <v>524</v>
      </c>
      <c r="Q2235" s="622" t="s">
        <v>387</v>
      </c>
      <c r="R2235" s="623">
        <v>45973</v>
      </c>
      <c r="S2235" s="622" t="s">
        <v>388</v>
      </c>
      <c r="T2235" s="623">
        <v>46006</v>
      </c>
      <c r="U2235" s="626">
        <v>1</v>
      </c>
      <c r="V2235" s="625">
        <v>12184.24</v>
      </c>
      <c r="W2235" s="260">
        <v>45992</v>
      </c>
    </row>
    <row r="2236" spans="1:23" hidden="1" x14ac:dyDescent="0.35">
      <c r="A2236" s="622" t="s">
        <v>526</v>
      </c>
      <c r="B2236" s="622" t="s">
        <v>53</v>
      </c>
      <c r="C2236" s="622" t="s">
        <v>670</v>
      </c>
      <c r="D2236" s="622" t="s">
        <v>385</v>
      </c>
      <c r="E2236" s="622" t="s">
        <v>386</v>
      </c>
      <c r="F2236" s="622" t="s">
        <v>276</v>
      </c>
      <c r="G2236" s="622" t="s">
        <v>356</v>
      </c>
      <c r="H2236" s="622" t="s">
        <v>670</v>
      </c>
      <c r="I2236" s="622" t="s">
        <v>277</v>
      </c>
      <c r="J2236" s="622" t="s">
        <v>524</v>
      </c>
      <c r="K2236" s="622" t="s">
        <v>670</v>
      </c>
      <c r="L2236" s="622" t="s">
        <v>602</v>
      </c>
      <c r="M2236" s="622" t="s">
        <v>285</v>
      </c>
      <c r="N2236" s="622" t="s">
        <v>695</v>
      </c>
      <c r="O2236" s="622" t="s">
        <v>687</v>
      </c>
      <c r="P2236" s="622" t="s">
        <v>524</v>
      </c>
      <c r="Q2236" s="622" t="s">
        <v>387</v>
      </c>
      <c r="R2236" s="623">
        <v>46002</v>
      </c>
      <c r="S2236" s="622" t="s">
        <v>388</v>
      </c>
      <c r="T2236" s="623">
        <v>46009</v>
      </c>
      <c r="U2236" s="626">
        <v>1</v>
      </c>
      <c r="V2236" s="625">
        <v>5500</v>
      </c>
      <c r="W2236" s="260">
        <v>45992</v>
      </c>
    </row>
    <row r="2237" spans="1:23" hidden="1" x14ac:dyDescent="0.35">
      <c r="A2237" s="622" t="s">
        <v>526</v>
      </c>
      <c r="B2237" s="622" t="s">
        <v>53</v>
      </c>
      <c r="C2237" s="622" t="s">
        <v>670</v>
      </c>
      <c r="D2237" s="622" t="s">
        <v>385</v>
      </c>
      <c r="E2237" s="622" t="s">
        <v>386</v>
      </c>
      <c r="F2237" s="622" t="s">
        <v>276</v>
      </c>
      <c r="G2237" s="622" t="s">
        <v>356</v>
      </c>
      <c r="H2237" s="622" t="s">
        <v>670</v>
      </c>
      <c r="I2237" s="622" t="s">
        <v>277</v>
      </c>
      <c r="J2237" s="622" t="s">
        <v>524</v>
      </c>
      <c r="K2237" s="622" t="s">
        <v>670</v>
      </c>
      <c r="L2237" s="622" t="s">
        <v>602</v>
      </c>
      <c r="M2237" s="622" t="s">
        <v>285</v>
      </c>
      <c r="N2237" s="622" t="s">
        <v>670</v>
      </c>
      <c r="O2237" s="622" t="s">
        <v>677</v>
      </c>
      <c r="P2237" s="622" t="s">
        <v>524</v>
      </c>
      <c r="Q2237" s="622" t="s">
        <v>734</v>
      </c>
      <c r="R2237" s="623">
        <v>46021</v>
      </c>
      <c r="S2237" s="622" t="s">
        <v>670</v>
      </c>
      <c r="T2237" s="623">
        <v>46022</v>
      </c>
      <c r="U2237" s="624">
        <v>0</v>
      </c>
      <c r="V2237" s="625">
        <v>3296</v>
      </c>
      <c r="W2237" s="260">
        <v>45992</v>
      </c>
    </row>
    <row r="2238" spans="1:23" hidden="1" x14ac:dyDescent="0.35">
      <c r="A2238" s="622" t="s">
        <v>526</v>
      </c>
      <c r="B2238" s="622" t="s">
        <v>53</v>
      </c>
      <c r="C2238" s="622" t="s">
        <v>670</v>
      </c>
      <c r="D2238" s="622" t="s">
        <v>385</v>
      </c>
      <c r="E2238" s="622" t="s">
        <v>386</v>
      </c>
      <c r="F2238" s="622" t="s">
        <v>588</v>
      </c>
      <c r="G2238" s="622" t="s">
        <v>356</v>
      </c>
      <c r="H2238" s="622" t="s">
        <v>670</v>
      </c>
      <c r="I2238" s="622" t="s">
        <v>277</v>
      </c>
      <c r="J2238" s="622" t="s">
        <v>524</v>
      </c>
      <c r="K2238" s="622" t="s">
        <v>670</v>
      </c>
      <c r="L2238" s="622" t="s">
        <v>602</v>
      </c>
      <c r="M2238" s="622" t="s">
        <v>285</v>
      </c>
      <c r="N2238" s="622" t="s">
        <v>670</v>
      </c>
      <c r="O2238" s="622" t="s">
        <v>687</v>
      </c>
      <c r="P2238" s="622" t="s">
        <v>524</v>
      </c>
      <c r="Q2238" s="622" t="s">
        <v>734</v>
      </c>
      <c r="R2238" s="623">
        <v>46021</v>
      </c>
      <c r="S2238" s="622" t="s">
        <v>670</v>
      </c>
      <c r="T2238" s="623">
        <v>46022</v>
      </c>
      <c r="U2238" s="624">
        <v>0</v>
      </c>
      <c r="V2238" s="625">
        <v>-40136.32</v>
      </c>
      <c r="W2238" s="260">
        <v>45992</v>
      </c>
    </row>
    <row r="2239" spans="1:23" hidden="1" x14ac:dyDescent="0.35">
      <c r="A2239" s="622" t="s">
        <v>526</v>
      </c>
      <c r="B2239" s="622" t="s">
        <v>53</v>
      </c>
      <c r="C2239" s="622" t="s">
        <v>670</v>
      </c>
      <c r="D2239" s="622" t="s">
        <v>385</v>
      </c>
      <c r="E2239" s="622" t="s">
        <v>386</v>
      </c>
      <c r="F2239" s="622" t="s">
        <v>276</v>
      </c>
      <c r="G2239" s="622" t="s">
        <v>356</v>
      </c>
      <c r="H2239" s="622" t="s">
        <v>670</v>
      </c>
      <c r="I2239" s="622" t="s">
        <v>277</v>
      </c>
      <c r="J2239" s="622" t="s">
        <v>524</v>
      </c>
      <c r="K2239" s="622" t="s">
        <v>670</v>
      </c>
      <c r="L2239" s="622" t="s">
        <v>602</v>
      </c>
      <c r="M2239" s="622" t="s">
        <v>285</v>
      </c>
      <c r="N2239" s="622" t="s">
        <v>670</v>
      </c>
      <c r="O2239" s="622" t="s">
        <v>687</v>
      </c>
      <c r="P2239" s="622" t="s">
        <v>524</v>
      </c>
      <c r="Q2239" s="622" t="s">
        <v>400</v>
      </c>
      <c r="R2239" s="623">
        <v>46021</v>
      </c>
      <c r="S2239" s="622" t="s">
        <v>670</v>
      </c>
      <c r="T2239" s="623">
        <v>46022</v>
      </c>
      <c r="U2239" s="624">
        <v>0</v>
      </c>
      <c r="V2239" s="625">
        <v>11000</v>
      </c>
      <c r="W2239" s="260">
        <v>45992</v>
      </c>
    </row>
    <row r="2240" spans="1:23" hidden="1" x14ac:dyDescent="0.35">
      <c r="A2240" s="622" t="s">
        <v>526</v>
      </c>
      <c r="B2240" s="622" t="s">
        <v>53</v>
      </c>
      <c r="C2240" s="622" t="s">
        <v>670</v>
      </c>
      <c r="D2240" s="622" t="s">
        <v>385</v>
      </c>
      <c r="E2240" s="622" t="s">
        <v>386</v>
      </c>
      <c r="F2240" s="622" t="s">
        <v>276</v>
      </c>
      <c r="G2240" s="622" t="s">
        <v>356</v>
      </c>
      <c r="H2240" s="622" t="s">
        <v>670</v>
      </c>
      <c r="I2240" s="622" t="s">
        <v>277</v>
      </c>
      <c r="J2240" s="622" t="s">
        <v>524</v>
      </c>
      <c r="K2240" s="622" t="s">
        <v>670</v>
      </c>
      <c r="L2240" s="622" t="s">
        <v>602</v>
      </c>
      <c r="M2240" s="622" t="s">
        <v>285</v>
      </c>
      <c r="N2240" s="622" t="s">
        <v>670</v>
      </c>
      <c r="O2240" s="622" t="s">
        <v>765</v>
      </c>
      <c r="P2240" s="622" t="s">
        <v>524</v>
      </c>
      <c r="Q2240" s="622" t="s">
        <v>400</v>
      </c>
      <c r="R2240" s="623">
        <v>46021</v>
      </c>
      <c r="S2240" s="622" t="s">
        <v>670</v>
      </c>
      <c r="T2240" s="623">
        <v>46022</v>
      </c>
      <c r="U2240" s="624">
        <v>0</v>
      </c>
      <c r="V2240" s="625">
        <v>14736</v>
      </c>
      <c r="W2240" s="260">
        <v>45992</v>
      </c>
    </row>
    <row r="2241" spans="1:23" hidden="1" x14ac:dyDescent="0.35">
      <c r="A2241" s="622" t="s">
        <v>526</v>
      </c>
      <c r="B2241" s="622" t="s">
        <v>53</v>
      </c>
      <c r="C2241" s="622" t="s">
        <v>670</v>
      </c>
      <c r="D2241" s="622" t="s">
        <v>385</v>
      </c>
      <c r="E2241" s="622" t="s">
        <v>386</v>
      </c>
      <c r="F2241" s="622" t="s">
        <v>276</v>
      </c>
      <c r="G2241" s="622" t="s">
        <v>356</v>
      </c>
      <c r="H2241" s="622" t="s">
        <v>670</v>
      </c>
      <c r="I2241" s="622" t="s">
        <v>277</v>
      </c>
      <c r="J2241" s="622" t="s">
        <v>524</v>
      </c>
      <c r="K2241" s="622" t="s">
        <v>670</v>
      </c>
      <c r="L2241" s="622" t="s">
        <v>602</v>
      </c>
      <c r="M2241" s="622" t="s">
        <v>285</v>
      </c>
      <c r="N2241" s="622" t="s">
        <v>670</v>
      </c>
      <c r="O2241" s="622" t="s">
        <v>824</v>
      </c>
      <c r="P2241" s="622" t="s">
        <v>524</v>
      </c>
      <c r="Q2241" s="622" t="s">
        <v>400</v>
      </c>
      <c r="R2241" s="623">
        <v>46021</v>
      </c>
      <c r="S2241" s="622" t="s">
        <v>670</v>
      </c>
      <c r="T2241" s="623">
        <v>46022</v>
      </c>
      <c r="U2241" s="624">
        <v>0</v>
      </c>
      <c r="V2241" s="625">
        <v>205276.33</v>
      </c>
      <c r="W2241" s="260">
        <v>45992</v>
      </c>
    </row>
    <row r="2242" spans="1:23" hidden="1" x14ac:dyDescent="0.35">
      <c r="A2242" s="622" t="s">
        <v>526</v>
      </c>
      <c r="B2242" s="622" t="s">
        <v>53</v>
      </c>
      <c r="C2242" s="622" t="s">
        <v>670</v>
      </c>
      <c r="D2242" s="622" t="s">
        <v>385</v>
      </c>
      <c r="E2242" s="622" t="s">
        <v>386</v>
      </c>
      <c r="F2242" s="622" t="s">
        <v>276</v>
      </c>
      <c r="G2242" s="622" t="s">
        <v>356</v>
      </c>
      <c r="H2242" s="622" t="s">
        <v>670</v>
      </c>
      <c r="I2242" s="622" t="s">
        <v>277</v>
      </c>
      <c r="J2242" s="622" t="s">
        <v>524</v>
      </c>
      <c r="K2242" s="622" t="s">
        <v>670</v>
      </c>
      <c r="L2242" s="622" t="s">
        <v>602</v>
      </c>
      <c r="M2242" s="622" t="s">
        <v>285</v>
      </c>
      <c r="N2242" s="622" t="s">
        <v>670</v>
      </c>
      <c r="O2242" s="622">
        <v>7000002099</v>
      </c>
      <c r="P2242" s="622" t="s">
        <v>524</v>
      </c>
      <c r="Q2242" s="622" t="s">
        <v>400</v>
      </c>
      <c r="R2242" s="623">
        <v>46021</v>
      </c>
      <c r="S2242" s="622" t="s">
        <v>670</v>
      </c>
      <c r="T2242" s="623">
        <v>46022</v>
      </c>
      <c r="U2242" s="624">
        <v>0</v>
      </c>
      <c r="V2242" s="625">
        <v>90030</v>
      </c>
      <c r="W2242" s="260">
        <v>45992</v>
      </c>
    </row>
    <row r="2243" spans="1:23" hidden="1" x14ac:dyDescent="0.35">
      <c r="A2243" s="622" t="s">
        <v>526</v>
      </c>
      <c r="B2243" s="622" t="s">
        <v>53</v>
      </c>
      <c r="C2243" s="622" t="s">
        <v>670</v>
      </c>
      <c r="D2243" s="622" t="s">
        <v>385</v>
      </c>
      <c r="E2243" s="622" t="s">
        <v>386</v>
      </c>
      <c r="F2243" s="622" t="s">
        <v>276</v>
      </c>
      <c r="G2243" s="622" t="s">
        <v>356</v>
      </c>
      <c r="H2243" s="622" t="s">
        <v>670</v>
      </c>
      <c r="I2243" s="622" t="s">
        <v>277</v>
      </c>
      <c r="J2243" s="622" t="s">
        <v>524</v>
      </c>
      <c r="K2243" s="622" t="s">
        <v>670</v>
      </c>
      <c r="L2243" s="622" t="s">
        <v>602</v>
      </c>
      <c r="M2243" s="622" t="s">
        <v>285</v>
      </c>
      <c r="N2243" s="622" t="s">
        <v>670</v>
      </c>
      <c r="O2243" s="622" t="s">
        <v>684</v>
      </c>
      <c r="P2243" s="622" t="s">
        <v>524</v>
      </c>
      <c r="Q2243" s="622" t="s">
        <v>400</v>
      </c>
      <c r="R2243" s="623">
        <v>46021</v>
      </c>
      <c r="S2243" s="622" t="s">
        <v>670</v>
      </c>
      <c r="T2243" s="623">
        <v>46022</v>
      </c>
      <c r="U2243" s="624">
        <v>0</v>
      </c>
      <c r="V2243" s="625">
        <v>70570</v>
      </c>
      <c r="W2243" s="260">
        <v>45992</v>
      </c>
    </row>
    <row r="2244" spans="1:23" hidden="1" x14ac:dyDescent="0.35">
      <c r="A2244" s="622" t="s">
        <v>526</v>
      </c>
      <c r="B2244" s="622" t="s">
        <v>53</v>
      </c>
      <c r="C2244" s="622" t="s">
        <v>670</v>
      </c>
      <c r="D2244" s="622" t="s">
        <v>385</v>
      </c>
      <c r="E2244" s="622" t="s">
        <v>386</v>
      </c>
      <c r="F2244" s="622" t="s">
        <v>276</v>
      </c>
      <c r="G2244" s="622" t="s">
        <v>356</v>
      </c>
      <c r="H2244" s="622" t="s">
        <v>670</v>
      </c>
      <c r="I2244" s="622" t="s">
        <v>277</v>
      </c>
      <c r="J2244" s="622" t="s">
        <v>524</v>
      </c>
      <c r="K2244" s="622" t="s">
        <v>670</v>
      </c>
      <c r="L2244" s="622" t="s">
        <v>602</v>
      </c>
      <c r="M2244" s="622" t="s">
        <v>285</v>
      </c>
      <c r="N2244" s="622" t="s">
        <v>867</v>
      </c>
      <c r="O2244" s="622" t="s">
        <v>824</v>
      </c>
      <c r="P2244" s="622" t="s">
        <v>524</v>
      </c>
      <c r="Q2244" s="622" t="s">
        <v>387</v>
      </c>
      <c r="R2244" s="623">
        <v>45974</v>
      </c>
      <c r="S2244" s="622" t="s">
        <v>388</v>
      </c>
      <c r="T2244" s="623">
        <v>46021</v>
      </c>
      <c r="U2244" s="626">
        <v>1</v>
      </c>
      <c r="V2244" s="625">
        <v>19532.02</v>
      </c>
      <c r="W2244" s="260">
        <v>45992</v>
      </c>
    </row>
    <row r="2245" spans="1:23" hidden="1" x14ac:dyDescent="0.35">
      <c r="A2245" s="622" t="s">
        <v>526</v>
      </c>
      <c r="B2245" s="622" t="s">
        <v>53</v>
      </c>
      <c r="C2245" s="622" t="s">
        <v>670</v>
      </c>
      <c r="D2245" s="622" t="s">
        <v>385</v>
      </c>
      <c r="E2245" s="622" t="s">
        <v>386</v>
      </c>
      <c r="F2245" s="622" t="s">
        <v>276</v>
      </c>
      <c r="G2245" s="622" t="s">
        <v>356</v>
      </c>
      <c r="H2245" s="622" t="s">
        <v>670</v>
      </c>
      <c r="I2245" s="622" t="s">
        <v>277</v>
      </c>
      <c r="J2245" s="622" t="s">
        <v>524</v>
      </c>
      <c r="K2245" s="622" t="s">
        <v>670</v>
      </c>
      <c r="L2245" s="622" t="s">
        <v>602</v>
      </c>
      <c r="M2245" s="622" t="s">
        <v>285</v>
      </c>
      <c r="N2245" s="622" t="s">
        <v>867</v>
      </c>
      <c r="O2245" s="622" t="s">
        <v>824</v>
      </c>
      <c r="P2245" s="622" t="s">
        <v>524</v>
      </c>
      <c r="Q2245" s="622" t="s">
        <v>387</v>
      </c>
      <c r="R2245" s="623">
        <v>46003</v>
      </c>
      <c r="S2245" s="622" t="s">
        <v>388</v>
      </c>
      <c r="T2245" s="623">
        <v>46021</v>
      </c>
      <c r="U2245" s="626">
        <v>1</v>
      </c>
      <c r="V2245" s="625">
        <v>44424.67</v>
      </c>
      <c r="W2245" s="260">
        <v>45992</v>
      </c>
    </row>
    <row r="2246" spans="1:23" hidden="1" x14ac:dyDescent="0.35">
      <c r="A2246" s="622" t="s">
        <v>526</v>
      </c>
      <c r="B2246" s="622" t="s">
        <v>53</v>
      </c>
      <c r="C2246" s="622" t="s">
        <v>799</v>
      </c>
      <c r="D2246" s="622" t="s">
        <v>385</v>
      </c>
      <c r="E2246" s="622" t="s">
        <v>386</v>
      </c>
      <c r="F2246" s="622" t="s">
        <v>276</v>
      </c>
      <c r="G2246" s="622" t="s">
        <v>356</v>
      </c>
      <c r="H2246" s="622" t="s">
        <v>670</v>
      </c>
      <c r="I2246" s="622" t="s">
        <v>277</v>
      </c>
      <c r="J2246" s="622" t="s">
        <v>524</v>
      </c>
      <c r="K2246" s="622" t="s">
        <v>800</v>
      </c>
      <c r="L2246" s="622" t="s">
        <v>602</v>
      </c>
      <c r="M2246" s="622" t="s">
        <v>285</v>
      </c>
      <c r="N2246" s="622" t="s">
        <v>670</v>
      </c>
      <c r="O2246" s="622" t="s">
        <v>670</v>
      </c>
      <c r="P2246" s="622" t="s">
        <v>524</v>
      </c>
      <c r="Q2246" s="622" t="s">
        <v>670</v>
      </c>
      <c r="R2246" s="623">
        <v>46024</v>
      </c>
      <c r="S2246" s="622" t="s">
        <v>670</v>
      </c>
      <c r="T2246" s="623">
        <v>46022</v>
      </c>
      <c r="U2246" s="624">
        <v>0</v>
      </c>
      <c r="V2246" s="625">
        <v>9672.32</v>
      </c>
      <c r="W2246" s="260">
        <v>45992</v>
      </c>
    </row>
    <row r="2247" spans="1:23" hidden="1" x14ac:dyDescent="0.35">
      <c r="A2247" s="622" t="s">
        <v>526</v>
      </c>
      <c r="B2247" s="622" t="s">
        <v>53</v>
      </c>
      <c r="C2247" s="622" t="s">
        <v>670</v>
      </c>
      <c r="D2247" s="622" t="s">
        <v>801</v>
      </c>
      <c r="E2247" s="622" t="s">
        <v>802</v>
      </c>
      <c r="F2247" s="622" t="s">
        <v>276</v>
      </c>
      <c r="G2247" s="622" t="s">
        <v>356</v>
      </c>
      <c r="H2247" s="622" t="s">
        <v>670</v>
      </c>
      <c r="I2247" s="622" t="s">
        <v>277</v>
      </c>
      <c r="J2247" s="622" t="s">
        <v>524</v>
      </c>
      <c r="K2247" s="622" t="s">
        <v>670</v>
      </c>
      <c r="L2247" s="622" t="s">
        <v>602</v>
      </c>
      <c r="M2247" s="622" t="s">
        <v>285</v>
      </c>
      <c r="N2247" s="622" t="s">
        <v>700</v>
      </c>
      <c r="O2247" s="622" t="s">
        <v>739</v>
      </c>
      <c r="P2247" s="622" t="s">
        <v>524</v>
      </c>
      <c r="Q2247" s="622" t="s">
        <v>387</v>
      </c>
      <c r="R2247" s="623">
        <v>45991</v>
      </c>
      <c r="S2247" s="622" t="s">
        <v>388</v>
      </c>
      <c r="T2247" s="623">
        <v>46006</v>
      </c>
      <c r="U2247" s="626">
        <v>1</v>
      </c>
      <c r="V2247" s="625">
        <v>13348.91</v>
      </c>
      <c r="W2247" s="260">
        <v>45992</v>
      </c>
    </row>
    <row r="2248" spans="1:23" hidden="1" x14ac:dyDescent="0.35">
      <c r="A2248" s="622" t="s">
        <v>526</v>
      </c>
      <c r="B2248" s="622" t="s">
        <v>53</v>
      </c>
      <c r="C2248" s="622" t="s">
        <v>799</v>
      </c>
      <c r="D2248" s="622" t="s">
        <v>801</v>
      </c>
      <c r="E2248" s="622" t="s">
        <v>802</v>
      </c>
      <c r="F2248" s="622" t="s">
        <v>276</v>
      </c>
      <c r="G2248" s="622" t="s">
        <v>356</v>
      </c>
      <c r="H2248" s="622" t="s">
        <v>670</v>
      </c>
      <c r="I2248" s="622" t="s">
        <v>277</v>
      </c>
      <c r="J2248" s="622" t="s">
        <v>524</v>
      </c>
      <c r="K2248" s="622" t="s">
        <v>800</v>
      </c>
      <c r="L2248" s="622" t="s">
        <v>602</v>
      </c>
      <c r="M2248" s="622" t="s">
        <v>285</v>
      </c>
      <c r="N2248" s="622" t="s">
        <v>670</v>
      </c>
      <c r="O2248" s="622" t="s">
        <v>670</v>
      </c>
      <c r="P2248" s="622" t="s">
        <v>524</v>
      </c>
      <c r="Q2248" s="622" t="s">
        <v>670</v>
      </c>
      <c r="R2248" s="623">
        <v>46024</v>
      </c>
      <c r="S2248" s="622" t="s">
        <v>670</v>
      </c>
      <c r="T2248" s="623">
        <v>46022</v>
      </c>
      <c r="U2248" s="624">
        <v>0</v>
      </c>
      <c r="V2248" s="625">
        <v>1043</v>
      </c>
      <c r="W2248" s="260">
        <v>45992</v>
      </c>
    </row>
    <row r="2249" spans="1:23" hidden="1" x14ac:dyDescent="0.35">
      <c r="A2249" s="622" t="s">
        <v>526</v>
      </c>
      <c r="B2249" s="622" t="s">
        <v>53</v>
      </c>
      <c r="C2249" s="622" t="s">
        <v>670</v>
      </c>
      <c r="D2249" s="622" t="s">
        <v>762</v>
      </c>
      <c r="E2249" s="622" t="s">
        <v>763</v>
      </c>
      <c r="F2249" s="622" t="s">
        <v>276</v>
      </c>
      <c r="G2249" s="622" t="s">
        <v>356</v>
      </c>
      <c r="H2249" s="622" t="s">
        <v>670</v>
      </c>
      <c r="I2249" s="622" t="s">
        <v>277</v>
      </c>
      <c r="J2249" s="622" t="s">
        <v>524</v>
      </c>
      <c r="K2249" s="622" t="s">
        <v>670</v>
      </c>
      <c r="L2249" s="622" t="s">
        <v>602</v>
      </c>
      <c r="M2249" s="622" t="s">
        <v>285</v>
      </c>
      <c r="N2249" s="622" t="s">
        <v>764</v>
      </c>
      <c r="O2249" s="622" t="s">
        <v>765</v>
      </c>
      <c r="P2249" s="622" t="s">
        <v>524</v>
      </c>
      <c r="Q2249" s="622" t="s">
        <v>387</v>
      </c>
      <c r="R2249" s="623">
        <v>45993</v>
      </c>
      <c r="S2249" s="622" t="s">
        <v>388</v>
      </c>
      <c r="T2249" s="623">
        <v>46006</v>
      </c>
      <c r="U2249" s="626">
        <v>1</v>
      </c>
      <c r="V2249" s="625">
        <v>20880</v>
      </c>
      <c r="W2249" s="260">
        <v>45992</v>
      </c>
    </row>
    <row r="2250" spans="1:23" hidden="1" x14ac:dyDescent="0.35">
      <c r="A2250" s="622" t="s">
        <v>526</v>
      </c>
      <c r="B2250" s="622" t="s">
        <v>53</v>
      </c>
      <c r="C2250" s="622" t="s">
        <v>521</v>
      </c>
      <c r="D2250" s="622" t="s">
        <v>681</v>
      </c>
      <c r="E2250" s="622" t="s">
        <v>682</v>
      </c>
      <c r="F2250" s="622" t="s">
        <v>276</v>
      </c>
      <c r="G2250" s="622" t="s">
        <v>356</v>
      </c>
      <c r="H2250" s="622" t="s">
        <v>670</v>
      </c>
      <c r="I2250" s="622" t="s">
        <v>277</v>
      </c>
      <c r="J2250" s="622" t="s">
        <v>524</v>
      </c>
      <c r="K2250" s="622" t="s">
        <v>683</v>
      </c>
      <c r="L2250" s="622" t="s">
        <v>602</v>
      </c>
      <c r="M2250" s="622" t="s">
        <v>285</v>
      </c>
      <c r="N2250" s="622" t="s">
        <v>670</v>
      </c>
      <c r="O2250" s="622" t="s">
        <v>670</v>
      </c>
      <c r="P2250" s="622" t="s">
        <v>524</v>
      </c>
      <c r="Q2250" s="622" t="s">
        <v>670</v>
      </c>
      <c r="R2250" s="623">
        <v>46024</v>
      </c>
      <c r="S2250" s="622" t="s">
        <v>670</v>
      </c>
      <c r="T2250" s="623">
        <v>46022</v>
      </c>
      <c r="U2250" s="624">
        <v>0</v>
      </c>
      <c r="V2250" s="625">
        <v>7560</v>
      </c>
      <c r="W2250" s="260">
        <v>45992</v>
      </c>
    </row>
    <row r="2251" spans="1:23" hidden="1" x14ac:dyDescent="0.35">
      <c r="A2251" s="622" t="s">
        <v>526</v>
      </c>
      <c r="B2251" s="622" t="s">
        <v>53</v>
      </c>
      <c r="C2251" s="622" t="s">
        <v>298</v>
      </c>
      <c r="D2251" s="622" t="s">
        <v>299</v>
      </c>
      <c r="E2251" s="622" t="s">
        <v>300</v>
      </c>
      <c r="F2251" s="622" t="s">
        <v>276</v>
      </c>
      <c r="G2251" s="622" t="s">
        <v>356</v>
      </c>
      <c r="H2251" s="622" t="s">
        <v>670</v>
      </c>
      <c r="I2251" s="622" t="s">
        <v>277</v>
      </c>
      <c r="J2251" s="622" t="s">
        <v>524</v>
      </c>
      <c r="K2251" s="622" t="s">
        <v>301</v>
      </c>
      <c r="L2251" s="622" t="s">
        <v>602</v>
      </c>
      <c r="M2251" s="622" t="s">
        <v>285</v>
      </c>
      <c r="N2251" s="622" t="s">
        <v>670</v>
      </c>
      <c r="O2251" s="622" t="s">
        <v>670</v>
      </c>
      <c r="P2251" s="622" t="s">
        <v>524</v>
      </c>
      <c r="Q2251" s="622" t="s">
        <v>670</v>
      </c>
      <c r="R2251" s="623">
        <v>46027</v>
      </c>
      <c r="S2251" s="622" t="s">
        <v>670</v>
      </c>
      <c r="T2251" s="623">
        <v>46022</v>
      </c>
      <c r="U2251" s="624">
        <v>0</v>
      </c>
      <c r="V2251" s="625">
        <v>0.04</v>
      </c>
      <c r="W2251" s="260">
        <v>45992</v>
      </c>
    </row>
    <row r="2252" spans="1:23" hidden="1" x14ac:dyDescent="0.35">
      <c r="A2252" s="622" t="s">
        <v>526</v>
      </c>
      <c r="B2252" s="622" t="s">
        <v>53</v>
      </c>
      <c r="C2252" s="622" t="s">
        <v>298</v>
      </c>
      <c r="D2252" s="622" t="s">
        <v>299</v>
      </c>
      <c r="E2252" s="622" t="s">
        <v>300</v>
      </c>
      <c r="F2252" s="622" t="s">
        <v>276</v>
      </c>
      <c r="G2252" s="622" t="s">
        <v>356</v>
      </c>
      <c r="H2252" s="622" t="s">
        <v>670</v>
      </c>
      <c r="I2252" s="622" t="s">
        <v>277</v>
      </c>
      <c r="J2252" s="622" t="s">
        <v>524</v>
      </c>
      <c r="K2252" s="622" t="s">
        <v>301</v>
      </c>
      <c r="L2252" s="622" t="s">
        <v>602</v>
      </c>
      <c r="M2252" s="622" t="s">
        <v>285</v>
      </c>
      <c r="N2252" s="622" t="s">
        <v>670</v>
      </c>
      <c r="O2252" s="622" t="s">
        <v>670</v>
      </c>
      <c r="P2252" s="622" t="s">
        <v>524</v>
      </c>
      <c r="Q2252" s="622" t="s">
        <v>670</v>
      </c>
      <c r="R2252" s="623">
        <v>46027</v>
      </c>
      <c r="S2252" s="622" t="s">
        <v>670</v>
      </c>
      <c r="T2252" s="623">
        <v>46022</v>
      </c>
      <c r="U2252" s="624">
        <v>0</v>
      </c>
      <c r="V2252" s="625">
        <v>0.72</v>
      </c>
      <c r="W2252" s="260">
        <v>45992</v>
      </c>
    </row>
    <row r="2253" spans="1:23" hidden="1" x14ac:dyDescent="0.35">
      <c r="A2253" s="622" t="s">
        <v>526</v>
      </c>
      <c r="B2253" s="622" t="s">
        <v>53</v>
      </c>
      <c r="C2253" s="622" t="s">
        <v>298</v>
      </c>
      <c r="D2253" s="622" t="s">
        <v>304</v>
      </c>
      <c r="E2253" s="622" t="s">
        <v>305</v>
      </c>
      <c r="F2253" s="622" t="s">
        <v>276</v>
      </c>
      <c r="G2253" s="622" t="s">
        <v>356</v>
      </c>
      <c r="H2253" s="622" t="s">
        <v>670</v>
      </c>
      <c r="I2253" s="622" t="s">
        <v>277</v>
      </c>
      <c r="J2253" s="622" t="s">
        <v>524</v>
      </c>
      <c r="K2253" s="622" t="s">
        <v>301</v>
      </c>
      <c r="L2253" s="622" t="s">
        <v>602</v>
      </c>
      <c r="M2253" s="622" t="s">
        <v>285</v>
      </c>
      <c r="N2253" s="622" t="s">
        <v>670</v>
      </c>
      <c r="O2253" s="622" t="s">
        <v>670</v>
      </c>
      <c r="P2253" s="622" t="s">
        <v>524</v>
      </c>
      <c r="Q2253" s="622" t="s">
        <v>670</v>
      </c>
      <c r="R2253" s="623">
        <v>46027</v>
      </c>
      <c r="S2253" s="622" t="s">
        <v>670</v>
      </c>
      <c r="T2253" s="623">
        <v>46022</v>
      </c>
      <c r="U2253" s="624">
        <v>0</v>
      </c>
      <c r="V2253" s="625">
        <v>0.8</v>
      </c>
      <c r="W2253" s="260">
        <v>45992</v>
      </c>
    </row>
    <row r="2254" spans="1:23" hidden="1" x14ac:dyDescent="0.35">
      <c r="A2254" s="622" t="s">
        <v>526</v>
      </c>
      <c r="B2254" s="622" t="s">
        <v>53</v>
      </c>
      <c r="C2254" s="622" t="s">
        <v>298</v>
      </c>
      <c r="D2254" s="622" t="s">
        <v>306</v>
      </c>
      <c r="E2254" s="622" t="s">
        <v>307</v>
      </c>
      <c r="F2254" s="622" t="s">
        <v>276</v>
      </c>
      <c r="G2254" s="622" t="s">
        <v>356</v>
      </c>
      <c r="H2254" s="622" t="s">
        <v>670</v>
      </c>
      <c r="I2254" s="622" t="s">
        <v>277</v>
      </c>
      <c r="J2254" s="622" t="s">
        <v>524</v>
      </c>
      <c r="K2254" s="622" t="s">
        <v>301</v>
      </c>
      <c r="L2254" s="622" t="s">
        <v>602</v>
      </c>
      <c r="M2254" s="622" t="s">
        <v>285</v>
      </c>
      <c r="N2254" s="622" t="s">
        <v>670</v>
      </c>
      <c r="O2254" s="622" t="s">
        <v>670</v>
      </c>
      <c r="P2254" s="622" t="s">
        <v>524</v>
      </c>
      <c r="Q2254" s="622" t="s">
        <v>670</v>
      </c>
      <c r="R2254" s="623">
        <v>46027</v>
      </c>
      <c r="S2254" s="622" t="s">
        <v>670</v>
      </c>
      <c r="T2254" s="623">
        <v>46022</v>
      </c>
      <c r="U2254" s="624">
        <v>0</v>
      </c>
      <c r="V2254" s="625">
        <v>0.06</v>
      </c>
      <c r="W2254" s="260">
        <v>45992</v>
      </c>
    </row>
    <row r="2255" spans="1:23" hidden="1" x14ac:dyDescent="0.35">
      <c r="A2255" s="622" t="s">
        <v>526</v>
      </c>
      <c r="B2255" s="622" t="s">
        <v>53</v>
      </c>
      <c r="C2255" s="622" t="s">
        <v>298</v>
      </c>
      <c r="D2255" s="622" t="s">
        <v>306</v>
      </c>
      <c r="E2255" s="622" t="s">
        <v>307</v>
      </c>
      <c r="F2255" s="622" t="s">
        <v>276</v>
      </c>
      <c r="G2255" s="622" t="s">
        <v>356</v>
      </c>
      <c r="H2255" s="622" t="s">
        <v>670</v>
      </c>
      <c r="I2255" s="622" t="s">
        <v>277</v>
      </c>
      <c r="J2255" s="622" t="s">
        <v>524</v>
      </c>
      <c r="K2255" s="622" t="s">
        <v>301</v>
      </c>
      <c r="L2255" s="622" t="s">
        <v>602</v>
      </c>
      <c r="M2255" s="622" t="s">
        <v>285</v>
      </c>
      <c r="N2255" s="622" t="s">
        <v>670</v>
      </c>
      <c r="O2255" s="622" t="s">
        <v>670</v>
      </c>
      <c r="P2255" s="622" t="s">
        <v>524</v>
      </c>
      <c r="Q2255" s="622" t="s">
        <v>670</v>
      </c>
      <c r="R2255" s="623">
        <v>46027</v>
      </c>
      <c r="S2255" s="622" t="s">
        <v>670</v>
      </c>
      <c r="T2255" s="623">
        <v>46022</v>
      </c>
      <c r="U2255" s="624">
        <v>0</v>
      </c>
      <c r="V2255" s="625">
        <v>1.1100000000000001</v>
      </c>
      <c r="W2255" s="260">
        <v>45992</v>
      </c>
    </row>
    <row r="2256" spans="1:23" hidden="1" x14ac:dyDescent="0.35">
      <c r="A2256" s="622" t="s">
        <v>526</v>
      </c>
      <c r="B2256" s="622" t="s">
        <v>53</v>
      </c>
      <c r="C2256" s="622" t="s">
        <v>298</v>
      </c>
      <c r="D2256" s="622" t="s">
        <v>308</v>
      </c>
      <c r="E2256" s="622" t="s">
        <v>309</v>
      </c>
      <c r="F2256" s="622" t="s">
        <v>276</v>
      </c>
      <c r="G2256" s="622" t="s">
        <v>356</v>
      </c>
      <c r="H2256" s="622" t="s">
        <v>670</v>
      </c>
      <c r="I2256" s="622" t="s">
        <v>277</v>
      </c>
      <c r="J2256" s="622" t="s">
        <v>524</v>
      </c>
      <c r="K2256" s="622" t="s">
        <v>301</v>
      </c>
      <c r="L2256" s="622" t="s">
        <v>602</v>
      </c>
      <c r="M2256" s="622" t="s">
        <v>285</v>
      </c>
      <c r="N2256" s="622" t="s">
        <v>670</v>
      </c>
      <c r="O2256" s="622" t="s">
        <v>670</v>
      </c>
      <c r="P2256" s="622" t="s">
        <v>524</v>
      </c>
      <c r="Q2256" s="622" t="s">
        <v>670</v>
      </c>
      <c r="R2256" s="623">
        <v>46027</v>
      </c>
      <c r="S2256" s="622" t="s">
        <v>670</v>
      </c>
      <c r="T2256" s="623">
        <v>46022</v>
      </c>
      <c r="U2256" s="624">
        <v>0</v>
      </c>
      <c r="V2256" s="625">
        <v>279.93</v>
      </c>
      <c r="W2256" s="260">
        <v>45992</v>
      </c>
    </row>
    <row r="2257" spans="1:23" hidden="1" x14ac:dyDescent="0.35">
      <c r="A2257" s="622" t="s">
        <v>526</v>
      </c>
      <c r="B2257" s="622" t="s">
        <v>53</v>
      </c>
      <c r="C2257" s="622" t="s">
        <v>302</v>
      </c>
      <c r="D2257" s="622" t="s">
        <v>308</v>
      </c>
      <c r="E2257" s="622" t="s">
        <v>309</v>
      </c>
      <c r="F2257" s="622" t="s">
        <v>276</v>
      </c>
      <c r="G2257" s="622" t="s">
        <v>356</v>
      </c>
      <c r="H2257" s="622" t="s">
        <v>670</v>
      </c>
      <c r="I2257" s="622" t="s">
        <v>277</v>
      </c>
      <c r="J2257" s="622" t="s">
        <v>524</v>
      </c>
      <c r="K2257" s="622" t="s">
        <v>303</v>
      </c>
      <c r="L2257" s="622" t="s">
        <v>602</v>
      </c>
      <c r="M2257" s="622" t="s">
        <v>285</v>
      </c>
      <c r="N2257" s="622" t="s">
        <v>670</v>
      </c>
      <c r="O2257" s="622" t="s">
        <v>670</v>
      </c>
      <c r="P2257" s="622" t="s">
        <v>524</v>
      </c>
      <c r="Q2257" s="622" t="s">
        <v>670</v>
      </c>
      <c r="R2257" s="623">
        <v>46027</v>
      </c>
      <c r="S2257" s="622" t="s">
        <v>670</v>
      </c>
      <c r="T2257" s="623">
        <v>46022</v>
      </c>
      <c r="U2257" s="624">
        <v>0</v>
      </c>
      <c r="V2257" s="625">
        <v>239.37</v>
      </c>
      <c r="W2257" s="260">
        <v>45992</v>
      </c>
    </row>
    <row r="2258" spans="1:23" hidden="1" x14ac:dyDescent="0.35">
      <c r="A2258" s="622" t="s">
        <v>526</v>
      </c>
      <c r="B2258" s="622" t="s">
        <v>53</v>
      </c>
      <c r="C2258" s="622" t="s">
        <v>302</v>
      </c>
      <c r="D2258" s="622" t="s">
        <v>310</v>
      </c>
      <c r="E2258" s="622" t="s">
        <v>311</v>
      </c>
      <c r="F2258" s="622" t="s">
        <v>276</v>
      </c>
      <c r="G2258" s="622" t="s">
        <v>356</v>
      </c>
      <c r="H2258" s="622" t="s">
        <v>670</v>
      </c>
      <c r="I2258" s="622" t="s">
        <v>277</v>
      </c>
      <c r="J2258" s="622" t="s">
        <v>524</v>
      </c>
      <c r="K2258" s="622" t="s">
        <v>303</v>
      </c>
      <c r="L2258" s="622" t="s">
        <v>602</v>
      </c>
      <c r="M2258" s="622" t="s">
        <v>285</v>
      </c>
      <c r="N2258" s="622" t="s">
        <v>670</v>
      </c>
      <c r="O2258" s="622" t="s">
        <v>670</v>
      </c>
      <c r="P2258" s="622" t="s">
        <v>524</v>
      </c>
      <c r="Q2258" s="622" t="s">
        <v>670</v>
      </c>
      <c r="R2258" s="623">
        <v>46027</v>
      </c>
      <c r="S2258" s="622" t="s">
        <v>670</v>
      </c>
      <c r="T2258" s="623">
        <v>46022</v>
      </c>
      <c r="U2258" s="624">
        <v>0</v>
      </c>
      <c r="V2258" s="625">
        <v>1589.7</v>
      </c>
      <c r="W2258" s="260">
        <v>45992</v>
      </c>
    </row>
    <row r="2259" spans="1:23" hidden="1" x14ac:dyDescent="0.35">
      <c r="A2259" s="622" t="s">
        <v>526</v>
      </c>
      <c r="B2259" s="622" t="s">
        <v>53</v>
      </c>
      <c r="C2259" s="622" t="s">
        <v>298</v>
      </c>
      <c r="D2259" s="622" t="s">
        <v>312</v>
      </c>
      <c r="E2259" s="622" t="s">
        <v>313</v>
      </c>
      <c r="F2259" s="622" t="s">
        <v>276</v>
      </c>
      <c r="G2259" s="622" t="s">
        <v>356</v>
      </c>
      <c r="H2259" s="622" t="s">
        <v>670</v>
      </c>
      <c r="I2259" s="622" t="s">
        <v>277</v>
      </c>
      <c r="J2259" s="622" t="s">
        <v>524</v>
      </c>
      <c r="K2259" s="622" t="s">
        <v>301</v>
      </c>
      <c r="L2259" s="622" t="s">
        <v>602</v>
      </c>
      <c r="M2259" s="622" t="s">
        <v>285</v>
      </c>
      <c r="N2259" s="622" t="s">
        <v>670</v>
      </c>
      <c r="O2259" s="622" t="s">
        <v>670</v>
      </c>
      <c r="P2259" s="622" t="s">
        <v>524</v>
      </c>
      <c r="Q2259" s="622" t="s">
        <v>670</v>
      </c>
      <c r="R2259" s="623">
        <v>46027</v>
      </c>
      <c r="S2259" s="622" t="s">
        <v>670</v>
      </c>
      <c r="T2259" s="623">
        <v>46022</v>
      </c>
      <c r="U2259" s="624">
        <v>0</v>
      </c>
      <c r="V2259" s="625">
        <v>142.57</v>
      </c>
      <c r="W2259" s="260">
        <v>45992</v>
      </c>
    </row>
    <row r="2260" spans="1:23" hidden="1" x14ac:dyDescent="0.35">
      <c r="A2260" s="622" t="s">
        <v>526</v>
      </c>
      <c r="B2260" s="622" t="s">
        <v>53</v>
      </c>
      <c r="C2260" s="622" t="s">
        <v>298</v>
      </c>
      <c r="D2260" s="622" t="s">
        <v>314</v>
      </c>
      <c r="E2260" s="622" t="s">
        <v>315</v>
      </c>
      <c r="F2260" s="622" t="s">
        <v>276</v>
      </c>
      <c r="G2260" s="622" t="s">
        <v>356</v>
      </c>
      <c r="H2260" s="622" t="s">
        <v>670</v>
      </c>
      <c r="I2260" s="622" t="s">
        <v>277</v>
      </c>
      <c r="J2260" s="622" t="s">
        <v>524</v>
      </c>
      <c r="K2260" s="622" t="s">
        <v>301</v>
      </c>
      <c r="L2260" s="622" t="s">
        <v>602</v>
      </c>
      <c r="M2260" s="622" t="s">
        <v>285</v>
      </c>
      <c r="N2260" s="622" t="s">
        <v>670</v>
      </c>
      <c r="O2260" s="622" t="s">
        <v>670</v>
      </c>
      <c r="P2260" s="622" t="s">
        <v>524</v>
      </c>
      <c r="Q2260" s="622" t="s">
        <v>670</v>
      </c>
      <c r="R2260" s="623">
        <v>46027</v>
      </c>
      <c r="S2260" s="622" t="s">
        <v>670</v>
      </c>
      <c r="T2260" s="623">
        <v>46022</v>
      </c>
      <c r="U2260" s="624">
        <v>0</v>
      </c>
      <c r="V2260" s="625">
        <v>106.23</v>
      </c>
      <c r="W2260" s="260">
        <v>45992</v>
      </c>
    </row>
    <row r="2261" spans="1:23" hidden="1" x14ac:dyDescent="0.35">
      <c r="A2261" s="622" t="s">
        <v>526</v>
      </c>
      <c r="B2261" s="622" t="s">
        <v>53</v>
      </c>
      <c r="C2261" s="622" t="s">
        <v>298</v>
      </c>
      <c r="D2261" s="622" t="s">
        <v>316</v>
      </c>
      <c r="E2261" s="622" t="s">
        <v>317</v>
      </c>
      <c r="F2261" s="622" t="s">
        <v>276</v>
      </c>
      <c r="G2261" s="622" t="s">
        <v>356</v>
      </c>
      <c r="H2261" s="622" t="s">
        <v>670</v>
      </c>
      <c r="I2261" s="622" t="s">
        <v>277</v>
      </c>
      <c r="J2261" s="622" t="s">
        <v>524</v>
      </c>
      <c r="K2261" s="622" t="s">
        <v>301</v>
      </c>
      <c r="L2261" s="622" t="s">
        <v>602</v>
      </c>
      <c r="M2261" s="622" t="s">
        <v>285</v>
      </c>
      <c r="N2261" s="622" t="s">
        <v>670</v>
      </c>
      <c r="O2261" s="622" t="s">
        <v>670</v>
      </c>
      <c r="P2261" s="622" t="s">
        <v>524</v>
      </c>
      <c r="Q2261" s="622" t="s">
        <v>670</v>
      </c>
      <c r="R2261" s="623">
        <v>46027</v>
      </c>
      <c r="S2261" s="622" t="s">
        <v>670</v>
      </c>
      <c r="T2261" s="623">
        <v>46022</v>
      </c>
      <c r="U2261" s="624">
        <v>0</v>
      </c>
      <c r="V2261" s="625">
        <v>138.83000000000001</v>
      </c>
      <c r="W2261" s="260">
        <v>45992</v>
      </c>
    </row>
    <row r="2262" spans="1:23" hidden="1" x14ac:dyDescent="0.35">
      <c r="A2262" s="622" t="s">
        <v>526</v>
      </c>
      <c r="B2262" s="622" t="s">
        <v>53</v>
      </c>
      <c r="C2262" s="622" t="s">
        <v>298</v>
      </c>
      <c r="D2262" s="622" t="s">
        <v>318</v>
      </c>
      <c r="E2262" s="622" t="s">
        <v>319</v>
      </c>
      <c r="F2262" s="622" t="s">
        <v>276</v>
      </c>
      <c r="G2262" s="622" t="s">
        <v>356</v>
      </c>
      <c r="H2262" s="622" t="s">
        <v>670</v>
      </c>
      <c r="I2262" s="622" t="s">
        <v>277</v>
      </c>
      <c r="J2262" s="622" t="s">
        <v>524</v>
      </c>
      <c r="K2262" s="622" t="s">
        <v>301</v>
      </c>
      <c r="L2262" s="622" t="s">
        <v>602</v>
      </c>
      <c r="M2262" s="622" t="s">
        <v>285</v>
      </c>
      <c r="N2262" s="622" t="s">
        <v>670</v>
      </c>
      <c r="O2262" s="622" t="s">
        <v>670</v>
      </c>
      <c r="P2262" s="622" t="s">
        <v>524</v>
      </c>
      <c r="Q2262" s="622" t="s">
        <v>670</v>
      </c>
      <c r="R2262" s="623">
        <v>46027</v>
      </c>
      <c r="S2262" s="622" t="s">
        <v>670</v>
      </c>
      <c r="T2262" s="623">
        <v>46022</v>
      </c>
      <c r="U2262" s="624">
        <v>0</v>
      </c>
      <c r="V2262" s="625">
        <v>0.11</v>
      </c>
      <c r="W2262" s="260">
        <v>45992</v>
      </c>
    </row>
    <row r="2263" spans="1:23" hidden="1" x14ac:dyDescent="0.35">
      <c r="A2263" s="622" t="s">
        <v>526</v>
      </c>
      <c r="B2263" s="622" t="s">
        <v>53</v>
      </c>
      <c r="C2263" s="622" t="s">
        <v>298</v>
      </c>
      <c r="D2263" s="622" t="s">
        <v>318</v>
      </c>
      <c r="E2263" s="622" t="s">
        <v>319</v>
      </c>
      <c r="F2263" s="622" t="s">
        <v>276</v>
      </c>
      <c r="G2263" s="622" t="s">
        <v>356</v>
      </c>
      <c r="H2263" s="622" t="s">
        <v>670</v>
      </c>
      <c r="I2263" s="622" t="s">
        <v>277</v>
      </c>
      <c r="J2263" s="622" t="s">
        <v>524</v>
      </c>
      <c r="K2263" s="622" t="s">
        <v>301</v>
      </c>
      <c r="L2263" s="622" t="s">
        <v>602</v>
      </c>
      <c r="M2263" s="622" t="s">
        <v>285</v>
      </c>
      <c r="N2263" s="622" t="s">
        <v>670</v>
      </c>
      <c r="O2263" s="622" t="s">
        <v>670</v>
      </c>
      <c r="P2263" s="622" t="s">
        <v>524</v>
      </c>
      <c r="Q2263" s="622" t="s">
        <v>670</v>
      </c>
      <c r="R2263" s="623">
        <v>46027</v>
      </c>
      <c r="S2263" s="622" t="s">
        <v>670</v>
      </c>
      <c r="T2263" s="623">
        <v>46022</v>
      </c>
      <c r="U2263" s="624">
        <v>0</v>
      </c>
      <c r="V2263" s="625">
        <v>1.39</v>
      </c>
      <c r="W2263" s="260">
        <v>45992</v>
      </c>
    </row>
    <row r="2264" spans="1:23" hidden="1" x14ac:dyDescent="0.35">
      <c r="A2264" s="622" t="s">
        <v>526</v>
      </c>
      <c r="B2264" s="622" t="s">
        <v>53</v>
      </c>
      <c r="C2264" s="622" t="s">
        <v>298</v>
      </c>
      <c r="D2264" s="622" t="s">
        <v>391</v>
      </c>
      <c r="E2264" s="622" t="s">
        <v>392</v>
      </c>
      <c r="F2264" s="622" t="s">
        <v>276</v>
      </c>
      <c r="G2264" s="622" t="s">
        <v>356</v>
      </c>
      <c r="H2264" s="622" t="s">
        <v>670</v>
      </c>
      <c r="I2264" s="622" t="s">
        <v>277</v>
      </c>
      <c r="J2264" s="622" t="s">
        <v>524</v>
      </c>
      <c r="K2264" s="622" t="s">
        <v>301</v>
      </c>
      <c r="L2264" s="622" t="s">
        <v>602</v>
      </c>
      <c r="M2264" s="622" t="s">
        <v>285</v>
      </c>
      <c r="N2264" s="622" t="s">
        <v>670</v>
      </c>
      <c r="O2264" s="622" t="s">
        <v>670</v>
      </c>
      <c r="P2264" s="622" t="s">
        <v>524</v>
      </c>
      <c r="Q2264" s="622" t="s">
        <v>670</v>
      </c>
      <c r="R2264" s="623">
        <v>46027</v>
      </c>
      <c r="S2264" s="622" t="s">
        <v>670</v>
      </c>
      <c r="T2264" s="623">
        <v>46022</v>
      </c>
      <c r="U2264" s="624">
        <v>0</v>
      </c>
      <c r="V2264" s="625">
        <v>0.27</v>
      </c>
      <c r="W2264" s="260">
        <v>45992</v>
      </c>
    </row>
    <row r="2265" spans="1:23" hidden="1" x14ac:dyDescent="0.35">
      <c r="A2265" s="622" t="s">
        <v>526</v>
      </c>
      <c r="B2265" s="622" t="s">
        <v>53</v>
      </c>
      <c r="C2265" s="622" t="s">
        <v>298</v>
      </c>
      <c r="D2265" s="622" t="s">
        <v>320</v>
      </c>
      <c r="E2265" s="622" t="s">
        <v>321</v>
      </c>
      <c r="F2265" s="622" t="s">
        <v>276</v>
      </c>
      <c r="G2265" s="622" t="s">
        <v>356</v>
      </c>
      <c r="H2265" s="622" t="s">
        <v>670</v>
      </c>
      <c r="I2265" s="622" t="s">
        <v>277</v>
      </c>
      <c r="J2265" s="622" t="s">
        <v>524</v>
      </c>
      <c r="K2265" s="622" t="s">
        <v>301</v>
      </c>
      <c r="L2265" s="622" t="s">
        <v>602</v>
      </c>
      <c r="M2265" s="622" t="s">
        <v>285</v>
      </c>
      <c r="N2265" s="622" t="s">
        <v>670</v>
      </c>
      <c r="O2265" s="622" t="s">
        <v>670</v>
      </c>
      <c r="P2265" s="622" t="s">
        <v>524</v>
      </c>
      <c r="Q2265" s="622" t="s">
        <v>670</v>
      </c>
      <c r="R2265" s="623">
        <v>46027</v>
      </c>
      <c r="S2265" s="622" t="s">
        <v>670</v>
      </c>
      <c r="T2265" s="623">
        <v>46022</v>
      </c>
      <c r="U2265" s="624">
        <v>0</v>
      </c>
      <c r="V2265" s="625">
        <v>196.66</v>
      </c>
      <c r="W2265" s="260">
        <v>45992</v>
      </c>
    </row>
    <row r="2266" spans="1:23" hidden="1" x14ac:dyDescent="0.35">
      <c r="A2266" s="622" t="s">
        <v>526</v>
      </c>
      <c r="B2266" s="622" t="s">
        <v>53</v>
      </c>
      <c r="C2266" s="622" t="s">
        <v>298</v>
      </c>
      <c r="D2266" s="622" t="s">
        <v>322</v>
      </c>
      <c r="E2266" s="622" t="s">
        <v>323</v>
      </c>
      <c r="F2266" s="622" t="s">
        <v>276</v>
      </c>
      <c r="G2266" s="622" t="s">
        <v>356</v>
      </c>
      <c r="H2266" s="622" t="s">
        <v>670</v>
      </c>
      <c r="I2266" s="622" t="s">
        <v>277</v>
      </c>
      <c r="J2266" s="622" t="s">
        <v>524</v>
      </c>
      <c r="K2266" s="622" t="s">
        <v>301</v>
      </c>
      <c r="L2266" s="622" t="s">
        <v>602</v>
      </c>
      <c r="M2266" s="622" t="s">
        <v>285</v>
      </c>
      <c r="N2266" s="622" t="s">
        <v>670</v>
      </c>
      <c r="O2266" s="622" t="s">
        <v>670</v>
      </c>
      <c r="P2266" s="622" t="s">
        <v>524</v>
      </c>
      <c r="Q2266" s="622" t="s">
        <v>670</v>
      </c>
      <c r="R2266" s="623">
        <v>46027</v>
      </c>
      <c r="S2266" s="622" t="s">
        <v>670</v>
      </c>
      <c r="T2266" s="623">
        <v>46022</v>
      </c>
      <c r="U2266" s="624">
        <v>0</v>
      </c>
      <c r="V2266" s="625">
        <v>0.46</v>
      </c>
      <c r="W2266" s="260">
        <v>45992</v>
      </c>
    </row>
    <row r="2267" spans="1:23" hidden="1" x14ac:dyDescent="0.35">
      <c r="A2267" s="622" t="s">
        <v>526</v>
      </c>
      <c r="B2267" s="622" t="s">
        <v>53</v>
      </c>
      <c r="C2267" s="622" t="s">
        <v>298</v>
      </c>
      <c r="D2267" s="622" t="s">
        <v>322</v>
      </c>
      <c r="E2267" s="622" t="s">
        <v>323</v>
      </c>
      <c r="F2267" s="622" t="s">
        <v>276</v>
      </c>
      <c r="G2267" s="622" t="s">
        <v>356</v>
      </c>
      <c r="H2267" s="622" t="s">
        <v>670</v>
      </c>
      <c r="I2267" s="622" t="s">
        <v>277</v>
      </c>
      <c r="J2267" s="622" t="s">
        <v>524</v>
      </c>
      <c r="K2267" s="622" t="s">
        <v>301</v>
      </c>
      <c r="L2267" s="622" t="s">
        <v>602</v>
      </c>
      <c r="M2267" s="622" t="s">
        <v>285</v>
      </c>
      <c r="N2267" s="622" t="s">
        <v>670</v>
      </c>
      <c r="O2267" s="622" t="s">
        <v>670</v>
      </c>
      <c r="P2267" s="622" t="s">
        <v>524</v>
      </c>
      <c r="Q2267" s="622" t="s">
        <v>670</v>
      </c>
      <c r="R2267" s="623">
        <v>46027</v>
      </c>
      <c r="S2267" s="622" t="s">
        <v>670</v>
      </c>
      <c r="T2267" s="623">
        <v>46022</v>
      </c>
      <c r="U2267" s="624">
        <v>0</v>
      </c>
      <c r="V2267" s="625">
        <v>0.08</v>
      </c>
      <c r="W2267" s="260">
        <v>45992</v>
      </c>
    </row>
    <row r="2268" spans="1:23" hidden="1" x14ac:dyDescent="0.35">
      <c r="A2268" s="622" t="s">
        <v>526</v>
      </c>
      <c r="B2268" s="622" t="s">
        <v>53</v>
      </c>
      <c r="C2268" s="622" t="s">
        <v>298</v>
      </c>
      <c r="D2268" s="622" t="s">
        <v>324</v>
      </c>
      <c r="E2268" s="622" t="s">
        <v>325</v>
      </c>
      <c r="F2268" s="622" t="s">
        <v>276</v>
      </c>
      <c r="G2268" s="622" t="s">
        <v>356</v>
      </c>
      <c r="H2268" s="622" t="s">
        <v>670</v>
      </c>
      <c r="I2268" s="622" t="s">
        <v>277</v>
      </c>
      <c r="J2268" s="622" t="s">
        <v>524</v>
      </c>
      <c r="K2268" s="622" t="s">
        <v>301</v>
      </c>
      <c r="L2268" s="622" t="s">
        <v>602</v>
      </c>
      <c r="M2268" s="622" t="s">
        <v>285</v>
      </c>
      <c r="N2268" s="622" t="s">
        <v>670</v>
      </c>
      <c r="O2268" s="622" t="s">
        <v>670</v>
      </c>
      <c r="P2268" s="622" t="s">
        <v>524</v>
      </c>
      <c r="Q2268" s="622" t="s">
        <v>670</v>
      </c>
      <c r="R2268" s="623">
        <v>46027</v>
      </c>
      <c r="S2268" s="622" t="s">
        <v>670</v>
      </c>
      <c r="T2268" s="623">
        <v>46022</v>
      </c>
      <c r="U2268" s="624">
        <v>0</v>
      </c>
      <c r="V2268" s="625">
        <v>297.69</v>
      </c>
      <c r="W2268" s="260">
        <v>45992</v>
      </c>
    </row>
    <row r="2269" spans="1:23" hidden="1" x14ac:dyDescent="0.35">
      <c r="A2269" s="622" t="s">
        <v>526</v>
      </c>
      <c r="B2269" s="622" t="s">
        <v>53</v>
      </c>
      <c r="C2269" s="622" t="s">
        <v>298</v>
      </c>
      <c r="D2269" s="622" t="s">
        <v>326</v>
      </c>
      <c r="E2269" s="622" t="s">
        <v>327</v>
      </c>
      <c r="F2269" s="622" t="s">
        <v>276</v>
      </c>
      <c r="G2269" s="622" t="s">
        <v>356</v>
      </c>
      <c r="H2269" s="622" t="s">
        <v>670</v>
      </c>
      <c r="I2269" s="622" t="s">
        <v>277</v>
      </c>
      <c r="J2269" s="622" t="s">
        <v>524</v>
      </c>
      <c r="K2269" s="622" t="s">
        <v>301</v>
      </c>
      <c r="L2269" s="622" t="s">
        <v>602</v>
      </c>
      <c r="M2269" s="622" t="s">
        <v>285</v>
      </c>
      <c r="N2269" s="622" t="s">
        <v>670</v>
      </c>
      <c r="O2269" s="622" t="s">
        <v>670</v>
      </c>
      <c r="P2269" s="622" t="s">
        <v>524</v>
      </c>
      <c r="Q2269" s="622" t="s">
        <v>670</v>
      </c>
      <c r="R2269" s="623">
        <v>46027</v>
      </c>
      <c r="S2269" s="622" t="s">
        <v>670</v>
      </c>
      <c r="T2269" s="623">
        <v>46022</v>
      </c>
      <c r="U2269" s="624">
        <v>0</v>
      </c>
      <c r="V2269" s="625">
        <v>0.66</v>
      </c>
      <c r="W2269" s="260">
        <v>45992</v>
      </c>
    </row>
    <row r="2270" spans="1:23" hidden="1" x14ac:dyDescent="0.35">
      <c r="A2270" s="622" t="s">
        <v>526</v>
      </c>
      <c r="B2270" s="622" t="s">
        <v>53</v>
      </c>
      <c r="C2270" s="622" t="s">
        <v>298</v>
      </c>
      <c r="D2270" s="622" t="s">
        <v>326</v>
      </c>
      <c r="E2270" s="622" t="s">
        <v>327</v>
      </c>
      <c r="F2270" s="622" t="s">
        <v>276</v>
      </c>
      <c r="G2270" s="622" t="s">
        <v>356</v>
      </c>
      <c r="H2270" s="622" t="s">
        <v>670</v>
      </c>
      <c r="I2270" s="622" t="s">
        <v>277</v>
      </c>
      <c r="J2270" s="622" t="s">
        <v>524</v>
      </c>
      <c r="K2270" s="622" t="s">
        <v>301</v>
      </c>
      <c r="L2270" s="622" t="s">
        <v>602</v>
      </c>
      <c r="M2270" s="622" t="s">
        <v>285</v>
      </c>
      <c r="N2270" s="622" t="s">
        <v>670</v>
      </c>
      <c r="O2270" s="622" t="s">
        <v>670</v>
      </c>
      <c r="P2270" s="622" t="s">
        <v>524</v>
      </c>
      <c r="Q2270" s="622" t="s">
        <v>670</v>
      </c>
      <c r="R2270" s="623">
        <v>46027</v>
      </c>
      <c r="S2270" s="622" t="s">
        <v>670</v>
      </c>
      <c r="T2270" s="623">
        <v>46022</v>
      </c>
      <c r="U2270" s="624">
        <v>0</v>
      </c>
      <c r="V2270" s="625">
        <v>13.77</v>
      </c>
      <c r="W2270" s="260">
        <v>45992</v>
      </c>
    </row>
    <row r="2271" spans="1:23" hidden="1" x14ac:dyDescent="0.35">
      <c r="A2271" s="622" t="s">
        <v>526</v>
      </c>
      <c r="B2271" s="622" t="s">
        <v>53</v>
      </c>
      <c r="C2271" s="622" t="s">
        <v>298</v>
      </c>
      <c r="D2271" s="622" t="s">
        <v>393</v>
      </c>
      <c r="E2271" s="622" t="s">
        <v>394</v>
      </c>
      <c r="F2271" s="622" t="s">
        <v>276</v>
      </c>
      <c r="G2271" s="622" t="s">
        <v>356</v>
      </c>
      <c r="H2271" s="622" t="s">
        <v>670</v>
      </c>
      <c r="I2271" s="622" t="s">
        <v>277</v>
      </c>
      <c r="J2271" s="622" t="s">
        <v>524</v>
      </c>
      <c r="K2271" s="622" t="s">
        <v>301</v>
      </c>
      <c r="L2271" s="622" t="s">
        <v>602</v>
      </c>
      <c r="M2271" s="622" t="s">
        <v>285</v>
      </c>
      <c r="N2271" s="622" t="s">
        <v>670</v>
      </c>
      <c r="O2271" s="622" t="s">
        <v>670</v>
      </c>
      <c r="P2271" s="622" t="s">
        <v>524</v>
      </c>
      <c r="Q2271" s="622" t="s">
        <v>670</v>
      </c>
      <c r="R2271" s="623">
        <v>46027</v>
      </c>
      <c r="S2271" s="622" t="s">
        <v>670</v>
      </c>
      <c r="T2271" s="623">
        <v>46022</v>
      </c>
      <c r="U2271" s="624">
        <v>0</v>
      </c>
      <c r="V2271" s="625">
        <v>0.35</v>
      </c>
      <c r="W2271" s="260">
        <v>45992</v>
      </c>
    </row>
    <row r="2272" spans="1:23" hidden="1" x14ac:dyDescent="0.35">
      <c r="A2272" s="622" t="s">
        <v>526</v>
      </c>
      <c r="B2272" s="622" t="s">
        <v>53</v>
      </c>
      <c r="C2272" s="622" t="s">
        <v>298</v>
      </c>
      <c r="D2272" s="622" t="s">
        <v>328</v>
      </c>
      <c r="E2272" s="622" t="s">
        <v>329</v>
      </c>
      <c r="F2272" s="622" t="s">
        <v>276</v>
      </c>
      <c r="G2272" s="622" t="s">
        <v>356</v>
      </c>
      <c r="H2272" s="622" t="s">
        <v>670</v>
      </c>
      <c r="I2272" s="622" t="s">
        <v>277</v>
      </c>
      <c r="J2272" s="622" t="s">
        <v>524</v>
      </c>
      <c r="K2272" s="622" t="s">
        <v>301</v>
      </c>
      <c r="L2272" s="622" t="s">
        <v>602</v>
      </c>
      <c r="M2272" s="622" t="s">
        <v>285</v>
      </c>
      <c r="N2272" s="622" t="s">
        <v>670</v>
      </c>
      <c r="O2272" s="622" t="s">
        <v>670</v>
      </c>
      <c r="P2272" s="622" t="s">
        <v>524</v>
      </c>
      <c r="Q2272" s="622" t="s">
        <v>670</v>
      </c>
      <c r="R2272" s="623">
        <v>46027</v>
      </c>
      <c r="S2272" s="622" t="s">
        <v>670</v>
      </c>
      <c r="T2272" s="623">
        <v>46022</v>
      </c>
      <c r="U2272" s="624">
        <v>0</v>
      </c>
      <c r="V2272" s="625">
        <v>7806.29</v>
      </c>
      <c r="W2272" s="260">
        <v>45992</v>
      </c>
    </row>
    <row r="2273" spans="1:23" hidden="1" x14ac:dyDescent="0.35">
      <c r="A2273" s="622" t="s">
        <v>526</v>
      </c>
      <c r="B2273" s="622" t="s">
        <v>53</v>
      </c>
      <c r="C2273" s="622" t="s">
        <v>298</v>
      </c>
      <c r="D2273" s="622" t="s">
        <v>330</v>
      </c>
      <c r="E2273" s="622" t="s">
        <v>331</v>
      </c>
      <c r="F2273" s="622" t="s">
        <v>276</v>
      </c>
      <c r="G2273" s="622" t="s">
        <v>356</v>
      </c>
      <c r="H2273" s="622" t="s">
        <v>670</v>
      </c>
      <c r="I2273" s="622" t="s">
        <v>277</v>
      </c>
      <c r="J2273" s="622" t="s">
        <v>524</v>
      </c>
      <c r="K2273" s="622" t="s">
        <v>301</v>
      </c>
      <c r="L2273" s="622" t="s">
        <v>602</v>
      </c>
      <c r="M2273" s="622" t="s">
        <v>285</v>
      </c>
      <c r="N2273" s="622" t="s">
        <v>670</v>
      </c>
      <c r="O2273" s="622" t="s">
        <v>670</v>
      </c>
      <c r="P2273" s="622" t="s">
        <v>524</v>
      </c>
      <c r="Q2273" s="622" t="s">
        <v>670</v>
      </c>
      <c r="R2273" s="623">
        <v>46027</v>
      </c>
      <c r="S2273" s="622" t="s">
        <v>670</v>
      </c>
      <c r="T2273" s="623">
        <v>46022</v>
      </c>
      <c r="U2273" s="624">
        <v>0</v>
      </c>
      <c r="V2273" s="625">
        <v>5.65</v>
      </c>
      <c r="W2273" s="260">
        <v>45992</v>
      </c>
    </row>
    <row r="2274" spans="1:23" hidden="1" x14ac:dyDescent="0.35">
      <c r="A2274" s="622" t="s">
        <v>526</v>
      </c>
      <c r="B2274" s="622" t="s">
        <v>53</v>
      </c>
      <c r="C2274" s="622" t="s">
        <v>298</v>
      </c>
      <c r="D2274" s="622" t="s">
        <v>332</v>
      </c>
      <c r="E2274" s="622" t="s">
        <v>333</v>
      </c>
      <c r="F2274" s="622" t="s">
        <v>276</v>
      </c>
      <c r="G2274" s="622" t="s">
        <v>356</v>
      </c>
      <c r="H2274" s="622" t="s">
        <v>670</v>
      </c>
      <c r="I2274" s="622" t="s">
        <v>277</v>
      </c>
      <c r="J2274" s="622" t="s">
        <v>524</v>
      </c>
      <c r="K2274" s="622" t="s">
        <v>301</v>
      </c>
      <c r="L2274" s="622" t="s">
        <v>602</v>
      </c>
      <c r="M2274" s="622" t="s">
        <v>285</v>
      </c>
      <c r="N2274" s="622" t="s">
        <v>670</v>
      </c>
      <c r="O2274" s="622" t="s">
        <v>670</v>
      </c>
      <c r="P2274" s="622" t="s">
        <v>524</v>
      </c>
      <c r="Q2274" s="622" t="s">
        <v>670</v>
      </c>
      <c r="R2274" s="623">
        <v>46027</v>
      </c>
      <c r="S2274" s="622" t="s">
        <v>670</v>
      </c>
      <c r="T2274" s="623">
        <v>46022</v>
      </c>
      <c r="U2274" s="624">
        <v>0</v>
      </c>
      <c r="V2274" s="625">
        <v>127.81</v>
      </c>
      <c r="W2274" s="260">
        <v>45992</v>
      </c>
    </row>
    <row r="2275" spans="1:23" hidden="1" x14ac:dyDescent="0.35">
      <c r="A2275" s="622" t="s">
        <v>526</v>
      </c>
      <c r="B2275" s="622" t="s">
        <v>53</v>
      </c>
      <c r="C2275" s="622" t="s">
        <v>298</v>
      </c>
      <c r="D2275" s="622" t="s">
        <v>334</v>
      </c>
      <c r="E2275" s="622" t="s">
        <v>335</v>
      </c>
      <c r="F2275" s="622" t="s">
        <v>276</v>
      </c>
      <c r="G2275" s="622" t="s">
        <v>356</v>
      </c>
      <c r="H2275" s="622" t="s">
        <v>670</v>
      </c>
      <c r="I2275" s="622" t="s">
        <v>277</v>
      </c>
      <c r="J2275" s="622" t="s">
        <v>524</v>
      </c>
      <c r="K2275" s="622" t="s">
        <v>301</v>
      </c>
      <c r="L2275" s="622" t="s">
        <v>602</v>
      </c>
      <c r="M2275" s="622" t="s">
        <v>285</v>
      </c>
      <c r="N2275" s="622" t="s">
        <v>670</v>
      </c>
      <c r="O2275" s="622" t="s">
        <v>670</v>
      </c>
      <c r="P2275" s="622" t="s">
        <v>524</v>
      </c>
      <c r="Q2275" s="622" t="s">
        <v>670</v>
      </c>
      <c r="R2275" s="623">
        <v>46027</v>
      </c>
      <c r="S2275" s="622" t="s">
        <v>670</v>
      </c>
      <c r="T2275" s="623">
        <v>46022</v>
      </c>
      <c r="U2275" s="624">
        <v>0</v>
      </c>
      <c r="V2275" s="625">
        <v>-80.03</v>
      </c>
      <c r="W2275" s="260">
        <v>45992</v>
      </c>
    </row>
    <row r="2276" spans="1:23" hidden="1" x14ac:dyDescent="0.35">
      <c r="A2276" s="622" t="s">
        <v>526</v>
      </c>
      <c r="B2276" s="622" t="s">
        <v>53</v>
      </c>
      <c r="C2276" s="622" t="s">
        <v>298</v>
      </c>
      <c r="D2276" s="622" t="s">
        <v>336</v>
      </c>
      <c r="E2276" s="622" t="s">
        <v>337</v>
      </c>
      <c r="F2276" s="622" t="s">
        <v>276</v>
      </c>
      <c r="G2276" s="622" t="s">
        <v>356</v>
      </c>
      <c r="H2276" s="622" t="s">
        <v>670</v>
      </c>
      <c r="I2276" s="622" t="s">
        <v>277</v>
      </c>
      <c r="J2276" s="622" t="s">
        <v>524</v>
      </c>
      <c r="K2276" s="622" t="s">
        <v>301</v>
      </c>
      <c r="L2276" s="622" t="s">
        <v>602</v>
      </c>
      <c r="M2276" s="622" t="s">
        <v>285</v>
      </c>
      <c r="N2276" s="622" t="s">
        <v>670</v>
      </c>
      <c r="O2276" s="622" t="s">
        <v>670</v>
      </c>
      <c r="P2276" s="622" t="s">
        <v>524</v>
      </c>
      <c r="Q2276" s="622" t="s">
        <v>670</v>
      </c>
      <c r="R2276" s="623">
        <v>46027</v>
      </c>
      <c r="S2276" s="622" t="s">
        <v>670</v>
      </c>
      <c r="T2276" s="623">
        <v>46022</v>
      </c>
      <c r="U2276" s="624">
        <v>0</v>
      </c>
      <c r="V2276" s="625">
        <v>3.31</v>
      </c>
      <c r="W2276" s="260">
        <v>45992</v>
      </c>
    </row>
    <row r="2277" spans="1:23" hidden="1" x14ac:dyDescent="0.35">
      <c r="A2277" s="622" t="s">
        <v>526</v>
      </c>
      <c r="B2277" s="622" t="s">
        <v>53</v>
      </c>
      <c r="C2277" s="622" t="s">
        <v>298</v>
      </c>
      <c r="D2277" s="622" t="s">
        <v>397</v>
      </c>
      <c r="E2277" s="622" t="s">
        <v>398</v>
      </c>
      <c r="F2277" s="622" t="s">
        <v>276</v>
      </c>
      <c r="G2277" s="622" t="s">
        <v>356</v>
      </c>
      <c r="H2277" s="622" t="s">
        <v>670</v>
      </c>
      <c r="I2277" s="622" t="s">
        <v>277</v>
      </c>
      <c r="J2277" s="622" t="s">
        <v>524</v>
      </c>
      <c r="K2277" s="622" t="s">
        <v>301</v>
      </c>
      <c r="L2277" s="622" t="s">
        <v>602</v>
      </c>
      <c r="M2277" s="622" t="s">
        <v>285</v>
      </c>
      <c r="N2277" s="622" t="s">
        <v>670</v>
      </c>
      <c r="O2277" s="622" t="s">
        <v>670</v>
      </c>
      <c r="P2277" s="622" t="s">
        <v>524</v>
      </c>
      <c r="Q2277" s="622" t="s">
        <v>670</v>
      </c>
      <c r="R2277" s="623">
        <v>46027</v>
      </c>
      <c r="S2277" s="622" t="s">
        <v>670</v>
      </c>
      <c r="T2277" s="623">
        <v>46022</v>
      </c>
      <c r="U2277" s="624">
        <v>0</v>
      </c>
      <c r="V2277" s="625">
        <v>-0.27</v>
      </c>
      <c r="W2277" s="260">
        <v>45992</v>
      </c>
    </row>
    <row r="2278" spans="1:23" hidden="1" x14ac:dyDescent="0.35">
      <c r="A2278" s="622" t="s">
        <v>526</v>
      </c>
      <c r="B2278" s="622" t="s">
        <v>53</v>
      </c>
      <c r="C2278" s="622" t="s">
        <v>298</v>
      </c>
      <c r="D2278" s="622" t="s">
        <v>338</v>
      </c>
      <c r="E2278" s="622" t="s">
        <v>339</v>
      </c>
      <c r="F2278" s="622" t="s">
        <v>276</v>
      </c>
      <c r="G2278" s="622" t="s">
        <v>356</v>
      </c>
      <c r="H2278" s="622" t="s">
        <v>670</v>
      </c>
      <c r="I2278" s="622" t="s">
        <v>277</v>
      </c>
      <c r="J2278" s="622" t="s">
        <v>524</v>
      </c>
      <c r="K2278" s="622" t="s">
        <v>301</v>
      </c>
      <c r="L2278" s="622" t="s">
        <v>602</v>
      </c>
      <c r="M2278" s="622" t="s">
        <v>285</v>
      </c>
      <c r="N2278" s="622" t="s">
        <v>670</v>
      </c>
      <c r="O2278" s="622" t="s">
        <v>670</v>
      </c>
      <c r="P2278" s="622" t="s">
        <v>524</v>
      </c>
      <c r="Q2278" s="622" t="s">
        <v>670</v>
      </c>
      <c r="R2278" s="623">
        <v>46027</v>
      </c>
      <c r="S2278" s="622" t="s">
        <v>670</v>
      </c>
      <c r="T2278" s="623">
        <v>46022</v>
      </c>
      <c r="U2278" s="624">
        <v>0</v>
      </c>
      <c r="V2278" s="625">
        <v>-0.09</v>
      </c>
      <c r="W2278" s="260">
        <v>45992</v>
      </c>
    </row>
    <row r="2279" spans="1:23" hidden="1" x14ac:dyDescent="0.35">
      <c r="A2279" s="622" t="s">
        <v>526</v>
      </c>
      <c r="B2279" s="622" t="s">
        <v>53</v>
      </c>
      <c r="C2279" s="622" t="s">
        <v>302</v>
      </c>
      <c r="D2279" s="622" t="s">
        <v>340</v>
      </c>
      <c r="E2279" s="622" t="s">
        <v>283</v>
      </c>
      <c r="F2279" s="622" t="s">
        <v>276</v>
      </c>
      <c r="G2279" s="622" t="s">
        <v>356</v>
      </c>
      <c r="H2279" s="622" t="s">
        <v>670</v>
      </c>
      <c r="I2279" s="622" t="s">
        <v>277</v>
      </c>
      <c r="J2279" s="622" t="s">
        <v>524</v>
      </c>
      <c r="K2279" s="622" t="s">
        <v>303</v>
      </c>
      <c r="L2279" s="622" t="s">
        <v>602</v>
      </c>
      <c r="M2279" s="622" t="s">
        <v>285</v>
      </c>
      <c r="N2279" s="622" t="s">
        <v>670</v>
      </c>
      <c r="O2279" s="622" t="s">
        <v>670</v>
      </c>
      <c r="P2279" s="622" t="s">
        <v>524</v>
      </c>
      <c r="Q2279" s="622" t="s">
        <v>670</v>
      </c>
      <c r="R2279" s="623">
        <v>46027</v>
      </c>
      <c r="S2279" s="622" t="s">
        <v>670</v>
      </c>
      <c r="T2279" s="623">
        <v>46022</v>
      </c>
      <c r="U2279" s="624">
        <v>0</v>
      </c>
      <c r="V2279" s="625">
        <v>17.190000000000001</v>
      </c>
      <c r="W2279" s="260">
        <v>45992</v>
      </c>
    </row>
    <row r="2280" spans="1:23" hidden="1" x14ac:dyDescent="0.35">
      <c r="A2280" s="622" t="s">
        <v>526</v>
      </c>
      <c r="B2280" s="622" t="s">
        <v>53</v>
      </c>
      <c r="C2280" s="622" t="s">
        <v>302</v>
      </c>
      <c r="D2280" s="622" t="s">
        <v>340</v>
      </c>
      <c r="E2280" s="622" t="s">
        <v>283</v>
      </c>
      <c r="F2280" s="622" t="s">
        <v>276</v>
      </c>
      <c r="G2280" s="622" t="s">
        <v>356</v>
      </c>
      <c r="H2280" s="622" t="s">
        <v>670</v>
      </c>
      <c r="I2280" s="622" t="s">
        <v>277</v>
      </c>
      <c r="J2280" s="622" t="s">
        <v>524</v>
      </c>
      <c r="K2280" s="622" t="s">
        <v>303</v>
      </c>
      <c r="L2280" s="622" t="s">
        <v>602</v>
      </c>
      <c r="M2280" s="622" t="s">
        <v>285</v>
      </c>
      <c r="N2280" s="622" t="s">
        <v>670</v>
      </c>
      <c r="O2280" s="622" t="s">
        <v>670</v>
      </c>
      <c r="P2280" s="622" t="s">
        <v>524</v>
      </c>
      <c r="Q2280" s="622" t="s">
        <v>670</v>
      </c>
      <c r="R2280" s="623">
        <v>46027</v>
      </c>
      <c r="S2280" s="622" t="s">
        <v>670</v>
      </c>
      <c r="T2280" s="623">
        <v>46022</v>
      </c>
      <c r="U2280" s="624">
        <v>0</v>
      </c>
      <c r="V2280" s="625">
        <v>4.62</v>
      </c>
      <c r="W2280" s="260">
        <v>45992</v>
      </c>
    </row>
    <row r="2281" spans="1:23" hidden="1" x14ac:dyDescent="0.35">
      <c r="A2281" s="622" t="s">
        <v>526</v>
      </c>
      <c r="B2281" s="622" t="s">
        <v>53</v>
      </c>
      <c r="C2281" s="622" t="s">
        <v>302</v>
      </c>
      <c r="D2281" s="622" t="s">
        <v>341</v>
      </c>
      <c r="E2281" s="622" t="s">
        <v>288</v>
      </c>
      <c r="F2281" s="622" t="s">
        <v>276</v>
      </c>
      <c r="G2281" s="622" t="s">
        <v>356</v>
      </c>
      <c r="H2281" s="622" t="s">
        <v>670</v>
      </c>
      <c r="I2281" s="622" t="s">
        <v>277</v>
      </c>
      <c r="J2281" s="622" t="s">
        <v>524</v>
      </c>
      <c r="K2281" s="622" t="s">
        <v>303</v>
      </c>
      <c r="L2281" s="622" t="s">
        <v>602</v>
      </c>
      <c r="M2281" s="622" t="s">
        <v>285</v>
      </c>
      <c r="N2281" s="622" t="s">
        <v>670</v>
      </c>
      <c r="O2281" s="622" t="s">
        <v>670</v>
      </c>
      <c r="P2281" s="622" t="s">
        <v>524</v>
      </c>
      <c r="Q2281" s="622" t="s">
        <v>670</v>
      </c>
      <c r="R2281" s="623">
        <v>46027</v>
      </c>
      <c r="S2281" s="622" t="s">
        <v>670</v>
      </c>
      <c r="T2281" s="623">
        <v>46022</v>
      </c>
      <c r="U2281" s="624">
        <v>0</v>
      </c>
      <c r="V2281" s="625">
        <v>48.21</v>
      </c>
      <c r="W2281" s="260">
        <v>45992</v>
      </c>
    </row>
    <row r="2282" spans="1:23" hidden="1" x14ac:dyDescent="0.35">
      <c r="A2282" s="622" t="s">
        <v>526</v>
      </c>
      <c r="B2282" s="622" t="s">
        <v>53</v>
      </c>
      <c r="C2282" s="622" t="s">
        <v>302</v>
      </c>
      <c r="D2282" s="622" t="s">
        <v>341</v>
      </c>
      <c r="E2282" s="622" t="s">
        <v>288</v>
      </c>
      <c r="F2282" s="622" t="s">
        <v>276</v>
      </c>
      <c r="G2282" s="622" t="s">
        <v>356</v>
      </c>
      <c r="H2282" s="622" t="s">
        <v>670</v>
      </c>
      <c r="I2282" s="622" t="s">
        <v>277</v>
      </c>
      <c r="J2282" s="622" t="s">
        <v>524</v>
      </c>
      <c r="K2282" s="622" t="s">
        <v>303</v>
      </c>
      <c r="L2282" s="622" t="s">
        <v>602</v>
      </c>
      <c r="M2282" s="622" t="s">
        <v>285</v>
      </c>
      <c r="N2282" s="622" t="s">
        <v>670</v>
      </c>
      <c r="O2282" s="622" t="s">
        <v>670</v>
      </c>
      <c r="P2282" s="622" t="s">
        <v>524</v>
      </c>
      <c r="Q2282" s="622" t="s">
        <v>670</v>
      </c>
      <c r="R2282" s="623">
        <v>46027</v>
      </c>
      <c r="S2282" s="622" t="s">
        <v>670</v>
      </c>
      <c r="T2282" s="623">
        <v>46022</v>
      </c>
      <c r="U2282" s="624">
        <v>0</v>
      </c>
      <c r="V2282" s="625">
        <v>3.46</v>
      </c>
      <c r="W2282" s="260">
        <v>45992</v>
      </c>
    </row>
    <row r="2283" spans="1:23" hidden="1" x14ac:dyDescent="0.35">
      <c r="A2283" s="622" t="s">
        <v>526</v>
      </c>
      <c r="B2283" s="622" t="s">
        <v>53</v>
      </c>
      <c r="C2283" s="622" t="s">
        <v>302</v>
      </c>
      <c r="D2283" s="622" t="s">
        <v>342</v>
      </c>
      <c r="E2283" s="622" t="s">
        <v>291</v>
      </c>
      <c r="F2283" s="622" t="s">
        <v>276</v>
      </c>
      <c r="G2283" s="622" t="s">
        <v>356</v>
      </c>
      <c r="H2283" s="622" t="s">
        <v>670</v>
      </c>
      <c r="I2283" s="622" t="s">
        <v>277</v>
      </c>
      <c r="J2283" s="622" t="s">
        <v>524</v>
      </c>
      <c r="K2283" s="622" t="s">
        <v>303</v>
      </c>
      <c r="L2283" s="622" t="s">
        <v>602</v>
      </c>
      <c r="M2283" s="622" t="s">
        <v>285</v>
      </c>
      <c r="N2283" s="622" t="s">
        <v>670</v>
      </c>
      <c r="O2283" s="622" t="s">
        <v>670</v>
      </c>
      <c r="P2283" s="622" t="s">
        <v>524</v>
      </c>
      <c r="Q2283" s="622" t="s">
        <v>670</v>
      </c>
      <c r="R2283" s="623">
        <v>46027</v>
      </c>
      <c r="S2283" s="622" t="s">
        <v>670</v>
      </c>
      <c r="T2283" s="623">
        <v>46022</v>
      </c>
      <c r="U2283" s="624">
        <v>0</v>
      </c>
      <c r="V2283" s="625">
        <v>11.11</v>
      </c>
      <c r="W2283" s="260">
        <v>45992</v>
      </c>
    </row>
    <row r="2284" spans="1:23" hidden="1" x14ac:dyDescent="0.35">
      <c r="A2284" s="622" t="s">
        <v>526</v>
      </c>
      <c r="B2284" s="622" t="s">
        <v>53</v>
      </c>
      <c r="C2284" s="622" t="s">
        <v>302</v>
      </c>
      <c r="D2284" s="622" t="s">
        <v>342</v>
      </c>
      <c r="E2284" s="622" t="s">
        <v>291</v>
      </c>
      <c r="F2284" s="622" t="s">
        <v>276</v>
      </c>
      <c r="G2284" s="622" t="s">
        <v>356</v>
      </c>
      <c r="H2284" s="622" t="s">
        <v>670</v>
      </c>
      <c r="I2284" s="622" t="s">
        <v>277</v>
      </c>
      <c r="J2284" s="622" t="s">
        <v>524</v>
      </c>
      <c r="K2284" s="622" t="s">
        <v>303</v>
      </c>
      <c r="L2284" s="622" t="s">
        <v>602</v>
      </c>
      <c r="M2284" s="622" t="s">
        <v>285</v>
      </c>
      <c r="N2284" s="622" t="s">
        <v>670</v>
      </c>
      <c r="O2284" s="622" t="s">
        <v>670</v>
      </c>
      <c r="P2284" s="622" t="s">
        <v>524</v>
      </c>
      <c r="Q2284" s="622" t="s">
        <v>670</v>
      </c>
      <c r="R2284" s="623">
        <v>46027</v>
      </c>
      <c r="S2284" s="622" t="s">
        <v>670</v>
      </c>
      <c r="T2284" s="623">
        <v>46022</v>
      </c>
      <c r="U2284" s="624">
        <v>0</v>
      </c>
      <c r="V2284" s="625">
        <v>-1.37</v>
      </c>
      <c r="W2284" s="260">
        <v>45992</v>
      </c>
    </row>
    <row r="2285" spans="1:23" hidden="1" x14ac:dyDescent="0.35">
      <c r="A2285" s="622" t="s">
        <v>526</v>
      </c>
      <c r="B2285" s="622" t="s">
        <v>53</v>
      </c>
      <c r="C2285" s="622" t="s">
        <v>302</v>
      </c>
      <c r="D2285" s="622" t="s">
        <v>343</v>
      </c>
      <c r="E2285" s="622" t="s">
        <v>293</v>
      </c>
      <c r="F2285" s="622" t="s">
        <v>276</v>
      </c>
      <c r="G2285" s="622" t="s">
        <v>356</v>
      </c>
      <c r="H2285" s="622" t="s">
        <v>670</v>
      </c>
      <c r="I2285" s="622" t="s">
        <v>277</v>
      </c>
      <c r="J2285" s="622" t="s">
        <v>524</v>
      </c>
      <c r="K2285" s="622" t="s">
        <v>303</v>
      </c>
      <c r="L2285" s="622" t="s">
        <v>602</v>
      </c>
      <c r="M2285" s="622" t="s">
        <v>285</v>
      </c>
      <c r="N2285" s="622" t="s">
        <v>670</v>
      </c>
      <c r="O2285" s="622" t="s">
        <v>670</v>
      </c>
      <c r="P2285" s="622" t="s">
        <v>524</v>
      </c>
      <c r="Q2285" s="622" t="s">
        <v>670</v>
      </c>
      <c r="R2285" s="623">
        <v>46027</v>
      </c>
      <c r="S2285" s="622" t="s">
        <v>670</v>
      </c>
      <c r="T2285" s="623">
        <v>46022</v>
      </c>
      <c r="U2285" s="624">
        <v>0</v>
      </c>
      <c r="V2285" s="625">
        <v>12.28</v>
      </c>
      <c r="W2285" s="260">
        <v>45992</v>
      </c>
    </row>
    <row r="2286" spans="1:23" hidden="1" x14ac:dyDescent="0.35">
      <c r="A2286" s="622" t="s">
        <v>526</v>
      </c>
      <c r="B2286" s="622" t="s">
        <v>53</v>
      </c>
      <c r="C2286" s="622" t="s">
        <v>302</v>
      </c>
      <c r="D2286" s="622" t="s">
        <v>343</v>
      </c>
      <c r="E2286" s="622" t="s">
        <v>293</v>
      </c>
      <c r="F2286" s="622" t="s">
        <v>276</v>
      </c>
      <c r="G2286" s="622" t="s">
        <v>356</v>
      </c>
      <c r="H2286" s="622" t="s">
        <v>670</v>
      </c>
      <c r="I2286" s="622" t="s">
        <v>277</v>
      </c>
      <c r="J2286" s="622" t="s">
        <v>524</v>
      </c>
      <c r="K2286" s="622" t="s">
        <v>303</v>
      </c>
      <c r="L2286" s="622" t="s">
        <v>602</v>
      </c>
      <c r="M2286" s="622" t="s">
        <v>285</v>
      </c>
      <c r="N2286" s="622" t="s">
        <v>670</v>
      </c>
      <c r="O2286" s="622" t="s">
        <v>670</v>
      </c>
      <c r="P2286" s="622" t="s">
        <v>524</v>
      </c>
      <c r="Q2286" s="622" t="s">
        <v>670</v>
      </c>
      <c r="R2286" s="623">
        <v>46027</v>
      </c>
      <c r="S2286" s="622" t="s">
        <v>670</v>
      </c>
      <c r="T2286" s="623">
        <v>46022</v>
      </c>
      <c r="U2286" s="624">
        <v>0</v>
      </c>
      <c r="V2286" s="625">
        <v>-1.7</v>
      </c>
      <c r="W2286" s="260">
        <v>45992</v>
      </c>
    </row>
    <row r="2287" spans="1:23" hidden="1" x14ac:dyDescent="0.35">
      <c r="A2287" s="622" t="s">
        <v>526</v>
      </c>
      <c r="B2287" s="622" t="s">
        <v>53</v>
      </c>
      <c r="C2287" s="622" t="s">
        <v>302</v>
      </c>
      <c r="D2287" s="622" t="s">
        <v>344</v>
      </c>
      <c r="E2287" s="622" t="s">
        <v>296</v>
      </c>
      <c r="F2287" s="622" t="s">
        <v>276</v>
      </c>
      <c r="G2287" s="622" t="s">
        <v>356</v>
      </c>
      <c r="H2287" s="622" t="s">
        <v>670</v>
      </c>
      <c r="I2287" s="622" t="s">
        <v>277</v>
      </c>
      <c r="J2287" s="622" t="s">
        <v>524</v>
      </c>
      <c r="K2287" s="622" t="s">
        <v>303</v>
      </c>
      <c r="L2287" s="622" t="s">
        <v>602</v>
      </c>
      <c r="M2287" s="622" t="s">
        <v>285</v>
      </c>
      <c r="N2287" s="622" t="s">
        <v>670</v>
      </c>
      <c r="O2287" s="622" t="s">
        <v>670</v>
      </c>
      <c r="P2287" s="622" t="s">
        <v>524</v>
      </c>
      <c r="Q2287" s="622" t="s">
        <v>670</v>
      </c>
      <c r="R2287" s="623">
        <v>46027</v>
      </c>
      <c r="S2287" s="622" t="s">
        <v>670</v>
      </c>
      <c r="T2287" s="623">
        <v>46022</v>
      </c>
      <c r="U2287" s="624">
        <v>0</v>
      </c>
      <c r="V2287" s="625">
        <v>26.28</v>
      </c>
      <c r="W2287" s="260">
        <v>45992</v>
      </c>
    </row>
    <row r="2288" spans="1:23" hidden="1" x14ac:dyDescent="0.35">
      <c r="A2288" s="622" t="s">
        <v>526</v>
      </c>
      <c r="B2288" s="622" t="s">
        <v>53</v>
      </c>
      <c r="C2288" s="622" t="s">
        <v>302</v>
      </c>
      <c r="D2288" s="622" t="s">
        <v>344</v>
      </c>
      <c r="E2288" s="622" t="s">
        <v>296</v>
      </c>
      <c r="F2288" s="622" t="s">
        <v>276</v>
      </c>
      <c r="G2288" s="622" t="s">
        <v>356</v>
      </c>
      <c r="H2288" s="622" t="s">
        <v>670</v>
      </c>
      <c r="I2288" s="622" t="s">
        <v>277</v>
      </c>
      <c r="J2288" s="622" t="s">
        <v>524</v>
      </c>
      <c r="K2288" s="622" t="s">
        <v>303</v>
      </c>
      <c r="L2288" s="622" t="s">
        <v>602</v>
      </c>
      <c r="M2288" s="622" t="s">
        <v>285</v>
      </c>
      <c r="N2288" s="622" t="s">
        <v>670</v>
      </c>
      <c r="O2288" s="622" t="s">
        <v>670</v>
      </c>
      <c r="P2288" s="622" t="s">
        <v>524</v>
      </c>
      <c r="Q2288" s="622" t="s">
        <v>670</v>
      </c>
      <c r="R2288" s="623">
        <v>46027</v>
      </c>
      <c r="S2288" s="622" t="s">
        <v>670</v>
      </c>
      <c r="T2288" s="623">
        <v>46022</v>
      </c>
      <c r="U2288" s="624">
        <v>0</v>
      </c>
      <c r="V2288" s="625">
        <v>-1.72</v>
      </c>
      <c r="W2288" s="260">
        <v>45992</v>
      </c>
    </row>
    <row r="2289" spans="1:23" hidden="1" x14ac:dyDescent="0.35">
      <c r="A2289" s="622" t="s">
        <v>526</v>
      </c>
      <c r="B2289" s="622" t="s">
        <v>53</v>
      </c>
      <c r="C2289" s="622" t="s">
        <v>298</v>
      </c>
      <c r="D2289" s="622" t="s">
        <v>345</v>
      </c>
      <c r="E2289" s="622" t="s">
        <v>346</v>
      </c>
      <c r="F2289" s="622" t="s">
        <v>276</v>
      </c>
      <c r="G2289" s="622" t="s">
        <v>356</v>
      </c>
      <c r="H2289" s="622" t="s">
        <v>670</v>
      </c>
      <c r="I2289" s="622" t="s">
        <v>277</v>
      </c>
      <c r="J2289" s="622" t="s">
        <v>524</v>
      </c>
      <c r="K2289" s="622" t="s">
        <v>301</v>
      </c>
      <c r="L2289" s="622" t="s">
        <v>602</v>
      </c>
      <c r="M2289" s="622" t="s">
        <v>285</v>
      </c>
      <c r="N2289" s="622" t="s">
        <v>670</v>
      </c>
      <c r="O2289" s="622" t="s">
        <v>670</v>
      </c>
      <c r="P2289" s="622" t="s">
        <v>524</v>
      </c>
      <c r="Q2289" s="622" t="s">
        <v>670</v>
      </c>
      <c r="R2289" s="623">
        <v>46027</v>
      </c>
      <c r="S2289" s="622" t="s">
        <v>670</v>
      </c>
      <c r="T2289" s="623">
        <v>46022</v>
      </c>
      <c r="U2289" s="624">
        <v>0</v>
      </c>
      <c r="V2289" s="625">
        <v>-0.14000000000000001</v>
      </c>
      <c r="W2289" s="260">
        <v>45992</v>
      </c>
    </row>
    <row r="2290" spans="1:23" hidden="1" x14ac:dyDescent="0.35">
      <c r="A2290" s="622" t="s">
        <v>526</v>
      </c>
      <c r="B2290" s="622" t="s">
        <v>53</v>
      </c>
      <c r="C2290" s="622" t="s">
        <v>298</v>
      </c>
      <c r="D2290" s="622" t="s">
        <v>347</v>
      </c>
      <c r="E2290" s="622" t="s">
        <v>348</v>
      </c>
      <c r="F2290" s="622" t="s">
        <v>276</v>
      </c>
      <c r="G2290" s="622" t="s">
        <v>356</v>
      </c>
      <c r="H2290" s="622" t="s">
        <v>670</v>
      </c>
      <c r="I2290" s="622" t="s">
        <v>277</v>
      </c>
      <c r="J2290" s="622" t="s">
        <v>524</v>
      </c>
      <c r="K2290" s="622" t="s">
        <v>301</v>
      </c>
      <c r="L2290" s="622" t="s">
        <v>602</v>
      </c>
      <c r="M2290" s="622" t="s">
        <v>285</v>
      </c>
      <c r="N2290" s="622" t="s">
        <v>670</v>
      </c>
      <c r="O2290" s="622" t="s">
        <v>670</v>
      </c>
      <c r="P2290" s="622" t="s">
        <v>524</v>
      </c>
      <c r="Q2290" s="622" t="s">
        <v>670</v>
      </c>
      <c r="R2290" s="623">
        <v>46027</v>
      </c>
      <c r="S2290" s="622" t="s">
        <v>670</v>
      </c>
      <c r="T2290" s="623">
        <v>46022</v>
      </c>
      <c r="U2290" s="624">
        <v>0</v>
      </c>
      <c r="V2290" s="625">
        <v>3.05</v>
      </c>
      <c r="W2290" s="260">
        <v>45992</v>
      </c>
    </row>
    <row r="2291" spans="1:23" hidden="1" x14ac:dyDescent="0.35">
      <c r="A2291" s="622" t="s">
        <v>526</v>
      </c>
      <c r="B2291" s="622" t="s">
        <v>53</v>
      </c>
      <c r="C2291" s="622" t="s">
        <v>298</v>
      </c>
      <c r="D2291" s="622" t="s">
        <v>347</v>
      </c>
      <c r="E2291" s="622" t="s">
        <v>348</v>
      </c>
      <c r="F2291" s="622" t="s">
        <v>276</v>
      </c>
      <c r="G2291" s="622" t="s">
        <v>356</v>
      </c>
      <c r="H2291" s="622" t="s">
        <v>670</v>
      </c>
      <c r="I2291" s="622" t="s">
        <v>277</v>
      </c>
      <c r="J2291" s="622" t="s">
        <v>524</v>
      </c>
      <c r="K2291" s="622" t="s">
        <v>301</v>
      </c>
      <c r="L2291" s="622" t="s">
        <v>602</v>
      </c>
      <c r="M2291" s="622" t="s">
        <v>285</v>
      </c>
      <c r="N2291" s="622" t="s">
        <v>670</v>
      </c>
      <c r="O2291" s="622" t="s">
        <v>670</v>
      </c>
      <c r="P2291" s="622" t="s">
        <v>524</v>
      </c>
      <c r="Q2291" s="622" t="s">
        <v>670</v>
      </c>
      <c r="R2291" s="623">
        <v>46027</v>
      </c>
      <c r="S2291" s="622" t="s">
        <v>670</v>
      </c>
      <c r="T2291" s="623">
        <v>46022</v>
      </c>
      <c r="U2291" s="624">
        <v>0</v>
      </c>
      <c r="V2291" s="625">
        <v>0.28000000000000003</v>
      </c>
      <c r="W2291" s="260">
        <v>45992</v>
      </c>
    </row>
    <row r="2292" spans="1:23" hidden="1" x14ac:dyDescent="0.35">
      <c r="A2292" s="622" t="s">
        <v>526</v>
      </c>
      <c r="B2292" s="622" t="s">
        <v>53</v>
      </c>
      <c r="C2292" s="622" t="s">
        <v>298</v>
      </c>
      <c r="D2292" s="622" t="s">
        <v>349</v>
      </c>
      <c r="E2292" s="622" t="s">
        <v>350</v>
      </c>
      <c r="F2292" s="622" t="s">
        <v>276</v>
      </c>
      <c r="G2292" s="622" t="s">
        <v>356</v>
      </c>
      <c r="H2292" s="622" t="s">
        <v>670</v>
      </c>
      <c r="I2292" s="622" t="s">
        <v>277</v>
      </c>
      <c r="J2292" s="622" t="s">
        <v>524</v>
      </c>
      <c r="K2292" s="622" t="s">
        <v>301</v>
      </c>
      <c r="L2292" s="622" t="s">
        <v>602</v>
      </c>
      <c r="M2292" s="622" t="s">
        <v>285</v>
      </c>
      <c r="N2292" s="622" t="s">
        <v>670</v>
      </c>
      <c r="O2292" s="622" t="s">
        <v>670</v>
      </c>
      <c r="P2292" s="622" t="s">
        <v>524</v>
      </c>
      <c r="Q2292" s="622" t="s">
        <v>670</v>
      </c>
      <c r="R2292" s="623">
        <v>46027</v>
      </c>
      <c r="S2292" s="622" t="s">
        <v>670</v>
      </c>
      <c r="T2292" s="623">
        <v>46022</v>
      </c>
      <c r="U2292" s="624">
        <v>0</v>
      </c>
      <c r="V2292" s="625">
        <v>-0.12</v>
      </c>
      <c r="W2292" s="260">
        <v>45992</v>
      </c>
    </row>
    <row r="2293" spans="1:23" hidden="1" x14ac:dyDescent="0.35">
      <c r="A2293" s="622" t="s">
        <v>526</v>
      </c>
      <c r="B2293" s="622" t="s">
        <v>53</v>
      </c>
      <c r="C2293" s="622" t="s">
        <v>298</v>
      </c>
      <c r="D2293" s="622" t="s">
        <v>351</v>
      </c>
      <c r="E2293" s="622" t="s">
        <v>352</v>
      </c>
      <c r="F2293" s="622" t="s">
        <v>276</v>
      </c>
      <c r="G2293" s="622" t="s">
        <v>356</v>
      </c>
      <c r="H2293" s="622" t="s">
        <v>670</v>
      </c>
      <c r="I2293" s="622" t="s">
        <v>277</v>
      </c>
      <c r="J2293" s="622" t="s">
        <v>524</v>
      </c>
      <c r="K2293" s="622" t="s">
        <v>301</v>
      </c>
      <c r="L2293" s="622" t="s">
        <v>602</v>
      </c>
      <c r="M2293" s="622" t="s">
        <v>285</v>
      </c>
      <c r="N2293" s="622" t="s">
        <v>670</v>
      </c>
      <c r="O2293" s="622" t="s">
        <v>670</v>
      </c>
      <c r="P2293" s="622" t="s">
        <v>524</v>
      </c>
      <c r="Q2293" s="622" t="s">
        <v>670</v>
      </c>
      <c r="R2293" s="623">
        <v>46027</v>
      </c>
      <c r="S2293" s="622" t="s">
        <v>670</v>
      </c>
      <c r="T2293" s="623">
        <v>46022</v>
      </c>
      <c r="U2293" s="624">
        <v>0</v>
      </c>
      <c r="V2293" s="625">
        <v>1.66</v>
      </c>
      <c r="W2293" s="260">
        <v>45992</v>
      </c>
    </row>
    <row r="2294" spans="1:23" hidden="1" x14ac:dyDescent="0.35">
      <c r="A2294" s="622" t="s">
        <v>526</v>
      </c>
      <c r="B2294" s="622" t="s">
        <v>53</v>
      </c>
      <c r="C2294" s="622" t="s">
        <v>298</v>
      </c>
      <c r="D2294" s="622" t="s">
        <v>351</v>
      </c>
      <c r="E2294" s="622" t="s">
        <v>352</v>
      </c>
      <c r="F2294" s="622" t="s">
        <v>276</v>
      </c>
      <c r="G2294" s="622" t="s">
        <v>356</v>
      </c>
      <c r="H2294" s="622" t="s">
        <v>670</v>
      </c>
      <c r="I2294" s="622" t="s">
        <v>277</v>
      </c>
      <c r="J2294" s="622" t="s">
        <v>524</v>
      </c>
      <c r="K2294" s="622" t="s">
        <v>301</v>
      </c>
      <c r="L2294" s="622" t="s">
        <v>602</v>
      </c>
      <c r="M2294" s="622" t="s">
        <v>285</v>
      </c>
      <c r="N2294" s="622" t="s">
        <v>670</v>
      </c>
      <c r="O2294" s="622" t="s">
        <v>670</v>
      </c>
      <c r="P2294" s="622" t="s">
        <v>524</v>
      </c>
      <c r="Q2294" s="622" t="s">
        <v>670</v>
      </c>
      <c r="R2294" s="623">
        <v>46027</v>
      </c>
      <c r="S2294" s="622" t="s">
        <v>670</v>
      </c>
      <c r="T2294" s="623">
        <v>46022</v>
      </c>
      <c r="U2294" s="624">
        <v>0</v>
      </c>
      <c r="V2294" s="625">
        <v>-0.06</v>
      </c>
      <c r="W2294" s="260">
        <v>45992</v>
      </c>
    </row>
    <row r="2295" spans="1:23" hidden="1" x14ac:dyDescent="0.35">
      <c r="A2295" s="622" t="s">
        <v>526</v>
      </c>
      <c r="B2295" s="622" t="s">
        <v>53</v>
      </c>
      <c r="C2295" s="622" t="s">
        <v>298</v>
      </c>
      <c r="D2295" s="622" t="s">
        <v>354</v>
      </c>
      <c r="E2295" s="622" t="s">
        <v>355</v>
      </c>
      <c r="F2295" s="622" t="s">
        <v>276</v>
      </c>
      <c r="G2295" s="622" t="s">
        <v>356</v>
      </c>
      <c r="H2295" s="622" t="s">
        <v>670</v>
      </c>
      <c r="I2295" s="622" t="s">
        <v>277</v>
      </c>
      <c r="J2295" s="622" t="s">
        <v>524</v>
      </c>
      <c r="K2295" s="622" t="s">
        <v>301</v>
      </c>
      <c r="L2295" s="622" t="s">
        <v>602</v>
      </c>
      <c r="M2295" s="622" t="s">
        <v>285</v>
      </c>
      <c r="N2295" s="622" t="s">
        <v>670</v>
      </c>
      <c r="O2295" s="622" t="s">
        <v>670</v>
      </c>
      <c r="P2295" s="622" t="s">
        <v>524</v>
      </c>
      <c r="Q2295" s="622" t="s">
        <v>670</v>
      </c>
      <c r="R2295" s="623">
        <v>46027</v>
      </c>
      <c r="S2295" s="622" t="s">
        <v>670</v>
      </c>
      <c r="T2295" s="623">
        <v>46022</v>
      </c>
      <c r="U2295" s="624">
        <v>0</v>
      </c>
      <c r="V2295" s="625">
        <v>0.18</v>
      </c>
      <c r="W2295" s="260">
        <v>45992</v>
      </c>
    </row>
    <row r="2296" spans="1:23" hidden="1" x14ac:dyDescent="0.35">
      <c r="A2296" s="618" t="s">
        <v>748</v>
      </c>
      <c r="B2296" s="618" t="s">
        <v>53</v>
      </c>
      <c r="C2296" s="618"/>
      <c r="D2296" s="618" t="s">
        <v>385</v>
      </c>
      <c r="E2296" s="618" t="s">
        <v>386</v>
      </c>
      <c r="F2296" s="618" t="s">
        <v>276</v>
      </c>
      <c r="G2296" s="618" t="s">
        <v>356</v>
      </c>
      <c r="H2296" s="618"/>
      <c r="I2296" s="618" t="s">
        <v>277</v>
      </c>
      <c r="J2296" s="618" t="s">
        <v>654</v>
      </c>
      <c r="K2296" s="618"/>
      <c r="L2296" s="618" t="s">
        <v>602</v>
      </c>
      <c r="M2296" s="618" t="s">
        <v>285</v>
      </c>
      <c r="N2296" s="618" t="s">
        <v>868</v>
      </c>
      <c r="O2296" s="618" t="s">
        <v>675</v>
      </c>
      <c r="P2296" s="618" t="s">
        <v>654</v>
      </c>
      <c r="Q2296" s="618" t="s">
        <v>387</v>
      </c>
      <c r="R2296" s="619">
        <v>45994</v>
      </c>
      <c r="S2296" s="618" t="s">
        <v>388</v>
      </c>
      <c r="T2296" s="619">
        <v>45999</v>
      </c>
      <c r="U2296" s="620">
        <v>1</v>
      </c>
      <c r="V2296" s="621">
        <v>7560</v>
      </c>
      <c r="W2296" s="260">
        <v>45992</v>
      </c>
    </row>
    <row r="2297" spans="1:23" hidden="1" x14ac:dyDescent="0.35">
      <c r="V2297" s="849">
        <v>5040</v>
      </c>
    </row>
    <row r="2298" spans="1:23" hidden="1" x14ac:dyDescent="0.35">
      <c r="A2298" s="622" t="s">
        <v>526</v>
      </c>
      <c r="B2298" s="622" t="s">
        <v>159</v>
      </c>
      <c r="C2298" s="622" t="s">
        <v>973</v>
      </c>
      <c r="D2298" s="622" t="s">
        <v>974</v>
      </c>
      <c r="E2298" s="622" t="s">
        <v>975</v>
      </c>
      <c r="F2298" s="622" t="s">
        <v>276</v>
      </c>
      <c r="G2298" s="622" t="s">
        <v>472</v>
      </c>
      <c r="H2298" s="622" t="s">
        <v>670</v>
      </c>
      <c r="I2298" s="622" t="s">
        <v>277</v>
      </c>
      <c r="J2298" s="622" t="s">
        <v>522</v>
      </c>
      <c r="K2298" s="622" t="s">
        <v>976</v>
      </c>
      <c r="L2298" s="622" t="s">
        <v>357</v>
      </c>
      <c r="M2298" s="622" t="s">
        <v>285</v>
      </c>
      <c r="N2298" s="622" t="s">
        <v>670</v>
      </c>
      <c r="O2298" s="622" t="s">
        <v>670</v>
      </c>
      <c r="P2298" s="622" t="s">
        <v>522</v>
      </c>
      <c r="Q2298" s="622" t="s">
        <v>670</v>
      </c>
      <c r="R2298" s="623">
        <v>46055</v>
      </c>
      <c r="S2298" s="622" t="s">
        <v>670</v>
      </c>
      <c r="T2298" s="623">
        <v>46053</v>
      </c>
      <c r="U2298" s="624">
        <v>0</v>
      </c>
      <c r="V2298" s="625">
        <v>18.43</v>
      </c>
      <c r="W2298" s="260">
        <v>46023</v>
      </c>
    </row>
    <row r="2299" spans="1:23" hidden="1" x14ac:dyDescent="0.35">
      <c r="A2299" s="622" t="s">
        <v>526</v>
      </c>
      <c r="B2299" s="622" t="s">
        <v>159</v>
      </c>
      <c r="C2299" s="622" t="s">
        <v>977</v>
      </c>
      <c r="D2299" s="622" t="s">
        <v>978</v>
      </c>
      <c r="E2299" s="622" t="s">
        <v>979</v>
      </c>
      <c r="F2299" s="622" t="s">
        <v>276</v>
      </c>
      <c r="G2299" s="622" t="s">
        <v>472</v>
      </c>
      <c r="H2299" s="622" t="s">
        <v>670</v>
      </c>
      <c r="I2299" s="622" t="s">
        <v>277</v>
      </c>
      <c r="J2299" s="622" t="s">
        <v>522</v>
      </c>
      <c r="K2299" s="622" t="s">
        <v>980</v>
      </c>
      <c r="L2299" s="622" t="s">
        <v>357</v>
      </c>
      <c r="M2299" s="622" t="s">
        <v>285</v>
      </c>
      <c r="N2299" s="622" t="s">
        <v>670</v>
      </c>
      <c r="O2299" s="622" t="s">
        <v>670</v>
      </c>
      <c r="P2299" s="622" t="s">
        <v>522</v>
      </c>
      <c r="Q2299" s="622" t="s">
        <v>670</v>
      </c>
      <c r="R2299" s="623">
        <v>46055</v>
      </c>
      <c r="S2299" s="622" t="s">
        <v>670</v>
      </c>
      <c r="T2299" s="623">
        <v>46053</v>
      </c>
      <c r="U2299" s="624">
        <v>0</v>
      </c>
      <c r="V2299" s="625">
        <v>51.55</v>
      </c>
      <c r="W2299" s="260">
        <v>46023</v>
      </c>
    </row>
    <row r="2300" spans="1:23" hidden="1" x14ac:dyDescent="0.35">
      <c r="A2300" s="622" t="s">
        <v>526</v>
      </c>
      <c r="B2300" s="622" t="s">
        <v>159</v>
      </c>
      <c r="C2300" s="622" t="s">
        <v>973</v>
      </c>
      <c r="D2300" s="622" t="s">
        <v>981</v>
      </c>
      <c r="E2300" s="622" t="s">
        <v>982</v>
      </c>
      <c r="F2300" s="622" t="s">
        <v>276</v>
      </c>
      <c r="G2300" s="622" t="s">
        <v>472</v>
      </c>
      <c r="H2300" s="622" t="s">
        <v>670</v>
      </c>
      <c r="I2300" s="622" t="s">
        <v>277</v>
      </c>
      <c r="J2300" s="622" t="s">
        <v>522</v>
      </c>
      <c r="K2300" s="622" t="s">
        <v>976</v>
      </c>
      <c r="L2300" s="622" t="s">
        <v>357</v>
      </c>
      <c r="M2300" s="622" t="s">
        <v>285</v>
      </c>
      <c r="N2300" s="622" t="s">
        <v>670</v>
      </c>
      <c r="O2300" s="622" t="s">
        <v>670</v>
      </c>
      <c r="P2300" s="622" t="s">
        <v>522</v>
      </c>
      <c r="Q2300" s="622" t="s">
        <v>670</v>
      </c>
      <c r="R2300" s="623">
        <v>46055</v>
      </c>
      <c r="S2300" s="622" t="s">
        <v>670</v>
      </c>
      <c r="T2300" s="623">
        <v>46053</v>
      </c>
      <c r="U2300" s="624">
        <v>0</v>
      </c>
      <c r="V2300" s="625">
        <v>11.44</v>
      </c>
      <c r="W2300" s="260">
        <v>46023</v>
      </c>
    </row>
    <row r="2301" spans="1:23" hidden="1" x14ac:dyDescent="0.35">
      <c r="A2301" s="622" t="s">
        <v>526</v>
      </c>
      <c r="B2301" s="622" t="s">
        <v>159</v>
      </c>
      <c r="C2301" s="622" t="s">
        <v>973</v>
      </c>
      <c r="D2301" s="622" t="s">
        <v>983</v>
      </c>
      <c r="E2301" s="622" t="s">
        <v>984</v>
      </c>
      <c r="F2301" s="622" t="s">
        <v>276</v>
      </c>
      <c r="G2301" s="622" t="s">
        <v>472</v>
      </c>
      <c r="H2301" s="622" t="s">
        <v>670</v>
      </c>
      <c r="I2301" s="622" t="s">
        <v>277</v>
      </c>
      <c r="J2301" s="622" t="s">
        <v>522</v>
      </c>
      <c r="K2301" s="622" t="s">
        <v>985</v>
      </c>
      <c r="L2301" s="622" t="s">
        <v>357</v>
      </c>
      <c r="M2301" s="622" t="s">
        <v>285</v>
      </c>
      <c r="N2301" s="622" t="s">
        <v>670</v>
      </c>
      <c r="O2301" s="622" t="s">
        <v>670</v>
      </c>
      <c r="P2301" s="622" t="s">
        <v>522</v>
      </c>
      <c r="Q2301" s="622" t="s">
        <v>670</v>
      </c>
      <c r="R2301" s="623">
        <v>46055</v>
      </c>
      <c r="S2301" s="622" t="s">
        <v>670</v>
      </c>
      <c r="T2301" s="623">
        <v>46053</v>
      </c>
      <c r="U2301" s="624">
        <v>0</v>
      </c>
      <c r="V2301" s="625">
        <v>5.83</v>
      </c>
      <c r="W2301" s="260">
        <v>46023</v>
      </c>
    </row>
    <row r="2302" spans="1:23" hidden="1" x14ac:dyDescent="0.35">
      <c r="A2302" s="622" t="s">
        <v>526</v>
      </c>
      <c r="B2302" s="622" t="s">
        <v>159</v>
      </c>
      <c r="C2302" s="622" t="s">
        <v>977</v>
      </c>
      <c r="D2302" s="622" t="s">
        <v>986</v>
      </c>
      <c r="E2302" s="622" t="s">
        <v>987</v>
      </c>
      <c r="F2302" s="622" t="s">
        <v>276</v>
      </c>
      <c r="G2302" s="622" t="s">
        <v>472</v>
      </c>
      <c r="H2302" s="622" t="s">
        <v>670</v>
      </c>
      <c r="I2302" s="622" t="s">
        <v>277</v>
      </c>
      <c r="J2302" s="622" t="s">
        <v>522</v>
      </c>
      <c r="K2302" s="622" t="s">
        <v>988</v>
      </c>
      <c r="L2302" s="622" t="s">
        <v>357</v>
      </c>
      <c r="M2302" s="622" t="s">
        <v>285</v>
      </c>
      <c r="N2302" s="622" t="s">
        <v>670</v>
      </c>
      <c r="O2302" s="622" t="s">
        <v>670</v>
      </c>
      <c r="P2302" s="622" t="s">
        <v>522</v>
      </c>
      <c r="Q2302" s="622" t="s">
        <v>670</v>
      </c>
      <c r="R2302" s="623">
        <v>46055</v>
      </c>
      <c r="S2302" s="622" t="s">
        <v>670</v>
      </c>
      <c r="T2302" s="623">
        <v>46053</v>
      </c>
      <c r="U2302" s="624">
        <v>0</v>
      </c>
      <c r="V2302" s="625">
        <v>23.47</v>
      </c>
      <c r="W2302" s="260">
        <v>46023</v>
      </c>
    </row>
    <row r="2303" spans="1:23" hidden="1" x14ac:dyDescent="0.35">
      <c r="A2303" s="622" t="s">
        <v>526</v>
      </c>
      <c r="B2303" s="622" t="s">
        <v>159</v>
      </c>
      <c r="C2303" s="622" t="s">
        <v>281</v>
      </c>
      <c r="D2303" s="622" t="s">
        <v>282</v>
      </c>
      <c r="E2303" s="622" t="s">
        <v>283</v>
      </c>
      <c r="F2303" s="622" t="s">
        <v>276</v>
      </c>
      <c r="G2303" s="622" t="s">
        <v>472</v>
      </c>
      <c r="H2303" s="622" t="s">
        <v>670</v>
      </c>
      <c r="I2303" s="622" t="s">
        <v>277</v>
      </c>
      <c r="J2303" s="622" t="s">
        <v>522</v>
      </c>
      <c r="K2303" s="622" t="s">
        <v>284</v>
      </c>
      <c r="L2303" s="622" t="s">
        <v>357</v>
      </c>
      <c r="M2303" s="622" t="s">
        <v>285</v>
      </c>
      <c r="N2303" s="622" t="s">
        <v>670</v>
      </c>
      <c r="O2303" s="622" t="s">
        <v>670</v>
      </c>
      <c r="P2303" s="622" t="s">
        <v>522</v>
      </c>
      <c r="Q2303" s="622" t="s">
        <v>670</v>
      </c>
      <c r="R2303" s="623">
        <v>46055</v>
      </c>
      <c r="S2303" s="622" t="s">
        <v>670</v>
      </c>
      <c r="T2303" s="623">
        <v>46053</v>
      </c>
      <c r="U2303" s="624">
        <v>0</v>
      </c>
      <c r="V2303" s="625">
        <v>680.81</v>
      </c>
      <c r="W2303" s="260">
        <v>46023</v>
      </c>
    </row>
    <row r="2304" spans="1:23" hidden="1" x14ac:dyDescent="0.35">
      <c r="A2304" s="622" t="s">
        <v>526</v>
      </c>
      <c r="B2304" s="622" t="s">
        <v>159</v>
      </c>
      <c r="C2304" s="622" t="s">
        <v>286</v>
      </c>
      <c r="D2304" s="622" t="s">
        <v>287</v>
      </c>
      <c r="E2304" s="622" t="s">
        <v>288</v>
      </c>
      <c r="F2304" s="622" t="s">
        <v>276</v>
      </c>
      <c r="G2304" s="622" t="s">
        <v>472</v>
      </c>
      <c r="H2304" s="622" t="s">
        <v>670</v>
      </c>
      <c r="I2304" s="622" t="s">
        <v>277</v>
      </c>
      <c r="J2304" s="622" t="s">
        <v>522</v>
      </c>
      <c r="K2304" s="622" t="s">
        <v>289</v>
      </c>
      <c r="L2304" s="622" t="s">
        <v>357</v>
      </c>
      <c r="M2304" s="622" t="s">
        <v>285</v>
      </c>
      <c r="N2304" s="622" t="s">
        <v>670</v>
      </c>
      <c r="O2304" s="622" t="s">
        <v>670</v>
      </c>
      <c r="P2304" s="622" t="s">
        <v>522</v>
      </c>
      <c r="Q2304" s="622" t="s">
        <v>670</v>
      </c>
      <c r="R2304" s="623">
        <v>46055</v>
      </c>
      <c r="S2304" s="622" t="s">
        <v>670</v>
      </c>
      <c r="T2304" s="623">
        <v>46053</v>
      </c>
      <c r="U2304" s="624">
        <v>0</v>
      </c>
      <c r="V2304" s="625">
        <v>1904.27</v>
      </c>
      <c r="W2304" s="260">
        <v>46023</v>
      </c>
    </row>
    <row r="2305" spans="1:23" hidden="1" x14ac:dyDescent="0.35">
      <c r="A2305" s="622" t="s">
        <v>526</v>
      </c>
      <c r="B2305" s="622" t="s">
        <v>159</v>
      </c>
      <c r="C2305" s="622" t="s">
        <v>281</v>
      </c>
      <c r="D2305" s="622" t="s">
        <v>290</v>
      </c>
      <c r="E2305" s="622" t="s">
        <v>291</v>
      </c>
      <c r="F2305" s="622" t="s">
        <v>276</v>
      </c>
      <c r="G2305" s="622" t="s">
        <v>472</v>
      </c>
      <c r="H2305" s="622" t="s">
        <v>670</v>
      </c>
      <c r="I2305" s="622" t="s">
        <v>277</v>
      </c>
      <c r="J2305" s="622" t="s">
        <v>522</v>
      </c>
      <c r="K2305" s="622" t="s">
        <v>284</v>
      </c>
      <c r="L2305" s="622" t="s">
        <v>357</v>
      </c>
      <c r="M2305" s="622" t="s">
        <v>285</v>
      </c>
      <c r="N2305" s="622" t="s">
        <v>670</v>
      </c>
      <c r="O2305" s="622" t="s">
        <v>670</v>
      </c>
      <c r="P2305" s="622" t="s">
        <v>522</v>
      </c>
      <c r="Q2305" s="622" t="s">
        <v>670</v>
      </c>
      <c r="R2305" s="623">
        <v>46055</v>
      </c>
      <c r="S2305" s="622" t="s">
        <v>670</v>
      </c>
      <c r="T2305" s="623">
        <v>46053</v>
      </c>
      <c r="U2305" s="624">
        <v>0</v>
      </c>
      <c r="V2305" s="625">
        <v>422.67</v>
      </c>
      <c r="W2305" s="260">
        <v>46023</v>
      </c>
    </row>
    <row r="2306" spans="1:23" hidden="1" x14ac:dyDescent="0.35">
      <c r="A2306" s="622" t="s">
        <v>526</v>
      </c>
      <c r="B2306" s="622" t="s">
        <v>159</v>
      </c>
      <c r="C2306" s="622" t="s">
        <v>281</v>
      </c>
      <c r="D2306" s="622" t="s">
        <v>292</v>
      </c>
      <c r="E2306" s="622" t="s">
        <v>293</v>
      </c>
      <c r="F2306" s="622" t="s">
        <v>276</v>
      </c>
      <c r="G2306" s="622" t="s">
        <v>472</v>
      </c>
      <c r="H2306" s="622" t="s">
        <v>670</v>
      </c>
      <c r="I2306" s="622" t="s">
        <v>277</v>
      </c>
      <c r="J2306" s="622" t="s">
        <v>522</v>
      </c>
      <c r="K2306" s="622" t="s">
        <v>294</v>
      </c>
      <c r="L2306" s="622" t="s">
        <v>357</v>
      </c>
      <c r="M2306" s="622" t="s">
        <v>285</v>
      </c>
      <c r="N2306" s="622" t="s">
        <v>670</v>
      </c>
      <c r="O2306" s="622" t="s">
        <v>670</v>
      </c>
      <c r="P2306" s="622" t="s">
        <v>522</v>
      </c>
      <c r="Q2306" s="622" t="s">
        <v>670</v>
      </c>
      <c r="R2306" s="623">
        <v>46055</v>
      </c>
      <c r="S2306" s="622" t="s">
        <v>670</v>
      </c>
      <c r="T2306" s="623">
        <v>46053</v>
      </c>
      <c r="U2306" s="624">
        <v>0</v>
      </c>
      <c r="V2306" s="625">
        <v>215.42</v>
      </c>
      <c r="W2306" s="260">
        <v>46023</v>
      </c>
    </row>
    <row r="2307" spans="1:23" hidden="1" x14ac:dyDescent="0.35">
      <c r="A2307" s="622" t="s">
        <v>526</v>
      </c>
      <c r="B2307" s="622" t="s">
        <v>159</v>
      </c>
      <c r="C2307" s="622" t="s">
        <v>286</v>
      </c>
      <c r="D2307" s="622" t="s">
        <v>295</v>
      </c>
      <c r="E2307" s="622" t="s">
        <v>296</v>
      </c>
      <c r="F2307" s="622" t="s">
        <v>276</v>
      </c>
      <c r="G2307" s="622" t="s">
        <v>472</v>
      </c>
      <c r="H2307" s="622" t="s">
        <v>670</v>
      </c>
      <c r="I2307" s="622" t="s">
        <v>277</v>
      </c>
      <c r="J2307" s="622" t="s">
        <v>522</v>
      </c>
      <c r="K2307" s="622" t="s">
        <v>297</v>
      </c>
      <c r="L2307" s="622" t="s">
        <v>357</v>
      </c>
      <c r="M2307" s="622" t="s">
        <v>285</v>
      </c>
      <c r="N2307" s="622" t="s">
        <v>670</v>
      </c>
      <c r="O2307" s="622" t="s">
        <v>670</v>
      </c>
      <c r="P2307" s="622" t="s">
        <v>522</v>
      </c>
      <c r="Q2307" s="622" t="s">
        <v>670</v>
      </c>
      <c r="R2307" s="623">
        <v>46055</v>
      </c>
      <c r="S2307" s="622" t="s">
        <v>670</v>
      </c>
      <c r="T2307" s="623">
        <v>46053</v>
      </c>
      <c r="U2307" s="624">
        <v>0</v>
      </c>
      <c r="V2307" s="625">
        <v>867.15</v>
      </c>
      <c r="W2307" s="260">
        <v>46023</v>
      </c>
    </row>
    <row r="2308" spans="1:23" hidden="1" x14ac:dyDescent="0.35">
      <c r="A2308" s="622" t="s">
        <v>526</v>
      </c>
      <c r="B2308" s="622" t="s">
        <v>159</v>
      </c>
      <c r="C2308" s="622" t="s">
        <v>298</v>
      </c>
      <c r="D2308" s="622" t="s">
        <v>299</v>
      </c>
      <c r="E2308" s="622" t="s">
        <v>300</v>
      </c>
      <c r="F2308" s="622" t="s">
        <v>276</v>
      </c>
      <c r="G2308" s="622" t="s">
        <v>472</v>
      </c>
      <c r="H2308" s="622" t="s">
        <v>670</v>
      </c>
      <c r="I2308" s="622" t="s">
        <v>277</v>
      </c>
      <c r="J2308" s="622" t="s">
        <v>522</v>
      </c>
      <c r="K2308" s="622" t="s">
        <v>301</v>
      </c>
      <c r="L2308" s="622" t="s">
        <v>357</v>
      </c>
      <c r="M2308" s="622" t="s">
        <v>285</v>
      </c>
      <c r="N2308" s="622" t="s">
        <v>670</v>
      </c>
      <c r="O2308" s="622" t="s">
        <v>670</v>
      </c>
      <c r="P2308" s="622" t="s">
        <v>522</v>
      </c>
      <c r="Q2308" s="622" t="s">
        <v>670</v>
      </c>
      <c r="R2308" s="623">
        <v>46056</v>
      </c>
      <c r="S2308" s="622" t="s">
        <v>670</v>
      </c>
      <c r="T2308" s="623">
        <v>46053</v>
      </c>
      <c r="U2308" s="624">
        <v>0</v>
      </c>
      <c r="V2308" s="625">
        <v>0.03</v>
      </c>
      <c r="W2308" s="260">
        <v>46023</v>
      </c>
    </row>
    <row r="2309" spans="1:23" hidden="1" x14ac:dyDescent="0.35">
      <c r="A2309" s="622" t="s">
        <v>526</v>
      </c>
      <c r="B2309" s="622" t="s">
        <v>159</v>
      </c>
      <c r="C2309" s="622" t="s">
        <v>298</v>
      </c>
      <c r="D2309" s="622" t="s">
        <v>299</v>
      </c>
      <c r="E2309" s="622" t="s">
        <v>300</v>
      </c>
      <c r="F2309" s="622" t="s">
        <v>276</v>
      </c>
      <c r="G2309" s="622" t="s">
        <v>472</v>
      </c>
      <c r="H2309" s="622" t="s">
        <v>670</v>
      </c>
      <c r="I2309" s="622" t="s">
        <v>277</v>
      </c>
      <c r="J2309" s="622" t="s">
        <v>522</v>
      </c>
      <c r="K2309" s="622" t="s">
        <v>301</v>
      </c>
      <c r="L2309" s="622" t="s">
        <v>357</v>
      </c>
      <c r="M2309" s="622" t="s">
        <v>285</v>
      </c>
      <c r="N2309" s="622" t="s">
        <v>670</v>
      </c>
      <c r="O2309" s="622" t="s">
        <v>670</v>
      </c>
      <c r="P2309" s="622" t="s">
        <v>522</v>
      </c>
      <c r="Q2309" s="622" t="s">
        <v>670</v>
      </c>
      <c r="R2309" s="623">
        <v>46056</v>
      </c>
      <c r="S2309" s="622" t="s">
        <v>670</v>
      </c>
      <c r="T2309" s="623">
        <v>46053</v>
      </c>
      <c r="U2309" s="624">
        <v>0</v>
      </c>
      <c r="V2309" s="625">
        <v>0.38</v>
      </c>
      <c r="W2309" s="260">
        <v>46023</v>
      </c>
    </row>
    <row r="2310" spans="1:23" hidden="1" x14ac:dyDescent="0.35">
      <c r="A2310" s="622" t="s">
        <v>526</v>
      </c>
      <c r="B2310" s="622" t="s">
        <v>159</v>
      </c>
      <c r="C2310" s="622" t="s">
        <v>298</v>
      </c>
      <c r="D2310" s="622" t="s">
        <v>304</v>
      </c>
      <c r="E2310" s="622" t="s">
        <v>305</v>
      </c>
      <c r="F2310" s="622" t="s">
        <v>276</v>
      </c>
      <c r="G2310" s="622" t="s">
        <v>472</v>
      </c>
      <c r="H2310" s="622" t="s">
        <v>670</v>
      </c>
      <c r="I2310" s="622" t="s">
        <v>277</v>
      </c>
      <c r="J2310" s="622" t="s">
        <v>522</v>
      </c>
      <c r="K2310" s="622" t="s">
        <v>301</v>
      </c>
      <c r="L2310" s="622" t="s">
        <v>357</v>
      </c>
      <c r="M2310" s="622" t="s">
        <v>285</v>
      </c>
      <c r="N2310" s="622" t="s">
        <v>670</v>
      </c>
      <c r="O2310" s="622" t="s">
        <v>670</v>
      </c>
      <c r="P2310" s="622" t="s">
        <v>522</v>
      </c>
      <c r="Q2310" s="622" t="s">
        <v>670</v>
      </c>
      <c r="R2310" s="623">
        <v>46056</v>
      </c>
      <c r="S2310" s="622" t="s">
        <v>670</v>
      </c>
      <c r="T2310" s="623">
        <v>46053</v>
      </c>
      <c r="U2310" s="624">
        <v>0</v>
      </c>
      <c r="V2310" s="625">
        <v>0.19</v>
      </c>
      <c r="W2310" s="260">
        <v>46023</v>
      </c>
    </row>
    <row r="2311" spans="1:23" hidden="1" x14ac:dyDescent="0.35">
      <c r="A2311" s="622" t="s">
        <v>526</v>
      </c>
      <c r="B2311" s="622" t="s">
        <v>159</v>
      </c>
      <c r="C2311" s="622" t="s">
        <v>298</v>
      </c>
      <c r="D2311" s="622" t="s">
        <v>306</v>
      </c>
      <c r="E2311" s="622" t="s">
        <v>307</v>
      </c>
      <c r="F2311" s="622" t="s">
        <v>276</v>
      </c>
      <c r="G2311" s="622" t="s">
        <v>472</v>
      </c>
      <c r="H2311" s="622" t="s">
        <v>670</v>
      </c>
      <c r="I2311" s="622" t="s">
        <v>277</v>
      </c>
      <c r="J2311" s="622" t="s">
        <v>522</v>
      </c>
      <c r="K2311" s="622" t="s">
        <v>301</v>
      </c>
      <c r="L2311" s="622" t="s">
        <v>357</v>
      </c>
      <c r="M2311" s="622" t="s">
        <v>285</v>
      </c>
      <c r="N2311" s="622" t="s">
        <v>670</v>
      </c>
      <c r="O2311" s="622" t="s">
        <v>670</v>
      </c>
      <c r="P2311" s="622" t="s">
        <v>522</v>
      </c>
      <c r="Q2311" s="622" t="s">
        <v>670</v>
      </c>
      <c r="R2311" s="623">
        <v>46056</v>
      </c>
      <c r="S2311" s="622" t="s">
        <v>670</v>
      </c>
      <c r="T2311" s="623">
        <v>46053</v>
      </c>
      <c r="U2311" s="624">
        <v>0</v>
      </c>
      <c r="V2311" s="625">
        <v>0.05</v>
      </c>
      <c r="W2311" s="260">
        <v>46023</v>
      </c>
    </row>
    <row r="2312" spans="1:23" hidden="1" x14ac:dyDescent="0.35">
      <c r="A2312" s="622" t="s">
        <v>526</v>
      </c>
      <c r="B2312" s="622" t="s">
        <v>159</v>
      </c>
      <c r="C2312" s="622" t="s">
        <v>298</v>
      </c>
      <c r="D2312" s="622" t="s">
        <v>306</v>
      </c>
      <c r="E2312" s="622" t="s">
        <v>307</v>
      </c>
      <c r="F2312" s="622" t="s">
        <v>276</v>
      </c>
      <c r="G2312" s="622" t="s">
        <v>472</v>
      </c>
      <c r="H2312" s="622" t="s">
        <v>670</v>
      </c>
      <c r="I2312" s="622" t="s">
        <v>277</v>
      </c>
      <c r="J2312" s="622" t="s">
        <v>522</v>
      </c>
      <c r="K2312" s="622" t="s">
        <v>301</v>
      </c>
      <c r="L2312" s="622" t="s">
        <v>357</v>
      </c>
      <c r="M2312" s="622" t="s">
        <v>285</v>
      </c>
      <c r="N2312" s="622" t="s">
        <v>670</v>
      </c>
      <c r="O2312" s="622" t="s">
        <v>670</v>
      </c>
      <c r="P2312" s="622" t="s">
        <v>522</v>
      </c>
      <c r="Q2312" s="622" t="s">
        <v>670</v>
      </c>
      <c r="R2312" s="623">
        <v>46056</v>
      </c>
      <c r="S2312" s="622" t="s">
        <v>670</v>
      </c>
      <c r="T2312" s="623">
        <v>46053</v>
      </c>
      <c r="U2312" s="624">
        <v>0</v>
      </c>
      <c r="V2312" s="625">
        <v>0.61</v>
      </c>
      <c r="W2312" s="260">
        <v>46023</v>
      </c>
    </row>
    <row r="2313" spans="1:23" hidden="1" x14ac:dyDescent="0.35">
      <c r="A2313" s="622" t="s">
        <v>526</v>
      </c>
      <c r="B2313" s="622" t="s">
        <v>159</v>
      </c>
      <c r="C2313" s="622" t="s">
        <v>298</v>
      </c>
      <c r="D2313" s="622" t="s">
        <v>308</v>
      </c>
      <c r="E2313" s="622" t="s">
        <v>309</v>
      </c>
      <c r="F2313" s="622" t="s">
        <v>276</v>
      </c>
      <c r="G2313" s="622" t="s">
        <v>472</v>
      </c>
      <c r="H2313" s="622" t="s">
        <v>670</v>
      </c>
      <c r="I2313" s="622" t="s">
        <v>277</v>
      </c>
      <c r="J2313" s="622" t="s">
        <v>522</v>
      </c>
      <c r="K2313" s="622" t="s">
        <v>301</v>
      </c>
      <c r="L2313" s="622" t="s">
        <v>357</v>
      </c>
      <c r="M2313" s="622" t="s">
        <v>285</v>
      </c>
      <c r="N2313" s="622" t="s">
        <v>670</v>
      </c>
      <c r="O2313" s="622" t="s">
        <v>670</v>
      </c>
      <c r="P2313" s="622" t="s">
        <v>522</v>
      </c>
      <c r="Q2313" s="622" t="s">
        <v>670</v>
      </c>
      <c r="R2313" s="623">
        <v>46056</v>
      </c>
      <c r="S2313" s="622" t="s">
        <v>670</v>
      </c>
      <c r="T2313" s="623">
        <v>46053</v>
      </c>
      <c r="U2313" s="624">
        <v>0</v>
      </c>
      <c r="V2313" s="625">
        <v>125.46</v>
      </c>
      <c r="W2313" s="260">
        <v>46023</v>
      </c>
    </row>
    <row r="2314" spans="1:23" hidden="1" x14ac:dyDescent="0.35">
      <c r="A2314" s="622" t="s">
        <v>526</v>
      </c>
      <c r="B2314" s="622" t="s">
        <v>159</v>
      </c>
      <c r="C2314" s="622" t="s">
        <v>302</v>
      </c>
      <c r="D2314" s="622" t="s">
        <v>308</v>
      </c>
      <c r="E2314" s="622" t="s">
        <v>309</v>
      </c>
      <c r="F2314" s="622" t="s">
        <v>276</v>
      </c>
      <c r="G2314" s="622" t="s">
        <v>472</v>
      </c>
      <c r="H2314" s="622" t="s">
        <v>670</v>
      </c>
      <c r="I2314" s="622" t="s">
        <v>277</v>
      </c>
      <c r="J2314" s="622" t="s">
        <v>522</v>
      </c>
      <c r="K2314" s="622" t="s">
        <v>303</v>
      </c>
      <c r="L2314" s="622" t="s">
        <v>357</v>
      </c>
      <c r="M2314" s="622" t="s">
        <v>285</v>
      </c>
      <c r="N2314" s="622" t="s">
        <v>670</v>
      </c>
      <c r="O2314" s="622" t="s">
        <v>670</v>
      </c>
      <c r="P2314" s="622" t="s">
        <v>522</v>
      </c>
      <c r="Q2314" s="622" t="s">
        <v>670</v>
      </c>
      <c r="R2314" s="623">
        <v>46056</v>
      </c>
      <c r="S2314" s="622" t="s">
        <v>670</v>
      </c>
      <c r="T2314" s="623">
        <v>46053</v>
      </c>
      <c r="U2314" s="624">
        <v>0</v>
      </c>
      <c r="V2314" s="625">
        <v>1005.94</v>
      </c>
      <c r="W2314" s="260">
        <v>46023</v>
      </c>
    </row>
    <row r="2315" spans="1:23" hidden="1" x14ac:dyDescent="0.35">
      <c r="A2315" s="622" t="s">
        <v>526</v>
      </c>
      <c r="B2315" s="622" t="s">
        <v>159</v>
      </c>
      <c r="C2315" s="622" t="s">
        <v>302</v>
      </c>
      <c r="D2315" s="622" t="s">
        <v>310</v>
      </c>
      <c r="E2315" s="622" t="s">
        <v>311</v>
      </c>
      <c r="F2315" s="622" t="s">
        <v>276</v>
      </c>
      <c r="G2315" s="622" t="s">
        <v>472</v>
      </c>
      <c r="H2315" s="622" t="s">
        <v>670</v>
      </c>
      <c r="I2315" s="622" t="s">
        <v>277</v>
      </c>
      <c r="J2315" s="622" t="s">
        <v>522</v>
      </c>
      <c r="K2315" s="622" t="s">
        <v>303</v>
      </c>
      <c r="L2315" s="622" t="s">
        <v>357</v>
      </c>
      <c r="M2315" s="622" t="s">
        <v>285</v>
      </c>
      <c r="N2315" s="622" t="s">
        <v>670</v>
      </c>
      <c r="O2315" s="622" t="s">
        <v>670</v>
      </c>
      <c r="P2315" s="622" t="s">
        <v>522</v>
      </c>
      <c r="Q2315" s="622" t="s">
        <v>670</v>
      </c>
      <c r="R2315" s="623">
        <v>46056</v>
      </c>
      <c r="S2315" s="622" t="s">
        <v>670</v>
      </c>
      <c r="T2315" s="623">
        <v>46053</v>
      </c>
      <c r="U2315" s="624">
        <v>0</v>
      </c>
      <c r="V2315" s="625">
        <v>2467.56</v>
      </c>
      <c r="W2315" s="260">
        <v>46023</v>
      </c>
    </row>
    <row r="2316" spans="1:23" hidden="1" x14ac:dyDescent="0.35">
      <c r="A2316" s="622" t="s">
        <v>526</v>
      </c>
      <c r="B2316" s="622" t="s">
        <v>159</v>
      </c>
      <c r="C2316" s="622" t="s">
        <v>298</v>
      </c>
      <c r="D2316" s="622" t="s">
        <v>312</v>
      </c>
      <c r="E2316" s="622" t="s">
        <v>313</v>
      </c>
      <c r="F2316" s="622" t="s">
        <v>276</v>
      </c>
      <c r="G2316" s="622" t="s">
        <v>472</v>
      </c>
      <c r="H2316" s="622" t="s">
        <v>670</v>
      </c>
      <c r="I2316" s="622" t="s">
        <v>277</v>
      </c>
      <c r="J2316" s="622" t="s">
        <v>522</v>
      </c>
      <c r="K2316" s="622" t="s">
        <v>301</v>
      </c>
      <c r="L2316" s="622" t="s">
        <v>357</v>
      </c>
      <c r="M2316" s="622" t="s">
        <v>285</v>
      </c>
      <c r="N2316" s="622" t="s">
        <v>670</v>
      </c>
      <c r="O2316" s="622" t="s">
        <v>670</v>
      </c>
      <c r="P2316" s="622" t="s">
        <v>522</v>
      </c>
      <c r="Q2316" s="622" t="s">
        <v>670</v>
      </c>
      <c r="R2316" s="623">
        <v>46056</v>
      </c>
      <c r="S2316" s="622" t="s">
        <v>670</v>
      </c>
      <c r="T2316" s="623">
        <v>46053</v>
      </c>
      <c r="U2316" s="624">
        <v>0</v>
      </c>
      <c r="V2316" s="625">
        <v>122.38</v>
      </c>
      <c r="W2316" s="260">
        <v>46023</v>
      </c>
    </row>
    <row r="2317" spans="1:23" hidden="1" x14ac:dyDescent="0.35">
      <c r="A2317" s="622" t="s">
        <v>526</v>
      </c>
      <c r="B2317" s="622" t="s">
        <v>159</v>
      </c>
      <c r="C2317" s="622" t="s">
        <v>298</v>
      </c>
      <c r="D2317" s="622" t="s">
        <v>312</v>
      </c>
      <c r="E2317" s="622" t="s">
        <v>313</v>
      </c>
      <c r="F2317" s="622" t="s">
        <v>276</v>
      </c>
      <c r="G2317" s="622" t="s">
        <v>472</v>
      </c>
      <c r="H2317" s="622" t="s">
        <v>670</v>
      </c>
      <c r="I2317" s="622" t="s">
        <v>277</v>
      </c>
      <c r="J2317" s="622" t="s">
        <v>522</v>
      </c>
      <c r="K2317" s="622" t="s">
        <v>301</v>
      </c>
      <c r="L2317" s="622" t="s">
        <v>357</v>
      </c>
      <c r="M2317" s="622" t="s">
        <v>285</v>
      </c>
      <c r="N2317" s="622" t="s">
        <v>670</v>
      </c>
      <c r="O2317" s="622" t="s">
        <v>670</v>
      </c>
      <c r="P2317" s="622" t="s">
        <v>522</v>
      </c>
      <c r="Q2317" s="622" t="s">
        <v>670</v>
      </c>
      <c r="R2317" s="623">
        <v>46056</v>
      </c>
      <c r="S2317" s="622" t="s">
        <v>670</v>
      </c>
      <c r="T2317" s="623">
        <v>46053</v>
      </c>
      <c r="U2317" s="624">
        <v>0</v>
      </c>
      <c r="V2317" s="625">
        <v>373.82</v>
      </c>
      <c r="W2317" s="260">
        <v>46023</v>
      </c>
    </row>
    <row r="2318" spans="1:23" hidden="1" x14ac:dyDescent="0.35">
      <c r="A2318" s="622" t="s">
        <v>526</v>
      </c>
      <c r="B2318" s="622" t="s">
        <v>159</v>
      </c>
      <c r="C2318" s="622" t="s">
        <v>298</v>
      </c>
      <c r="D2318" s="622" t="s">
        <v>318</v>
      </c>
      <c r="E2318" s="622" t="s">
        <v>319</v>
      </c>
      <c r="F2318" s="622" t="s">
        <v>276</v>
      </c>
      <c r="G2318" s="622" t="s">
        <v>472</v>
      </c>
      <c r="H2318" s="622" t="s">
        <v>670</v>
      </c>
      <c r="I2318" s="622" t="s">
        <v>277</v>
      </c>
      <c r="J2318" s="622" t="s">
        <v>522</v>
      </c>
      <c r="K2318" s="622" t="s">
        <v>301</v>
      </c>
      <c r="L2318" s="622" t="s">
        <v>357</v>
      </c>
      <c r="M2318" s="622" t="s">
        <v>285</v>
      </c>
      <c r="N2318" s="622" t="s">
        <v>670</v>
      </c>
      <c r="O2318" s="622" t="s">
        <v>670</v>
      </c>
      <c r="P2318" s="622" t="s">
        <v>522</v>
      </c>
      <c r="Q2318" s="622" t="s">
        <v>670</v>
      </c>
      <c r="R2318" s="623">
        <v>46056</v>
      </c>
      <c r="S2318" s="622" t="s">
        <v>670</v>
      </c>
      <c r="T2318" s="623">
        <v>46053</v>
      </c>
      <c r="U2318" s="624">
        <v>0</v>
      </c>
      <c r="V2318" s="625">
        <v>0.17</v>
      </c>
      <c r="W2318" s="260">
        <v>46023</v>
      </c>
    </row>
    <row r="2319" spans="1:23" hidden="1" x14ac:dyDescent="0.35">
      <c r="A2319" s="622" t="s">
        <v>526</v>
      </c>
      <c r="B2319" s="622" t="s">
        <v>159</v>
      </c>
      <c r="C2319" s="622" t="s">
        <v>298</v>
      </c>
      <c r="D2319" s="622" t="s">
        <v>318</v>
      </c>
      <c r="E2319" s="622" t="s">
        <v>319</v>
      </c>
      <c r="F2319" s="622" t="s">
        <v>276</v>
      </c>
      <c r="G2319" s="622" t="s">
        <v>472</v>
      </c>
      <c r="H2319" s="622" t="s">
        <v>670</v>
      </c>
      <c r="I2319" s="622" t="s">
        <v>277</v>
      </c>
      <c r="J2319" s="622" t="s">
        <v>522</v>
      </c>
      <c r="K2319" s="622" t="s">
        <v>301</v>
      </c>
      <c r="L2319" s="622" t="s">
        <v>357</v>
      </c>
      <c r="M2319" s="622" t="s">
        <v>285</v>
      </c>
      <c r="N2319" s="622" t="s">
        <v>670</v>
      </c>
      <c r="O2319" s="622" t="s">
        <v>670</v>
      </c>
      <c r="P2319" s="622" t="s">
        <v>522</v>
      </c>
      <c r="Q2319" s="622" t="s">
        <v>670</v>
      </c>
      <c r="R2319" s="623">
        <v>46056</v>
      </c>
      <c r="S2319" s="622" t="s">
        <v>670</v>
      </c>
      <c r="T2319" s="623">
        <v>46053</v>
      </c>
      <c r="U2319" s="624">
        <v>0</v>
      </c>
      <c r="V2319" s="625">
        <v>1.52</v>
      </c>
      <c r="W2319" s="260">
        <v>46023</v>
      </c>
    </row>
    <row r="2320" spans="1:23" hidden="1" x14ac:dyDescent="0.35">
      <c r="A2320" s="622" t="s">
        <v>526</v>
      </c>
      <c r="B2320" s="622" t="s">
        <v>159</v>
      </c>
      <c r="C2320" s="622" t="s">
        <v>298</v>
      </c>
      <c r="D2320" s="622" t="s">
        <v>391</v>
      </c>
      <c r="E2320" s="622" t="s">
        <v>392</v>
      </c>
      <c r="F2320" s="622" t="s">
        <v>276</v>
      </c>
      <c r="G2320" s="622" t="s">
        <v>472</v>
      </c>
      <c r="H2320" s="622" t="s">
        <v>670</v>
      </c>
      <c r="I2320" s="622" t="s">
        <v>277</v>
      </c>
      <c r="J2320" s="622" t="s">
        <v>522</v>
      </c>
      <c r="K2320" s="622" t="s">
        <v>301</v>
      </c>
      <c r="L2320" s="622" t="s">
        <v>357</v>
      </c>
      <c r="M2320" s="622" t="s">
        <v>285</v>
      </c>
      <c r="N2320" s="622" t="s">
        <v>670</v>
      </c>
      <c r="O2320" s="622" t="s">
        <v>670</v>
      </c>
      <c r="P2320" s="622" t="s">
        <v>522</v>
      </c>
      <c r="Q2320" s="622" t="s">
        <v>670</v>
      </c>
      <c r="R2320" s="623">
        <v>46056</v>
      </c>
      <c r="S2320" s="622" t="s">
        <v>670</v>
      </c>
      <c r="T2320" s="623">
        <v>46053</v>
      </c>
      <c r="U2320" s="624">
        <v>0</v>
      </c>
      <c r="V2320" s="625">
        <v>0.06</v>
      </c>
      <c r="W2320" s="260">
        <v>46023</v>
      </c>
    </row>
    <row r="2321" spans="1:23" hidden="1" x14ac:dyDescent="0.35">
      <c r="A2321" s="622" t="s">
        <v>526</v>
      </c>
      <c r="B2321" s="622" t="s">
        <v>159</v>
      </c>
      <c r="C2321" s="622" t="s">
        <v>298</v>
      </c>
      <c r="D2321" s="622" t="s">
        <v>320</v>
      </c>
      <c r="E2321" s="622" t="s">
        <v>321</v>
      </c>
      <c r="F2321" s="622" t="s">
        <v>276</v>
      </c>
      <c r="G2321" s="622" t="s">
        <v>472</v>
      </c>
      <c r="H2321" s="622" t="s">
        <v>670</v>
      </c>
      <c r="I2321" s="622" t="s">
        <v>277</v>
      </c>
      <c r="J2321" s="622" t="s">
        <v>522</v>
      </c>
      <c r="K2321" s="622" t="s">
        <v>301</v>
      </c>
      <c r="L2321" s="622" t="s">
        <v>357</v>
      </c>
      <c r="M2321" s="622" t="s">
        <v>285</v>
      </c>
      <c r="N2321" s="622" t="s">
        <v>670</v>
      </c>
      <c r="O2321" s="622" t="s">
        <v>670</v>
      </c>
      <c r="P2321" s="622" t="s">
        <v>522</v>
      </c>
      <c r="Q2321" s="622" t="s">
        <v>670</v>
      </c>
      <c r="R2321" s="623">
        <v>46056</v>
      </c>
      <c r="S2321" s="622" t="s">
        <v>670</v>
      </c>
      <c r="T2321" s="623">
        <v>46053</v>
      </c>
      <c r="U2321" s="624">
        <v>0</v>
      </c>
      <c r="V2321" s="625">
        <v>153.94</v>
      </c>
      <c r="W2321" s="260">
        <v>46023</v>
      </c>
    </row>
    <row r="2322" spans="1:23" hidden="1" x14ac:dyDescent="0.35">
      <c r="A2322" s="622" t="s">
        <v>526</v>
      </c>
      <c r="B2322" s="622" t="s">
        <v>159</v>
      </c>
      <c r="C2322" s="622" t="s">
        <v>298</v>
      </c>
      <c r="D2322" s="622" t="s">
        <v>322</v>
      </c>
      <c r="E2322" s="622" t="s">
        <v>323</v>
      </c>
      <c r="F2322" s="622" t="s">
        <v>276</v>
      </c>
      <c r="G2322" s="622" t="s">
        <v>472</v>
      </c>
      <c r="H2322" s="622" t="s">
        <v>670</v>
      </c>
      <c r="I2322" s="622" t="s">
        <v>277</v>
      </c>
      <c r="J2322" s="622" t="s">
        <v>522</v>
      </c>
      <c r="K2322" s="622" t="s">
        <v>301</v>
      </c>
      <c r="L2322" s="622" t="s">
        <v>357</v>
      </c>
      <c r="M2322" s="622" t="s">
        <v>285</v>
      </c>
      <c r="N2322" s="622" t="s">
        <v>670</v>
      </c>
      <c r="O2322" s="622" t="s">
        <v>670</v>
      </c>
      <c r="P2322" s="622" t="s">
        <v>522</v>
      </c>
      <c r="Q2322" s="622" t="s">
        <v>670</v>
      </c>
      <c r="R2322" s="623">
        <v>46056</v>
      </c>
      <c r="S2322" s="622" t="s">
        <v>670</v>
      </c>
      <c r="T2322" s="623">
        <v>46053</v>
      </c>
      <c r="U2322" s="624">
        <v>0</v>
      </c>
      <c r="V2322" s="625">
        <v>0.65</v>
      </c>
      <c r="W2322" s="260">
        <v>46023</v>
      </c>
    </row>
    <row r="2323" spans="1:23" hidden="1" x14ac:dyDescent="0.35">
      <c r="A2323" s="622" t="s">
        <v>526</v>
      </c>
      <c r="B2323" s="622" t="s">
        <v>159</v>
      </c>
      <c r="C2323" s="622" t="s">
        <v>298</v>
      </c>
      <c r="D2323" s="622" t="s">
        <v>322</v>
      </c>
      <c r="E2323" s="622" t="s">
        <v>323</v>
      </c>
      <c r="F2323" s="622" t="s">
        <v>276</v>
      </c>
      <c r="G2323" s="622" t="s">
        <v>472</v>
      </c>
      <c r="H2323" s="622" t="s">
        <v>670</v>
      </c>
      <c r="I2323" s="622" t="s">
        <v>277</v>
      </c>
      <c r="J2323" s="622" t="s">
        <v>522</v>
      </c>
      <c r="K2323" s="622" t="s">
        <v>301</v>
      </c>
      <c r="L2323" s="622" t="s">
        <v>357</v>
      </c>
      <c r="M2323" s="622" t="s">
        <v>285</v>
      </c>
      <c r="N2323" s="622" t="s">
        <v>670</v>
      </c>
      <c r="O2323" s="622" t="s">
        <v>670</v>
      </c>
      <c r="P2323" s="622" t="s">
        <v>522</v>
      </c>
      <c r="Q2323" s="622" t="s">
        <v>670</v>
      </c>
      <c r="R2323" s="623">
        <v>46056</v>
      </c>
      <c r="S2323" s="622" t="s">
        <v>670</v>
      </c>
      <c r="T2323" s="623">
        <v>46053</v>
      </c>
      <c r="U2323" s="624">
        <v>0</v>
      </c>
      <c r="V2323" s="625">
        <v>0.03</v>
      </c>
      <c r="W2323" s="260">
        <v>46023</v>
      </c>
    </row>
    <row r="2324" spans="1:23" hidden="1" x14ac:dyDescent="0.35">
      <c r="A2324" s="622" t="s">
        <v>526</v>
      </c>
      <c r="B2324" s="622" t="s">
        <v>159</v>
      </c>
      <c r="C2324" s="622" t="s">
        <v>298</v>
      </c>
      <c r="D2324" s="622" t="s">
        <v>324</v>
      </c>
      <c r="E2324" s="622" t="s">
        <v>325</v>
      </c>
      <c r="F2324" s="622" t="s">
        <v>276</v>
      </c>
      <c r="G2324" s="622" t="s">
        <v>472</v>
      </c>
      <c r="H2324" s="622" t="s">
        <v>670</v>
      </c>
      <c r="I2324" s="622" t="s">
        <v>277</v>
      </c>
      <c r="J2324" s="622" t="s">
        <v>522</v>
      </c>
      <c r="K2324" s="622" t="s">
        <v>301</v>
      </c>
      <c r="L2324" s="622" t="s">
        <v>357</v>
      </c>
      <c r="M2324" s="622" t="s">
        <v>285</v>
      </c>
      <c r="N2324" s="622" t="s">
        <v>670</v>
      </c>
      <c r="O2324" s="622" t="s">
        <v>670</v>
      </c>
      <c r="P2324" s="622" t="s">
        <v>522</v>
      </c>
      <c r="Q2324" s="622" t="s">
        <v>670</v>
      </c>
      <c r="R2324" s="623">
        <v>46056</v>
      </c>
      <c r="S2324" s="622" t="s">
        <v>670</v>
      </c>
      <c r="T2324" s="623">
        <v>46053</v>
      </c>
      <c r="U2324" s="624">
        <v>0</v>
      </c>
      <c r="V2324" s="625">
        <v>365.9</v>
      </c>
      <c r="W2324" s="260">
        <v>46023</v>
      </c>
    </row>
    <row r="2325" spans="1:23" hidden="1" x14ac:dyDescent="0.35">
      <c r="A2325" s="622" t="s">
        <v>526</v>
      </c>
      <c r="B2325" s="622" t="s">
        <v>159</v>
      </c>
      <c r="C2325" s="622" t="s">
        <v>298</v>
      </c>
      <c r="D2325" s="622" t="s">
        <v>326</v>
      </c>
      <c r="E2325" s="622" t="s">
        <v>327</v>
      </c>
      <c r="F2325" s="622" t="s">
        <v>276</v>
      </c>
      <c r="G2325" s="622" t="s">
        <v>472</v>
      </c>
      <c r="H2325" s="622" t="s">
        <v>670</v>
      </c>
      <c r="I2325" s="622" t="s">
        <v>277</v>
      </c>
      <c r="J2325" s="622" t="s">
        <v>522</v>
      </c>
      <c r="K2325" s="622" t="s">
        <v>301</v>
      </c>
      <c r="L2325" s="622" t="s">
        <v>357</v>
      </c>
      <c r="M2325" s="622" t="s">
        <v>285</v>
      </c>
      <c r="N2325" s="622" t="s">
        <v>670</v>
      </c>
      <c r="O2325" s="622" t="s">
        <v>670</v>
      </c>
      <c r="P2325" s="622" t="s">
        <v>522</v>
      </c>
      <c r="Q2325" s="622" t="s">
        <v>670</v>
      </c>
      <c r="R2325" s="623">
        <v>46056</v>
      </c>
      <c r="S2325" s="622" t="s">
        <v>670</v>
      </c>
      <c r="T2325" s="623">
        <v>46053</v>
      </c>
      <c r="U2325" s="624">
        <v>0</v>
      </c>
      <c r="V2325" s="625">
        <v>0.46</v>
      </c>
      <c r="W2325" s="260">
        <v>46023</v>
      </c>
    </row>
    <row r="2326" spans="1:23" hidden="1" x14ac:dyDescent="0.35">
      <c r="A2326" s="622" t="s">
        <v>526</v>
      </c>
      <c r="B2326" s="622" t="s">
        <v>159</v>
      </c>
      <c r="C2326" s="622" t="s">
        <v>298</v>
      </c>
      <c r="D2326" s="622" t="s">
        <v>326</v>
      </c>
      <c r="E2326" s="622" t="s">
        <v>327</v>
      </c>
      <c r="F2326" s="622" t="s">
        <v>276</v>
      </c>
      <c r="G2326" s="622" t="s">
        <v>472</v>
      </c>
      <c r="H2326" s="622" t="s">
        <v>670</v>
      </c>
      <c r="I2326" s="622" t="s">
        <v>277</v>
      </c>
      <c r="J2326" s="622" t="s">
        <v>522</v>
      </c>
      <c r="K2326" s="622" t="s">
        <v>301</v>
      </c>
      <c r="L2326" s="622" t="s">
        <v>357</v>
      </c>
      <c r="M2326" s="622" t="s">
        <v>285</v>
      </c>
      <c r="N2326" s="622" t="s">
        <v>670</v>
      </c>
      <c r="O2326" s="622" t="s">
        <v>670</v>
      </c>
      <c r="P2326" s="622" t="s">
        <v>522</v>
      </c>
      <c r="Q2326" s="622" t="s">
        <v>670</v>
      </c>
      <c r="R2326" s="623">
        <v>46056</v>
      </c>
      <c r="S2326" s="622" t="s">
        <v>670</v>
      </c>
      <c r="T2326" s="623">
        <v>46053</v>
      </c>
      <c r="U2326" s="624">
        <v>0</v>
      </c>
      <c r="V2326" s="625">
        <v>6.47</v>
      </c>
      <c r="W2326" s="260">
        <v>46023</v>
      </c>
    </row>
    <row r="2327" spans="1:23" hidden="1" x14ac:dyDescent="0.35">
      <c r="A2327" s="622" t="s">
        <v>526</v>
      </c>
      <c r="B2327" s="622" t="s">
        <v>159</v>
      </c>
      <c r="C2327" s="622" t="s">
        <v>298</v>
      </c>
      <c r="D2327" s="622" t="s">
        <v>393</v>
      </c>
      <c r="E2327" s="622" t="s">
        <v>394</v>
      </c>
      <c r="F2327" s="622" t="s">
        <v>276</v>
      </c>
      <c r="G2327" s="622" t="s">
        <v>472</v>
      </c>
      <c r="H2327" s="622" t="s">
        <v>670</v>
      </c>
      <c r="I2327" s="622" t="s">
        <v>277</v>
      </c>
      <c r="J2327" s="622" t="s">
        <v>522</v>
      </c>
      <c r="K2327" s="622" t="s">
        <v>301</v>
      </c>
      <c r="L2327" s="622" t="s">
        <v>357</v>
      </c>
      <c r="M2327" s="622" t="s">
        <v>285</v>
      </c>
      <c r="N2327" s="622" t="s">
        <v>670</v>
      </c>
      <c r="O2327" s="622" t="s">
        <v>670</v>
      </c>
      <c r="P2327" s="622" t="s">
        <v>522</v>
      </c>
      <c r="Q2327" s="622" t="s">
        <v>670</v>
      </c>
      <c r="R2327" s="623">
        <v>46056</v>
      </c>
      <c r="S2327" s="622" t="s">
        <v>670</v>
      </c>
      <c r="T2327" s="623">
        <v>46053</v>
      </c>
      <c r="U2327" s="624">
        <v>0</v>
      </c>
      <c r="V2327" s="625">
        <v>0.16</v>
      </c>
      <c r="W2327" s="260">
        <v>46023</v>
      </c>
    </row>
    <row r="2328" spans="1:23" hidden="1" x14ac:dyDescent="0.35">
      <c r="A2328" s="622" t="s">
        <v>526</v>
      </c>
      <c r="B2328" s="622" t="s">
        <v>159</v>
      </c>
      <c r="C2328" s="622" t="s">
        <v>298</v>
      </c>
      <c r="D2328" s="622" t="s">
        <v>328</v>
      </c>
      <c r="E2328" s="622" t="s">
        <v>329</v>
      </c>
      <c r="F2328" s="622" t="s">
        <v>276</v>
      </c>
      <c r="G2328" s="622" t="s">
        <v>472</v>
      </c>
      <c r="H2328" s="622" t="s">
        <v>670</v>
      </c>
      <c r="I2328" s="622" t="s">
        <v>277</v>
      </c>
      <c r="J2328" s="622" t="s">
        <v>522</v>
      </c>
      <c r="K2328" s="622" t="s">
        <v>301</v>
      </c>
      <c r="L2328" s="622" t="s">
        <v>357</v>
      </c>
      <c r="M2328" s="622" t="s">
        <v>285</v>
      </c>
      <c r="N2328" s="622" t="s">
        <v>670</v>
      </c>
      <c r="O2328" s="622" t="s">
        <v>670</v>
      </c>
      <c r="P2328" s="622" t="s">
        <v>522</v>
      </c>
      <c r="Q2328" s="622" t="s">
        <v>670</v>
      </c>
      <c r="R2328" s="623">
        <v>46056</v>
      </c>
      <c r="S2328" s="622" t="s">
        <v>670</v>
      </c>
      <c r="T2328" s="623">
        <v>46053</v>
      </c>
      <c r="U2328" s="624">
        <v>0</v>
      </c>
      <c r="V2328" s="625">
        <v>4021.51</v>
      </c>
      <c r="W2328" s="260">
        <v>46023</v>
      </c>
    </row>
    <row r="2329" spans="1:23" hidden="1" x14ac:dyDescent="0.35">
      <c r="A2329" s="622" t="s">
        <v>526</v>
      </c>
      <c r="B2329" s="622" t="s">
        <v>159</v>
      </c>
      <c r="C2329" s="622" t="s">
        <v>298</v>
      </c>
      <c r="D2329" s="622" t="s">
        <v>330</v>
      </c>
      <c r="E2329" s="622" t="s">
        <v>331</v>
      </c>
      <c r="F2329" s="622" t="s">
        <v>276</v>
      </c>
      <c r="G2329" s="622" t="s">
        <v>472</v>
      </c>
      <c r="H2329" s="622" t="s">
        <v>670</v>
      </c>
      <c r="I2329" s="622" t="s">
        <v>277</v>
      </c>
      <c r="J2329" s="622" t="s">
        <v>522</v>
      </c>
      <c r="K2329" s="622" t="s">
        <v>301</v>
      </c>
      <c r="L2329" s="622" t="s">
        <v>357</v>
      </c>
      <c r="M2329" s="622" t="s">
        <v>285</v>
      </c>
      <c r="N2329" s="622" t="s">
        <v>670</v>
      </c>
      <c r="O2329" s="622" t="s">
        <v>670</v>
      </c>
      <c r="P2329" s="622" t="s">
        <v>522</v>
      </c>
      <c r="Q2329" s="622" t="s">
        <v>670</v>
      </c>
      <c r="R2329" s="623">
        <v>46056</v>
      </c>
      <c r="S2329" s="622" t="s">
        <v>670</v>
      </c>
      <c r="T2329" s="623">
        <v>46053</v>
      </c>
      <c r="U2329" s="624">
        <v>0</v>
      </c>
      <c r="V2329" s="625">
        <v>-5.6</v>
      </c>
      <c r="W2329" s="260">
        <v>46023</v>
      </c>
    </row>
    <row r="2330" spans="1:23" hidden="1" x14ac:dyDescent="0.35">
      <c r="A2330" s="622" t="s">
        <v>526</v>
      </c>
      <c r="B2330" s="622" t="s">
        <v>159</v>
      </c>
      <c r="C2330" s="622" t="s">
        <v>298</v>
      </c>
      <c r="D2330" s="622" t="s">
        <v>332</v>
      </c>
      <c r="E2330" s="622" t="s">
        <v>333</v>
      </c>
      <c r="F2330" s="622" t="s">
        <v>276</v>
      </c>
      <c r="G2330" s="622" t="s">
        <v>472</v>
      </c>
      <c r="H2330" s="622" t="s">
        <v>670</v>
      </c>
      <c r="I2330" s="622" t="s">
        <v>277</v>
      </c>
      <c r="J2330" s="622" t="s">
        <v>522</v>
      </c>
      <c r="K2330" s="622" t="s">
        <v>301</v>
      </c>
      <c r="L2330" s="622" t="s">
        <v>357</v>
      </c>
      <c r="M2330" s="622" t="s">
        <v>285</v>
      </c>
      <c r="N2330" s="622" t="s">
        <v>670</v>
      </c>
      <c r="O2330" s="622" t="s">
        <v>670</v>
      </c>
      <c r="P2330" s="622" t="s">
        <v>522</v>
      </c>
      <c r="Q2330" s="622" t="s">
        <v>670</v>
      </c>
      <c r="R2330" s="623">
        <v>46056</v>
      </c>
      <c r="S2330" s="622" t="s">
        <v>670</v>
      </c>
      <c r="T2330" s="623">
        <v>46053</v>
      </c>
      <c r="U2330" s="624">
        <v>0</v>
      </c>
      <c r="V2330" s="625">
        <v>16.57</v>
      </c>
      <c r="W2330" s="260">
        <v>46023</v>
      </c>
    </row>
    <row r="2331" spans="1:23" hidden="1" x14ac:dyDescent="0.35">
      <c r="A2331" s="622" t="s">
        <v>526</v>
      </c>
      <c r="B2331" s="622" t="s">
        <v>159</v>
      </c>
      <c r="C2331" s="622" t="s">
        <v>298</v>
      </c>
      <c r="D2331" s="622" t="s">
        <v>334</v>
      </c>
      <c r="E2331" s="622" t="s">
        <v>335</v>
      </c>
      <c r="F2331" s="622" t="s">
        <v>276</v>
      </c>
      <c r="G2331" s="622" t="s">
        <v>472</v>
      </c>
      <c r="H2331" s="622" t="s">
        <v>670</v>
      </c>
      <c r="I2331" s="622" t="s">
        <v>277</v>
      </c>
      <c r="J2331" s="622" t="s">
        <v>522</v>
      </c>
      <c r="K2331" s="622" t="s">
        <v>301</v>
      </c>
      <c r="L2331" s="622" t="s">
        <v>357</v>
      </c>
      <c r="M2331" s="622" t="s">
        <v>285</v>
      </c>
      <c r="N2331" s="622" t="s">
        <v>670</v>
      </c>
      <c r="O2331" s="622" t="s">
        <v>670</v>
      </c>
      <c r="P2331" s="622" t="s">
        <v>522</v>
      </c>
      <c r="Q2331" s="622" t="s">
        <v>670</v>
      </c>
      <c r="R2331" s="623">
        <v>46056</v>
      </c>
      <c r="S2331" s="622" t="s">
        <v>670</v>
      </c>
      <c r="T2331" s="623">
        <v>46053</v>
      </c>
      <c r="U2331" s="624">
        <v>0</v>
      </c>
      <c r="V2331" s="625">
        <v>11.28</v>
      </c>
      <c r="W2331" s="260">
        <v>46023</v>
      </c>
    </row>
    <row r="2332" spans="1:23" hidden="1" x14ac:dyDescent="0.35">
      <c r="A2332" s="622" t="s">
        <v>526</v>
      </c>
      <c r="B2332" s="622" t="s">
        <v>159</v>
      </c>
      <c r="C2332" s="622" t="s">
        <v>298</v>
      </c>
      <c r="D2332" s="622" t="s">
        <v>336</v>
      </c>
      <c r="E2332" s="622" t="s">
        <v>337</v>
      </c>
      <c r="F2332" s="622" t="s">
        <v>276</v>
      </c>
      <c r="G2332" s="622" t="s">
        <v>472</v>
      </c>
      <c r="H2332" s="622" t="s">
        <v>670</v>
      </c>
      <c r="I2332" s="622" t="s">
        <v>277</v>
      </c>
      <c r="J2332" s="622" t="s">
        <v>522</v>
      </c>
      <c r="K2332" s="622" t="s">
        <v>301</v>
      </c>
      <c r="L2332" s="622" t="s">
        <v>357</v>
      </c>
      <c r="M2332" s="622" t="s">
        <v>285</v>
      </c>
      <c r="N2332" s="622" t="s">
        <v>670</v>
      </c>
      <c r="O2332" s="622" t="s">
        <v>670</v>
      </c>
      <c r="P2332" s="622" t="s">
        <v>522</v>
      </c>
      <c r="Q2332" s="622" t="s">
        <v>670</v>
      </c>
      <c r="R2332" s="623">
        <v>46056</v>
      </c>
      <c r="S2332" s="622" t="s">
        <v>670</v>
      </c>
      <c r="T2332" s="623">
        <v>46053</v>
      </c>
      <c r="U2332" s="624">
        <v>0</v>
      </c>
      <c r="V2332" s="625">
        <v>1.31</v>
      </c>
      <c r="W2332" s="260">
        <v>46023</v>
      </c>
    </row>
    <row r="2333" spans="1:23" hidden="1" x14ac:dyDescent="0.35">
      <c r="A2333" s="622" t="s">
        <v>526</v>
      </c>
      <c r="B2333" s="622" t="s">
        <v>159</v>
      </c>
      <c r="C2333" s="622" t="s">
        <v>298</v>
      </c>
      <c r="D2333" s="622" t="s">
        <v>397</v>
      </c>
      <c r="E2333" s="622" t="s">
        <v>398</v>
      </c>
      <c r="F2333" s="622" t="s">
        <v>276</v>
      </c>
      <c r="G2333" s="622" t="s">
        <v>472</v>
      </c>
      <c r="H2333" s="622" t="s">
        <v>670</v>
      </c>
      <c r="I2333" s="622" t="s">
        <v>277</v>
      </c>
      <c r="J2333" s="622" t="s">
        <v>522</v>
      </c>
      <c r="K2333" s="622" t="s">
        <v>301</v>
      </c>
      <c r="L2333" s="622" t="s">
        <v>357</v>
      </c>
      <c r="M2333" s="622" t="s">
        <v>285</v>
      </c>
      <c r="N2333" s="622" t="s">
        <v>670</v>
      </c>
      <c r="O2333" s="622" t="s">
        <v>670</v>
      </c>
      <c r="P2333" s="622" t="s">
        <v>522</v>
      </c>
      <c r="Q2333" s="622" t="s">
        <v>670</v>
      </c>
      <c r="R2333" s="623">
        <v>46056</v>
      </c>
      <c r="S2333" s="622" t="s">
        <v>670</v>
      </c>
      <c r="T2333" s="623">
        <v>46053</v>
      </c>
      <c r="U2333" s="624">
        <v>0</v>
      </c>
      <c r="V2333" s="625">
        <v>0.27</v>
      </c>
      <c r="W2333" s="260">
        <v>46023</v>
      </c>
    </row>
    <row r="2334" spans="1:23" hidden="1" x14ac:dyDescent="0.35">
      <c r="A2334" s="622" t="s">
        <v>526</v>
      </c>
      <c r="B2334" s="622" t="s">
        <v>159</v>
      </c>
      <c r="C2334" s="622" t="s">
        <v>298</v>
      </c>
      <c r="D2334" s="622" t="s">
        <v>338</v>
      </c>
      <c r="E2334" s="622" t="s">
        <v>339</v>
      </c>
      <c r="F2334" s="622" t="s">
        <v>276</v>
      </c>
      <c r="G2334" s="622" t="s">
        <v>472</v>
      </c>
      <c r="H2334" s="622" t="s">
        <v>670</v>
      </c>
      <c r="I2334" s="622" t="s">
        <v>277</v>
      </c>
      <c r="J2334" s="622" t="s">
        <v>522</v>
      </c>
      <c r="K2334" s="622" t="s">
        <v>301</v>
      </c>
      <c r="L2334" s="622" t="s">
        <v>357</v>
      </c>
      <c r="M2334" s="622" t="s">
        <v>285</v>
      </c>
      <c r="N2334" s="622" t="s">
        <v>670</v>
      </c>
      <c r="O2334" s="622" t="s">
        <v>670</v>
      </c>
      <c r="P2334" s="622" t="s">
        <v>522</v>
      </c>
      <c r="Q2334" s="622" t="s">
        <v>670</v>
      </c>
      <c r="R2334" s="623">
        <v>46056</v>
      </c>
      <c r="S2334" s="622" t="s">
        <v>670</v>
      </c>
      <c r="T2334" s="623">
        <v>46053</v>
      </c>
      <c r="U2334" s="624">
        <v>0</v>
      </c>
      <c r="V2334" s="625">
        <v>7.0000000000000007E-2</v>
      </c>
      <c r="W2334" s="260">
        <v>46023</v>
      </c>
    </row>
    <row r="2335" spans="1:23" hidden="1" x14ac:dyDescent="0.35">
      <c r="A2335" s="622" t="s">
        <v>526</v>
      </c>
      <c r="B2335" s="622" t="s">
        <v>159</v>
      </c>
      <c r="C2335" s="622" t="s">
        <v>973</v>
      </c>
      <c r="D2335" s="622" t="s">
        <v>989</v>
      </c>
      <c r="E2335" s="622" t="s">
        <v>975</v>
      </c>
      <c r="F2335" s="622" t="s">
        <v>276</v>
      </c>
      <c r="G2335" s="622" t="s">
        <v>472</v>
      </c>
      <c r="H2335" s="622" t="s">
        <v>670</v>
      </c>
      <c r="I2335" s="622" t="s">
        <v>277</v>
      </c>
      <c r="J2335" s="622" t="s">
        <v>522</v>
      </c>
      <c r="K2335" s="622" t="s">
        <v>976</v>
      </c>
      <c r="L2335" s="622" t="s">
        <v>357</v>
      </c>
      <c r="M2335" s="622" t="s">
        <v>285</v>
      </c>
      <c r="N2335" s="622" t="s">
        <v>670</v>
      </c>
      <c r="O2335" s="622" t="s">
        <v>670</v>
      </c>
      <c r="P2335" s="622" t="s">
        <v>522</v>
      </c>
      <c r="Q2335" s="622" t="s">
        <v>670</v>
      </c>
      <c r="R2335" s="623">
        <v>46055</v>
      </c>
      <c r="S2335" s="622" t="s">
        <v>670</v>
      </c>
      <c r="T2335" s="623">
        <v>46053</v>
      </c>
      <c r="U2335" s="624">
        <v>0</v>
      </c>
      <c r="V2335" s="625">
        <v>6.84</v>
      </c>
      <c r="W2335" s="260">
        <v>46023</v>
      </c>
    </row>
    <row r="2336" spans="1:23" hidden="1" x14ac:dyDescent="0.35">
      <c r="A2336" s="622" t="s">
        <v>526</v>
      </c>
      <c r="B2336" s="622" t="s">
        <v>159</v>
      </c>
      <c r="C2336" s="622" t="s">
        <v>973</v>
      </c>
      <c r="D2336" s="622" t="s">
        <v>989</v>
      </c>
      <c r="E2336" s="622" t="s">
        <v>975</v>
      </c>
      <c r="F2336" s="622" t="s">
        <v>276</v>
      </c>
      <c r="G2336" s="622" t="s">
        <v>472</v>
      </c>
      <c r="H2336" s="622" t="s">
        <v>670</v>
      </c>
      <c r="I2336" s="622" t="s">
        <v>277</v>
      </c>
      <c r="J2336" s="622" t="s">
        <v>522</v>
      </c>
      <c r="K2336" s="622" t="s">
        <v>976</v>
      </c>
      <c r="L2336" s="622" t="s">
        <v>357</v>
      </c>
      <c r="M2336" s="622" t="s">
        <v>285</v>
      </c>
      <c r="N2336" s="622" t="s">
        <v>670</v>
      </c>
      <c r="O2336" s="622" t="s">
        <v>670</v>
      </c>
      <c r="P2336" s="622" t="s">
        <v>522</v>
      </c>
      <c r="Q2336" s="622" t="s">
        <v>670</v>
      </c>
      <c r="R2336" s="623">
        <v>46055</v>
      </c>
      <c r="S2336" s="622" t="s">
        <v>670</v>
      </c>
      <c r="T2336" s="623">
        <v>46053</v>
      </c>
      <c r="U2336" s="624">
        <v>0</v>
      </c>
      <c r="V2336" s="625">
        <v>-6.84</v>
      </c>
      <c r="W2336" s="260">
        <v>46023</v>
      </c>
    </row>
    <row r="2337" spans="1:23" hidden="1" x14ac:dyDescent="0.35">
      <c r="A2337" s="622" t="s">
        <v>526</v>
      </c>
      <c r="B2337" s="622" t="s">
        <v>159</v>
      </c>
      <c r="C2337" s="622" t="s">
        <v>973</v>
      </c>
      <c r="D2337" s="622" t="s">
        <v>989</v>
      </c>
      <c r="E2337" s="622" t="s">
        <v>975</v>
      </c>
      <c r="F2337" s="622" t="s">
        <v>276</v>
      </c>
      <c r="G2337" s="622" t="s">
        <v>472</v>
      </c>
      <c r="H2337" s="622" t="s">
        <v>670</v>
      </c>
      <c r="I2337" s="622" t="s">
        <v>277</v>
      </c>
      <c r="J2337" s="622" t="s">
        <v>522</v>
      </c>
      <c r="K2337" s="622" t="s">
        <v>976</v>
      </c>
      <c r="L2337" s="622" t="s">
        <v>357</v>
      </c>
      <c r="M2337" s="622" t="s">
        <v>285</v>
      </c>
      <c r="N2337" s="622" t="s">
        <v>670</v>
      </c>
      <c r="O2337" s="622" t="s">
        <v>670</v>
      </c>
      <c r="P2337" s="622" t="s">
        <v>522</v>
      </c>
      <c r="Q2337" s="622" t="s">
        <v>670</v>
      </c>
      <c r="R2337" s="623">
        <v>46055</v>
      </c>
      <c r="S2337" s="622" t="s">
        <v>670</v>
      </c>
      <c r="T2337" s="623">
        <v>46053</v>
      </c>
      <c r="U2337" s="624">
        <v>0</v>
      </c>
      <c r="V2337" s="625">
        <v>-6.84</v>
      </c>
      <c r="W2337" s="260">
        <v>46023</v>
      </c>
    </row>
    <row r="2338" spans="1:23" hidden="1" x14ac:dyDescent="0.35">
      <c r="A2338" s="622" t="s">
        <v>526</v>
      </c>
      <c r="B2338" s="622" t="s">
        <v>159</v>
      </c>
      <c r="C2338" s="622" t="s">
        <v>977</v>
      </c>
      <c r="D2338" s="622" t="s">
        <v>990</v>
      </c>
      <c r="E2338" s="622" t="s">
        <v>979</v>
      </c>
      <c r="F2338" s="622" t="s">
        <v>276</v>
      </c>
      <c r="G2338" s="622" t="s">
        <v>472</v>
      </c>
      <c r="H2338" s="622" t="s">
        <v>670</v>
      </c>
      <c r="I2338" s="622" t="s">
        <v>277</v>
      </c>
      <c r="J2338" s="622" t="s">
        <v>522</v>
      </c>
      <c r="K2338" s="622" t="s">
        <v>980</v>
      </c>
      <c r="L2338" s="622" t="s">
        <v>357</v>
      </c>
      <c r="M2338" s="622" t="s">
        <v>285</v>
      </c>
      <c r="N2338" s="622" t="s">
        <v>670</v>
      </c>
      <c r="O2338" s="622" t="s">
        <v>670</v>
      </c>
      <c r="P2338" s="622" t="s">
        <v>522</v>
      </c>
      <c r="Q2338" s="622" t="s">
        <v>670</v>
      </c>
      <c r="R2338" s="623">
        <v>46055</v>
      </c>
      <c r="S2338" s="622" t="s">
        <v>670</v>
      </c>
      <c r="T2338" s="623">
        <v>46053</v>
      </c>
      <c r="U2338" s="624">
        <v>0</v>
      </c>
      <c r="V2338" s="625">
        <v>-24.68</v>
      </c>
      <c r="W2338" s="260">
        <v>46023</v>
      </c>
    </row>
    <row r="2339" spans="1:23" hidden="1" x14ac:dyDescent="0.35">
      <c r="A2339" s="622" t="s">
        <v>526</v>
      </c>
      <c r="B2339" s="622" t="s">
        <v>159</v>
      </c>
      <c r="C2339" s="622" t="s">
        <v>977</v>
      </c>
      <c r="D2339" s="622" t="s">
        <v>990</v>
      </c>
      <c r="E2339" s="622" t="s">
        <v>979</v>
      </c>
      <c r="F2339" s="622" t="s">
        <v>276</v>
      </c>
      <c r="G2339" s="622" t="s">
        <v>472</v>
      </c>
      <c r="H2339" s="622" t="s">
        <v>670</v>
      </c>
      <c r="I2339" s="622" t="s">
        <v>277</v>
      </c>
      <c r="J2339" s="622" t="s">
        <v>522</v>
      </c>
      <c r="K2339" s="622" t="s">
        <v>980</v>
      </c>
      <c r="L2339" s="622" t="s">
        <v>357</v>
      </c>
      <c r="M2339" s="622" t="s">
        <v>285</v>
      </c>
      <c r="N2339" s="622" t="s">
        <v>670</v>
      </c>
      <c r="O2339" s="622" t="s">
        <v>670</v>
      </c>
      <c r="P2339" s="622" t="s">
        <v>522</v>
      </c>
      <c r="Q2339" s="622" t="s">
        <v>670</v>
      </c>
      <c r="R2339" s="623">
        <v>46055</v>
      </c>
      <c r="S2339" s="622" t="s">
        <v>670</v>
      </c>
      <c r="T2339" s="623">
        <v>46053</v>
      </c>
      <c r="U2339" s="624">
        <v>0</v>
      </c>
      <c r="V2339" s="625">
        <v>24.68</v>
      </c>
      <c r="W2339" s="260">
        <v>46023</v>
      </c>
    </row>
    <row r="2340" spans="1:23" hidden="1" x14ac:dyDescent="0.35">
      <c r="A2340" s="622" t="s">
        <v>526</v>
      </c>
      <c r="B2340" s="622" t="s">
        <v>159</v>
      </c>
      <c r="C2340" s="622" t="s">
        <v>977</v>
      </c>
      <c r="D2340" s="622" t="s">
        <v>990</v>
      </c>
      <c r="E2340" s="622" t="s">
        <v>979</v>
      </c>
      <c r="F2340" s="622" t="s">
        <v>276</v>
      </c>
      <c r="G2340" s="622" t="s">
        <v>472</v>
      </c>
      <c r="H2340" s="622" t="s">
        <v>670</v>
      </c>
      <c r="I2340" s="622" t="s">
        <v>277</v>
      </c>
      <c r="J2340" s="622" t="s">
        <v>522</v>
      </c>
      <c r="K2340" s="622" t="s">
        <v>980</v>
      </c>
      <c r="L2340" s="622" t="s">
        <v>357</v>
      </c>
      <c r="M2340" s="622" t="s">
        <v>285</v>
      </c>
      <c r="N2340" s="622" t="s">
        <v>670</v>
      </c>
      <c r="O2340" s="622" t="s">
        <v>670</v>
      </c>
      <c r="P2340" s="622" t="s">
        <v>522</v>
      </c>
      <c r="Q2340" s="622" t="s">
        <v>670</v>
      </c>
      <c r="R2340" s="623">
        <v>46055</v>
      </c>
      <c r="S2340" s="622" t="s">
        <v>670</v>
      </c>
      <c r="T2340" s="623">
        <v>46053</v>
      </c>
      <c r="U2340" s="624">
        <v>0</v>
      </c>
      <c r="V2340" s="625">
        <v>24.68</v>
      </c>
      <c r="W2340" s="260">
        <v>46023</v>
      </c>
    </row>
    <row r="2341" spans="1:23" hidden="1" x14ac:dyDescent="0.35">
      <c r="A2341" s="622" t="s">
        <v>526</v>
      </c>
      <c r="B2341" s="622" t="s">
        <v>159</v>
      </c>
      <c r="C2341" s="622" t="s">
        <v>973</v>
      </c>
      <c r="D2341" s="622" t="s">
        <v>991</v>
      </c>
      <c r="E2341" s="622" t="s">
        <v>982</v>
      </c>
      <c r="F2341" s="622" t="s">
        <v>276</v>
      </c>
      <c r="G2341" s="622" t="s">
        <v>472</v>
      </c>
      <c r="H2341" s="622" t="s">
        <v>670</v>
      </c>
      <c r="I2341" s="622" t="s">
        <v>277</v>
      </c>
      <c r="J2341" s="622" t="s">
        <v>522</v>
      </c>
      <c r="K2341" s="622" t="s">
        <v>976</v>
      </c>
      <c r="L2341" s="622" t="s">
        <v>357</v>
      </c>
      <c r="M2341" s="622" t="s">
        <v>285</v>
      </c>
      <c r="N2341" s="622" t="s">
        <v>670</v>
      </c>
      <c r="O2341" s="622" t="s">
        <v>670</v>
      </c>
      <c r="P2341" s="622" t="s">
        <v>522</v>
      </c>
      <c r="Q2341" s="622" t="s">
        <v>670</v>
      </c>
      <c r="R2341" s="623">
        <v>46055</v>
      </c>
      <c r="S2341" s="622" t="s">
        <v>670</v>
      </c>
      <c r="T2341" s="623">
        <v>46053</v>
      </c>
      <c r="U2341" s="624">
        <v>0</v>
      </c>
      <c r="V2341" s="625">
        <v>0.85</v>
      </c>
      <c r="W2341" s="260">
        <v>46023</v>
      </c>
    </row>
    <row r="2342" spans="1:23" hidden="1" x14ac:dyDescent="0.35">
      <c r="A2342" s="622" t="s">
        <v>526</v>
      </c>
      <c r="B2342" s="622" t="s">
        <v>159</v>
      </c>
      <c r="C2342" s="622" t="s">
        <v>973</v>
      </c>
      <c r="D2342" s="622" t="s">
        <v>991</v>
      </c>
      <c r="E2342" s="622" t="s">
        <v>982</v>
      </c>
      <c r="F2342" s="622" t="s">
        <v>276</v>
      </c>
      <c r="G2342" s="622" t="s">
        <v>472</v>
      </c>
      <c r="H2342" s="622" t="s">
        <v>670</v>
      </c>
      <c r="I2342" s="622" t="s">
        <v>277</v>
      </c>
      <c r="J2342" s="622" t="s">
        <v>522</v>
      </c>
      <c r="K2342" s="622" t="s">
        <v>976</v>
      </c>
      <c r="L2342" s="622" t="s">
        <v>357</v>
      </c>
      <c r="M2342" s="622" t="s">
        <v>285</v>
      </c>
      <c r="N2342" s="622" t="s">
        <v>670</v>
      </c>
      <c r="O2342" s="622" t="s">
        <v>670</v>
      </c>
      <c r="P2342" s="622" t="s">
        <v>522</v>
      </c>
      <c r="Q2342" s="622" t="s">
        <v>670</v>
      </c>
      <c r="R2342" s="623">
        <v>46055</v>
      </c>
      <c r="S2342" s="622" t="s">
        <v>670</v>
      </c>
      <c r="T2342" s="623">
        <v>46053</v>
      </c>
      <c r="U2342" s="624">
        <v>0</v>
      </c>
      <c r="V2342" s="625">
        <v>-0.85</v>
      </c>
      <c r="W2342" s="260">
        <v>46023</v>
      </c>
    </row>
    <row r="2343" spans="1:23" hidden="1" x14ac:dyDescent="0.35">
      <c r="A2343" s="622" t="s">
        <v>526</v>
      </c>
      <c r="B2343" s="622" t="s">
        <v>159</v>
      </c>
      <c r="C2343" s="622" t="s">
        <v>973</v>
      </c>
      <c r="D2343" s="622" t="s">
        <v>991</v>
      </c>
      <c r="E2343" s="622" t="s">
        <v>982</v>
      </c>
      <c r="F2343" s="622" t="s">
        <v>276</v>
      </c>
      <c r="G2343" s="622" t="s">
        <v>472</v>
      </c>
      <c r="H2343" s="622" t="s">
        <v>670</v>
      </c>
      <c r="I2343" s="622" t="s">
        <v>277</v>
      </c>
      <c r="J2343" s="622" t="s">
        <v>522</v>
      </c>
      <c r="K2343" s="622" t="s">
        <v>976</v>
      </c>
      <c r="L2343" s="622" t="s">
        <v>357</v>
      </c>
      <c r="M2343" s="622" t="s">
        <v>285</v>
      </c>
      <c r="N2343" s="622" t="s">
        <v>670</v>
      </c>
      <c r="O2343" s="622" t="s">
        <v>670</v>
      </c>
      <c r="P2343" s="622" t="s">
        <v>522</v>
      </c>
      <c r="Q2343" s="622" t="s">
        <v>670</v>
      </c>
      <c r="R2343" s="623">
        <v>46055</v>
      </c>
      <c r="S2343" s="622" t="s">
        <v>670</v>
      </c>
      <c r="T2343" s="623">
        <v>46053</v>
      </c>
      <c r="U2343" s="624">
        <v>0</v>
      </c>
      <c r="V2343" s="625">
        <v>-0.85</v>
      </c>
      <c r="W2343" s="260">
        <v>46023</v>
      </c>
    </row>
    <row r="2344" spans="1:23" hidden="1" x14ac:dyDescent="0.35">
      <c r="A2344" s="622" t="s">
        <v>526</v>
      </c>
      <c r="B2344" s="622" t="s">
        <v>159</v>
      </c>
      <c r="C2344" s="622" t="s">
        <v>973</v>
      </c>
      <c r="D2344" s="622" t="s">
        <v>992</v>
      </c>
      <c r="E2344" s="622" t="s">
        <v>984</v>
      </c>
      <c r="F2344" s="622" t="s">
        <v>276</v>
      </c>
      <c r="G2344" s="622" t="s">
        <v>472</v>
      </c>
      <c r="H2344" s="622" t="s">
        <v>670</v>
      </c>
      <c r="I2344" s="622" t="s">
        <v>277</v>
      </c>
      <c r="J2344" s="622" t="s">
        <v>522</v>
      </c>
      <c r="K2344" s="622" t="s">
        <v>985</v>
      </c>
      <c r="L2344" s="622" t="s">
        <v>357</v>
      </c>
      <c r="M2344" s="622" t="s">
        <v>285</v>
      </c>
      <c r="N2344" s="622" t="s">
        <v>670</v>
      </c>
      <c r="O2344" s="622" t="s">
        <v>670</v>
      </c>
      <c r="P2344" s="622" t="s">
        <v>522</v>
      </c>
      <c r="Q2344" s="622" t="s">
        <v>670</v>
      </c>
      <c r="R2344" s="623">
        <v>46055</v>
      </c>
      <c r="S2344" s="622" t="s">
        <v>670</v>
      </c>
      <c r="T2344" s="623">
        <v>46053</v>
      </c>
      <c r="U2344" s="624">
        <v>0</v>
      </c>
      <c r="V2344" s="625">
        <v>-1.24</v>
      </c>
      <c r="W2344" s="260">
        <v>46023</v>
      </c>
    </row>
    <row r="2345" spans="1:23" hidden="1" x14ac:dyDescent="0.35">
      <c r="A2345" s="622" t="s">
        <v>526</v>
      </c>
      <c r="B2345" s="622" t="s">
        <v>159</v>
      </c>
      <c r="C2345" s="622" t="s">
        <v>973</v>
      </c>
      <c r="D2345" s="622" t="s">
        <v>992</v>
      </c>
      <c r="E2345" s="622" t="s">
        <v>984</v>
      </c>
      <c r="F2345" s="622" t="s">
        <v>276</v>
      </c>
      <c r="G2345" s="622" t="s">
        <v>472</v>
      </c>
      <c r="H2345" s="622" t="s">
        <v>670</v>
      </c>
      <c r="I2345" s="622" t="s">
        <v>277</v>
      </c>
      <c r="J2345" s="622" t="s">
        <v>522</v>
      </c>
      <c r="K2345" s="622" t="s">
        <v>985</v>
      </c>
      <c r="L2345" s="622" t="s">
        <v>357</v>
      </c>
      <c r="M2345" s="622" t="s">
        <v>285</v>
      </c>
      <c r="N2345" s="622" t="s">
        <v>670</v>
      </c>
      <c r="O2345" s="622" t="s">
        <v>670</v>
      </c>
      <c r="P2345" s="622" t="s">
        <v>522</v>
      </c>
      <c r="Q2345" s="622" t="s">
        <v>670</v>
      </c>
      <c r="R2345" s="623">
        <v>46055</v>
      </c>
      <c r="S2345" s="622" t="s">
        <v>670</v>
      </c>
      <c r="T2345" s="623">
        <v>46053</v>
      </c>
      <c r="U2345" s="624">
        <v>0</v>
      </c>
      <c r="V2345" s="625">
        <v>1.24</v>
      </c>
      <c r="W2345" s="260">
        <v>46023</v>
      </c>
    </row>
    <row r="2346" spans="1:23" hidden="1" x14ac:dyDescent="0.35">
      <c r="A2346" s="622" t="s">
        <v>526</v>
      </c>
      <c r="B2346" s="622" t="s">
        <v>159</v>
      </c>
      <c r="C2346" s="622" t="s">
        <v>973</v>
      </c>
      <c r="D2346" s="622" t="s">
        <v>992</v>
      </c>
      <c r="E2346" s="622" t="s">
        <v>984</v>
      </c>
      <c r="F2346" s="622" t="s">
        <v>276</v>
      </c>
      <c r="G2346" s="622" t="s">
        <v>472</v>
      </c>
      <c r="H2346" s="622" t="s">
        <v>670</v>
      </c>
      <c r="I2346" s="622" t="s">
        <v>277</v>
      </c>
      <c r="J2346" s="622" t="s">
        <v>522</v>
      </c>
      <c r="K2346" s="622" t="s">
        <v>985</v>
      </c>
      <c r="L2346" s="622" t="s">
        <v>357</v>
      </c>
      <c r="M2346" s="622" t="s">
        <v>285</v>
      </c>
      <c r="N2346" s="622" t="s">
        <v>670</v>
      </c>
      <c r="O2346" s="622" t="s">
        <v>670</v>
      </c>
      <c r="P2346" s="622" t="s">
        <v>522</v>
      </c>
      <c r="Q2346" s="622" t="s">
        <v>670</v>
      </c>
      <c r="R2346" s="623">
        <v>46055</v>
      </c>
      <c r="S2346" s="622" t="s">
        <v>670</v>
      </c>
      <c r="T2346" s="623">
        <v>46053</v>
      </c>
      <c r="U2346" s="624">
        <v>0</v>
      </c>
      <c r="V2346" s="625">
        <v>1.24</v>
      </c>
      <c r="W2346" s="260">
        <v>46023</v>
      </c>
    </row>
    <row r="2347" spans="1:23" hidden="1" x14ac:dyDescent="0.35">
      <c r="A2347" s="622" t="s">
        <v>526</v>
      </c>
      <c r="B2347" s="622" t="s">
        <v>159</v>
      </c>
      <c r="C2347" s="622" t="s">
        <v>977</v>
      </c>
      <c r="D2347" s="622" t="s">
        <v>993</v>
      </c>
      <c r="E2347" s="622" t="s">
        <v>987</v>
      </c>
      <c r="F2347" s="622" t="s">
        <v>276</v>
      </c>
      <c r="G2347" s="622" t="s">
        <v>472</v>
      </c>
      <c r="H2347" s="622" t="s">
        <v>670</v>
      </c>
      <c r="I2347" s="622" t="s">
        <v>277</v>
      </c>
      <c r="J2347" s="622" t="s">
        <v>522</v>
      </c>
      <c r="K2347" s="622" t="s">
        <v>988</v>
      </c>
      <c r="L2347" s="622" t="s">
        <v>357</v>
      </c>
      <c r="M2347" s="622" t="s">
        <v>285</v>
      </c>
      <c r="N2347" s="622" t="s">
        <v>670</v>
      </c>
      <c r="O2347" s="622" t="s">
        <v>670</v>
      </c>
      <c r="P2347" s="622" t="s">
        <v>522</v>
      </c>
      <c r="Q2347" s="622" t="s">
        <v>670</v>
      </c>
      <c r="R2347" s="623">
        <v>46055</v>
      </c>
      <c r="S2347" s="622" t="s">
        <v>670</v>
      </c>
      <c r="T2347" s="623">
        <v>46053</v>
      </c>
      <c r="U2347" s="624">
        <v>0</v>
      </c>
      <c r="V2347" s="625">
        <v>-12.51</v>
      </c>
      <c r="W2347" s="260">
        <v>46023</v>
      </c>
    </row>
    <row r="2348" spans="1:23" hidden="1" x14ac:dyDescent="0.35">
      <c r="A2348" s="622" t="s">
        <v>526</v>
      </c>
      <c r="B2348" s="622" t="s">
        <v>159</v>
      </c>
      <c r="C2348" s="622" t="s">
        <v>977</v>
      </c>
      <c r="D2348" s="622" t="s">
        <v>993</v>
      </c>
      <c r="E2348" s="622" t="s">
        <v>987</v>
      </c>
      <c r="F2348" s="622" t="s">
        <v>276</v>
      </c>
      <c r="G2348" s="622" t="s">
        <v>472</v>
      </c>
      <c r="H2348" s="622" t="s">
        <v>670</v>
      </c>
      <c r="I2348" s="622" t="s">
        <v>277</v>
      </c>
      <c r="J2348" s="622" t="s">
        <v>522</v>
      </c>
      <c r="K2348" s="622" t="s">
        <v>988</v>
      </c>
      <c r="L2348" s="622" t="s">
        <v>357</v>
      </c>
      <c r="M2348" s="622" t="s">
        <v>285</v>
      </c>
      <c r="N2348" s="622" t="s">
        <v>670</v>
      </c>
      <c r="O2348" s="622" t="s">
        <v>670</v>
      </c>
      <c r="P2348" s="622" t="s">
        <v>522</v>
      </c>
      <c r="Q2348" s="622" t="s">
        <v>670</v>
      </c>
      <c r="R2348" s="623">
        <v>46055</v>
      </c>
      <c r="S2348" s="622" t="s">
        <v>670</v>
      </c>
      <c r="T2348" s="623">
        <v>46053</v>
      </c>
      <c r="U2348" s="624">
        <v>0</v>
      </c>
      <c r="V2348" s="625">
        <v>12.51</v>
      </c>
      <c r="W2348" s="260">
        <v>46023</v>
      </c>
    </row>
    <row r="2349" spans="1:23" hidden="1" x14ac:dyDescent="0.35">
      <c r="A2349" s="622" t="s">
        <v>526</v>
      </c>
      <c r="B2349" s="622" t="s">
        <v>159</v>
      </c>
      <c r="C2349" s="622" t="s">
        <v>977</v>
      </c>
      <c r="D2349" s="622" t="s">
        <v>993</v>
      </c>
      <c r="E2349" s="622" t="s">
        <v>987</v>
      </c>
      <c r="F2349" s="622" t="s">
        <v>276</v>
      </c>
      <c r="G2349" s="622" t="s">
        <v>472</v>
      </c>
      <c r="H2349" s="622" t="s">
        <v>670</v>
      </c>
      <c r="I2349" s="622" t="s">
        <v>277</v>
      </c>
      <c r="J2349" s="622" t="s">
        <v>522</v>
      </c>
      <c r="K2349" s="622" t="s">
        <v>988</v>
      </c>
      <c r="L2349" s="622" t="s">
        <v>357</v>
      </c>
      <c r="M2349" s="622" t="s">
        <v>285</v>
      </c>
      <c r="N2349" s="622" t="s">
        <v>670</v>
      </c>
      <c r="O2349" s="622" t="s">
        <v>670</v>
      </c>
      <c r="P2349" s="622" t="s">
        <v>522</v>
      </c>
      <c r="Q2349" s="622" t="s">
        <v>670</v>
      </c>
      <c r="R2349" s="623">
        <v>46055</v>
      </c>
      <c r="S2349" s="622" t="s">
        <v>670</v>
      </c>
      <c r="T2349" s="623">
        <v>46053</v>
      </c>
      <c r="U2349" s="624">
        <v>0</v>
      </c>
      <c r="V2349" s="625">
        <v>12.51</v>
      </c>
      <c r="W2349" s="260">
        <v>46023</v>
      </c>
    </row>
    <row r="2350" spans="1:23" hidden="1" x14ac:dyDescent="0.35">
      <c r="A2350" s="622" t="s">
        <v>526</v>
      </c>
      <c r="B2350" s="622" t="s">
        <v>159</v>
      </c>
      <c r="C2350" s="622" t="s">
        <v>281</v>
      </c>
      <c r="D2350" s="622" t="s">
        <v>340</v>
      </c>
      <c r="E2350" s="622" t="s">
        <v>283</v>
      </c>
      <c r="F2350" s="622" t="s">
        <v>276</v>
      </c>
      <c r="G2350" s="622" t="s">
        <v>472</v>
      </c>
      <c r="H2350" s="622" t="s">
        <v>670</v>
      </c>
      <c r="I2350" s="622" t="s">
        <v>277</v>
      </c>
      <c r="J2350" s="622" t="s">
        <v>522</v>
      </c>
      <c r="K2350" s="622" t="s">
        <v>284</v>
      </c>
      <c r="L2350" s="622" t="s">
        <v>357</v>
      </c>
      <c r="M2350" s="622" t="s">
        <v>285</v>
      </c>
      <c r="N2350" s="622" t="s">
        <v>670</v>
      </c>
      <c r="O2350" s="622" t="s">
        <v>670</v>
      </c>
      <c r="P2350" s="622" t="s">
        <v>522</v>
      </c>
      <c r="Q2350" s="622" t="s">
        <v>670</v>
      </c>
      <c r="R2350" s="623">
        <v>46055</v>
      </c>
      <c r="S2350" s="622" t="s">
        <v>670</v>
      </c>
      <c r="T2350" s="623">
        <v>46053</v>
      </c>
      <c r="U2350" s="624">
        <v>0</v>
      </c>
      <c r="V2350" s="625">
        <v>-471.6</v>
      </c>
      <c r="W2350" s="260">
        <v>46023</v>
      </c>
    </row>
    <row r="2351" spans="1:23" hidden="1" x14ac:dyDescent="0.35">
      <c r="A2351" s="622" t="s">
        <v>526</v>
      </c>
      <c r="B2351" s="622" t="s">
        <v>159</v>
      </c>
      <c r="C2351" s="622" t="s">
        <v>281</v>
      </c>
      <c r="D2351" s="622" t="s">
        <v>340</v>
      </c>
      <c r="E2351" s="622" t="s">
        <v>283</v>
      </c>
      <c r="F2351" s="622" t="s">
        <v>276</v>
      </c>
      <c r="G2351" s="622" t="s">
        <v>472</v>
      </c>
      <c r="H2351" s="622" t="s">
        <v>670</v>
      </c>
      <c r="I2351" s="622" t="s">
        <v>277</v>
      </c>
      <c r="J2351" s="622" t="s">
        <v>522</v>
      </c>
      <c r="K2351" s="622" t="s">
        <v>284</v>
      </c>
      <c r="L2351" s="622" t="s">
        <v>357</v>
      </c>
      <c r="M2351" s="622" t="s">
        <v>285</v>
      </c>
      <c r="N2351" s="622" t="s">
        <v>670</v>
      </c>
      <c r="O2351" s="622" t="s">
        <v>670</v>
      </c>
      <c r="P2351" s="622" t="s">
        <v>522</v>
      </c>
      <c r="Q2351" s="622" t="s">
        <v>670</v>
      </c>
      <c r="R2351" s="623">
        <v>46055</v>
      </c>
      <c r="S2351" s="622" t="s">
        <v>670</v>
      </c>
      <c r="T2351" s="623">
        <v>46053</v>
      </c>
      <c r="U2351" s="624">
        <v>0</v>
      </c>
      <c r="V2351" s="625">
        <v>471.6</v>
      </c>
      <c r="W2351" s="260">
        <v>46023</v>
      </c>
    </row>
    <row r="2352" spans="1:23" hidden="1" x14ac:dyDescent="0.35">
      <c r="A2352" s="622" t="s">
        <v>526</v>
      </c>
      <c r="B2352" s="622" t="s">
        <v>159</v>
      </c>
      <c r="C2352" s="622" t="s">
        <v>281</v>
      </c>
      <c r="D2352" s="622" t="s">
        <v>340</v>
      </c>
      <c r="E2352" s="622" t="s">
        <v>283</v>
      </c>
      <c r="F2352" s="622" t="s">
        <v>276</v>
      </c>
      <c r="G2352" s="622" t="s">
        <v>472</v>
      </c>
      <c r="H2352" s="622" t="s">
        <v>670</v>
      </c>
      <c r="I2352" s="622" t="s">
        <v>277</v>
      </c>
      <c r="J2352" s="622" t="s">
        <v>522</v>
      </c>
      <c r="K2352" s="622" t="s">
        <v>284</v>
      </c>
      <c r="L2352" s="622" t="s">
        <v>357</v>
      </c>
      <c r="M2352" s="622" t="s">
        <v>285</v>
      </c>
      <c r="N2352" s="622" t="s">
        <v>670</v>
      </c>
      <c r="O2352" s="622" t="s">
        <v>670</v>
      </c>
      <c r="P2352" s="622" t="s">
        <v>522</v>
      </c>
      <c r="Q2352" s="622" t="s">
        <v>670</v>
      </c>
      <c r="R2352" s="623">
        <v>46055</v>
      </c>
      <c r="S2352" s="622" t="s">
        <v>670</v>
      </c>
      <c r="T2352" s="623">
        <v>46053</v>
      </c>
      <c r="U2352" s="624">
        <v>0</v>
      </c>
      <c r="V2352" s="625">
        <v>471.6</v>
      </c>
      <c r="W2352" s="260">
        <v>46023</v>
      </c>
    </row>
    <row r="2353" spans="1:23" hidden="1" x14ac:dyDescent="0.35">
      <c r="A2353" s="622" t="s">
        <v>526</v>
      </c>
      <c r="B2353" s="622" t="s">
        <v>159</v>
      </c>
      <c r="C2353" s="622" t="s">
        <v>298</v>
      </c>
      <c r="D2353" s="622" t="s">
        <v>340</v>
      </c>
      <c r="E2353" s="622" t="s">
        <v>283</v>
      </c>
      <c r="F2353" s="622" t="s">
        <v>276</v>
      </c>
      <c r="G2353" s="622" t="s">
        <v>472</v>
      </c>
      <c r="H2353" s="622" t="s">
        <v>670</v>
      </c>
      <c r="I2353" s="622" t="s">
        <v>277</v>
      </c>
      <c r="J2353" s="622" t="s">
        <v>522</v>
      </c>
      <c r="K2353" s="622" t="s">
        <v>301</v>
      </c>
      <c r="L2353" s="622" t="s">
        <v>357</v>
      </c>
      <c r="M2353" s="622" t="s">
        <v>285</v>
      </c>
      <c r="N2353" s="622" t="s">
        <v>670</v>
      </c>
      <c r="O2353" s="622" t="s">
        <v>670</v>
      </c>
      <c r="P2353" s="622" t="s">
        <v>522</v>
      </c>
      <c r="Q2353" s="622" t="s">
        <v>670</v>
      </c>
      <c r="R2353" s="623">
        <v>46056</v>
      </c>
      <c r="S2353" s="622" t="s">
        <v>670</v>
      </c>
      <c r="T2353" s="623">
        <v>46053</v>
      </c>
      <c r="U2353" s="624">
        <v>0</v>
      </c>
      <c r="V2353" s="625">
        <v>9.4</v>
      </c>
      <c r="W2353" s="260">
        <v>46023</v>
      </c>
    </row>
    <row r="2354" spans="1:23" hidden="1" x14ac:dyDescent="0.35">
      <c r="A2354" s="622" t="s">
        <v>526</v>
      </c>
      <c r="B2354" s="622" t="s">
        <v>159</v>
      </c>
      <c r="C2354" s="622" t="s">
        <v>298</v>
      </c>
      <c r="D2354" s="622" t="s">
        <v>340</v>
      </c>
      <c r="E2354" s="622" t="s">
        <v>283</v>
      </c>
      <c r="F2354" s="622" t="s">
        <v>276</v>
      </c>
      <c r="G2354" s="622" t="s">
        <v>472</v>
      </c>
      <c r="H2354" s="622" t="s">
        <v>670</v>
      </c>
      <c r="I2354" s="622" t="s">
        <v>277</v>
      </c>
      <c r="J2354" s="622" t="s">
        <v>522</v>
      </c>
      <c r="K2354" s="622" t="s">
        <v>301</v>
      </c>
      <c r="L2354" s="622" t="s">
        <v>357</v>
      </c>
      <c r="M2354" s="622" t="s">
        <v>285</v>
      </c>
      <c r="N2354" s="622" t="s">
        <v>670</v>
      </c>
      <c r="O2354" s="622" t="s">
        <v>670</v>
      </c>
      <c r="P2354" s="622" t="s">
        <v>522</v>
      </c>
      <c r="Q2354" s="622" t="s">
        <v>670</v>
      </c>
      <c r="R2354" s="623">
        <v>46056</v>
      </c>
      <c r="S2354" s="622" t="s">
        <v>670</v>
      </c>
      <c r="T2354" s="623">
        <v>46053</v>
      </c>
      <c r="U2354" s="624">
        <v>0</v>
      </c>
      <c r="V2354" s="625">
        <v>6.51</v>
      </c>
      <c r="W2354" s="260">
        <v>46023</v>
      </c>
    </row>
    <row r="2355" spans="1:23" hidden="1" x14ac:dyDescent="0.35">
      <c r="A2355" s="622" t="s">
        <v>526</v>
      </c>
      <c r="B2355" s="622" t="s">
        <v>159</v>
      </c>
      <c r="C2355" s="622" t="s">
        <v>302</v>
      </c>
      <c r="D2355" s="622" t="s">
        <v>340</v>
      </c>
      <c r="E2355" s="622" t="s">
        <v>283</v>
      </c>
      <c r="F2355" s="622" t="s">
        <v>276</v>
      </c>
      <c r="G2355" s="622" t="s">
        <v>472</v>
      </c>
      <c r="H2355" s="622" t="s">
        <v>670</v>
      </c>
      <c r="I2355" s="622" t="s">
        <v>277</v>
      </c>
      <c r="J2355" s="622" t="s">
        <v>522</v>
      </c>
      <c r="K2355" s="622" t="s">
        <v>303</v>
      </c>
      <c r="L2355" s="622" t="s">
        <v>357</v>
      </c>
      <c r="M2355" s="622" t="s">
        <v>285</v>
      </c>
      <c r="N2355" s="622" t="s">
        <v>670</v>
      </c>
      <c r="O2355" s="622" t="s">
        <v>670</v>
      </c>
      <c r="P2355" s="622" t="s">
        <v>522</v>
      </c>
      <c r="Q2355" s="622" t="s">
        <v>670</v>
      </c>
      <c r="R2355" s="623">
        <v>46056</v>
      </c>
      <c r="S2355" s="622" t="s">
        <v>670</v>
      </c>
      <c r="T2355" s="623">
        <v>46053</v>
      </c>
      <c r="U2355" s="624">
        <v>0</v>
      </c>
      <c r="V2355" s="625">
        <v>75.34</v>
      </c>
      <c r="W2355" s="260">
        <v>46023</v>
      </c>
    </row>
    <row r="2356" spans="1:23" hidden="1" x14ac:dyDescent="0.35">
      <c r="A2356" s="622" t="s">
        <v>526</v>
      </c>
      <c r="B2356" s="622" t="s">
        <v>159</v>
      </c>
      <c r="C2356" s="622" t="s">
        <v>302</v>
      </c>
      <c r="D2356" s="622" t="s">
        <v>340</v>
      </c>
      <c r="E2356" s="622" t="s">
        <v>283</v>
      </c>
      <c r="F2356" s="622" t="s">
        <v>276</v>
      </c>
      <c r="G2356" s="622" t="s">
        <v>472</v>
      </c>
      <c r="H2356" s="622" t="s">
        <v>670</v>
      </c>
      <c r="I2356" s="622" t="s">
        <v>277</v>
      </c>
      <c r="J2356" s="622" t="s">
        <v>522</v>
      </c>
      <c r="K2356" s="622" t="s">
        <v>303</v>
      </c>
      <c r="L2356" s="622" t="s">
        <v>357</v>
      </c>
      <c r="M2356" s="622" t="s">
        <v>285</v>
      </c>
      <c r="N2356" s="622" t="s">
        <v>670</v>
      </c>
      <c r="O2356" s="622" t="s">
        <v>670</v>
      </c>
      <c r="P2356" s="622" t="s">
        <v>522</v>
      </c>
      <c r="Q2356" s="622" t="s">
        <v>670</v>
      </c>
      <c r="R2356" s="623">
        <v>46056</v>
      </c>
      <c r="S2356" s="622" t="s">
        <v>670</v>
      </c>
      <c r="T2356" s="623">
        <v>46053</v>
      </c>
      <c r="U2356" s="624">
        <v>0</v>
      </c>
      <c r="V2356" s="625">
        <v>52.19</v>
      </c>
      <c r="W2356" s="260">
        <v>46023</v>
      </c>
    </row>
    <row r="2357" spans="1:23" hidden="1" x14ac:dyDescent="0.35">
      <c r="A2357" s="622" t="s">
        <v>526</v>
      </c>
      <c r="B2357" s="622" t="s">
        <v>159</v>
      </c>
      <c r="C2357" s="622" t="s">
        <v>286</v>
      </c>
      <c r="D2357" s="622" t="s">
        <v>341</v>
      </c>
      <c r="E2357" s="622" t="s">
        <v>288</v>
      </c>
      <c r="F2357" s="622" t="s">
        <v>276</v>
      </c>
      <c r="G2357" s="622" t="s">
        <v>472</v>
      </c>
      <c r="H2357" s="622" t="s">
        <v>670</v>
      </c>
      <c r="I2357" s="622" t="s">
        <v>277</v>
      </c>
      <c r="J2357" s="622" t="s">
        <v>522</v>
      </c>
      <c r="K2357" s="622" t="s">
        <v>289</v>
      </c>
      <c r="L2357" s="622" t="s">
        <v>357</v>
      </c>
      <c r="M2357" s="622" t="s">
        <v>285</v>
      </c>
      <c r="N2357" s="622" t="s">
        <v>670</v>
      </c>
      <c r="O2357" s="622" t="s">
        <v>670</v>
      </c>
      <c r="P2357" s="622" t="s">
        <v>522</v>
      </c>
      <c r="Q2357" s="622" t="s">
        <v>670</v>
      </c>
      <c r="R2357" s="623">
        <v>46055</v>
      </c>
      <c r="S2357" s="622" t="s">
        <v>670</v>
      </c>
      <c r="T2357" s="623">
        <v>46053</v>
      </c>
      <c r="U2357" s="624">
        <v>0</v>
      </c>
      <c r="V2357" s="625">
        <v>-1344.57</v>
      </c>
      <c r="W2357" s="260">
        <v>46023</v>
      </c>
    </row>
    <row r="2358" spans="1:23" hidden="1" x14ac:dyDescent="0.35">
      <c r="A2358" s="622" t="s">
        <v>526</v>
      </c>
      <c r="B2358" s="622" t="s">
        <v>159</v>
      </c>
      <c r="C2358" s="622" t="s">
        <v>286</v>
      </c>
      <c r="D2358" s="622" t="s">
        <v>341</v>
      </c>
      <c r="E2358" s="622" t="s">
        <v>288</v>
      </c>
      <c r="F2358" s="622" t="s">
        <v>276</v>
      </c>
      <c r="G2358" s="622" t="s">
        <v>472</v>
      </c>
      <c r="H2358" s="622" t="s">
        <v>670</v>
      </c>
      <c r="I2358" s="622" t="s">
        <v>277</v>
      </c>
      <c r="J2358" s="622" t="s">
        <v>522</v>
      </c>
      <c r="K2358" s="622" t="s">
        <v>289</v>
      </c>
      <c r="L2358" s="622" t="s">
        <v>357</v>
      </c>
      <c r="M2358" s="622" t="s">
        <v>285</v>
      </c>
      <c r="N2358" s="622" t="s">
        <v>670</v>
      </c>
      <c r="O2358" s="622" t="s">
        <v>670</v>
      </c>
      <c r="P2358" s="622" t="s">
        <v>522</v>
      </c>
      <c r="Q2358" s="622" t="s">
        <v>670</v>
      </c>
      <c r="R2358" s="623">
        <v>46055</v>
      </c>
      <c r="S2358" s="622" t="s">
        <v>670</v>
      </c>
      <c r="T2358" s="623">
        <v>46053</v>
      </c>
      <c r="U2358" s="624">
        <v>0</v>
      </c>
      <c r="V2358" s="625">
        <v>1344.57</v>
      </c>
      <c r="W2358" s="260">
        <v>46023</v>
      </c>
    </row>
    <row r="2359" spans="1:23" hidden="1" x14ac:dyDescent="0.35">
      <c r="A2359" s="622" t="s">
        <v>526</v>
      </c>
      <c r="B2359" s="622" t="s">
        <v>159</v>
      </c>
      <c r="C2359" s="622" t="s">
        <v>286</v>
      </c>
      <c r="D2359" s="622" t="s">
        <v>341</v>
      </c>
      <c r="E2359" s="622" t="s">
        <v>288</v>
      </c>
      <c r="F2359" s="622" t="s">
        <v>276</v>
      </c>
      <c r="G2359" s="622" t="s">
        <v>472</v>
      </c>
      <c r="H2359" s="622" t="s">
        <v>670</v>
      </c>
      <c r="I2359" s="622" t="s">
        <v>277</v>
      </c>
      <c r="J2359" s="622" t="s">
        <v>522</v>
      </c>
      <c r="K2359" s="622" t="s">
        <v>289</v>
      </c>
      <c r="L2359" s="622" t="s">
        <v>357</v>
      </c>
      <c r="M2359" s="622" t="s">
        <v>285</v>
      </c>
      <c r="N2359" s="622" t="s">
        <v>670</v>
      </c>
      <c r="O2359" s="622" t="s">
        <v>670</v>
      </c>
      <c r="P2359" s="622" t="s">
        <v>522</v>
      </c>
      <c r="Q2359" s="622" t="s">
        <v>670</v>
      </c>
      <c r="R2359" s="623">
        <v>46055</v>
      </c>
      <c r="S2359" s="622" t="s">
        <v>670</v>
      </c>
      <c r="T2359" s="623">
        <v>46053</v>
      </c>
      <c r="U2359" s="624">
        <v>0</v>
      </c>
      <c r="V2359" s="625">
        <v>1344.57</v>
      </c>
      <c r="W2359" s="260">
        <v>46023</v>
      </c>
    </row>
    <row r="2360" spans="1:23" hidden="1" x14ac:dyDescent="0.35">
      <c r="A2360" s="622" t="s">
        <v>526</v>
      </c>
      <c r="B2360" s="622" t="s">
        <v>159</v>
      </c>
      <c r="C2360" s="622" t="s">
        <v>298</v>
      </c>
      <c r="D2360" s="622" t="s">
        <v>341</v>
      </c>
      <c r="E2360" s="622" t="s">
        <v>288</v>
      </c>
      <c r="F2360" s="622" t="s">
        <v>276</v>
      </c>
      <c r="G2360" s="622" t="s">
        <v>472</v>
      </c>
      <c r="H2360" s="622" t="s">
        <v>670</v>
      </c>
      <c r="I2360" s="622" t="s">
        <v>277</v>
      </c>
      <c r="J2360" s="622" t="s">
        <v>522</v>
      </c>
      <c r="K2360" s="622" t="s">
        <v>301</v>
      </c>
      <c r="L2360" s="622" t="s">
        <v>357</v>
      </c>
      <c r="M2360" s="622" t="s">
        <v>285</v>
      </c>
      <c r="N2360" s="622" t="s">
        <v>670</v>
      </c>
      <c r="O2360" s="622" t="s">
        <v>670</v>
      </c>
      <c r="P2360" s="622" t="s">
        <v>522</v>
      </c>
      <c r="Q2360" s="622" t="s">
        <v>670</v>
      </c>
      <c r="R2360" s="623">
        <v>46056</v>
      </c>
      <c r="S2360" s="622" t="s">
        <v>670</v>
      </c>
      <c r="T2360" s="623">
        <v>46053</v>
      </c>
      <c r="U2360" s="624">
        <v>0</v>
      </c>
      <c r="V2360" s="625">
        <v>26.28</v>
      </c>
      <c r="W2360" s="260">
        <v>46023</v>
      </c>
    </row>
    <row r="2361" spans="1:23" hidden="1" x14ac:dyDescent="0.35">
      <c r="A2361" s="622" t="s">
        <v>526</v>
      </c>
      <c r="B2361" s="622" t="s">
        <v>159</v>
      </c>
      <c r="C2361" s="622" t="s">
        <v>298</v>
      </c>
      <c r="D2361" s="622" t="s">
        <v>341</v>
      </c>
      <c r="E2361" s="622" t="s">
        <v>288</v>
      </c>
      <c r="F2361" s="622" t="s">
        <v>276</v>
      </c>
      <c r="G2361" s="622" t="s">
        <v>472</v>
      </c>
      <c r="H2361" s="622" t="s">
        <v>670</v>
      </c>
      <c r="I2361" s="622" t="s">
        <v>277</v>
      </c>
      <c r="J2361" s="622" t="s">
        <v>522</v>
      </c>
      <c r="K2361" s="622" t="s">
        <v>301</v>
      </c>
      <c r="L2361" s="622" t="s">
        <v>357</v>
      </c>
      <c r="M2361" s="622" t="s">
        <v>285</v>
      </c>
      <c r="N2361" s="622" t="s">
        <v>670</v>
      </c>
      <c r="O2361" s="622" t="s">
        <v>670</v>
      </c>
      <c r="P2361" s="622" t="s">
        <v>522</v>
      </c>
      <c r="Q2361" s="622" t="s">
        <v>670</v>
      </c>
      <c r="R2361" s="623">
        <v>46056</v>
      </c>
      <c r="S2361" s="622" t="s">
        <v>670</v>
      </c>
      <c r="T2361" s="623">
        <v>46053</v>
      </c>
      <c r="U2361" s="624">
        <v>0</v>
      </c>
      <c r="V2361" s="625">
        <v>18.559999999999999</v>
      </c>
      <c r="W2361" s="260">
        <v>46023</v>
      </c>
    </row>
    <row r="2362" spans="1:23" hidden="1" x14ac:dyDescent="0.35">
      <c r="A2362" s="622" t="s">
        <v>526</v>
      </c>
      <c r="B2362" s="622" t="s">
        <v>159</v>
      </c>
      <c r="C2362" s="622" t="s">
        <v>302</v>
      </c>
      <c r="D2362" s="622" t="s">
        <v>341</v>
      </c>
      <c r="E2362" s="622" t="s">
        <v>288</v>
      </c>
      <c r="F2362" s="622" t="s">
        <v>276</v>
      </c>
      <c r="G2362" s="622" t="s">
        <v>472</v>
      </c>
      <c r="H2362" s="622" t="s">
        <v>670</v>
      </c>
      <c r="I2362" s="622" t="s">
        <v>277</v>
      </c>
      <c r="J2362" s="622" t="s">
        <v>522</v>
      </c>
      <c r="K2362" s="622" t="s">
        <v>303</v>
      </c>
      <c r="L2362" s="622" t="s">
        <v>357</v>
      </c>
      <c r="M2362" s="622" t="s">
        <v>285</v>
      </c>
      <c r="N2362" s="622" t="s">
        <v>670</v>
      </c>
      <c r="O2362" s="622" t="s">
        <v>670</v>
      </c>
      <c r="P2362" s="622" t="s">
        <v>522</v>
      </c>
      <c r="Q2362" s="622" t="s">
        <v>670</v>
      </c>
      <c r="R2362" s="623">
        <v>46056</v>
      </c>
      <c r="S2362" s="622" t="s">
        <v>670</v>
      </c>
      <c r="T2362" s="623">
        <v>46053</v>
      </c>
      <c r="U2362" s="624">
        <v>0</v>
      </c>
      <c r="V2362" s="625">
        <v>210.74</v>
      </c>
      <c r="W2362" s="260">
        <v>46023</v>
      </c>
    </row>
    <row r="2363" spans="1:23" hidden="1" x14ac:dyDescent="0.35">
      <c r="A2363" s="622" t="s">
        <v>526</v>
      </c>
      <c r="B2363" s="622" t="s">
        <v>159</v>
      </c>
      <c r="C2363" s="622" t="s">
        <v>302</v>
      </c>
      <c r="D2363" s="622" t="s">
        <v>341</v>
      </c>
      <c r="E2363" s="622" t="s">
        <v>288</v>
      </c>
      <c r="F2363" s="622" t="s">
        <v>276</v>
      </c>
      <c r="G2363" s="622" t="s">
        <v>472</v>
      </c>
      <c r="H2363" s="622" t="s">
        <v>670</v>
      </c>
      <c r="I2363" s="622" t="s">
        <v>277</v>
      </c>
      <c r="J2363" s="622" t="s">
        <v>522</v>
      </c>
      <c r="K2363" s="622" t="s">
        <v>303</v>
      </c>
      <c r="L2363" s="622" t="s">
        <v>357</v>
      </c>
      <c r="M2363" s="622" t="s">
        <v>285</v>
      </c>
      <c r="N2363" s="622" t="s">
        <v>670</v>
      </c>
      <c r="O2363" s="622" t="s">
        <v>670</v>
      </c>
      <c r="P2363" s="622" t="s">
        <v>522</v>
      </c>
      <c r="Q2363" s="622" t="s">
        <v>670</v>
      </c>
      <c r="R2363" s="623">
        <v>46056</v>
      </c>
      <c r="S2363" s="622" t="s">
        <v>670</v>
      </c>
      <c r="T2363" s="623">
        <v>46053</v>
      </c>
      <c r="U2363" s="624">
        <v>0</v>
      </c>
      <c r="V2363" s="625">
        <v>148.80000000000001</v>
      </c>
      <c r="W2363" s="260">
        <v>46023</v>
      </c>
    </row>
    <row r="2364" spans="1:23" hidden="1" x14ac:dyDescent="0.35">
      <c r="A2364" s="622" t="s">
        <v>526</v>
      </c>
      <c r="B2364" s="622" t="s">
        <v>159</v>
      </c>
      <c r="C2364" s="622" t="s">
        <v>281</v>
      </c>
      <c r="D2364" s="622" t="s">
        <v>342</v>
      </c>
      <c r="E2364" s="622" t="s">
        <v>291</v>
      </c>
      <c r="F2364" s="622" t="s">
        <v>276</v>
      </c>
      <c r="G2364" s="622" t="s">
        <v>472</v>
      </c>
      <c r="H2364" s="622" t="s">
        <v>670</v>
      </c>
      <c r="I2364" s="622" t="s">
        <v>277</v>
      </c>
      <c r="J2364" s="622" t="s">
        <v>522</v>
      </c>
      <c r="K2364" s="622" t="s">
        <v>284</v>
      </c>
      <c r="L2364" s="622" t="s">
        <v>357</v>
      </c>
      <c r="M2364" s="622" t="s">
        <v>285</v>
      </c>
      <c r="N2364" s="622" t="s">
        <v>670</v>
      </c>
      <c r="O2364" s="622" t="s">
        <v>670</v>
      </c>
      <c r="P2364" s="622" t="s">
        <v>522</v>
      </c>
      <c r="Q2364" s="622" t="s">
        <v>670</v>
      </c>
      <c r="R2364" s="623">
        <v>46055</v>
      </c>
      <c r="S2364" s="622" t="s">
        <v>670</v>
      </c>
      <c r="T2364" s="623">
        <v>46053</v>
      </c>
      <c r="U2364" s="624">
        <v>0</v>
      </c>
      <c r="V2364" s="625">
        <v>-123.81</v>
      </c>
      <c r="W2364" s="260">
        <v>46023</v>
      </c>
    </row>
    <row r="2365" spans="1:23" hidden="1" x14ac:dyDescent="0.35">
      <c r="A2365" s="622" t="s">
        <v>526</v>
      </c>
      <c r="B2365" s="622" t="s">
        <v>159</v>
      </c>
      <c r="C2365" s="622" t="s">
        <v>281</v>
      </c>
      <c r="D2365" s="622" t="s">
        <v>342</v>
      </c>
      <c r="E2365" s="622" t="s">
        <v>291</v>
      </c>
      <c r="F2365" s="622" t="s">
        <v>276</v>
      </c>
      <c r="G2365" s="622" t="s">
        <v>472</v>
      </c>
      <c r="H2365" s="622" t="s">
        <v>670</v>
      </c>
      <c r="I2365" s="622" t="s">
        <v>277</v>
      </c>
      <c r="J2365" s="622" t="s">
        <v>522</v>
      </c>
      <c r="K2365" s="622" t="s">
        <v>284</v>
      </c>
      <c r="L2365" s="622" t="s">
        <v>357</v>
      </c>
      <c r="M2365" s="622" t="s">
        <v>285</v>
      </c>
      <c r="N2365" s="622" t="s">
        <v>670</v>
      </c>
      <c r="O2365" s="622" t="s">
        <v>670</v>
      </c>
      <c r="P2365" s="622" t="s">
        <v>522</v>
      </c>
      <c r="Q2365" s="622" t="s">
        <v>670</v>
      </c>
      <c r="R2365" s="623">
        <v>46055</v>
      </c>
      <c r="S2365" s="622" t="s">
        <v>670</v>
      </c>
      <c r="T2365" s="623">
        <v>46053</v>
      </c>
      <c r="U2365" s="624">
        <v>0</v>
      </c>
      <c r="V2365" s="625">
        <v>123.81</v>
      </c>
      <c r="W2365" s="260">
        <v>46023</v>
      </c>
    </row>
    <row r="2366" spans="1:23" hidden="1" x14ac:dyDescent="0.35">
      <c r="A2366" s="622" t="s">
        <v>526</v>
      </c>
      <c r="B2366" s="622" t="s">
        <v>159</v>
      </c>
      <c r="C2366" s="622" t="s">
        <v>281</v>
      </c>
      <c r="D2366" s="622" t="s">
        <v>342</v>
      </c>
      <c r="E2366" s="622" t="s">
        <v>291</v>
      </c>
      <c r="F2366" s="622" t="s">
        <v>276</v>
      </c>
      <c r="G2366" s="622" t="s">
        <v>472</v>
      </c>
      <c r="H2366" s="622" t="s">
        <v>670</v>
      </c>
      <c r="I2366" s="622" t="s">
        <v>277</v>
      </c>
      <c r="J2366" s="622" t="s">
        <v>522</v>
      </c>
      <c r="K2366" s="622" t="s">
        <v>284</v>
      </c>
      <c r="L2366" s="622" t="s">
        <v>357</v>
      </c>
      <c r="M2366" s="622" t="s">
        <v>285</v>
      </c>
      <c r="N2366" s="622" t="s">
        <v>670</v>
      </c>
      <c r="O2366" s="622" t="s">
        <v>670</v>
      </c>
      <c r="P2366" s="622" t="s">
        <v>522</v>
      </c>
      <c r="Q2366" s="622" t="s">
        <v>670</v>
      </c>
      <c r="R2366" s="623">
        <v>46055</v>
      </c>
      <c r="S2366" s="622" t="s">
        <v>670</v>
      </c>
      <c r="T2366" s="623">
        <v>46053</v>
      </c>
      <c r="U2366" s="624">
        <v>0</v>
      </c>
      <c r="V2366" s="625">
        <v>123.81</v>
      </c>
      <c r="W2366" s="260">
        <v>46023</v>
      </c>
    </row>
    <row r="2367" spans="1:23" hidden="1" x14ac:dyDescent="0.35">
      <c r="A2367" s="622" t="s">
        <v>526</v>
      </c>
      <c r="B2367" s="622" t="s">
        <v>159</v>
      </c>
      <c r="C2367" s="622" t="s">
        <v>298</v>
      </c>
      <c r="D2367" s="622" t="s">
        <v>342</v>
      </c>
      <c r="E2367" s="622" t="s">
        <v>291</v>
      </c>
      <c r="F2367" s="622" t="s">
        <v>276</v>
      </c>
      <c r="G2367" s="622" t="s">
        <v>472</v>
      </c>
      <c r="H2367" s="622" t="s">
        <v>670</v>
      </c>
      <c r="I2367" s="622" t="s">
        <v>277</v>
      </c>
      <c r="J2367" s="622" t="s">
        <v>522</v>
      </c>
      <c r="K2367" s="622" t="s">
        <v>301</v>
      </c>
      <c r="L2367" s="622" t="s">
        <v>357</v>
      </c>
      <c r="M2367" s="622" t="s">
        <v>285</v>
      </c>
      <c r="N2367" s="622" t="s">
        <v>670</v>
      </c>
      <c r="O2367" s="622" t="s">
        <v>670</v>
      </c>
      <c r="P2367" s="622" t="s">
        <v>522</v>
      </c>
      <c r="Q2367" s="622" t="s">
        <v>670</v>
      </c>
      <c r="R2367" s="623">
        <v>46056</v>
      </c>
      <c r="S2367" s="622" t="s">
        <v>670</v>
      </c>
      <c r="T2367" s="623">
        <v>46053</v>
      </c>
      <c r="U2367" s="624">
        <v>0</v>
      </c>
      <c r="V2367" s="625">
        <v>5.83</v>
      </c>
      <c r="W2367" s="260">
        <v>46023</v>
      </c>
    </row>
    <row r="2368" spans="1:23" hidden="1" x14ac:dyDescent="0.35">
      <c r="A2368" s="622" t="s">
        <v>526</v>
      </c>
      <c r="B2368" s="622" t="s">
        <v>159</v>
      </c>
      <c r="C2368" s="622" t="s">
        <v>298</v>
      </c>
      <c r="D2368" s="622" t="s">
        <v>342</v>
      </c>
      <c r="E2368" s="622" t="s">
        <v>291</v>
      </c>
      <c r="F2368" s="622" t="s">
        <v>276</v>
      </c>
      <c r="G2368" s="622" t="s">
        <v>472</v>
      </c>
      <c r="H2368" s="622" t="s">
        <v>670</v>
      </c>
      <c r="I2368" s="622" t="s">
        <v>277</v>
      </c>
      <c r="J2368" s="622" t="s">
        <v>522</v>
      </c>
      <c r="K2368" s="622" t="s">
        <v>301</v>
      </c>
      <c r="L2368" s="622" t="s">
        <v>357</v>
      </c>
      <c r="M2368" s="622" t="s">
        <v>285</v>
      </c>
      <c r="N2368" s="622" t="s">
        <v>670</v>
      </c>
      <c r="O2368" s="622" t="s">
        <v>670</v>
      </c>
      <c r="P2368" s="622" t="s">
        <v>522</v>
      </c>
      <c r="Q2368" s="622" t="s">
        <v>670</v>
      </c>
      <c r="R2368" s="623">
        <v>46056</v>
      </c>
      <c r="S2368" s="622" t="s">
        <v>670</v>
      </c>
      <c r="T2368" s="623">
        <v>46053</v>
      </c>
      <c r="U2368" s="624">
        <v>0</v>
      </c>
      <c r="V2368" s="625">
        <v>1.71</v>
      </c>
      <c r="W2368" s="260">
        <v>46023</v>
      </c>
    </row>
    <row r="2369" spans="1:23" hidden="1" x14ac:dyDescent="0.35">
      <c r="A2369" s="622" t="s">
        <v>526</v>
      </c>
      <c r="B2369" s="622" t="s">
        <v>159</v>
      </c>
      <c r="C2369" s="622" t="s">
        <v>302</v>
      </c>
      <c r="D2369" s="622" t="s">
        <v>342</v>
      </c>
      <c r="E2369" s="622" t="s">
        <v>291</v>
      </c>
      <c r="F2369" s="622" t="s">
        <v>276</v>
      </c>
      <c r="G2369" s="622" t="s">
        <v>472</v>
      </c>
      <c r="H2369" s="622" t="s">
        <v>670</v>
      </c>
      <c r="I2369" s="622" t="s">
        <v>277</v>
      </c>
      <c r="J2369" s="622" t="s">
        <v>522</v>
      </c>
      <c r="K2369" s="622" t="s">
        <v>303</v>
      </c>
      <c r="L2369" s="622" t="s">
        <v>357</v>
      </c>
      <c r="M2369" s="622" t="s">
        <v>285</v>
      </c>
      <c r="N2369" s="622" t="s">
        <v>670</v>
      </c>
      <c r="O2369" s="622" t="s">
        <v>670</v>
      </c>
      <c r="P2369" s="622" t="s">
        <v>522</v>
      </c>
      <c r="Q2369" s="622" t="s">
        <v>670</v>
      </c>
      <c r="R2369" s="623">
        <v>46056</v>
      </c>
      <c r="S2369" s="622" t="s">
        <v>670</v>
      </c>
      <c r="T2369" s="623">
        <v>46053</v>
      </c>
      <c r="U2369" s="624">
        <v>0</v>
      </c>
      <c r="V2369" s="625">
        <v>46.78</v>
      </c>
      <c r="W2369" s="260">
        <v>46023</v>
      </c>
    </row>
    <row r="2370" spans="1:23" hidden="1" x14ac:dyDescent="0.35">
      <c r="A2370" s="622" t="s">
        <v>526</v>
      </c>
      <c r="B2370" s="622" t="s">
        <v>159</v>
      </c>
      <c r="C2370" s="622" t="s">
        <v>302</v>
      </c>
      <c r="D2370" s="622" t="s">
        <v>342</v>
      </c>
      <c r="E2370" s="622" t="s">
        <v>291</v>
      </c>
      <c r="F2370" s="622" t="s">
        <v>276</v>
      </c>
      <c r="G2370" s="622" t="s">
        <v>472</v>
      </c>
      <c r="H2370" s="622" t="s">
        <v>670</v>
      </c>
      <c r="I2370" s="622" t="s">
        <v>277</v>
      </c>
      <c r="J2370" s="622" t="s">
        <v>522</v>
      </c>
      <c r="K2370" s="622" t="s">
        <v>303</v>
      </c>
      <c r="L2370" s="622" t="s">
        <v>357</v>
      </c>
      <c r="M2370" s="622" t="s">
        <v>285</v>
      </c>
      <c r="N2370" s="622" t="s">
        <v>670</v>
      </c>
      <c r="O2370" s="622" t="s">
        <v>670</v>
      </c>
      <c r="P2370" s="622" t="s">
        <v>522</v>
      </c>
      <c r="Q2370" s="622" t="s">
        <v>670</v>
      </c>
      <c r="R2370" s="623">
        <v>46056</v>
      </c>
      <c r="S2370" s="622" t="s">
        <v>670</v>
      </c>
      <c r="T2370" s="623">
        <v>46053</v>
      </c>
      <c r="U2370" s="624">
        <v>0</v>
      </c>
      <c r="V2370" s="625">
        <v>13.7</v>
      </c>
      <c r="W2370" s="260">
        <v>46023</v>
      </c>
    </row>
    <row r="2371" spans="1:23" hidden="1" x14ac:dyDescent="0.35">
      <c r="A2371" s="622" t="s">
        <v>526</v>
      </c>
      <c r="B2371" s="622" t="s">
        <v>159</v>
      </c>
      <c r="C2371" s="622" t="s">
        <v>281</v>
      </c>
      <c r="D2371" s="622" t="s">
        <v>343</v>
      </c>
      <c r="E2371" s="622" t="s">
        <v>293</v>
      </c>
      <c r="F2371" s="622" t="s">
        <v>276</v>
      </c>
      <c r="G2371" s="622" t="s">
        <v>472</v>
      </c>
      <c r="H2371" s="622" t="s">
        <v>670</v>
      </c>
      <c r="I2371" s="622" t="s">
        <v>277</v>
      </c>
      <c r="J2371" s="622" t="s">
        <v>522</v>
      </c>
      <c r="K2371" s="622" t="s">
        <v>294</v>
      </c>
      <c r="L2371" s="622" t="s">
        <v>357</v>
      </c>
      <c r="M2371" s="622" t="s">
        <v>285</v>
      </c>
      <c r="N2371" s="622" t="s">
        <v>670</v>
      </c>
      <c r="O2371" s="622" t="s">
        <v>670</v>
      </c>
      <c r="P2371" s="622" t="s">
        <v>522</v>
      </c>
      <c r="Q2371" s="622" t="s">
        <v>670</v>
      </c>
      <c r="R2371" s="623">
        <v>46055</v>
      </c>
      <c r="S2371" s="622" t="s">
        <v>670</v>
      </c>
      <c r="T2371" s="623">
        <v>46053</v>
      </c>
      <c r="U2371" s="624">
        <v>0</v>
      </c>
      <c r="V2371" s="625">
        <v>16.68</v>
      </c>
      <c r="W2371" s="260">
        <v>46023</v>
      </c>
    </row>
    <row r="2372" spans="1:23" hidden="1" x14ac:dyDescent="0.35">
      <c r="A2372" s="622" t="s">
        <v>526</v>
      </c>
      <c r="B2372" s="622" t="s">
        <v>159</v>
      </c>
      <c r="C2372" s="622" t="s">
        <v>281</v>
      </c>
      <c r="D2372" s="622" t="s">
        <v>343</v>
      </c>
      <c r="E2372" s="622" t="s">
        <v>293</v>
      </c>
      <c r="F2372" s="622" t="s">
        <v>276</v>
      </c>
      <c r="G2372" s="622" t="s">
        <v>472</v>
      </c>
      <c r="H2372" s="622" t="s">
        <v>670</v>
      </c>
      <c r="I2372" s="622" t="s">
        <v>277</v>
      </c>
      <c r="J2372" s="622" t="s">
        <v>522</v>
      </c>
      <c r="K2372" s="622" t="s">
        <v>294</v>
      </c>
      <c r="L2372" s="622" t="s">
        <v>357</v>
      </c>
      <c r="M2372" s="622" t="s">
        <v>285</v>
      </c>
      <c r="N2372" s="622" t="s">
        <v>670</v>
      </c>
      <c r="O2372" s="622" t="s">
        <v>670</v>
      </c>
      <c r="P2372" s="622" t="s">
        <v>522</v>
      </c>
      <c r="Q2372" s="622" t="s">
        <v>670</v>
      </c>
      <c r="R2372" s="623">
        <v>46055</v>
      </c>
      <c r="S2372" s="622" t="s">
        <v>670</v>
      </c>
      <c r="T2372" s="623">
        <v>46053</v>
      </c>
      <c r="U2372" s="624">
        <v>0</v>
      </c>
      <c r="V2372" s="625">
        <v>-16.68</v>
      </c>
      <c r="W2372" s="260">
        <v>46023</v>
      </c>
    </row>
    <row r="2373" spans="1:23" hidden="1" x14ac:dyDescent="0.35">
      <c r="A2373" s="622" t="s">
        <v>526</v>
      </c>
      <c r="B2373" s="622" t="s">
        <v>159</v>
      </c>
      <c r="C2373" s="622" t="s">
        <v>281</v>
      </c>
      <c r="D2373" s="622" t="s">
        <v>343</v>
      </c>
      <c r="E2373" s="622" t="s">
        <v>293</v>
      </c>
      <c r="F2373" s="622" t="s">
        <v>276</v>
      </c>
      <c r="G2373" s="622" t="s">
        <v>472</v>
      </c>
      <c r="H2373" s="622" t="s">
        <v>670</v>
      </c>
      <c r="I2373" s="622" t="s">
        <v>277</v>
      </c>
      <c r="J2373" s="622" t="s">
        <v>522</v>
      </c>
      <c r="K2373" s="622" t="s">
        <v>294</v>
      </c>
      <c r="L2373" s="622" t="s">
        <v>357</v>
      </c>
      <c r="M2373" s="622" t="s">
        <v>285</v>
      </c>
      <c r="N2373" s="622" t="s">
        <v>670</v>
      </c>
      <c r="O2373" s="622" t="s">
        <v>670</v>
      </c>
      <c r="P2373" s="622" t="s">
        <v>522</v>
      </c>
      <c r="Q2373" s="622" t="s">
        <v>670</v>
      </c>
      <c r="R2373" s="623">
        <v>46055</v>
      </c>
      <c r="S2373" s="622" t="s">
        <v>670</v>
      </c>
      <c r="T2373" s="623">
        <v>46053</v>
      </c>
      <c r="U2373" s="624">
        <v>0</v>
      </c>
      <c r="V2373" s="625">
        <v>-16.68</v>
      </c>
      <c r="W2373" s="260">
        <v>46023</v>
      </c>
    </row>
    <row r="2374" spans="1:23" hidden="1" x14ac:dyDescent="0.35">
      <c r="A2374" s="622" t="s">
        <v>526</v>
      </c>
      <c r="B2374" s="622" t="s">
        <v>159</v>
      </c>
      <c r="C2374" s="622" t="s">
        <v>298</v>
      </c>
      <c r="D2374" s="622" t="s">
        <v>343</v>
      </c>
      <c r="E2374" s="622" t="s">
        <v>293</v>
      </c>
      <c r="F2374" s="622" t="s">
        <v>276</v>
      </c>
      <c r="G2374" s="622" t="s">
        <v>472</v>
      </c>
      <c r="H2374" s="622" t="s">
        <v>670</v>
      </c>
      <c r="I2374" s="622" t="s">
        <v>277</v>
      </c>
      <c r="J2374" s="622" t="s">
        <v>522</v>
      </c>
      <c r="K2374" s="622" t="s">
        <v>301</v>
      </c>
      <c r="L2374" s="622" t="s">
        <v>357</v>
      </c>
      <c r="M2374" s="622" t="s">
        <v>285</v>
      </c>
      <c r="N2374" s="622" t="s">
        <v>670</v>
      </c>
      <c r="O2374" s="622" t="s">
        <v>670</v>
      </c>
      <c r="P2374" s="622" t="s">
        <v>522</v>
      </c>
      <c r="Q2374" s="622" t="s">
        <v>670</v>
      </c>
      <c r="R2374" s="623">
        <v>46056</v>
      </c>
      <c r="S2374" s="622" t="s">
        <v>670</v>
      </c>
      <c r="T2374" s="623">
        <v>46053</v>
      </c>
      <c r="U2374" s="624">
        <v>0</v>
      </c>
      <c r="V2374" s="625">
        <v>2.97</v>
      </c>
      <c r="W2374" s="260">
        <v>46023</v>
      </c>
    </row>
    <row r="2375" spans="1:23" hidden="1" x14ac:dyDescent="0.35">
      <c r="A2375" s="622" t="s">
        <v>526</v>
      </c>
      <c r="B2375" s="622" t="s">
        <v>159</v>
      </c>
      <c r="C2375" s="622" t="s">
        <v>298</v>
      </c>
      <c r="D2375" s="622" t="s">
        <v>343</v>
      </c>
      <c r="E2375" s="622" t="s">
        <v>293</v>
      </c>
      <c r="F2375" s="622" t="s">
        <v>276</v>
      </c>
      <c r="G2375" s="622" t="s">
        <v>472</v>
      </c>
      <c r="H2375" s="622" t="s">
        <v>670</v>
      </c>
      <c r="I2375" s="622" t="s">
        <v>277</v>
      </c>
      <c r="J2375" s="622" t="s">
        <v>522</v>
      </c>
      <c r="K2375" s="622" t="s">
        <v>301</v>
      </c>
      <c r="L2375" s="622" t="s">
        <v>357</v>
      </c>
      <c r="M2375" s="622" t="s">
        <v>285</v>
      </c>
      <c r="N2375" s="622" t="s">
        <v>670</v>
      </c>
      <c r="O2375" s="622" t="s">
        <v>670</v>
      </c>
      <c r="P2375" s="622" t="s">
        <v>522</v>
      </c>
      <c r="Q2375" s="622" t="s">
        <v>670</v>
      </c>
      <c r="R2375" s="623">
        <v>46056</v>
      </c>
      <c r="S2375" s="622" t="s">
        <v>670</v>
      </c>
      <c r="T2375" s="623">
        <v>46053</v>
      </c>
      <c r="U2375" s="624">
        <v>0</v>
      </c>
      <c r="V2375" s="625">
        <v>-0.23</v>
      </c>
      <c r="W2375" s="260">
        <v>46023</v>
      </c>
    </row>
    <row r="2376" spans="1:23" hidden="1" x14ac:dyDescent="0.35">
      <c r="A2376" s="622" t="s">
        <v>526</v>
      </c>
      <c r="B2376" s="622" t="s">
        <v>159</v>
      </c>
      <c r="C2376" s="622" t="s">
        <v>302</v>
      </c>
      <c r="D2376" s="622" t="s">
        <v>343</v>
      </c>
      <c r="E2376" s="622" t="s">
        <v>293</v>
      </c>
      <c r="F2376" s="622" t="s">
        <v>276</v>
      </c>
      <c r="G2376" s="622" t="s">
        <v>472</v>
      </c>
      <c r="H2376" s="622" t="s">
        <v>670</v>
      </c>
      <c r="I2376" s="622" t="s">
        <v>277</v>
      </c>
      <c r="J2376" s="622" t="s">
        <v>522</v>
      </c>
      <c r="K2376" s="622" t="s">
        <v>303</v>
      </c>
      <c r="L2376" s="622" t="s">
        <v>357</v>
      </c>
      <c r="M2376" s="622" t="s">
        <v>285</v>
      </c>
      <c r="N2376" s="622" t="s">
        <v>670</v>
      </c>
      <c r="O2376" s="622" t="s">
        <v>670</v>
      </c>
      <c r="P2376" s="622" t="s">
        <v>522</v>
      </c>
      <c r="Q2376" s="622" t="s">
        <v>670</v>
      </c>
      <c r="R2376" s="623">
        <v>46056</v>
      </c>
      <c r="S2376" s="622" t="s">
        <v>670</v>
      </c>
      <c r="T2376" s="623">
        <v>46053</v>
      </c>
      <c r="U2376" s="624">
        <v>0</v>
      </c>
      <c r="V2376" s="625">
        <v>23.84</v>
      </c>
      <c r="W2376" s="260">
        <v>46023</v>
      </c>
    </row>
    <row r="2377" spans="1:23" hidden="1" x14ac:dyDescent="0.35">
      <c r="A2377" s="622" t="s">
        <v>526</v>
      </c>
      <c r="B2377" s="622" t="s">
        <v>159</v>
      </c>
      <c r="C2377" s="622" t="s">
        <v>302</v>
      </c>
      <c r="D2377" s="622" t="s">
        <v>343</v>
      </c>
      <c r="E2377" s="622" t="s">
        <v>293</v>
      </c>
      <c r="F2377" s="622" t="s">
        <v>276</v>
      </c>
      <c r="G2377" s="622" t="s">
        <v>472</v>
      </c>
      <c r="H2377" s="622" t="s">
        <v>670</v>
      </c>
      <c r="I2377" s="622" t="s">
        <v>277</v>
      </c>
      <c r="J2377" s="622" t="s">
        <v>522</v>
      </c>
      <c r="K2377" s="622" t="s">
        <v>303</v>
      </c>
      <c r="L2377" s="622" t="s">
        <v>357</v>
      </c>
      <c r="M2377" s="622" t="s">
        <v>285</v>
      </c>
      <c r="N2377" s="622" t="s">
        <v>670</v>
      </c>
      <c r="O2377" s="622" t="s">
        <v>670</v>
      </c>
      <c r="P2377" s="622" t="s">
        <v>522</v>
      </c>
      <c r="Q2377" s="622" t="s">
        <v>670</v>
      </c>
      <c r="R2377" s="623">
        <v>46056</v>
      </c>
      <c r="S2377" s="622" t="s">
        <v>670</v>
      </c>
      <c r="T2377" s="623">
        <v>46053</v>
      </c>
      <c r="U2377" s="624">
        <v>0</v>
      </c>
      <c r="V2377" s="625">
        <v>-1.85</v>
      </c>
      <c r="W2377" s="260">
        <v>46023</v>
      </c>
    </row>
    <row r="2378" spans="1:23" hidden="1" x14ac:dyDescent="0.35">
      <c r="A2378" s="622" t="s">
        <v>526</v>
      </c>
      <c r="B2378" s="622" t="s">
        <v>159</v>
      </c>
      <c r="C2378" s="622" t="s">
        <v>286</v>
      </c>
      <c r="D2378" s="622" t="s">
        <v>344</v>
      </c>
      <c r="E2378" s="622" t="s">
        <v>296</v>
      </c>
      <c r="F2378" s="622" t="s">
        <v>276</v>
      </c>
      <c r="G2378" s="622" t="s">
        <v>472</v>
      </c>
      <c r="H2378" s="622" t="s">
        <v>670</v>
      </c>
      <c r="I2378" s="622" t="s">
        <v>277</v>
      </c>
      <c r="J2378" s="622" t="s">
        <v>522</v>
      </c>
      <c r="K2378" s="622" t="s">
        <v>297</v>
      </c>
      <c r="L2378" s="622" t="s">
        <v>357</v>
      </c>
      <c r="M2378" s="622" t="s">
        <v>285</v>
      </c>
      <c r="N2378" s="622" t="s">
        <v>670</v>
      </c>
      <c r="O2378" s="622" t="s">
        <v>670</v>
      </c>
      <c r="P2378" s="622" t="s">
        <v>522</v>
      </c>
      <c r="Q2378" s="622" t="s">
        <v>670</v>
      </c>
      <c r="R2378" s="623">
        <v>46055</v>
      </c>
      <c r="S2378" s="622" t="s">
        <v>670</v>
      </c>
      <c r="T2378" s="623">
        <v>46053</v>
      </c>
      <c r="U2378" s="624">
        <v>0</v>
      </c>
      <c r="V2378" s="625">
        <v>-283.07</v>
      </c>
      <c r="W2378" s="260">
        <v>46023</v>
      </c>
    </row>
    <row r="2379" spans="1:23" hidden="1" x14ac:dyDescent="0.35">
      <c r="A2379" s="622" t="s">
        <v>526</v>
      </c>
      <c r="B2379" s="622" t="s">
        <v>159</v>
      </c>
      <c r="C2379" s="622" t="s">
        <v>286</v>
      </c>
      <c r="D2379" s="622" t="s">
        <v>344</v>
      </c>
      <c r="E2379" s="622" t="s">
        <v>296</v>
      </c>
      <c r="F2379" s="622" t="s">
        <v>276</v>
      </c>
      <c r="G2379" s="622" t="s">
        <v>472</v>
      </c>
      <c r="H2379" s="622" t="s">
        <v>670</v>
      </c>
      <c r="I2379" s="622" t="s">
        <v>277</v>
      </c>
      <c r="J2379" s="622" t="s">
        <v>522</v>
      </c>
      <c r="K2379" s="622" t="s">
        <v>297</v>
      </c>
      <c r="L2379" s="622" t="s">
        <v>357</v>
      </c>
      <c r="M2379" s="622" t="s">
        <v>285</v>
      </c>
      <c r="N2379" s="622" t="s">
        <v>670</v>
      </c>
      <c r="O2379" s="622" t="s">
        <v>670</v>
      </c>
      <c r="P2379" s="622" t="s">
        <v>522</v>
      </c>
      <c r="Q2379" s="622" t="s">
        <v>670</v>
      </c>
      <c r="R2379" s="623">
        <v>46055</v>
      </c>
      <c r="S2379" s="622" t="s">
        <v>670</v>
      </c>
      <c r="T2379" s="623">
        <v>46053</v>
      </c>
      <c r="U2379" s="624">
        <v>0</v>
      </c>
      <c r="V2379" s="625">
        <v>283.07</v>
      </c>
      <c r="W2379" s="260">
        <v>46023</v>
      </c>
    </row>
    <row r="2380" spans="1:23" hidden="1" x14ac:dyDescent="0.35">
      <c r="A2380" s="622" t="s">
        <v>526</v>
      </c>
      <c r="B2380" s="622" t="s">
        <v>159</v>
      </c>
      <c r="C2380" s="622" t="s">
        <v>286</v>
      </c>
      <c r="D2380" s="622" t="s">
        <v>344</v>
      </c>
      <c r="E2380" s="622" t="s">
        <v>296</v>
      </c>
      <c r="F2380" s="622" t="s">
        <v>276</v>
      </c>
      <c r="G2380" s="622" t="s">
        <v>472</v>
      </c>
      <c r="H2380" s="622" t="s">
        <v>670</v>
      </c>
      <c r="I2380" s="622" t="s">
        <v>277</v>
      </c>
      <c r="J2380" s="622" t="s">
        <v>522</v>
      </c>
      <c r="K2380" s="622" t="s">
        <v>297</v>
      </c>
      <c r="L2380" s="622" t="s">
        <v>357</v>
      </c>
      <c r="M2380" s="622" t="s">
        <v>285</v>
      </c>
      <c r="N2380" s="622" t="s">
        <v>670</v>
      </c>
      <c r="O2380" s="622" t="s">
        <v>670</v>
      </c>
      <c r="P2380" s="622" t="s">
        <v>522</v>
      </c>
      <c r="Q2380" s="622" t="s">
        <v>670</v>
      </c>
      <c r="R2380" s="623">
        <v>46055</v>
      </c>
      <c r="S2380" s="622" t="s">
        <v>670</v>
      </c>
      <c r="T2380" s="623">
        <v>46053</v>
      </c>
      <c r="U2380" s="624">
        <v>0</v>
      </c>
      <c r="V2380" s="625">
        <v>283.07</v>
      </c>
      <c r="W2380" s="260">
        <v>46023</v>
      </c>
    </row>
    <row r="2381" spans="1:23" hidden="1" x14ac:dyDescent="0.35">
      <c r="A2381" s="622" t="s">
        <v>526</v>
      </c>
      <c r="B2381" s="622" t="s">
        <v>159</v>
      </c>
      <c r="C2381" s="622" t="s">
        <v>298</v>
      </c>
      <c r="D2381" s="622" t="s">
        <v>344</v>
      </c>
      <c r="E2381" s="622" t="s">
        <v>296</v>
      </c>
      <c r="F2381" s="622" t="s">
        <v>276</v>
      </c>
      <c r="G2381" s="622" t="s">
        <v>472</v>
      </c>
      <c r="H2381" s="622" t="s">
        <v>670</v>
      </c>
      <c r="I2381" s="622" t="s">
        <v>277</v>
      </c>
      <c r="J2381" s="622" t="s">
        <v>522</v>
      </c>
      <c r="K2381" s="622" t="s">
        <v>301</v>
      </c>
      <c r="L2381" s="622" t="s">
        <v>357</v>
      </c>
      <c r="M2381" s="622" t="s">
        <v>285</v>
      </c>
      <c r="N2381" s="622" t="s">
        <v>670</v>
      </c>
      <c r="O2381" s="622" t="s">
        <v>670</v>
      </c>
      <c r="P2381" s="622" t="s">
        <v>522</v>
      </c>
      <c r="Q2381" s="622" t="s">
        <v>670</v>
      </c>
      <c r="R2381" s="623">
        <v>46056</v>
      </c>
      <c r="S2381" s="622" t="s">
        <v>670</v>
      </c>
      <c r="T2381" s="623">
        <v>46053</v>
      </c>
      <c r="U2381" s="624">
        <v>0</v>
      </c>
      <c r="V2381" s="625">
        <v>11.97</v>
      </c>
      <c r="W2381" s="260">
        <v>46023</v>
      </c>
    </row>
    <row r="2382" spans="1:23" hidden="1" x14ac:dyDescent="0.35">
      <c r="A2382" s="622" t="s">
        <v>526</v>
      </c>
      <c r="B2382" s="622" t="s">
        <v>159</v>
      </c>
      <c r="C2382" s="622" t="s">
        <v>298</v>
      </c>
      <c r="D2382" s="622" t="s">
        <v>344</v>
      </c>
      <c r="E2382" s="622" t="s">
        <v>296</v>
      </c>
      <c r="F2382" s="622" t="s">
        <v>276</v>
      </c>
      <c r="G2382" s="622" t="s">
        <v>472</v>
      </c>
      <c r="H2382" s="622" t="s">
        <v>670</v>
      </c>
      <c r="I2382" s="622" t="s">
        <v>277</v>
      </c>
      <c r="J2382" s="622" t="s">
        <v>522</v>
      </c>
      <c r="K2382" s="622" t="s">
        <v>301</v>
      </c>
      <c r="L2382" s="622" t="s">
        <v>357</v>
      </c>
      <c r="M2382" s="622" t="s">
        <v>285</v>
      </c>
      <c r="N2382" s="622" t="s">
        <v>670</v>
      </c>
      <c r="O2382" s="622" t="s">
        <v>670</v>
      </c>
      <c r="P2382" s="622" t="s">
        <v>522</v>
      </c>
      <c r="Q2382" s="622" t="s">
        <v>670</v>
      </c>
      <c r="R2382" s="623">
        <v>46056</v>
      </c>
      <c r="S2382" s="622" t="s">
        <v>670</v>
      </c>
      <c r="T2382" s="623">
        <v>46053</v>
      </c>
      <c r="U2382" s="624">
        <v>0</v>
      </c>
      <c r="V2382" s="625">
        <v>3.91</v>
      </c>
      <c r="W2382" s="260">
        <v>46023</v>
      </c>
    </row>
    <row r="2383" spans="1:23" hidden="1" x14ac:dyDescent="0.35">
      <c r="A2383" s="622" t="s">
        <v>526</v>
      </c>
      <c r="B2383" s="622" t="s">
        <v>159</v>
      </c>
      <c r="C2383" s="622" t="s">
        <v>302</v>
      </c>
      <c r="D2383" s="622" t="s">
        <v>344</v>
      </c>
      <c r="E2383" s="622" t="s">
        <v>296</v>
      </c>
      <c r="F2383" s="622" t="s">
        <v>276</v>
      </c>
      <c r="G2383" s="622" t="s">
        <v>472</v>
      </c>
      <c r="H2383" s="622" t="s">
        <v>670</v>
      </c>
      <c r="I2383" s="622" t="s">
        <v>277</v>
      </c>
      <c r="J2383" s="622" t="s">
        <v>522</v>
      </c>
      <c r="K2383" s="622" t="s">
        <v>303</v>
      </c>
      <c r="L2383" s="622" t="s">
        <v>357</v>
      </c>
      <c r="M2383" s="622" t="s">
        <v>285</v>
      </c>
      <c r="N2383" s="622" t="s">
        <v>670</v>
      </c>
      <c r="O2383" s="622" t="s">
        <v>670</v>
      </c>
      <c r="P2383" s="622" t="s">
        <v>522</v>
      </c>
      <c r="Q2383" s="622" t="s">
        <v>670</v>
      </c>
      <c r="R2383" s="623">
        <v>46056</v>
      </c>
      <c r="S2383" s="622" t="s">
        <v>670</v>
      </c>
      <c r="T2383" s="623">
        <v>46053</v>
      </c>
      <c r="U2383" s="624">
        <v>0</v>
      </c>
      <c r="V2383" s="625">
        <v>95.97</v>
      </c>
      <c r="W2383" s="260">
        <v>46023</v>
      </c>
    </row>
    <row r="2384" spans="1:23" hidden="1" x14ac:dyDescent="0.35">
      <c r="A2384" s="622" t="s">
        <v>526</v>
      </c>
      <c r="B2384" s="622" t="s">
        <v>159</v>
      </c>
      <c r="C2384" s="622" t="s">
        <v>302</v>
      </c>
      <c r="D2384" s="622" t="s">
        <v>344</v>
      </c>
      <c r="E2384" s="622" t="s">
        <v>296</v>
      </c>
      <c r="F2384" s="622" t="s">
        <v>276</v>
      </c>
      <c r="G2384" s="622" t="s">
        <v>472</v>
      </c>
      <c r="H2384" s="622" t="s">
        <v>670</v>
      </c>
      <c r="I2384" s="622" t="s">
        <v>277</v>
      </c>
      <c r="J2384" s="622" t="s">
        <v>522</v>
      </c>
      <c r="K2384" s="622" t="s">
        <v>303</v>
      </c>
      <c r="L2384" s="622" t="s">
        <v>357</v>
      </c>
      <c r="M2384" s="622" t="s">
        <v>285</v>
      </c>
      <c r="N2384" s="622" t="s">
        <v>670</v>
      </c>
      <c r="O2384" s="622" t="s">
        <v>670</v>
      </c>
      <c r="P2384" s="622" t="s">
        <v>522</v>
      </c>
      <c r="Q2384" s="622" t="s">
        <v>670</v>
      </c>
      <c r="R2384" s="623">
        <v>46056</v>
      </c>
      <c r="S2384" s="622" t="s">
        <v>670</v>
      </c>
      <c r="T2384" s="623">
        <v>46053</v>
      </c>
      <c r="U2384" s="624">
        <v>0</v>
      </c>
      <c r="V2384" s="625">
        <v>31.33</v>
      </c>
      <c r="W2384" s="260">
        <v>46023</v>
      </c>
    </row>
    <row r="2385" spans="1:23" hidden="1" x14ac:dyDescent="0.35">
      <c r="A2385" s="622" t="s">
        <v>526</v>
      </c>
      <c r="B2385" s="622" t="s">
        <v>159</v>
      </c>
      <c r="C2385" s="622" t="s">
        <v>298</v>
      </c>
      <c r="D2385" s="622" t="s">
        <v>345</v>
      </c>
      <c r="E2385" s="622" t="s">
        <v>346</v>
      </c>
      <c r="F2385" s="622" t="s">
        <v>276</v>
      </c>
      <c r="G2385" s="622" t="s">
        <v>472</v>
      </c>
      <c r="H2385" s="622" t="s">
        <v>670</v>
      </c>
      <c r="I2385" s="622" t="s">
        <v>277</v>
      </c>
      <c r="J2385" s="622" t="s">
        <v>522</v>
      </c>
      <c r="K2385" s="622" t="s">
        <v>301</v>
      </c>
      <c r="L2385" s="622" t="s">
        <v>357</v>
      </c>
      <c r="M2385" s="622" t="s">
        <v>285</v>
      </c>
      <c r="N2385" s="622" t="s">
        <v>670</v>
      </c>
      <c r="O2385" s="622" t="s">
        <v>670</v>
      </c>
      <c r="P2385" s="622" t="s">
        <v>522</v>
      </c>
      <c r="Q2385" s="622" t="s">
        <v>670</v>
      </c>
      <c r="R2385" s="623">
        <v>46056</v>
      </c>
      <c r="S2385" s="622" t="s">
        <v>670</v>
      </c>
      <c r="T2385" s="623">
        <v>46053</v>
      </c>
      <c r="U2385" s="624">
        <v>0</v>
      </c>
      <c r="V2385" s="625">
        <v>-0.06</v>
      </c>
      <c r="W2385" s="260">
        <v>46023</v>
      </c>
    </row>
    <row r="2386" spans="1:23" hidden="1" x14ac:dyDescent="0.35">
      <c r="A2386" s="622" t="s">
        <v>526</v>
      </c>
      <c r="B2386" s="622" t="s">
        <v>159</v>
      </c>
      <c r="C2386" s="622" t="s">
        <v>298</v>
      </c>
      <c r="D2386" s="622" t="s">
        <v>347</v>
      </c>
      <c r="E2386" s="622" t="s">
        <v>348</v>
      </c>
      <c r="F2386" s="622" t="s">
        <v>276</v>
      </c>
      <c r="G2386" s="622" t="s">
        <v>472</v>
      </c>
      <c r="H2386" s="622" t="s">
        <v>670</v>
      </c>
      <c r="I2386" s="622" t="s">
        <v>277</v>
      </c>
      <c r="J2386" s="622" t="s">
        <v>522</v>
      </c>
      <c r="K2386" s="622" t="s">
        <v>301</v>
      </c>
      <c r="L2386" s="622" t="s">
        <v>357</v>
      </c>
      <c r="M2386" s="622" t="s">
        <v>285</v>
      </c>
      <c r="N2386" s="622" t="s">
        <v>670</v>
      </c>
      <c r="O2386" s="622" t="s">
        <v>670</v>
      </c>
      <c r="P2386" s="622" t="s">
        <v>522</v>
      </c>
      <c r="Q2386" s="622" t="s">
        <v>670</v>
      </c>
      <c r="R2386" s="623">
        <v>46056</v>
      </c>
      <c r="S2386" s="622" t="s">
        <v>670</v>
      </c>
      <c r="T2386" s="623">
        <v>46053</v>
      </c>
      <c r="U2386" s="624">
        <v>0</v>
      </c>
      <c r="V2386" s="625">
        <v>1.67</v>
      </c>
      <c r="W2386" s="260">
        <v>46023</v>
      </c>
    </row>
    <row r="2387" spans="1:23" hidden="1" x14ac:dyDescent="0.35">
      <c r="A2387" s="622" t="s">
        <v>526</v>
      </c>
      <c r="B2387" s="622" t="s">
        <v>159</v>
      </c>
      <c r="C2387" s="622" t="s">
        <v>298</v>
      </c>
      <c r="D2387" s="622" t="s">
        <v>347</v>
      </c>
      <c r="E2387" s="622" t="s">
        <v>348</v>
      </c>
      <c r="F2387" s="622" t="s">
        <v>276</v>
      </c>
      <c r="G2387" s="622" t="s">
        <v>472</v>
      </c>
      <c r="H2387" s="622" t="s">
        <v>670</v>
      </c>
      <c r="I2387" s="622" t="s">
        <v>277</v>
      </c>
      <c r="J2387" s="622" t="s">
        <v>522</v>
      </c>
      <c r="K2387" s="622" t="s">
        <v>301</v>
      </c>
      <c r="L2387" s="622" t="s">
        <v>357</v>
      </c>
      <c r="M2387" s="622" t="s">
        <v>285</v>
      </c>
      <c r="N2387" s="622" t="s">
        <v>670</v>
      </c>
      <c r="O2387" s="622" t="s">
        <v>670</v>
      </c>
      <c r="P2387" s="622" t="s">
        <v>522</v>
      </c>
      <c r="Q2387" s="622" t="s">
        <v>670</v>
      </c>
      <c r="R2387" s="623">
        <v>46056</v>
      </c>
      <c r="S2387" s="622" t="s">
        <v>670</v>
      </c>
      <c r="T2387" s="623">
        <v>46053</v>
      </c>
      <c r="U2387" s="624">
        <v>0</v>
      </c>
      <c r="V2387" s="625">
        <v>0.74</v>
      </c>
      <c r="W2387" s="260">
        <v>46023</v>
      </c>
    </row>
    <row r="2388" spans="1:23" hidden="1" x14ac:dyDescent="0.35">
      <c r="A2388" s="622" t="s">
        <v>526</v>
      </c>
      <c r="B2388" s="622" t="s">
        <v>159</v>
      </c>
      <c r="C2388" s="622" t="s">
        <v>298</v>
      </c>
      <c r="D2388" s="622" t="s">
        <v>349</v>
      </c>
      <c r="E2388" s="622" t="s">
        <v>350</v>
      </c>
      <c r="F2388" s="622" t="s">
        <v>276</v>
      </c>
      <c r="G2388" s="622" t="s">
        <v>472</v>
      </c>
      <c r="H2388" s="622" t="s">
        <v>670</v>
      </c>
      <c r="I2388" s="622" t="s">
        <v>277</v>
      </c>
      <c r="J2388" s="622" t="s">
        <v>522</v>
      </c>
      <c r="K2388" s="622" t="s">
        <v>301</v>
      </c>
      <c r="L2388" s="622" t="s">
        <v>357</v>
      </c>
      <c r="M2388" s="622" t="s">
        <v>285</v>
      </c>
      <c r="N2388" s="622" t="s">
        <v>670</v>
      </c>
      <c r="O2388" s="622" t="s">
        <v>670</v>
      </c>
      <c r="P2388" s="622" t="s">
        <v>522</v>
      </c>
      <c r="Q2388" s="622" t="s">
        <v>670</v>
      </c>
      <c r="R2388" s="623">
        <v>46056</v>
      </c>
      <c r="S2388" s="622" t="s">
        <v>670</v>
      </c>
      <c r="T2388" s="623">
        <v>46053</v>
      </c>
      <c r="U2388" s="624">
        <v>0</v>
      </c>
      <c r="V2388" s="625">
        <v>-0.05</v>
      </c>
      <c r="W2388" s="260">
        <v>46023</v>
      </c>
    </row>
    <row r="2389" spans="1:23" hidden="1" x14ac:dyDescent="0.35">
      <c r="A2389" s="622" t="s">
        <v>526</v>
      </c>
      <c r="B2389" s="622" t="s">
        <v>159</v>
      </c>
      <c r="C2389" s="622" t="s">
        <v>298</v>
      </c>
      <c r="D2389" s="622" t="s">
        <v>351</v>
      </c>
      <c r="E2389" s="622" t="s">
        <v>352</v>
      </c>
      <c r="F2389" s="622" t="s">
        <v>276</v>
      </c>
      <c r="G2389" s="622" t="s">
        <v>472</v>
      </c>
      <c r="H2389" s="622" t="s">
        <v>670</v>
      </c>
      <c r="I2389" s="622" t="s">
        <v>277</v>
      </c>
      <c r="J2389" s="622" t="s">
        <v>522</v>
      </c>
      <c r="K2389" s="622" t="s">
        <v>301</v>
      </c>
      <c r="L2389" s="622" t="s">
        <v>357</v>
      </c>
      <c r="M2389" s="622" t="s">
        <v>285</v>
      </c>
      <c r="N2389" s="622" t="s">
        <v>670</v>
      </c>
      <c r="O2389" s="622" t="s">
        <v>670</v>
      </c>
      <c r="P2389" s="622" t="s">
        <v>522</v>
      </c>
      <c r="Q2389" s="622" t="s">
        <v>670</v>
      </c>
      <c r="R2389" s="623">
        <v>46056</v>
      </c>
      <c r="S2389" s="622" t="s">
        <v>670</v>
      </c>
      <c r="T2389" s="623">
        <v>46053</v>
      </c>
      <c r="U2389" s="624">
        <v>0</v>
      </c>
      <c r="V2389" s="625">
        <v>0.76</v>
      </c>
      <c r="W2389" s="260">
        <v>46023</v>
      </c>
    </row>
    <row r="2390" spans="1:23" hidden="1" x14ac:dyDescent="0.35">
      <c r="A2390" s="622" t="s">
        <v>526</v>
      </c>
      <c r="B2390" s="622" t="s">
        <v>159</v>
      </c>
      <c r="C2390" s="622" t="s">
        <v>298</v>
      </c>
      <c r="D2390" s="622" t="s">
        <v>351</v>
      </c>
      <c r="E2390" s="622" t="s">
        <v>352</v>
      </c>
      <c r="F2390" s="622" t="s">
        <v>276</v>
      </c>
      <c r="G2390" s="622" t="s">
        <v>472</v>
      </c>
      <c r="H2390" s="622" t="s">
        <v>670</v>
      </c>
      <c r="I2390" s="622" t="s">
        <v>277</v>
      </c>
      <c r="J2390" s="622" t="s">
        <v>522</v>
      </c>
      <c r="K2390" s="622" t="s">
        <v>301</v>
      </c>
      <c r="L2390" s="622" t="s">
        <v>357</v>
      </c>
      <c r="M2390" s="622" t="s">
        <v>285</v>
      </c>
      <c r="N2390" s="622" t="s">
        <v>670</v>
      </c>
      <c r="O2390" s="622" t="s">
        <v>670</v>
      </c>
      <c r="P2390" s="622" t="s">
        <v>522</v>
      </c>
      <c r="Q2390" s="622" t="s">
        <v>670</v>
      </c>
      <c r="R2390" s="623">
        <v>46056</v>
      </c>
      <c r="S2390" s="622" t="s">
        <v>670</v>
      </c>
      <c r="T2390" s="623">
        <v>46053</v>
      </c>
      <c r="U2390" s="624">
        <v>0</v>
      </c>
      <c r="V2390" s="625">
        <v>0.1</v>
      </c>
      <c r="W2390" s="260">
        <v>46023</v>
      </c>
    </row>
    <row r="2391" spans="1:23" hidden="1" x14ac:dyDescent="0.35">
      <c r="A2391" s="622" t="s">
        <v>526</v>
      </c>
      <c r="B2391" s="622" t="s">
        <v>159</v>
      </c>
      <c r="C2391" s="622" t="s">
        <v>298</v>
      </c>
      <c r="D2391" s="622" t="s">
        <v>354</v>
      </c>
      <c r="E2391" s="622" t="s">
        <v>355</v>
      </c>
      <c r="F2391" s="622" t="s">
        <v>276</v>
      </c>
      <c r="G2391" s="622" t="s">
        <v>472</v>
      </c>
      <c r="H2391" s="622" t="s">
        <v>670</v>
      </c>
      <c r="I2391" s="622" t="s">
        <v>277</v>
      </c>
      <c r="J2391" s="622" t="s">
        <v>522</v>
      </c>
      <c r="K2391" s="622" t="s">
        <v>301</v>
      </c>
      <c r="L2391" s="622" t="s">
        <v>357</v>
      </c>
      <c r="M2391" s="622" t="s">
        <v>285</v>
      </c>
      <c r="N2391" s="622" t="s">
        <v>670</v>
      </c>
      <c r="O2391" s="622" t="s">
        <v>670</v>
      </c>
      <c r="P2391" s="622" t="s">
        <v>522</v>
      </c>
      <c r="Q2391" s="622" t="s">
        <v>670</v>
      </c>
      <c r="R2391" s="623">
        <v>46056</v>
      </c>
      <c r="S2391" s="622" t="s">
        <v>670</v>
      </c>
      <c r="T2391" s="623">
        <v>46053</v>
      </c>
      <c r="U2391" s="624">
        <v>0</v>
      </c>
      <c r="V2391" s="625">
        <v>0.32</v>
      </c>
      <c r="W2391" s="260">
        <v>46023</v>
      </c>
    </row>
    <row r="2392" spans="1:23" hidden="1" x14ac:dyDescent="0.35">
      <c r="A2392" s="622" t="s">
        <v>526</v>
      </c>
      <c r="B2392" s="622" t="s">
        <v>159</v>
      </c>
      <c r="C2392" s="622" t="s">
        <v>735</v>
      </c>
      <c r="D2392" s="622" t="s">
        <v>994</v>
      </c>
      <c r="E2392" s="622" t="s">
        <v>995</v>
      </c>
      <c r="F2392" s="622" t="s">
        <v>276</v>
      </c>
      <c r="G2392" s="622" t="s">
        <v>472</v>
      </c>
      <c r="H2392" s="868" t="s">
        <v>582</v>
      </c>
      <c r="I2392" s="622" t="s">
        <v>277</v>
      </c>
      <c r="J2392" s="622" t="s">
        <v>522</v>
      </c>
      <c r="K2392" s="622" t="s">
        <v>738</v>
      </c>
      <c r="L2392" s="622" t="s">
        <v>357</v>
      </c>
      <c r="M2392" s="622" t="s">
        <v>583</v>
      </c>
      <c r="N2392" s="622" t="s">
        <v>670</v>
      </c>
      <c r="O2392" s="622" t="s">
        <v>670</v>
      </c>
      <c r="P2392" s="622" t="s">
        <v>522</v>
      </c>
      <c r="Q2392" s="622" t="s">
        <v>670</v>
      </c>
      <c r="R2392" s="623">
        <v>46038</v>
      </c>
      <c r="S2392" s="622" t="s">
        <v>278</v>
      </c>
      <c r="T2392" s="623">
        <v>46043</v>
      </c>
      <c r="U2392" s="624">
        <v>2</v>
      </c>
      <c r="V2392" s="625">
        <v>246.04</v>
      </c>
      <c r="W2392" s="260">
        <v>46023</v>
      </c>
    </row>
    <row r="2393" spans="1:23" hidden="1" x14ac:dyDescent="0.35">
      <c r="A2393" s="622" t="s">
        <v>526</v>
      </c>
      <c r="B2393" s="622" t="s">
        <v>159</v>
      </c>
      <c r="C2393" s="622" t="s">
        <v>530</v>
      </c>
      <c r="D2393" s="622" t="s">
        <v>531</v>
      </c>
      <c r="E2393" s="622" t="s">
        <v>532</v>
      </c>
      <c r="F2393" s="622" t="s">
        <v>276</v>
      </c>
      <c r="G2393" s="622" t="s">
        <v>472</v>
      </c>
      <c r="H2393" s="622" t="s">
        <v>565</v>
      </c>
      <c r="I2393" s="622" t="s">
        <v>277</v>
      </c>
      <c r="J2393" s="622" t="s">
        <v>522</v>
      </c>
      <c r="K2393" s="622" t="s">
        <v>534</v>
      </c>
      <c r="L2393" s="622" t="s">
        <v>357</v>
      </c>
      <c r="M2393" s="622" t="s">
        <v>566</v>
      </c>
      <c r="N2393" s="622" t="s">
        <v>670</v>
      </c>
      <c r="O2393" s="622" t="s">
        <v>670</v>
      </c>
      <c r="P2393" s="622" t="s">
        <v>522</v>
      </c>
      <c r="Q2393" s="622" t="s">
        <v>670</v>
      </c>
      <c r="R2393" s="623">
        <v>46029</v>
      </c>
      <c r="S2393" s="622" t="s">
        <v>278</v>
      </c>
      <c r="T2393" s="623">
        <v>46033</v>
      </c>
      <c r="U2393" s="624">
        <v>8</v>
      </c>
      <c r="V2393" s="625">
        <v>699.2</v>
      </c>
      <c r="W2393" s="260">
        <v>46023</v>
      </c>
    </row>
    <row r="2394" spans="1:23" hidden="1" x14ac:dyDescent="0.35">
      <c r="A2394" s="622" t="s">
        <v>526</v>
      </c>
      <c r="B2394" s="622" t="s">
        <v>159</v>
      </c>
      <c r="C2394" s="622" t="s">
        <v>530</v>
      </c>
      <c r="D2394" s="622" t="s">
        <v>531</v>
      </c>
      <c r="E2394" s="622" t="s">
        <v>532</v>
      </c>
      <c r="F2394" s="622" t="s">
        <v>276</v>
      </c>
      <c r="G2394" s="622" t="s">
        <v>472</v>
      </c>
      <c r="H2394" s="622" t="s">
        <v>565</v>
      </c>
      <c r="I2394" s="622" t="s">
        <v>277</v>
      </c>
      <c r="J2394" s="622" t="s">
        <v>522</v>
      </c>
      <c r="K2394" s="622" t="s">
        <v>534</v>
      </c>
      <c r="L2394" s="622" t="s">
        <v>357</v>
      </c>
      <c r="M2394" s="622" t="s">
        <v>566</v>
      </c>
      <c r="N2394" s="622" t="s">
        <v>670</v>
      </c>
      <c r="O2394" s="622" t="s">
        <v>670</v>
      </c>
      <c r="P2394" s="622" t="s">
        <v>522</v>
      </c>
      <c r="Q2394" s="622" t="s">
        <v>670</v>
      </c>
      <c r="R2394" s="623">
        <v>46028</v>
      </c>
      <c r="S2394" s="622" t="s">
        <v>278</v>
      </c>
      <c r="T2394" s="623">
        <v>46033</v>
      </c>
      <c r="U2394" s="624">
        <v>8</v>
      </c>
      <c r="V2394" s="625">
        <v>699.2</v>
      </c>
      <c r="W2394" s="260">
        <v>46023</v>
      </c>
    </row>
    <row r="2395" spans="1:23" hidden="1" x14ac:dyDescent="0.35">
      <c r="A2395" s="622" t="s">
        <v>526</v>
      </c>
      <c r="B2395" s="622" t="s">
        <v>159</v>
      </c>
      <c r="C2395" s="622" t="s">
        <v>530</v>
      </c>
      <c r="D2395" s="622" t="s">
        <v>531</v>
      </c>
      <c r="E2395" s="622" t="s">
        <v>532</v>
      </c>
      <c r="F2395" s="622" t="s">
        <v>276</v>
      </c>
      <c r="G2395" s="622" t="s">
        <v>472</v>
      </c>
      <c r="H2395" s="622" t="s">
        <v>565</v>
      </c>
      <c r="I2395" s="622" t="s">
        <v>277</v>
      </c>
      <c r="J2395" s="622" t="s">
        <v>522</v>
      </c>
      <c r="K2395" s="622" t="s">
        <v>534</v>
      </c>
      <c r="L2395" s="622" t="s">
        <v>357</v>
      </c>
      <c r="M2395" s="622" t="s">
        <v>566</v>
      </c>
      <c r="N2395" s="622" t="s">
        <v>670</v>
      </c>
      <c r="O2395" s="622" t="s">
        <v>670</v>
      </c>
      <c r="P2395" s="622" t="s">
        <v>522</v>
      </c>
      <c r="Q2395" s="622" t="s">
        <v>670</v>
      </c>
      <c r="R2395" s="623">
        <v>46027</v>
      </c>
      <c r="S2395" s="622" t="s">
        <v>278</v>
      </c>
      <c r="T2395" s="623">
        <v>46033</v>
      </c>
      <c r="U2395" s="624">
        <v>8</v>
      </c>
      <c r="V2395" s="625">
        <v>699.2</v>
      </c>
      <c r="W2395" s="260">
        <v>46023</v>
      </c>
    </row>
    <row r="2396" spans="1:23" hidden="1" x14ac:dyDescent="0.35">
      <c r="A2396" s="622" t="s">
        <v>526</v>
      </c>
      <c r="B2396" s="622" t="s">
        <v>159</v>
      </c>
      <c r="C2396" s="622" t="s">
        <v>530</v>
      </c>
      <c r="D2396" s="622" t="s">
        <v>531</v>
      </c>
      <c r="E2396" s="622" t="s">
        <v>532</v>
      </c>
      <c r="F2396" s="622" t="s">
        <v>276</v>
      </c>
      <c r="G2396" s="622" t="s">
        <v>472</v>
      </c>
      <c r="H2396" s="622" t="s">
        <v>567</v>
      </c>
      <c r="I2396" s="622" t="s">
        <v>277</v>
      </c>
      <c r="J2396" s="622" t="s">
        <v>522</v>
      </c>
      <c r="K2396" s="622" t="s">
        <v>534</v>
      </c>
      <c r="L2396" s="622" t="s">
        <v>357</v>
      </c>
      <c r="M2396" s="622" t="s">
        <v>568</v>
      </c>
      <c r="N2396" s="622" t="s">
        <v>670</v>
      </c>
      <c r="O2396" s="622" t="s">
        <v>670</v>
      </c>
      <c r="P2396" s="622" t="s">
        <v>522</v>
      </c>
      <c r="Q2396" s="622" t="s">
        <v>670</v>
      </c>
      <c r="R2396" s="623">
        <v>46029</v>
      </c>
      <c r="S2396" s="622" t="s">
        <v>278</v>
      </c>
      <c r="T2396" s="623">
        <v>46036</v>
      </c>
      <c r="U2396" s="624">
        <v>8</v>
      </c>
      <c r="V2396" s="625">
        <v>699.2</v>
      </c>
      <c r="W2396" s="260">
        <v>46023</v>
      </c>
    </row>
    <row r="2397" spans="1:23" hidden="1" x14ac:dyDescent="0.35">
      <c r="A2397" s="622" t="s">
        <v>526</v>
      </c>
      <c r="B2397" s="622" t="s">
        <v>159</v>
      </c>
      <c r="C2397" s="622" t="s">
        <v>530</v>
      </c>
      <c r="D2397" s="622" t="s">
        <v>531</v>
      </c>
      <c r="E2397" s="622" t="s">
        <v>532</v>
      </c>
      <c r="F2397" s="622" t="s">
        <v>276</v>
      </c>
      <c r="G2397" s="622" t="s">
        <v>472</v>
      </c>
      <c r="H2397" s="622" t="s">
        <v>567</v>
      </c>
      <c r="I2397" s="622" t="s">
        <v>277</v>
      </c>
      <c r="J2397" s="622" t="s">
        <v>522</v>
      </c>
      <c r="K2397" s="622" t="s">
        <v>534</v>
      </c>
      <c r="L2397" s="622" t="s">
        <v>357</v>
      </c>
      <c r="M2397" s="622" t="s">
        <v>568</v>
      </c>
      <c r="N2397" s="622" t="s">
        <v>670</v>
      </c>
      <c r="O2397" s="622" t="s">
        <v>670</v>
      </c>
      <c r="P2397" s="622" t="s">
        <v>522</v>
      </c>
      <c r="Q2397" s="622" t="s">
        <v>670</v>
      </c>
      <c r="R2397" s="623">
        <v>46028</v>
      </c>
      <c r="S2397" s="622" t="s">
        <v>278</v>
      </c>
      <c r="T2397" s="623">
        <v>46036</v>
      </c>
      <c r="U2397" s="624">
        <v>8</v>
      </c>
      <c r="V2397" s="625">
        <v>699.2</v>
      </c>
      <c r="W2397" s="260">
        <v>46023</v>
      </c>
    </row>
    <row r="2398" spans="1:23" hidden="1" x14ac:dyDescent="0.35">
      <c r="A2398" s="622" t="s">
        <v>526</v>
      </c>
      <c r="B2398" s="622" t="s">
        <v>159</v>
      </c>
      <c r="C2398" s="622" t="s">
        <v>530</v>
      </c>
      <c r="D2398" s="622" t="s">
        <v>531</v>
      </c>
      <c r="E2398" s="622" t="s">
        <v>532</v>
      </c>
      <c r="F2398" s="622" t="s">
        <v>276</v>
      </c>
      <c r="G2398" s="622" t="s">
        <v>472</v>
      </c>
      <c r="H2398" s="622" t="s">
        <v>567</v>
      </c>
      <c r="I2398" s="622" t="s">
        <v>277</v>
      </c>
      <c r="J2398" s="622" t="s">
        <v>522</v>
      </c>
      <c r="K2398" s="622" t="s">
        <v>534</v>
      </c>
      <c r="L2398" s="622" t="s">
        <v>357</v>
      </c>
      <c r="M2398" s="622" t="s">
        <v>568</v>
      </c>
      <c r="N2398" s="622" t="s">
        <v>670</v>
      </c>
      <c r="O2398" s="622" t="s">
        <v>670</v>
      </c>
      <c r="P2398" s="622" t="s">
        <v>522</v>
      </c>
      <c r="Q2398" s="622" t="s">
        <v>670</v>
      </c>
      <c r="R2398" s="623">
        <v>46027</v>
      </c>
      <c r="S2398" s="622" t="s">
        <v>278</v>
      </c>
      <c r="T2398" s="623">
        <v>46036</v>
      </c>
      <c r="U2398" s="624">
        <v>8</v>
      </c>
      <c r="V2398" s="625">
        <v>699.2</v>
      </c>
      <c r="W2398" s="260">
        <v>46023</v>
      </c>
    </row>
    <row r="2399" spans="1:23" hidden="1" x14ac:dyDescent="0.35">
      <c r="A2399" s="622" t="s">
        <v>526</v>
      </c>
      <c r="B2399" s="622" t="s">
        <v>159</v>
      </c>
      <c r="C2399" s="622" t="s">
        <v>530</v>
      </c>
      <c r="D2399" s="622" t="s">
        <v>531</v>
      </c>
      <c r="E2399" s="622" t="s">
        <v>532</v>
      </c>
      <c r="F2399" s="622" t="s">
        <v>276</v>
      </c>
      <c r="G2399" s="622" t="s">
        <v>472</v>
      </c>
      <c r="H2399" s="622" t="s">
        <v>565</v>
      </c>
      <c r="I2399" s="622" t="s">
        <v>277</v>
      </c>
      <c r="J2399" s="622" t="s">
        <v>522</v>
      </c>
      <c r="K2399" s="622" t="s">
        <v>534</v>
      </c>
      <c r="L2399" s="622" t="s">
        <v>357</v>
      </c>
      <c r="M2399" s="622" t="s">
        <v>566</v>
      </c>
      <c r="N2399" s="622" t="s">
        <v>670</v>
      </c>
      <c r="O2399" s="622" t="s">
        <v>670</v>
      </c>
      <c r="P2399" s="622" t="s">
        <v>522</v>
      </c>
      <c r="Q2399" s="622" t="s">
        <v>670</v>
      </c>
      <c r="R2399" s="623">
        <v>46036</v>
      </c>
      <c r="S2399" s="622" t="s">
        <v>278</v>
      </c>
      <c r="T2399" s="623">
        <v>46042</v>
      </c>
      <c r="U2399" s="624">
        <v>8</v>
      </c>
      <c r="V2399" s="625">
        <v>699.2</v>
      </c>
      <c r="W2399" s="260">
        <v>46023</v>
      </c>
    </row>
    <row r="2400" spans="1:23" hidden="1" x14ac:dyDescent="0.35">
      <c r="A2400" s="622" t="s">
        <v>526</v>
      </c>
      <c r="B2400" s="622" t="s">
        <v>159</v>
      </c>
      <c r="C2400" s="622" t="s">
        <v>530</v>
      </c>
      <c r="D2400" s="622" t="s">
        <v>531</v>
      </c>
      <c r="E2400" s="622" t="s">
        <v>532</v>
      </c>
      <c r="F2400" s="622" t="s">
        <v>276</v>
      </c>
      <c r="G2400" s="622" t="s">
        <v>472</v>
      </c>
      <c r="H2400" s="622" t="s">
        <v>565</v>
      </c>
      <c r="I2400" s="622" t="s">
        <v>277</v>
      </c>
      <c r="J2400" s="622" t="s">
        <v>522</v>
      </c>
      <c r="K2400" s="622" t="s">
        <v>534</v>
      </c>
      <c r="L2400" s="622" t="s">
        <v>357</v>
      </c>
      <c r="M2400" s="622" t="s">
        <v>566</v>
      </c>
      <c r="N2400" s="622" t="s">
        <v>670</v>
      </c>
      <c r="O2400" s="622" t="s">
        <v>670</v>
      </c>
      <c r="P2400" s="622" t="s">
        <v>522</v>
      </c>
      <c r="Q2400" s="622" t="s">
        <v>670</v>
      </c>
      <c r="R2400" s="623">
        <v>46035</v>
      </c>
      <c r="S2400" s="622" t="s">
        <v>278</v>
      </c>
      <c r="T2400" s="623">
        <v>46042</v>
      </c>
      <c r="U2400" s="624">
        <v>8</v>
      </c>
      <c r="V2400" s="625">
        <v>699.2</v>
      </c>
      <c r="W2400" s="260">
        <v>46023</v>
      </c>
    </row>
    <row r="2401" spans="1:23" hidden="1" x14ac:dyDescent="0.35">
      <c r="A2401" s="622" t="s">
        <v>526</v>
      </c>
      <c r="B2401" s="622" t="s">
        <v>159</v>
      </c>
      <c r="C2401" s="622" t="s">
        <v>530</v>
      </c>
      <c r="D2401" s="622" t="s">
        <v>531</v>
      </c>
      <c r="E2401" s="622" t="s">
        <v>532</v>
      </c>
      <c r="F2401" s="622" t="s">
        <v>276</v>
      </c>
      <c r="G2401" s="622" t="s">
        <v>472</v>
      </c>
      <c r="H2401" s="622" t="s">
        <v>565</v>
      </c>
      <c r="I2401" s="622" t="s">
        <v>277</v>
      </c>
      <c r="J2401" s="622" t="s">
        <v>522</v>
      </c>
      <c r="K2401" s="622" t="s">
        <v>534</v>
      </c>
      <c r="L2401" s="622" t="s">
        <v>357</v>
      </c>
      <c r="M2401" s="622" t="s">
        <v>566</v>
      </c>
      <c r="N2401" s="622" t="s">
        <v>670</v>
      </c>
      <c r="O2401" s="622" t="s">
        <v>670</v>
      </c>
      <c r="P2401" s="622" t="s">
        <v>522</v>
      </c>
      <c r="Q2401" s="622" t="s">
        <v>670</v>
      </c>
      <c r="R2401" s="623">
        <v>46034</v>
      </c>
      <c r="S2401" s="622" t="s">
        <v>278</v>
      </c>
      <c r="T2401" s="623">
        <v>46042</v>
      </c>
      <c r="U2401" s="624">
        <v>8</v>
      </c>
      <c r="V2401" s="625">
        <v>699.2</v>
      </c>
      <c r="W2401" s="260">
        <v>46023</v>
      </c>
    </row>
    <row r="2402" spans="1:23" hidden="1" x14ac:dyDescent="0.35">
      <c r="A2402" s="622" t="s">
        <v>526</v>
      </c>
      <c r="B2402" s="622" t="s">
        <v>159</v>
      </c>
      <c r="C2402" s="622" t="s">
        <v>530</v>
      </c>
      <c r="D2402" s="622" t="s">
        <v>531</v>
      </c>
      <c r="E2402" s="622" t="s">
        <v>532</v>
      </c>
      <c r="F2402" s="622" t="s">
        <v>276</v>
      </c>
      <c r="G2402" s="622" t="s">
        <v>472</v>
      </c>
      <c r="H2402" s="622" t="s">
        <v>567</v>
      </c>
      <c r="I2402" s="622" t="s">
        <v>277</v>
      </c>
      <c r="J2402" s="622" t="s">
        <v>522</v>
      </c>
      <c r="K2402" s="622" t="s">
        <v>534</v>
      </c>
      <c r="L2402" s="622" t="s">
        <v>357</v>
      </c>
      <c r="M2402" s="622" t="s">
        <v>568</v>
      </c>
      <c r="N2402" s="622" t="s">
        <v>670</v>
      </c>
      <c r="O2402" s="622" t="s">
        <v>670</v>
      </c>
      <c r="P2402" s="622" t="s">
        <v>522</v>
      </c>
      <c r="Q2402" s="622" t="s">
        <v>670</v>
      </c>
      <c r="R2402" s="623">
        <v>46035</v>
      </c>
      <c r="S2402" s="622" t="s">
        <v>278</v>
      </c>
      <c r="T2402" s="623">
        <v>46044</v>
      </c>
      <c r="U2402" s="624">
        <v>8</v>
      </c>
      <c r="V2402" s="625">
        <v>699.2</v>
      </c>
      <c r="W2402" s="260">
        <v>46023</v>
      </c>
    </row>
    <row r="2403" spans="1:23" hidden="1" x14ac:dyDescent="0.35">
      <c r="A2403" s="622" t="s">
        <v>526</v>
      </c>
      <c r="B2403" s="622" t="s">
        <v>159</v>
      </c>
      <c r="C2403" s="622" t="s">
        <v>530</v>
      </c>
      <c r="D2403" s="622" t="s">
        <v>531</v>
      </c>
      <c r="E2403" s="622" t="s">
        <v>532</v>
      </c>
      <c r="F2403" s="622" t="s">
        <v>276</v>
      </c>
      <c r="G2403" s="622" t="s">
        <v>472</v>
      </c>
      <c r="H2403" s="622" t="s">
        <v>567</v>
      </c>
      <c r="I2403" s="622" t="s">
        <v>277</v>
      </c>
      <c r="J2403" s="622" t="s">
        <v>522</v>
      </c>
      <c r="K2403" s="622" t="s">
        <v>534</v>
      </c>
      <c r="L2403" s="622" t="s">
        <v>357</v>
      </c>
      <c r="M2403" s="622" t="s">
        <v>568</v>
      </c>
      <c r="N2403" s="622" t="s">
        <v>670</v>
      </c>
      <c r="O2403" s="622" t="s">
        <v>670</v>
      </c>
      <c r="P2403" s="622" t="s">
        <v>522</v>
      </c>
      <c r="Q2403" s="622" t="s">
        <v>670</v>
      </c>
      <c r="R2403" s="623">
        <v>46034</v>
      </c>
      <c r="S2403" s="622" t="s">
        <v>278</v>
      </c>
      <c r="T2403" s="623">
        <v>46044</v>
      </c>
      <c r="U2403" s="624">
        <v>4</v>
      </c>
      <c r="V2403" s="625">
        <v>349.6</v>
      </c>
      <c r="W2403" s="260">
        <v>46023</v>
      </c>
    </row>
    <row r="2404" spans="1:23" hidden="1" x14ac:dyDescent="0.35">
      <c r="A2404" s="622" t="s">
        <v>526</v>
      </c>
      <c r="B2404" s="622" t="s">
        <v>159</v>
      </c>
      <c r="C2404" s="622" t="s">
        <v>530</v>
      </c>
      <c r="D2404" s="622" t="s">
        <v>531</v>
      </c>
      <c r="E2404" s="622" t="s">
        <v>532</v>
      </c>
      <c r="F2404" s="622" t="s">
        <v>276</v>
      </c>
      <c r="G2404" s="622" t="s">
        <v>472</v>
      </c>
      <c r="H2404" s="622" t="s">
        <v>565</v>
      </c>
      <c r="I2404" s="622" t="s">
        <v>277</v>
      </c>
      <c r="J2404" s="622" t="s">
        <v>522</v>
      </c>
      <c r="K2404" s="622" t="s">
        <v>534</v>
      </c>
      <c r="L2404" s="622" t="s">
        <v>357</v>
      </c>
      <c r="M2404" s="622" t="s">
        <v>566</v>
      </c>
      <c r="N2404" s="622" t="s">
        <v>670</v>
      </c>
      <c r="O2404" s="622" t="s">
        <v>670</v>
      </c>
      <c r="P2404" s="622" t="s">
        <v>522</v>
      </c>
      <c r="Q2404" s="622" t="s">
        <v>670</v>
      </c>
      <c r="R2404" s="623">
        <v>46043</v>
      </c>
      <c r="S2404" s="622" t="s">
        <v>278</v>
      </c>
      <c r="T2404" s="623">
        <v>46049</v>
      </c>
      <c r="U2404" s="624">
        <v>8</v>
      </c>
      <c r="V2404" s="625">
        <v>699.2</v>
      </c>
      <c r="W2404" s="260">
        <v>46023</v>
      </c>
    </row>
    <row r="2405" spans="1:23" hidden="1" x14ac:dyDescent="0.35">
      <c r="A2405" s="622" t="s">
        <v>526</v>
      </c>
      <c r="B2405" s="622" t="s">
        <v>159</v>
      </c>
      <c r="C2405" s="622" t="s">
        <v>530</v>
      </c>
      <c r="D2405" s="622" t="s">
        <v>531</v>
      </c>
      <c r="E2405" s="622" t="s">
        <v>532</v>
      </c>
      <c r="F2405" s="622" t="s">
        <v>276</v>
      </c>
      <c r="G2405" s="622" t="s">
        <v>472</v>
      </c>
      <c r="H2405" s="622" t="s">
        <v>565</v>
      </c>
      <c r="I2405" s="622" t="s">
        <v>277</v>
      </c>
      <c r="J2405" s="622" t="s">
        <v>522</v>
      </c>
      <c r="K2405" s="622" t="s">
        <v>534</v>
      </c>
      <c r="L2405" s="622" t="s">
        <v>357</v>
      </c>
      <c r="M2405" s="622" t="s">
        <v>566</v>
      </c>
      <c r="N2405" s="622" t="s">
        <v>670</v>
      </c>
      <c r="O2405" s="622" t="s">
        <v>670</v>
      </c>
      <c r="P2405" s="622" t="s">
        <v>522</v>
      </c>
      <c r="Q2405" s="622" t="s">
        <v>670</v>
      </c>
      <c r="R2405" s="623">
        <v>46042</v>
      </c>
      <c r="S2405" s="622" t="s">
        <v>278</v>
      </c>
      <c r="T2405" s="623">
        <v>46049</v>
      </c>
      <c r="U2405" s="624">
        <v>8</v>
      </c>
      <c r="V2405" s="625">
        <v>699.2</v>
      </c>
      <c r="W2405" s="260">
        <v>46023</v>
      </c>
    </row>
    <row r="2406" spans="1:23" hidden="1" x14ac:dyDescent="0.35">
      <c r="A2406" s="622" t="s">
        <v>526</v>
      </c>
      <c r="B2406" s="622" t="s">
        <v>159</v>
      </c>
      <c r="C2406" s="622" t="s">
        <v>530</v>
      </c>
      <c r="D2406" s="622" t="s">
        <v>531</v>
      </c>
      <c r="E2406" s="622" t="s">
        <v>532</v>
      </c>
      <c r="F2406" s="622" t="s">
        <v>276</v>
      </c>
      <c r="G2406" s="622" t="s">
        <v>472</v>
      </c>
      <c r="H2406" s="622" t="s">
        <v>565</v>
      </c>
      <c r="I2406" s="622" t="s">
        <v>277</v>
      </c>
      <c r="J2406" s="622" t="s">
        <v>522</v>
      </c>
      <c r="K2406" s="622" t="s">
        <v>534</v>
      </c>
      <c r="L2406" s="622" t="s">
        <v>357</v>
      </c>
      <c r="M2406" s="622" t="s">
        <v>566</v>
      </c>
      <c r="N2406" s="622" t="s">
        <v>670</v>
      </c>
      <c r="O2406" s="622" t="s">
        <v>670</v>
      </c>
      <c r="P2406" s="622" t="s">
        <v>522</v>
      </c>
      <c r="Q2406" s="622" t="s">
        <v>670</v>
      </c>
      <c r="R2406" s="623">
        <v>46045</v>
      </c>
      <c r="S2406" s="622" t="s">
        <v>278</v>
      </c>
      <c r="T2406" s="623">
        <v>46049</v>
      </c>
      <c r="U2406" s="624">
        <v>4</v>
      </c>
      <c r="V2406" s="625">
        <v>349.6</v>
      </c>
      <c r="W2406" s="260">
        <v>46023</v>
      </c>
    </row>
    <row r="2407" spans="1:23" hidden="1" x14ac:dyDescent="0.35">
      <c r="A2407" s="622" t="s">
        <v>526</v>
      </c>
      <c r="B2407" s="622" t="s">
        <v>160</v>
      </c>
      <c r="C2407" s="622" t="s">
        <v>670</v>
      </c>
      <c r="D2407" s="622" t="s">
        <v>633</v>
      </c>
      <c r="E2407" s="622" t="s">
        <v>634</v>
      </c>
      <c r="F2407" s="622" t="s">
        <v>276</v>
      </c>
      <c r="G2407" s="622" t="s">
        <v>472</v>
      </c>
      <c r="H2407" s="622" t="s">
        <v>670</v>
      </c>
      <c r="I2407" s="622" t="s">
        <v>277</v>
      </c>
      <c r="J2407" s="622" t="s">
        <v>523</v>
      </c>
      <c r="K2407" s="622" t="s">
        <v>670</v>
      </c>
      <c r="L2407" s="622" t="s">
        <v>357</v>
      </c>
      <c r="M2407" s="622" t="s">
        <v>285</v>
      </c>
      <c r="N2407" s="868" t="s">
        <v>820</v>
      </c>
      <c r="O2407" s="622">
        <v>7000001841</v>
      </c>
      <c r="P2407" s="622" t="s">
        <v>523</v>
      </c>
      <c r="Q2407" s="622" t="s">
        <v>387</v>
      </c>
      <c r="R2407" s="623">
        <v>46031</v>
      </c>
      <c r="S2407" s="622" t="s">
        <v>388</v>
      </c>
      <c r="T2407" s="623">
        <v>46048</v>
      </c>
      <c r="U2407" s="626">
        <v>1</v>
      </c>
      <c r="V2407" s="625">
        <v>1682.64</v>
      </c>
      <c r="W2407" s="260">
        <v>46023</v>
      </c>
    </row>
    <row r="2408" spans="1:23" hidden="1" x14ac:dyDescent="0.35">
      <c r="A2408" s="622" t="s">
        <v>526</v>
      </c>
      <c r="B2408" s="622" t="s">
        <v>53</v>
      </c>
      <c r="C2408" s="622" t="s">
        <v>670</v>
      </c>
      <c r="D2408" s="622" t="s">
        <v>385</v>
      </c>
      <c r="E2408" s="622" t="s">
        <v>386</v>
      </c>
      <c r="F2408" s="622" t="s">
        <v>588</v>
      </c>
      <c r="G2408" s="622" t="s">
        <v>472</v>
      </c>
      <c r="H2408" s="622" t="s">
        <v>670</v>
      </c>
      <c r="I2408" s="622" t="s">
        <v>277</v>
      </c>
      <c r="J2408" s="622" t="s">
        <v>524</v>
      </c>
      <c r="K2408" s="622" t="s">
        <v>670</v>
      </c>
      <c r="L2408" s="622" t="s">
        <v>357</v>
      </c>
      <c r="M2408" s="622" t="s">
        <v>285</v>
      </c>
      <c r="N2408" s="622" t="s">
        <v>670</v>
      </c>
      <c r="O2408" s="622" t="s">
        <v>687</v>
      </c>
      <c r="P2408" s="622" t="s">
        <v>524</v>
      </c>
      <c r="Q2408" s="622" t="s">
        <v>589</v>
      </c>
      <c r="R2408" s="623">
        <v>46021</v>
      </c>
      <c r="S2408" s="622" t="s">
        <v>670</v>
      </c>
      <c r="T2408" s="623">
        <v>46023</v>
      </c>
      <c r="U2408" s="624">
        <v>0</v>
      </c>
      <c r="V2408" s="625">
        <v>-11000</v>
      </c>
      <c r="W2408" s="260">
        <v>46023</v>
      </c>
    </row>
    <row r="2409" spans="1:23" hidden="1" x14ac:dyDescent="0.35">
      <c r="A2409" s="622" t="s">
        <v>526</v>
      </c>
      <c r="B2409" s="622" t="s">
        <v>53</v>
      </c>
      <c r="C2409" s="622" t="s">
        <v>670</v>
      </c>
      <c r="D2409" s="622" t="s">
        <v>385</v>
      </c>
      <c r="E2409" s="622" t="s">
        <v>386</v>
      </c>
      <c r="F2409" s="622" t="s">
        <v>588</v>
      </c>
      <c r="G2409" s="622" t="s">
        <v>472</v>
      </c>
      <c r="H2409" s="622" t="s">
        <v>670</v>
      </c>
      <c r="I2409" s="622" t="s">
        <v>277</v>
      </c>
      <c r="J2409" s="622" t="s">
        <v>524</v>
      </c>
      <c r="K2409" s="622" t="s">
        <v>670</v>
      </c>
      <c r="L2409" s="622" t="s">
        <v>357</v>
      </c>
      <c r="M2409" s="622" t="s">
        <v>285</v>
      </c>
      <c r="N2409" s="622" t="s">
        <v>670</v>
      </c>
      <c r="O2409" s="622" t="s">
        <v>765</v>
      </c>
      <c r="P2409" s="622" t="s">
        <v>524</v>
      </c>
      <c r="Q2409" s="622" t="s">
        <v>589</v>
      </c>
      <c r="R2409" s="623">
        <v>46021</v>
      </c>
      <c r="S2409" s="622" t="s">
        <v>670</v>
      </c>
      <c r="T2409" s="623">
        <v>46023</v>
      </c>
      <c r="U2409" s="624">
        <v>0</v>
      </c>
      <c r="V2409" s="625">
        <v>-14736</v>
      </c>
      <c r="W2409" s="260">
        <v>46023</v>
      </c>
    </row>
    <row r="2410" spans="1:23" hidden="1" x14ac:dyDescent="0.35">
      <c r="A2410" s="622" t="s">
        <v>526</v>
      </c>
      <c r="B2410" s="622" t="s">
        <v>53</v>
      </c>
      <c r="C2410" s="622" t="s">
        <v>670</v>
      </c>
      <c r="D2410" s="622" t="s">
        <v>385</v>
      </c>
      <c r="E2410" s="622" t="s">
        <v>386</v>
      </c>
      <c r="F2410" s="622" t="s">
        <v>588</v>
      </c>
      <c r="G2410" s="622" t="s">
        <v>472</v>
      </c>
      <c r="H2410" s="622" t="s">
        <v>670</v>
      </c>
      <c r="I2410" s="622" t="s">
        <v>277</v>
      </c>
      <c r="J2410" s="622" t="s">
        <v>524</v>
      </c>
      <c r="K2410" s="622" t="s">
        <v>670</v>
      </c>
      <c r="L2410" s="622" t="s">
        <v>357</v>
      </c>
      <c r="M2410" s="622" t="s">
        <v>285</v>
      </c>
      <c r="N2410" s="622" t="s">
        <v>670</v>
      </c>
      <c r="O2410" s="622" t="s">
        <v>824</v>
      </c>
      <c r="P2410" s="622" t="s">
        <v>524</v>
      </c>
      <c r="Q2410" s="622" t="s">
        <v>589</v>
      </c>
      <c r="R2410" s="623">
        <v>46021</v>
      </c>
      <c r="S2410" s="622" t="s">
        <v>670</v>
      </c>
      <c r="T2410" s="623">
        <v>46023</v>
      </c>
      <c r="U2410" s="624">
        <v>0</v>
      </c>
      <c r="V2410" s="625">
        <v>-205276.33</v>
      </c>
      <c r="W2410" s="260">
        <v>46023</v>
      </c>
    </row>
    <row r="2411" spans="1:23" hidden="1" x14ac:dyDescent="0.35">
      <c r="A2411" s="622" t="s">
        <v>526</v>
      </c>
      <c r="B2411" s="622" t="s">
        <v>53</v>
      </c>
      <c r="C2411" s="622" t="s">
        <v>670</v>
      </c>
      <c r="D2411" s="622" t="s">
        <v>385</v>
      </c>
      <c r="E2411" s="622" t="s">
        <v>386</v>
      </c>
      <c r="F2411" s="622" t="s">
        <v>588</v>
      </c>
      <c r="G2411" s="622" t="s">
        <v>472</v>
      </c>
      <c r="H2411" s="622" t="s">
        <v>670</v>
      </c>
      <c r="I2411" s="622" t="s">
        <v>277</v>
      </c>
      <c r="J2411" s="622" t="s">
        <v>524</v>
      </c>
      <c r="K2411" s="622" t="s">
        <v>670</v>
      </c>
      <c r="L2411" s="622" t="s">
        <v>357</v>
      </c>
      <c r="M2411" s="622" t="s">
        <v>285</v>
      </c>
      <c r="N2411" s="622" t="s">
        <v>670</v>
      </c>
      <c r="O2411" s="622">
        <v>7000002099</v>
      </c>
      <c r="P2411" s="622" t="s">
        <v>524</v>
      </c>
      <c r="Q2411" s="622" t="s">
        <v>589</v>
      </c>
      <c r="R2411" s="623">
        <v>46021</v>
      </c>
      <c r="S2411" s="622" t="s">
        <v>670</v>
      </c>
      <c r="T2411" s="623">
        <v>46023</v>
      </c>
      <c r="U2411" s="624">
        <v>0</v>
      </c>
      <c r="V2411" s="625">
        <v>-90030</v>
      </c>
      <c r="W2411" s="260">
        <v>46023</v>
      </c>
    </row>
    <row r="2412" spans="1:23" hidden="1" x14ac:dyDescent="0.35">
      <c r="A2412" s="622" t="s">
        <v>526</v>
      </c>
      <c r="B2412" s="622" t="s">
        <v>53</v>
      </c>
      <c r="C2412" s="622" t="s">
        <v>670</v>
      </c>
      <c r="D2412" s="622" t="s">
        <v>385</v>
      </c>
      <c r="E2412" s="622" t="s">
        <v>386</v>
      </c>
      <c r="F2412" s="622" t="s">
        <v>588</v>
      </c>
      <c r="G2412" s="622" t="s">
        <v>472</v>
      </c>
      <c r="H2412" s="622" t="s">
        <v>670</v>
      </c>
      <c r="I2412" s="622" t="s">
        <v>277</v>
      </c>
      <c r="J2412" s="622" t="s">
        <v>524</v>
      </c>
      <c r="K2412" s="622" t="s">
        <v>670</v>
      </c>
      <c r="L2412" s="622" t="s">
        <v>357</v>
      </c>
      <c r="M2412" s="622" t="s">
        <v>285</v>
      </c>
      <c r="N2412" s="622" t="s">
        <v>670</v>
      </c>
      <c r="O2412" s="622" t="s">
        <v>684</v>
      </c>
      <c r="P2412" s="622" t="s">
        <v>524</v>
      </c>
      <c r="Q2412" s="622" t="s">
        <v>589</v>
      </c>
      <c r="R2412" s="623">
        <v>46021</v>
      </c>
      <c r="S2412" s="622" t="s">
        <v>670</v>
      </c>
      <c r="T2412" s="623">
        <v>46023</v>
      </c>
      <c r="U2412" s="624">
        <v>0</v>
      </c>
      <c r="V2412" s="625">
        <v>-70570</v>
      </c>
      <c r="W2412" s="260">
        <v>46023</v>
      </c>
    </row>
    <row r="2413" spans="1:23" hidden="1" x14ac:dyDescent="0.35">
      <c r="A2413" s="622" t="s">
        <v>526</v>
      </c>
      <c r="B2413" s="622" t="s">
        <v>53</v>
      </c>
      <c r="C2413" s="622" t="s">
        <v>670</v>
      </c>
      <c r="D2413" s="622" t="s">
        <v>385</v>
      </c>
      <c r="E2413" s="622" t="s">
        <v>386</v>
      </c>
      <c r="F2413" s="622" t="s">
        <v>276</v>
      </c>
      <c r="G2413" s="622" t="s">
        <v>472</v>
      </c>
      <c r="H2413" s="622" t="s">
        <v>670</v>
      </c>
      <c r="I2413" s="622" t="s">
        <v>277</v>
      </c>
      <c r="J2413" s="622" t="s">
        <v>524</v>
      </c>
      <c r="K2413" s="622" t="s">
        <v>670</v>
      </c>
      <c r="L2413" s="622" t="s">
        <v>357</v>
      </c>
      <c r="M2413" s="622" t="s">
        <v>285</v>
      </c>
      <c r="N2413" s="622" t="s">
        <v>731</v>
      </c>
      <c r="O2413" s="622" t="s">
        <v>678</v>
      </c>
      <c r="P2413" s="622" t="s">
        <v>524</v>
      </c>
      <c r="Q2413" s="622" t="s">
        <v>387</v>
      </c>
      <c r="R2413" s="623">
        <v>45996</v>
      </c>
      <c r="S2413" s="622" t="s">
        <v>388</v>
      </c>
      <c r="T2413" s="623">
        <v>46043</v>
      </c>
      <c r="U2413" s="626">
        <v>1</v>
      </c>
      <c r="V2413" s="625">
        <v>994.67</v>
      </c>
      <c r="W2413" s="260">
        <v>46023</v>
      </c>
    </row>
    <row r="2414" spans="1:23" hidden="1" x14ac:dyDescent="0.35">
      <c r="A2414" s="622" t="s">
        <v>526</v>
      </c>
      <c r="B2414" s="622" t="s">
        <v>53</v>
      </c>
      <c r="C2414" s="622" t="s">
        <v>670</v>
      </c>
      <c r="D2414" s="622" t="s">
        <v>385</v>
      </c>
      <c r="E2414" s="622" t="s">
        <v>386</v>
      </c>
      <c r="F2414" s="622" t="s">
        <v>276</v>
      </c>
      <c r="G2414" s="622" t="s">
        <v>472</v>
      </c>
      <c r="H2414" s="622" t="s">
        <v>670</v>
      </c>
      <c r="I2414" s="622" t="s">
        <v>277</v>
      </c>
      <c r="J2414" s="622" t="s">
        <v>524</v>
      </c>
      <c r="K2414" s="622" t="s">
        <v>670</v>
      </c>
      <c r="L2414" s="622" t="s">
        <v>357</v>
      </c>
      <c r="M2414" s="622" t="s">
        <v>285</v>
      </c>
      <c r="N2414" s="622" t="s">
        <v>732</v>
      </c>
      <c r="O2414" s="622" t="s">
        <v>833</v>
      </c>
      <c r="P2414" s="622" t="s">
        <v>524</v>
      </c>
      <c r="Q2414" s="622" t="s">
        <v>387</v>
      </c>
      <c r="R2414" s="623">
        <v>45993</v>
      </c>
      <c r="S2414" s="622" t="s">
        <v>388</v>
      </c>
      <c r="T2414" s="623">
        <v>46043</v>
      </c>
      <c r="U2414" s="626">
        <v>1</v>
      </c>
      <c r="V2414" s="625">
        <v>254.31</v>
      </c>
      <c r="W2414" s="260">
        <v>46023</v>
      </c>
    </row>
    <row r="2415" spans="1:23" hidden="1" x14ac:dyDescent="0.35">
      <c r="A2415" s="622" t="s">
        <v>526</v>
      </c>
      <c r="B2415" s="622" t="s">
        <v>53</v>
      </c>
      <c r="C2415" s="622" t="s">
        <v>670</v>
      </c>
      <c r="D2415" s="622" t="s">
        <v>385</v>
      </c>
      <c r="E2415" s="622" t="s">
        <v>386</v>
      </c>
      <c r="F2415" s="622" t="s">
        <v>276</v>
      </c>
      <c r="G2415" s="622" t="s">
        <v>472</v>
      </c>
      <c r="H2415" s="622" t="s">
        <v>670</v>
      </c>
      <c r="I2415" s="622" t="s">
        <v>277</v>
      </c>
      <c r="J2415" s="622" t="s">
        <v>524</v>
      </c>
      <c r="K2415" s="622" t="s">
        <v>670</v>
      </c>
      <c r="L2415" s="622" t="s">
        <v>357</v>
      </c>
      <c r="M2415" s="622" t="s">
        <v>285</v>
      </c>
      <c r="N2415" s="622" t="s">
        <v>670</v>
      </c>
      <c r="O2415" s="622" t="s">
        <v>833</v>
      </c>
      <c r="P2415" s="622" t="s">
        <v>524</v>
      </c>
      <c r="Q2415" s="622" t="s">
        <v>400</v>
      </c>
      <c r="R2415" s="623">
        <v>46051</v>
      </c>
      <c r="S2415" s="622" t="s">
        <v>670</v>
      </c>
      <c r="T2415" s="623">
        <v>46053</v>
      </c>
      <c r="U2415" s="624">
        <v>0</v>
      </c>
      <c r="V2415" s="625">
        <v>2512</v>
      </c>
      <c r="W2415" s="260">
        <v>46023</v>
      </c>
    </row>
    <row r="2416" spans="1:23" hidden="1" x14ac:dyDescent="0.35">
      <c r="A2416" s="622" t="s">
        <v>526</v>
      </c>
      <c r="B2416" s="622" t="s">
        <v>53</v>
      </c>
      <c r="C2416" s="622" t="s">
        <v>670</v>
      </c>
      <c r="D2416" s="622" t="s">
        <v>385</v>
      </c>
      <c r="E2416" s="622" t="s">
        <v>386</v>
      </c>
      <c r="F2416" s="622" t="s">
        <v>276</v>
      </c>
      <c r="G2416" s="622" t="s">
        <v>472</v>
      </c>
      <c r="H2416" s="622" t="s">
        <v>670</v>
      </c>
      <c r="I2416" s="622" t="s">
        <v>277</v>
      </c>
      <c r="J2416" s="622" t="s">
        <v>524</v>
      </c>
      <c r="K2416" s="622" t="s">
        <v>670</v>
      </c>
      <c r="L2416" s="622" t="s">
        <v>357</v>
      </c>
      <c r="M2416" s="622" t="s">
        <v>285</v>
      </c>
      <c r="N2416" s="622" t="s">
        <v>670</v>
      </c>
      <c r="O2416" s="622" t="s">
        <v>739</v>
      </c>
      <c r="P2416" s="622" t="s">
        <v>524</v>
      </c>
      <c r="Q2416" s="622" t="s">
        <v>400</v>
      </c>
      <c r="R2416" s="623">
        <v>46051</v>
      </c>
      <c r="S2416" s="622" t="s">
        <v>670</v>
      </c>
      <c r="T2416" s="623">
        <v>46053</v>
      </c>
      <c r="U2416" s="624">
        <v>0</v>
      </c>
      <c r="V2416" s="625">
        <v>15000</v>
      </c>
      <c r="W2416" s="260">
        <v>46023</v>
      </c>
    </row>
    <row r="2417" spans="1:23" hidden="1" x14ac:dyDescent="0.35">
      <c r="A2417" s="622" t="s">
        <v>526</v>
      </c>
      <c r="B2417" s="622" t="s">
        <v>53</v>
      </c>
      <c r="C2417" s="622" t="s">
        <v>670</v>
      </c>
      <c r="D2417" s="622" t="s">
        <v>385</v>
      </c>
      <c r="E2417" s="622" t="s">
        <v>386</v>
      </c>
      <c r="F2417" s="622" t="s">
        <v>276</v>
      </c>
      <c r="G2417" s="622" t="s">
        <v>472</v>
      </c>
      <c r="H2417" s="622" t="s">
        <v>670</v>
      </c>
      <c r="I2417" s="622" t="s">
        <v>277</v>
      </c>
      <c r="J2417" s="622" t="s">
        <v>524</v>
      </c>
      <c r="K2417" s="622" t="s">
        <v>670</v>
      </c>
      <c r="L2417" s="622" t="s">
        <v>357</v>
      </c>
      <c r="M2417" s="622" t="s">
        <v>285</v>
      </c>
      <c r="N2417" s="622" t="s">
        <v>670</v>
      </c>
      <c r="O2417" s="622" t="s">
        <v>687</v>
      </c>
      <c r="P2417" s="622" t="s">
        <v>524</v>
      </c>
      <c r="Q2417" s="622" t="s">
        <v>400</v>
      </c>
      <c r="R2417" s="623">
        <v>46051</v>
      </c>
      <c r="S2417" s="622" t="s">
        <v>670</v>
      </c>
      <c r="T2417" s="623">
        <v>46053</v>
      </c>
      <c r="U2417" s="624">
        <v>0</v>
      </c>
      <c r="V2417" s="625">
        <v>22000</v>
      </c>
      <c r="W2417" s="260">
        <v>46023</v>
      </c>
    </row>
    <row r="2418" spans="1:23" hidden="1" x14ac:dyDescent="0.35">
      <c r="A2418" s="622" t="s">
        <v>526</v>
      </c>
      <c r="B2418" s="622" t="s">
        <v>53</v>
      </c>
      <c r="C2418" s="622" t="s">
        <v>670</v>
      </c>
      <c r="D2418" s="622" t="s">
        <v>385</v>
      </c>
      <c r="E2418" s="622" t="s">
        <v>386</v>
      </c>
      <c r="F2418" s="622" t="s">
        <v>276</v>
      </c>
      <c r="G2418" s="622" t="s">
        <v>472</v>
      </c>
      <c r="H2418" s="622" t="s">
        <v>670</v>
      </c>
      <c r="I2418" s="622" t="s">
        <v>277</v>
      </c>
      <c r="J2418" s="622" t="s">
        <v>524</v>
      </c>
      <c r="K2418" s="622" t="s">
        <v>670</v>
      </c>
      <c r="L2418" s="622" t="s">
        <v>357</v>
      </c>
      <c r="M2418" s="622" t="s">
        <v>285</v>
      </c>
      <c r="N2418" s="622" t="s">
        <v>670</v>
      </c>
      <c r="O2418" s="622" t="s">
        <v>765</v>
      </c>
      <c r="P2418" s="622" t="s">
        <v>524</v>
      </c>
      <c r="Q2418" s="622" t="s">
        <v>400</v>
      </c>
      <c r="R2418" s="623">
        <v>46051</v>
      </c>
      <c r="S2418" s="622" t="s">
        <v>670</v>
      </c>
      <c r="T2418" s="623">
        <v>46053</v>
      </c>
      <c r="U2418" s="624">
        <v>0</v>
      </c>
      <c r="V2418" s="625">
        <v>23973</v>
      </c>
      <c r="W2418" s="260">
        <v>46023</v>
      </c>
    </row>
    <row r="2419" spans="1:23" hidden="1" x14ac:dyDescent="0.35">
      <c r="A2419" s="622" t="s">
        <v>526</v>
      </c>
      <c r="B2419" s="622" t="s">
        <v>53</v>
      </c>
      <c r="C2419" s="622" t="s">
        <v>670</v>
      </c>
      <c r="D2419" s="622" t="s">
        <v>385</v>
      </c>
      <c r="E2419" s="622" t="s">
        <v>386</v>
      </c>
      <c r="F2419" s="622" t="s">
        <v>276</v>
      </c>
      <c r="G2419" s="622" t="s">
        <v>472</v>
      </c>
      <c r="H2419" s="622" t="s">
        <v>670</v>
      </c>
      <c r="I2419" s="622" t="s">
        <v>277</v>
      </c>
      <c r="J2419" s="622" t="s">
        <v>524</v>
      </c>
      <c r="K2419" s="622" t="s">
        <v>670</v>
      </c>
      <c r="L2419" s="622" t="s">
        <v>357</v>
      </c>
      <c r="M2419" s="622" t="s">
        <v>285</v>
      </c>
      <c r="N2419" s="622" t="s">
        <v>670</v>
      </c>
      <c r="O2419" s="622" t="s">
        <v>824</v>
      </c>
      <c r="P2419" s="622" t="s">
        <v>524</v>
      </c>
      <c r="Q2419" s="622" t="s">
        <v>400</v>
      </c>
      <c r="R2419" s="623">
        <v>46051</v>
      </c>
      <c r="S2419" s="622" t="s">
        <v>670</v>
      </c>
      <c r="T2419" s="623">
        <v>46053</v>
      </c>
      <c r="U2419" s="624">
        <v>0</v>
      </c>
      <c r="V2419" s="625">
        <v>275528</v>
      </c>
      <c r="W2419" s="260">
        <v>46023</v>
      </c>
    </row>
    <row r="2420" spans="1:23" hidden="1" x14ac:dyDescent="0.35">
      <c r="A2420" s="622" t="s">
        <v>526</v>
      </c>
      <c r="B2420" s="622" t="s">
        <v>53</v>
      </c>
      <c r="C2420" s="622" t="s">
        <v>670</v>
      </c>
      <c r="D2420" s="622" t="s">
        <v>385</v>
      </c>
      <c r="E2420" s="622" t="s">
        <v>386</v>
      </c>
      <c r="F2420" s="622" t="s">
        <v>276</v>
      </c>
      <c r="G2420" s="622" t="s">
        <v>472</v>
      </c>
      <c r="H2420" s="622" t="s">
        <v>670</v>
      </c>
      <c r="I2420" s="622" t="s">
        <v>277</v>
      </c>
      <c r="J2420" s="622" t="s">
        <v>524</v>
      </c>
      <c r="K2420" s="622" t="s">
        <v>670</v>
      </c>
      <c r="L2420" s="622" t="s">
        <v>357</v>
      </c>
      <c r="M2420" s="622" t="s">
        <v>285</v>
      </c>
      <c r="N2420" s="622" t="s">
        <v>670</v>
      </c>
      <c r="O2420" s="622">
        <v>7000002099</v>
      </c>
      <c r="P2420" s="622" t="s">
        <v>524</v>
      </c>
      <c r="Q2420" s="622" t="s">
        <v>400</v>
      </c>
      <c r="R2420" s="623">
        <v>46051</v>
      </c>
      <c r="S2420" s="622" t="s">
        <v>670</v>
      </c>
      <c r="T2420" s="623">
        <v>46053</v>
      </c>
      <c r="U2420" s="624">
        <v>0</v>
      </c>
      <c r="V2420" s="625">
        <v>507450</v>
      </c>
      <c r="W2420" s="260">
        <v>46023</v>
      </c>
    </row>
    <row r="2421" spans="1:23" hidden="1" x14ac:dyDescent="0.35">
      <c r="A2421" s="622" t="s">
        <v>526</v>
      </c>
      <c r="B2421" s="622" t="s">
        <v>53</v>
      </c>
      <c r="C2421" s="622" t="s">
        <v>670</v>
      </c>
      <c r="D2421" s="622" t="s">
        <v>385</v>
      </c>
      <c r="E2421" s="622" t="s">
        <v>386</v>
      </c>
      <c r="F2421" s="622" t="s">
        <v>276</v>
      </c>
      <c r="G2421" s="622" t="s">
        <v>472</v>
      </c>
      <c r="H2421" s="622" t="s">
        <v>670</v>
      </c>
      <c r="I2421" s="622" t="s">
        <v>277</v>
      </c>
      <c r="J2421" s="622" t="s">
        <v>524</v>
      </c>
      <c r="K2421" s="622" t="s">
        <v>670</v>
      </c>
      <c r="L2421" s="622" t="s">
        <v>357</v>
      </c>
      <c r="M2421" s="622" t="s">
        <v>285</v>
      </c>
      <c r="N2421" s="622" t="s">
        <v>670</v>
      </c>
      <c r="O2421" s="622" t="s">
        <v>684</v>
      </c>
      <c r="P2421" s="622" t="s">
        <v>524</v>
      </c>
      <c r="Q2421" s="622" t="s">
        <v>400</v>
      </c>
      <c r="R2421" s="623">
        <v>46051</v>
      </c>
      <c r="S2421" s="622" t="s">
        <v>670</v>
      </c>
      <c r="T2421" s="623">
        <v>46053</v>
      </c>
      <c r="U2421" s="624">
        <v>0</v>
      </c>
      <c r="V2421" s="625">
        <v>59134</v>
      </c>
      <c r="W2421" s="260">
        <v>46023</v>
      </c>
    </row>
    <row r="2422" spans="1:23" hidden="1" x14ac:dyDescent="0.35">
      <c r="A2422" s="622" t="s">
        <v>526</v>
      </c>
      <c r="B2422" s="622" t="s">
        <v>53</v>
      </c>
      <c r="C2422" s="622" t="s">
        <v>670</v>
      </c>
      <c r="D2422" s="622" t="s">
        <v>385</v>
      </c>
      <c r="E2422" s="622" t="s">
        <v>386</v>
      </c>
      <c r="F2422" s="622" t="s">
        <v>276</v>
      </c>
      <c r="G2422" s="622" t="s">
        <v>472</v>
      </c>
      <c r="H2422" s="622" t="s">
        <v>670</v>
      </c>
      <c r="I2422" s="622" t="s">
        <v>277</v>
      </c>
      <c r="J2422" s="622" t="s">
        <v>524</v>
      </c>
      <c r="K2422" s="622" t="s">
        <v>670</v>
      </c>
      <c r="L2422" s="622" t="s">
        <v>357</v>
      </c>
      <c r="M2422" s="622" t="s">
        <v>285</v>
      </c>
      <c r="N2422" s="622" t="s">
        <v>731</v>
      </c>
      <c r="O2422" s="622" t="s">
        <v>678</v>
      </c>
      <c r="P2422" s="622" t="s">
        <v>524</v>
      </c>
      <c r="Q2422" s="622" t="s">
        <v>387</v>
      </c>
      <c r="R2422" s="623">
        <v>46022</v>
      </c>
      <c r="S2422" s="622" t="s">
        <v>388</v>
      </c>
      <c r="T2422" s="623">
        <v>46052</v>
      </c>
      <c r="U2422" s="626">
        <v>1</v>
      </c>
      <c r="V2422" s="625">
        <v>3941.04</v>
      </c>
      <c r="W2422" s="260">
        <v>46023</v>
      </c>
    </row>
    <row r="2423" spans="1:23" hidden="1" x14ac:dyDescent="0.35">
      <c r="A2423" s="622" t="s">
        <v>526</v>
      </c>
      <c r="B2423" s="622" t="s">
        <v>53</v>
      </c>
      <c r="C2423" s="622" t="s">
        <v>799</v>
      </c>
      <c r="D2423" s="622" t="s">
        <v>385</v>
      </c>
      <c r="E2423" s="622" t="s">
        <v>386</v>
      </c>
      <c r="F2423" s="622" t="s">
        <v>276</v>
      </c>
      <c r="G2423" s="622" t="s">
        <v>472</v>
      </c>
      <c r="H2423" s="622" t="s">
        <v>670</v>
      </c>
      <c r="I2423" s="622" t="s">
        <v>277</v>
      </c>
      <c r="J2423" s="622" t="s">
        <v>524</v>
      </c>
      <c r="K2423" s="622" t="s">
        <v>800</v>
      </c>
      <c r="L2423" s="622" t="s">
        <v>357</v>
      </c>
      <c r="M2423" s="622" t="s">
        <v>285</v>
      </c>
      <c r="N2423" s="622" t="s">
        <v>670</v>
      </c>
      <c r="O2423" s="622" t="s">
        <v>670</v>
      </c>
      <c r="P2423" s="622" t="s">
        <v>524</v>
      </c>
      <c r="Q2423" s="622" t="s">
        <v>670</v>
      </c>
      <c r="R2423" s="623">
        <v>46055</v>
      </c>
      <c r="S2423" s="622" t="s">
        <v>670</v>
      </c>
      <c r="T2423" s="623">
        <v>46053</v>
      </c>
      <c r="U2423" s="624">
        <v>0</v>
      </c>
      <c r="V2423" s="625">
        <v>791.37</v>
      </c>
      <c r="W2423" s="260">
        <v>46023</v>
      </c>
    </row>
    <row r="2424" spans="1:23" hidden="1" x14ac:dyDescent="0.35">
      <c r="A2424" s="622" t="s">
        <v>526</v>
      </c>
      <c r="B2424" s="622" t="s">
        <v>53</v>
      </c>
      <c r="C2424" s="622" t="s">
        <v>799</v>
      </c>
      <c r="D2424" s="622" t="s">
        <v>801</v>
      </c>
      <c r="E2424" s="622" t="s">
        <v>802</v>
      </c>
      <c r="F2424" s="622" t="s">
        <v>276</v>
      </c>
      <c r="G2424" s="622" t="s">
        <v>472</v>
      </c>
      <c r="H2424" s="622" t="s">
        <v>670</v>
      </c>
      <c r="I2424" s="622" t="s">
        <v>277</v>
      </c>
      <c r="J2424" s="622" t="s">
        <v>524</v>
      </c>
      <c r="K2424" s="622" t="s">
        <v>800</v>
      </c>
      <c r="L2424" s="622" t="s">
        <v>357</v>
      </c>
      <c r="M2424" s="622" t="s">
        <v>285</v>
      </c>
      <c r="N2424" s="622" t="s">
        <v>670</v>
      </c>
      <c r="O2424" s="622" t="s">
        <v>670</v>
      </c>
      <c r="P2424" s="622" t="s">
        <v>524</v>
      </c>
      <c r="Q2424" s="622" t="s">
        <v>670</v>
      </c>
      <c r="R2424" s="623">
        <v>46055</v>
      </c>
      <c r="S2424" s="622" t="s">
        <v>670</v>
      </c>
      <c r="T2424" s="623">
        <v>46053</v>
      </c>
      <c r="U2424" s="624">
        <v>0</v>
      </c>
      <c r="V2424" s="625">
        <v>77</v>
      </c>
      <c r="W2424" s="260">
        <v>46023</v>
      </c>
    </row>
    <row r="2425" spans="1:23" hidden="1" x14ac:dyDescent="0.35">
      <c r="A2425" s="622" t="s">
        <v>526</v>
      </c>
      <c r="B2425" s="622" t="s">
        <v>53</v>
      </c>
      <c r="C2425" s="622" t="s">
        <v>670</v>
      </c>
      <c r="D2425" s="622" t="s">
        <v>762</v>
      </c>
      <c r="E2425" s="622" t="s">
        <v>763</v>
      </c>
      <c r="F2425" s="622" t="s">
        <v>276</v>
      </c>
      <c r="G2425" s="622" t="s">
        <v>472</v>
      </c>
      <c r="H2425" s="622" t="s">
        <v>670</v>
      </c>
      <c r="I2425" s="622" t="s">
        <v>277</v>
      </c>
      <c r="J2425" s="622" t="s">
        <v>524</v>
      </c>
      <c r="K2425" s="622" t="s">
        <v>670</v>
      </c>
      <c r="L2425" s="622" t="s">
        <v>357</v>
      </c>
      <c r="M2425" s="622" t="s">
        <v>285</v>
      </c>
      <c r="N2425" s="622" t="s">
        <v>764</v>
      </c>
      <c r="O2425" s="622" t="s">
        <v>765</v>
      </c>
      <c r="P2425" s="622" t="s">
        <v>524</v>
      </c>
      <c r="Q2425" s="622" t="s">
        <v>387</v>
      </c>
      <c r="R2425" s="623">
        <v>45933</v>
      </c>
      <c r="S2425" s="622" t="s">
        <v>388</v>
      </c>
      <c r="T2425" s="623">
        <v>46042</v>
      </c>
      <c r="U2425" s="626">
        <v>1</v>
      </c>
      <c r="V2425" s="625">
        <v>24360</v>
      </c>
      <c r="W2425" s="260">
        <v>46023</v>
      </c>
    </row>
    <row r="2426" spans="1:23" hidden="1" x14ac:dyDescent="0.35">
      <c r="A2426" s="622" t="s">
        <v>526</v>
      </c>
      <c r="B2426" s="622" t="s">
        <v>53</v>
      </c>
      <c r="C2426" s="622" t="s">
        <v>521</v>
      </c>
      <c r="D2426" s="622" t="s">
        <v>681</v>
      </c>
      <c r="E2426" s="622" t="s">
        <v>682</v>
      </c>
      <c r="F2426" s="622" t="s">
        <v>276</v>
      </c>
      <c r="G2426" s="622" t="s">
        <v>472</v>
      </c>
      <c r="H2426" s="622" t="s">
        <v>670</v>
      </c>
      <c r="I2426" s="622" t="s">
        <v>277</v>
      </c>
      <c r="J2426" s="622" t="s">
        <v>524</v>
      </c>
      <c r="K2426" s="622" t="s">
        <v>683</v>
      </c>
      <c r="L2426" s="622" t="s">
        <v>357</v>
      </c>
      <c r="M2426" s="622" t="s">
        <v>285</v>
      </c>
      <c r="N2426" s="622" t="s">
        <v>670</v>
      </c>
      <c r="O2426" s="622" t="s">
        <v>670</v>
      </c>
      <c r="P2426" s="622" t="s">
        <v>524</v>
      </c>
      <c r="Q2426" s="622" t="s">
        <v>670</v>
      </c>
      <c r="R2426" s="623">
        <v>46055</v>
      </c>
      <c r="S2426" s="622" t="s">
        <v>670</v>
      </c>
      <c r="T2426" s="623">
        <v>46053</v>
      </c>
      <c r="U2426" s="624">
        <v>0</v>
      </c>
      <c r="V2426" s="625">
        <v>3885</v>
      </c>
      <c r="W2426" s="260">
        <v>46023</v>
      </c>
    </row>
    <row r="2427" spans="1:23" hidden="1" x14ac:dyDescent="0.35">
      <c r="A2427" s="873" t="s">
        <v>748</v>
      </c>
      <c r="B2427" s="873" t="s">
        <v>53</v>
      </c>
      <c r="C2427" s="873"/>
      <c r="D2427" s="873" t="s">
        <v>385</v>
      </c>
      <c r="E2427" s="873" t="s">
        <v>386</v>
      </c>
      <c r="F2427" s="873" t="s">
        <v>276</v>
      </c>
      <c r="G2427" s="873" t="s">
        <v>472</v>
      </c>
      <c r="H2427" s="873"/>
      <c r="I2427" s="873" t="s">
        <v>277</v>
      </c>
      <c r="J2427" s="873" t="s">
        <v>654</v>
      </c>
      <c r="K2427" s="873"/>
      <c r="L2427" s="873" t="s">
        <v>384</v>
      </c>
      <c r="M2427" s="873" t="s">
        <v>285</v>
      </c>
      <c r="N2427" s="873" t="s">
        <v>868</v>
      </c>
      <c r="O2427" s="873" t="s">
        <v>675</v>
      </c>
      <c r="P2427" s="873" t="s">
        <v>654</v>
      </c>
      <c r="Q2427" s="873" t="s">
        <v>387</v>
      </c>
      <c r="R2427" s="874">
        <v>46065</v>
      </c>
      <c r="S2427" s="873" t="s">
        <v>388</v>
      </c>
      <c r="T2427" s="874">
        <v>46071</v>
      </c>
      <c r="U2427" s="875">
        <v>1</v>
      </c>
      <c r="V2427" s="876">
        <v>3990</v>
      </c>
      <c r="W2427" s="260">
        <v>46054</v>
      </c>
    </row>
    <row r="2428" spans="1:23" hidden="1" x14ac:dyDescent="0.35">
      <c r="A2428" s="879" t="s">
        <v>526</v>
      </c>
      <c r="B2428" s="879" t="s">
        <v>53</v>
      </c>
      <c r="C2428" s="879" t="s">
        <v>670</v>
      </c>
      <c r="D2428" s="879" t="s">
        <v>385</v>
      </c>
      <c r="E2428" s="879" t="s">
        <v>386</v>
      </c>
      <c r="F2428" s="879" t="s">
        <v>276</v>
      </c>
      <c r="G2428" s="879" t="s">
        <v>472</v>
      </c>
      <c r="H2428" s="879" t="s">
        <v>670</v>
      </c>
      <c r="I2428" s="879" t="s">
        <v>277</v>
      </c>
      <c r="J2428" s="879" t="s">
        <v>996</v>
      </c>
      <c r="K2428" s="879" t="s">
        <v>670</v>
      </c>
      <c r="L2428" s="879" t="s">
        <v>384</v>
      </c>
      <c r="M2428" s="879" t="s">
        <v>285</v>
      </c>
      <c r="N2428" s="879" t="s">
        <v>733</v>
      </c>
      <c r="O2428" s="879" t="s">
        <v>698</v>
      </c>
      <c r="P2428" s="879" t="s">
        <v>577</v>
      </c>
      <c r="Q2428" s="879" t="s">
        <v>387</v>
      </c>
      <c r="R2428" s="880">
        <v>45996</v>
      </c>
      <c r="S2428" s="879" t="s">
        <v>388</v>
      </c>
      <c r="T2428" s="880">
        <v>46058</v>
      </c>
      <c r="U2428" s="881">
        <v>1</v>
      </c>
      <c r="V2428" s="882">
        <v>3136</v>
      </c>
      <c r="W2428" s="260">
        <v>46054</v>
      </c>
    </row>
    <row r="2429" spans="1:23" ht="15" hidden="1" thickBot="1" x14ac:dyDescent="0.4">
      <c r="A2429" s="879" t="s">
        <v>526</v>
      </c>
      <c r="B2429" s="879" t="s">
        <v>53</v>
      </c>
      <c r="C2429" s="879" t="s">
        <v>670</v>
      </c>
      <c r="D2429" s="879">
        <v>5150100</v>
      </c>
      <c r="E2429" s="879" t="s">
        <v>386</v>
      </c>
      <c r="F2429" s="879" t="s">
        <v>276</v>
      </c>
      <c r="G2429" s="879" t="s">
        <v>472</v>
      </c>
      <c r="H2429" s="879" t="s">
        <v>670</v>
      </c>
      <c r="I2429" s="879" t="s">
        <v>277</v>
      </c>
      <c r="J2429" s="879" t="s">
        <v>996</v>
      </c>
      <c r="K2429" s="879" t="s">
        <v>670</v>
      </c>
      <c r="L2429" s="879" t="s">
        <v>384</v>
      </c>
      <c r="M2429" s="879" t="s">
        <v>285</v>
      </c>
      <c r="N2429" s="885" t="s">
        <v>733</v>
      </c>
      <c r="O2429" s="885" t="s">
        <v>698</v>
      </c>
      <c r="P2429" s="885" t="s">
        <v>577</v>
      </c>
      <c r="Q2429" s="885" t="s">
        <v>387</v>
      </c>
      <c r="R2429" s="886">
        <v>46029</v>
      </c>
      <c r="S2429" s="885" t="s">
        <v>388</v>
      </c>
      <c r="T2429" s="886">
        <v>46062</v>
      </c>
      <c r="U2429" s="887">
        <v>1</v>
      </c>
      <c r="V2429" s="888">
        <v>5040</v>
      </c>
      <c r="W2429" s="771">
        <v>46054</v>
      </c>
    </row>
    <row r="2430" spans="1:23" hidden="1" x14ac:dyDescent="0.35">
      <c r="A2430" s="879" t="s">
        <v>526</v>
      </c>
      <c r="B2430" s="879" t="s">
        <v>159</v>
      </c>
      <c r="C2430" s="879" t="s">
        <v>281</v>
      </c>
      <c r="D2430" s="879" t="s">
        <v>282</v>
      </c>
      <c r="E2430" s="879" t="s">
        <v>283</v>
      </c>
      <c r="F2430" s="879" t="s">
        <v>276</v>
      </c>
      <c r="G2430" s="879" t="s">
        <v>472</v>
      </c>
      <c r="H2430" s="879" t="s">
        <v>670</v>
      </c>
      <c r="I2430" s="879" t="s">
        <v>277</v>
      </c>
      <c r="J2430" s="879" t="s">
        <v>997</v>
      </c>
      <c r="K2430" s="879" t="s">
        <v>284</v>
      </c>
      <c r="L2430" s="879" t="s">
        <v>384</v>
      </c>
      <c r="M2430" s="879" t="s">
        <v>285</v>
      </c>
      <c r="N2430" s="879" t="s">
        <v>670</v>
      </c>
      <c r="O2430" s="879" t="s">
        <v>670</v>
      </c>
      <c r="P2430" s="879" t="s">
        <v>522</v>
      </c>
      <c r="Q2430" s="879" t="s">
        <v>670</v>
      </c>
      <c r="R2430" s="880">
        <v>46083</v>
      </c>
      <c r="S2430" s="879" t="s">
        <v>670</v>
      </c>
      <c r="T2430" s="880">
        <v>46081</v>
      </c>
      <c r="U2430" s="883">
        <v>0</v>
      </c>
      <c r="V2430" s="882">
        <v>314.18</v>
      </c>
      <c r="W2430" s="260">
        <v>46054</v>
      </c>
    </row>
    <row r="2431" spans="1:23" hidden="1" x14ac:dyDescent="0.35">
      <c r="A2431" s="879" t="s">
        <v>526</v>
      </c>
      <c r="B2431" s="879" t="s">
        <v>159</v>
      </c>
      <c r="C2431" s="879" t="s">
        <v>286</v>
      </c>
      <c r="D2431" s="879" t="s">
        <v>287</v>
      </c>
      <c r="E2431" s="879" t="s">
        <v>288</v>
      </c>
      <c r="F2431" s="879" t="s">
        <v>276</v>
      </c>
      <c r="G2431" s="879" t="s">
        <v>472</v>
      </c>
      <c r="H2431" s="879" t="s">
        <v>670</v>
      </c>
      <c r="I2431" s="879" t="s">
        <v>277</v>
      </c>
      <c r="J2431" s="879" t="s">
        <v>997</v>
      </c>
      <c r="K2431" s="879" t="s">
        <v>289</v>
      </c>
      <c r="L2431" s="879" t="s">
        <v>384</v>
      </c>
      <c r="M2431" s="879" t="s">
        <v>285</v>
      </c>
      <c r="N2431" s="879" t="s">
        <v>670</v>
      </c>
      <c r="O2431" s="879" t="s">
        <v>670</v>
      </c>
      <c r="P2431" s="879" t="s">
        <v>522</v>
      </c>
      <c r="Q2431" s="879" t="s">
        <v>670</v>
      </c>
      <c r="R2431" s="880">
        <v>46083</v>
      </c>
      <c r="S2431" s="879" t="s">
        <v>670</v>
      </c>
      <c r="T2431" s="880">
        <v>46081</v>
      </c>
      <c r="U2431" s="883">
        <v>0</v>
      </c>
      <c r="V2431" s="882">
        <v>878.79</v>
      </c>
      <c r="W2431" s="260">
        <v>46054</v>
      </c>
    </row>
    <row r="2432" spans="1:23" hidden="1" x14ac:dyDescent="0.35">
      <c r="A2432" s="879" t="s">
        <v>526</v>
      </c>
      <c r="B2432" s="879" t="s">
        <v>159</v>
      </c>
      <c r="C2432" s="879" t="s">
        <v>281</v>
      </c>
      <c r="D2432" s="879" t="s">
        <v>290</v>
      </c>
      <c r="E2432" s="879" t="s">
        <v>291</v>
      </c>
      <c r="F2432" s="879" t="s">
        <v>276</v>
      </c>
      <c r="G2432" s="879" t="s">
        <v>472</v>
      </c>
      <c r="H2432" s="879" t="s">
        <v>670</v>
      </c>
      <c r="I2432" s="879" t="s">
        <v>277</v>
      </c>
      <c r="J2432" s="879" t="s">
        <v>997</v>
      </c>
      <c r="K2432" s="879" t="s">
        <v>284</v>
      </c>
      <c r="L2432" s="879" t="s">
        <v>384</v>
      </c>
      <c r="M2432" s="879" t="s">
        <v>285</v>
      </c>
      <c r="N2432" s="879" t="s">
        <v>670</v>
      </c>
      <c r="O2432" s="879" t="s">
        <v>670</v>
      </c>
      <c r="P2432" s="879" t="s">
        <v>522</v>
      </c>
      <c r="Q2432" s="879" t="s">
        <v>670</v>
      </c>
      <c r="R2432" s="880">
        <v>46083</v>
      </c>
      <c r="S2432" s="879" t="s">
        <v>670</v>
      </c>
      <c r="T2432" s="880">
        <v>46081</v>
      </c>
      <c r="U2432" s="883">
        <v>0</v>
      </c>
      <c r="V2432" s="882">
        <v>195.05</v>
      </c>
      <c r="W2432" s="260">
        <v>46054</v>
      </c>
    </row>
    <row r="2433" spans="1:23" hidden="1" x14ac:dyDescent="0.35">
      <c r="A2433" s="879" t="s">
        <v>526</v>
      </c>
      <c r="B2433" s="879" t="s">
        <v>159</v>
      </c>
      <c r="C2433" s="879" t="s">
        <v>281</v>
      </c>
      <c r="D2433" s="879" t="s">
        <v>292</v>
      </c>
      <c r="E2433" s="879" t="s">
        <v>293</v>
      </c>
      <c r="F2433" s="879" t="s">
        <v>276</v>
      </c>
      <c r="G2433" s="879" t="s">
        <v>472</v>
      </c>
      <c r="H2433" s="879" t="s">
        <v>670</v>
      </c>
      <c r="I2433" s="879" t="s">
        <v>277</v>
      </c>
      <c r="J2433" s="879" t="s">
        <v>997</v>
      </c>
      <c r="K2433" s="879" t="s">
        <v>294</v>
      </c>
      <c r="L2433" s="879" t="s">
        <v>384</v>
      </c>
      <c r="M2433" s="879" t="s">
        <v>285</v>
      </c>
      <c r="N2433" s="879" t="s">
        <v>670</v>
      </c>
      <c r="O2433" s="879" t="s">
        <v>670</v>
      </c>
      <c r="P2433" s="879" t="s">
        <v>522</v>
      </c>
      <c r="Q2433" s="879" t="s">
        <v>670</v>
      </c>
      <c r="R2433" s="880">
        <v>46083</v>
      </c>
      <c r="S2433" s="879" t="s">
        <v>670</v>
      </c>
      <c r="T2433" s="880">
        <v>46081</v>
      </c>
      <c r="U2433" s="883">
        <v>0</v>
      </c>
      <c r="V2433" s="882">
        <v>99.41</v>
      </c>
      <c r="W2433" s="260">
        <v>46054</v>
      </c>
    </row>
    <row r="2434" spans="1:23" hidden="1" x14ac:dyDescent="0.35">
      <c r="A2434" s="879" t="s">
        <v>526</v>
      </c>
      <c r="B2434" s="879" t="s">
        <v>159</v>
      </c>
      <c r="C2434" s="879" t="s">
        <v>286</v>
      </c>
      <c r="D2434" s="879" t="s">
        <v>295</v>
      </c>
      <c r="E2434" s="879" t="s">
        <v>296</v>
      </c>
      <c r="F2434" s="879" t="s">
        <v>276</v>
      </c>
      <c r="G2434" s="879" t="s">
        <v>472</v>
      </c>
      <c r="H2434" s="879" t="s">
        <v>670</v>
      </c>
      <c r="I2434" s="879" t="s">
        <v>277</v>
      </c>
      <c r="J2434" s="879" t="s">
        <v>997</v>
      </c>
      <c r="K2434" s="879" t="s">
        <v>297</v>
      </c>
      <c r="L2434" s="879" t="s">
        <v>384</v>
      </c>
      <c r="M2434" s="879" t="s">
        <v>285</v>
      </c>
      <c r="N2434" s="879" t="s">
        <v>670</v>
      </c>
      <c r="O2434" s="879" t="s">
        <v>670</v>
      </c>
      <c r="P2434" s="879" t="s">
        <v>522</v>
      </c>
      <c r="Q2434" s="879" t="s">
        <v>670</v>
      </c>
      <c r="R2434" s="880">
        <v>46083</v>
      </c>
      <c r="S2434" s="879" t="s">
        <v>670</v>
      </c>
      <c r="T2434" s="880">
        <v>46081</v>
      </c>
      <c r="U2434" s="883">
        <v>0</v>
      </c>
      <c r="V2434" s="882">
        <v>400.17</v>
      </c>
      <c r="W2434" s="260">
        <v>46054</v>
      </c>
    </row>
    <row r="2435" spans="1:23" hidden="1" x14ac:dyDescent="0.35">
      <c r="A2435" s="879" t="s">
        <v>526</v>
      </c>
      <c r="B2435" s="879" t="s">
        <v>159</v>
      </c>
      <c r="C2435" s="879" t="s">
        <v>281</v>
      </c>
      <c r="D2435" s="879" t="s">
        <v>340</v>
      </c>
      <c r="E2435" s="879" t="s">
        <v>283</v>
      </c>
      <c r="F2435" s="879" t="s">
        <v>276</v>
      </c>
      <c r="G2435" s="879" t="s">
        <v>472</v>
      </c>
      <c r="H2435" s="879" t="s">
        <v>670</v>
      </c>
      <c r="I2435" s="879" t="s">
        <v>277</v>
      </c>
      <c r="J2435" s="879" t="s">
        <v>997</v>
      </c>
      <c r="K2435" s="879" t="s">
        <v>284</v>
      </c>
      <c r="L2435" s="879" t="s">
        <v>384</v>
      </c>
      <c r="M2435" s="879" t="s">
        <v>285</v>
      </c>
      <c r="N2435" s="879" t="s">
        <v>670</v>
      </c>
      <c r="O2435" s="879" t="s">
        <v>670</v>
      </c>
      <c r="P2435" s="879" t="s">
        <v>522</v>
      </c>
      <c r="Q2435" s="879" t="s">
        <v>670</v>
      </c>
      <c r="R2435" s="880">
        <v>46083</v>
      </c>
      <c r="S2435" s="879" t="s">
        <v>670</v>
      </c>
      <c r="T2435" s="880">
        <v>46081</v>
      </c>
      <c r="U2435" s="883">
        <v>0</v>
      </c>
      <c r="V2435" s="882">
        <v>-12.79</v>
      </c>
      <c r="W2435" s="260">
        <v>46054</v>
      </c>
    </row>
    <row r="2436" spans="1:23" hidden="1" x14ac:dyDescent="0.35">
      <c r="A2436" s="879" t="s">
        <v>526</v>
      </c>
      <c r="B2436" s="879" t="s">
        <v>159</v>
      </c>
      <c r="C2436" s="879" t="s">
        <v>286</v>
      </c>
      <c r="D2436" s="879" t="s">
        <v>341</v>
      </c>
      <c r="E2436" s="879" t="s">
        <v>288</v>
      </c>
      <c r="F2436" s="879" t="s">
        <v>276</v>
      </c>
      <c r="G2436" s="879" t="s">
        <v>472</v>
      </c>
      <c r="H2436" s="879" t="s">
        <v>670</v>
      </c>
      <c r="I2436" s="879" t="s">
        <v>277</v>
      </c>
      <c r="J2436" s="879" t="s">
        <v>997</v>
      </c>
      <c r="K2436" s="879" t="s">
        <v>289</v>
      </c>
      <c r="L2436" s="879" t="s">
        <v>384</v>
      </c>
      <c r="M2436" s="879" t="s">
        <v>285</v>
      </c>
      <c r="N2436" s="879" t="s">
        <v>670</v>
      </c>
      <c r="O2436" s="879" t="s">
        <v>670</v>
      </c>
      <c r="P2436" s="879" t="s">
        <v>522</v>
      </c>
      <c r="Q2436" s="879" t="s">
        <v>670</v>
      </c>
      <c r="R2436" s="880">
        <v>46083</v>
      </c>
      <c r="S2436" s="879" t="s">
        <v>670</v>
      </c>
      <c r="T2436" s="880">
        <v>46081</v>
      </c>
      <c r="U2436" s="883">
        <v>0</v>
      </c>
      <c r="V2436" s="882">
        <v>-59.39</v>
      </c>
      <c r="W2436" s="260">
        <v>46054</v>
      </c>
    </row>
    <row r="2437" spans="1:23" hidden="1" x14ac:dyDescent="0.35">
      <c r="A2437" s="879" t="s">
        <v>526</v>
      </c>
      <c r="B2437" s="879" t="s">
        <v>159</v>
      </c>
      <c r="C2437" s="879" t="s">
        <v>281</v>
      </c>
      <c r="D2437" s="879" t="s">
        <v>342</v>
      </c>
      <c r="E2437" s="879" t="s">
        <v>291</v>
      </c>
      <c r="F2437" s="879" t="s">
        <v>276</v>
      </c>
      <c r="G2437" s="879" t="s">
        <v>472</v>
      </c>
      <c r="H2437" s="879" t="s">
        <v>670</v>
      </c>
      <c r="I2437" s="879" t="s">
        <v>277</v>
      </c>
      <c r="J2437" s="879" t="s">
        <v>997</v>
      </c>
      <c r="K2437" s="879" t="s">
        <v>284</v>
      </c>
      <c r="L2437" s="879" t="s">
        <v>384</v>
      </c>
      <c r="M2437" s="879" t="s">
        <v>285</v>
      </c>
      <c r="N2437" s="879" t="s">
        <v>670</v>
      </c>
      <c r="O2437" s="879" t="s">
        <v>670</v>
      </c>
      <c r="P2437" s="879" t="s">
        <v>522</v>
      </c>
      <c r="Q2437" s="879" t="s">
        <v>670</v>
      </c>
      <c r="R2437" s="880">
        <v>46083</v>
      </c>
      <c r="S2437" s="879" t="s">
        <v>670</v>
      </c>
      <c r="T2437" s="880">
        <v>46081</v>
      </c>
      <c r="U2437" s="883">
        <v>0</v>
      </c>
      <c r="V2437" s="882">
        <v>-22.27</v>
      </c>
      <c r="W2437" s="260">
        <v>46054</v>
      </c>
    </row>
    <row r="2438" spans="1:23" hidden="1" x14ac:dyDescent="0.35">
      <c r="A2438" s="879" t="s">
        <v>526</v>
      </c>
      <c r="B2438" s="879" t="s">
        <v>159</v>
      </c>
      <c r="C2438" s="879" t="s">
        <v>281</v>
      </c>
      <c r="D2438" s="879" t="s">
        <v>343</v>
      </c>
      <c r="E2438" s="879" t="s">
        <v>293</v>
      </c>
      <c r="F2438" s="879" t="s">
        <v>276</v>
      </c>
      <c r="G2438" s="879" t="s">
        <v>472</v>
      </c>
      <c r="H2438" s="879" t="s">
        <v>670</v>
      </c>
      <c r="I2438" s="879" t="s">
        <v>277</v>
      </c>
      <c r="J2438" s="879" t="s">
        <v>997</v>
      </c>
      <c r="K2438" s="879" t="s">
        <v>294</v>
      </c>
      <c r="L2438" s="879" t="s">
        <v>384</v>
      </c>
      <c r="M2438" s="879" t="s">
        <v>285</v>
      </c>
      <c r="N2438" s="879" t="s">
        <v>670</v>
      </c>
      <c r="O2438" s="879" t="s">
        <v>670</v>
      </c>
      <c r="P2438" s="879" t="s">
        <v>522</v>
      </c>
      <c r="Q2438" s="879" t="s">
        <v>670</v>
      </c>
      <c r="R2438" s="880">
        <v>46083</v>
      </c>
      <c r="S2438" s="879" t="s">
        <v>670</v>
      </c>
      <c r="T2438" s="880">
        <v>46081</v>
      </c>
      <c r="U2438" s="883">
        <v>0</v>
      </c>
      <c r="V2438" s="882">
        <v>-29.65</v>
      </c>
      <c r="W2438" s="260">
        <v>46054</v>
      </c>
    </row>
    <row r="2439" spans="1:23" hidden="1" x14ac:dyDescent="0.35">
      <c r="A2439" s="879" t="s">
        <v>526</v>
      </c>
      <c r="B2439" s="879" t="s">
        <v>159</v>
      </c>
      <c r="C2439" s="879" t="s">
        <v>286</v>
      </c>
      <c r="D2439" s="879" t="s">
        <v>344</v>
      </c>
      <c r="E2439" s="879" t="s">
        <v>296</v>
      </c>
      <c r="F2439" s="879" t="s">
        <v>276</v>
      </c>
      <c r="G2439" s="879" t="s">
        <v>472</v>
      </c>
      <c r="H2439" s="879" t="s">
        <v>670</v>
      </c>
      <c r="I2439" s="879" t="s">
        <v>277</v>
      </c>
      <c r="J2439" s="879" t="s">
        <v>997</v>
      </c>
      <c r="K2439" s="879" t="s">
        <v>297</v>
      </c>
      <c r="L2439" s="879" t="s">
        <v>384</v>
      </c>
      <c r="M2439" s="879" t="s">
        <v>285</v>
      </c>
      <c r="N2439" s="879" t="s">
        <v>670</v>
      </c>
      <c r="O2439" s="879" t="s">
        <v>670</v>
      </c>
      <c r="P2439" s="879" t="s">
        <v>522</v>
      </c>
      <c r="Q2439" s="879" t="s">
        <v>670</v>
      </c>
      <c r="R2439" s="880">
        <v>46083</v>
      </c>
      <c r="S2439" s="879" t="s">
        <v>670</v>
      </c>
      <c r="T2439" s="880">
        <v>46081</v>
      </c>
      <c r="U2439" s="883">
        <v>0</v>
      </c>
      <c r="V2439" s="882">
        <v>2.68</v>
      </c>
      <c r="W2439" s="260">
        <v>46054</v>
      </c>
    </row>
    <row r="2440" spans="1:23" hidden="1" x14ac:dyDescent="0.35">
      <c r="A2440" s="879" t="s">
        <v>526</v>
      </c>
      <c r="B2440" s="879" t="s">
        <v>159</v>
      </c>
      <c r="C2440" s="879" t="s">
        <v>530</v>
      </c>
      <c r="D2440" s="879" t="s">
        <v>531</v>
      </c>
      <c r="E2440" s="879" t="s">
        <v>532</v>
      </c>
      <c r="F2440" s="879" t="s">
        <v>276</v>
      </c>
      <c r="G2440" s="879" t="s">
        <v>472</v>
      </c>
      <c r="H2440" s="934" t="s">
        <v>565</v>
      </c>
      <c r="I2440" s="879" t="s">
        <v>277</v>
      </c>
      <c r="J2440" s="879" t="s">
        <v>997</v>
      </c>
      <c r="K2440" s="879" t="s">
        <v>534</v>
      </c>
      <c r="L2440" s="879" t="s">
        <v>384</v>
      </c>
      <c r="M2440" s="879" t="s">
        <v>566</v>
      </c>
      <c r="N2440" s="879" t="s">
        <v>670</v>
      </c>
      <c r="O2440" s="879" t="s">
        <v>670</v>
      </c>
      <c r="P2440" s="879" t="s">
        <v>522</v>
      </c>
      <c r="Q2440" s="879" t="s">
        <v>670</v>
      </c>
      <c r="R2440" s="880">
        <v>46048</v>
      </c>
      <c r="S2440" s="879" t="s">
        <v>278</v>
      </c>
      <c r="T2440" s="880">
        <v>46058</v>
      </c>
      <c r="U2440" s="883">
        <v>2</v>
      </c>
      <c r="V2440" s="882">
        <v>174.8</v>
      </c>
      <c r="W2440" s="260">
        <v>46054</v>
      </c>
    </row>
    <row r="2441" spans="1:23" hidden="1" x14ac:dyDescent="0.35">
      <c r="A2441" s="879" t="s">
        <v>526</v>
      </c>
      <c r="B2441" s="879" t="s">
        <v>159</v>
      </c>
      <c r="C2441" s="879" t="s">
        <v>530</v>
      </c>
      <c r="D2441" s="879" t="s">
        <v>531</v>
      </c>
      <c r="E2441" s="879" t="s">
        <v>532</v>
      </c>
      <c r="F2441" s="879" t="s">
        <v>276</v>
      </c>
      <c r="G2441" s="879" t="s">
        <v>472</v>
      </c>
      <c r="H2441" s="879" t="s">
        <v>565</v>
      </c>
      <c r="I2441" s="879" t="s">
        <v>277</v>
      </c>
      <c r="J2441" s="879" t="s">
        <v>997</v>
      </c>
      <c r="K2441" s="879" t="s">
        <v>534</v>
      </c>
      <c r="L2441" s="879" t="s">
        <v>384</v>
      </c>
      <c r="M2441" s="879" t="s">
        <v>566</v>
      </c>
      <c r="N2441" s="879" t="s">
        <v>670</v>
      </c>
      <c r="O2441" s="879" t="s">
        <v>670</v>
      </c>
      <c r="P2441" s="879" t="s">
        <v>522</v>
      </c>
      <c r="Q2441" s="879" t="s">
        <v>670</v>
      </c>
      <c r="R2441" s="880">
        <v>46049</v>
      </c>
      <c r="S2441" s="879" t="s">
        <v>278</v>
      </c>
      <c r="T2441" s="880">
        <v>46058</v>
      </c>
      <c r="U2441" s="883">
        <v>2</v>
      </c>
      <c r="V2441" s="882">
        <v>174.8</v>
      </c>
      <c r="W2441" s="260">
        <v>46054</v>
      </c>
    </row>
    <row r="2442" spans="1:23" hidden="1" x14ac:dyDescent="0.35">
      <c r="A2442" s="879" t="s">
        <v>526</v>
      </c>
      <c r="B2442" s="879" t="s">
        <v>159</v>
      </c>
      <c r="C2442" s="879" t="s">
        <v>530</v>
      </c>
      <c r="D2442" s="879" t="s">
        <v>531</v>
      </c>
      <c r="E2442" s="879" t="s">
        <v>532</v>
      </c>
      <c r="F2442" s="879" t="s">
        <v>276</v>
      </c>
      <c r="G2442" s="879" t="s">
        <v>472</v>
      </c>
      <c r="H2442" s="879" t="s">
        <v>565</v>
      </c>
      <c r="I2442" s="879" t="s">
        <v>277</v>
      </c>
      <c r="J2442" s="879" t="s">
        <v>997</v>
      </c>
      <c r="K2442" s="879" t="s">
        <v>534</v>
      </c>
      <c r="L2442" s="879" t="s">
        <v>384</v>
      </c>
      <c r="M2442" s="879" t="s">
        <v>566</v>
      </c>
      <c r="N2442" s="879" t="s">
        <v>670</v>
      </c>
      <c r="O2442" s="879" t="s">
        <v>670</v>
      </c>
      <c r="P2442" s="879" t="s">
        <v>522</v>
      </c>
      <c r="Q2442" s="879" t="s">
        <v>670</v>
      </c>
      <c r="R2442" s="880">
        <v>46057</v>
      </c>
      <c r="S2442" s="879" t="s">
        <v>278</v>
      </c>
      <c r="T2442" s="880">
        <v>46061</v>
      </c>
      <c r="U2442" s="883">
        <v>8</v>
      </c>
      <c r="V2442" s="882">
        <v>699.2</v>
      </c>
      <c r="W2442" s="260">
        <v>46054</v>
      </c>
    </row>
    <row r="2443" spans="1:23" hidden="1" x14ac:dyDescent="0.35">
      <c r="A2443" s="879" t="s">
        <v>526</v>
      </c>
      <c r="B2443" s="879" t="s">
        <v>159</v>
      </c>
      <c r="C2443" s="879" t="s">
        <v>530</v>
      </c>
      <c r="D2443" s="879" t="s">
        <v>531</v>
      </c>
      <c r="E2443" s="879" t="s">
        <v>532</v>
      </c>
      <c r="F2443" s="879" t="s">
        <v>276</v>
      </c>
      <c r="G2443" s="879" t="s">
        <v>472</v>
      </c>
      <c r="H2443" s="879" t="s">
        <v>565</v>
      </c>
      <c r="I2443" s="879" t="s">
        <v>277</v>
      </c>
      <c r="J2443" s="879" t="s">
        <v>997</v>
      </c>
      <c r="K2443" s="879" t="s">
        <v>534</v>
      </c>
      <c r="L2443" s="879" t="s">
        <v>384</v>
      </c>
      <c r="M2443" s="879" t="s">
        <v>566</v>
      </c>
      <c r="N2443" s="879" t="s">
        <v>670</v>
      </c>
      <c r="O2443" s="879" t="s">
        <v>670</v>
      </c>
      <c r="P2443" s="879" t="s">
        <v>522</v>
      </c>
      <c r="Q2443" s="879" t="s">
        <v>670</v>
      </c>
      <c r="R2443" s="880">
        <v>46056</v>
      </c>
      <c r="S2443" s="879" t="s">
        <v>278</v>
      </c>
      <c r="T2443" s="880">
        <v>46061</v>
      </c>
      <c r="U2443" s="883">
        <v>1</v>
      </c>
      <c r="V2443" s="882">
        <v>87.4</v>
      </c>
      <c r="W2443" s="260">
        <v>46054</v>
      </c>
    </row>
    <row r="2444" spans="1:23" hidden="1" x14ac:dyDescent="0.35">
      <c r="A2444" s="879" t="s">
        <v>526</v>
      </c>
      <c r="B2444" s="879" t="s">
        <v>159</v>
      </c>
      <c r="C2444" s="879" t="s">
        <v>530</v>
      </c>
      <c r="D2444" s="879" t="s">
        <v>531</v>
      </c>
      <c r="E2444" s="879" t="s">
        <v>532</v>
      </c>
      <c r="F2444" s="879" t="s">
        <v>276</v>
      </c>
      <c r="G2444" s="879" t="s">
        <v>472</v>
      </c>
      <c r="H2444" s="879" t="s">
        <v>565</v>
      </c>
      <c r="I2444" s="879" t="s">
        <v>277</v>
      </c>
      <c r="J2444" s="879" t="s">
        <v>997</v>
      </c>
      <c r="K2444" s="879" t="s">
        <v>534</v>
      </c>
      <c r="L2444" s="879" t="s">
        <v>384</v>
      </c>
      <c r="M2444" s="879" t="s">
        <v>566</v>
      </c>
      <c r="N2444" s="879" t="s">
        <v>670</v>
      </c>
      <c r="O2444" s="879" t="s">
        <v>670</v>
      </c>
      <c r="P2444" s="879" t="s">
        <v>522</v>
      </c>
      <c r="Q2444" s="879" t="s">
        <v>670</v>
      </c>
      <c r="R2444" s="880">
        <v>46055</v>
      </c>
      <c r="S2444" s="879" t="s">
        <v>278</v>
      </c>
      <c r="T2444" s="880">
        <v>46061</v>
      </c>
      <c r="U2444" s="883">
        <v>2</v>
      </c>
      <c r="V2444" s="882">
        <v>174.8</v>
      </c>
      <c r="W2444" s="260">
        <v>46054</v>
      </c>
    </row>
    <row r="2445" spans="1:23" hidden="1" x14ac:dyDescent="0.35">
      <c r="A2445" s="879" t="s">
        <v>526</v>
      </c>
      <c r="B2445" s="879" t="s">
        <v>159</v>
      </c>
      <c r="C2445" s="879" t="s">
        <v>530</v>
      </c>
      <c r="D2445" s="879" t="s">
        <v>531</v>
      </c>
      <c r="E2445" s="879" t="s">
        <v>532</v>
      </c>
      <c r="F2445" s="879" t="s">
        <v>276</v>
      </c>
      <c r="G2445" s="879" t="s">
        <v>472</v>
      </c>
      <c r="H2445" s="879" t="s">
        <v>565</v>
      </c>
      <c r="I2445" s="879" t="s">
        <v>277</v>
      </c>
      <c r="J2445" s="879" t="s">
        <v>997</v>
      </c>
      <c r="K2445" s="879" t="s">
        <v>534</v>
      </c>
      <c r="L2445" s="879" t="s">
        <v>384</v>
      </c>
      <c r="M2445" s="879" t="s">
        <v>566</v>
      </c>
      <c r="N2445" s="879" t="s">
        <v>670</v>
      </c>
      <c r="O2445" s="879" t="s">
        <v>670</v>
      </c>
      <c r="P2445" s="879" t="s">
        <v>522</v>
      </c>
      <c r="Q2445" s="879" t="s">
        <v>670</v>
      </c>
      <c r="R2445" s="880">
        <v>46065</v>
      </c>
      <c r="S2445" s="879" t="s">
        <v>278</v>
      </c>
      <c r="T2445" s="880">
        <v>46072</v>
      </c>
      <c r="U2445" s="883">
        <v>4</v>
      </c>
      <c r="V2445" s="882">
        <v>349.6</v>
      </c>
      <c r="W2445" s="260">
        <v>46054</v>
      </c>
    </row>
    <row r="2446" spans="1:23" hidden="1" x14ac:dyDescent="0.35">
      <c r="A2446" s="879" t="s">
        <v>526</v>
      </c>
      <c r="B2446" s="879" t="s">
        <v>159</v>
      </c>
      <c r="C2446" s="879" t="s">
        <v>530</v>
      </c>
      <c r="D2446" s="879" t="s">
        <v>531</v>
      </c>
      <c r="E2446" s="879" t="s">
        <v>532</v>
      </c>
      <c r="F2446" s="879" t="s">
        <v>276</v>
      </c>
      <c r="G2446" s="879" t="s">
        <v>472</v>
      </c>
      <c r="H2446" s="879" t="s">
        <v>565</v>
      </c>
      <c r="I2446" s="879" t="s">
        <v>277</v>
      </c>
      <c r="J2446" s="879" t="s">
        <v>997</v>
      </c>
      <c r="K2446" s="879" t="s">
        <v>534</v>
      </c>
      <c r="L2446" s="879" t="s">
        <v>384</v>
      </c>
      <c r="M2446" s="879" t="s">
        <v>566</v>
      </c>
      <c r="N2446" s="879" t="s">
        <v>670</v>
      </c>
      <c r="O2446" s="879" t="s">
        <v>670</v>
      </c>
      <c r="P2446" s="879" t="s">
        <v>522</v>
      </c>
      <c r="Q2446" s="879" t="s">
        <v>670</v>
      </c>
      <c r="R2446" s="880">
        <v>46064</v>
      </c>
      <c r="S2446" s="879" t="s">
        <v>278</v>
      </c>
      <c r="T2446" s="880">
        <v>46072</v>
      </c>
      <c r="U2446" s="883">
        <v>8</v>
      </c>
      <c r="V2446" s="882">
        <v>699.2</v>
      </c>
      <c r="W2446" s="260">
        <v>46054</v>
      </c>
    </row>
    <row r="2447" spans="1:23" hidden="1" x14ac:dyDescent="0.35">
      <c r="A2447" s="879" t="s">
        <v>526</v>
      </c>
      <c r="B2447" s="879" t="s">
        <v>159</v>
      </c>
      <c r="C2447" s="879" t="s">
        <v>530</v>
      </c>
      <c r="D2447" s="879" t="s">
        <v>531</v>
      </c>
      <c r="E2447" s="879" t="s">
        <v>532</v>
      </c>
      <c r="F2447" s="879" t="s">
        <v>276</v>
      </c>
      <c r="G2447" s="879" t="s">
        <v>472</v>
      </c>
      <c r="H2447" s="879" t="s">
        <v>567</v>
      </c>
      <c r="I2447" s="879" t="s">
        <v>277</v>
      </c>
      <c r="J2447" s="879" t="s">
        <v>997</v>
      </c>
      <c r="K2447" s="879" t="s">
        <v>534</v>
      </c>
      <c r="L2447" s="879" t="s">
        <v>384</v>
      </c>
      <c r="M2447" s="879" t="s">
        <v>568</v>
      </c>
      <c r="N2447" s="879" t="s">
        <v>670</v>
      </c>
      <c r="O2447" s="879" t="s">
        <v>670</v>
      </c>
      <c r="P2447" s="879" t="s">
        <v>522</v>
      </c>
      <c r="Q2447" s="879" t="s">
        <v>670</v>
      </c>
      <c r="R2447" s="880">
        <v>46062</v>
      </c>
      <c r="S2447" s="879" t="s">
        <v>278</v>
      </c>
      <c r="T2447" s="880">
        <v>46072</v>
      </c>
      <c r="U2447" s="883">
        <v>8</v>
      </c>
      <c r="V2447" s="882">
        <v>699.2</v>
      </c>
      <c r="W2447" s="260">
        <v>46054</v>
      </c>
    </row>
    <row r="2448" spans="1:23" hidden="1" x14ac:dyDescent="0.35">
      <c r="A2448" s="879" t="s">
        <v>526</v>
      </c>
      <c r="B2448" s="879" t="s">
        <v>159</v>
      </c>
      <c r="C2448" s="879" t="s">
        <v>998</v>
      </c>
      <c r="D2448" s="879" t="s">
        <v>999</v>
      </c>
      <c r="E2448" s="879" t="s">
        <v>1000</v>
      </c>
      <c r="F2448" s="879" t="s">
        <v>276</v>
      </c>
      <c r="G2448" s="879" t="s">
        <v>472</v>
      </c>
      <c r="H2448" s="879" t="s">
        <v>1001</v>
      </c>
      <c r="I2448" s="879" t="s">
        <v>277</v>
      </c>
      <c r="J2448" s="879" t="s">
        <v>997</v>
      </c>
      <c r="K2448" s="879" t="s">
        <v>1002</v>
      </c>
      <c r="L2448" s="879" t="s">
        <v>384</v>
      </c>
      <c r="M2448" s="879" t="s">
        <v>1003</v>
      </c>
      <c r="N2448" s="879" t="s">
        <v>670</v>
      </c>
      <c r="O2448" s="879" t="s">
        <v>670</v>
      </c>
      <c r="P2448" s="879" t="s">
        <v>522</v>
      </c>
      <c r="Q2448" s="879" t="s">
        <v>670</v>
      </c>
      <c r="R2448" s="880">
        <v>46063</v>
      </c>
      <c r="S2448" s="879" t="s">
        <v>278</v>
      </c>
      <c r="T2448" s="880">
        <v>46067</v>
      </c>
      <c r="U2448" s="883">
        <v>2</v>
      </c>
      <c r="V2448" s="882">
        <v>227.14</v>
      </c>
      <c r="W2448" s="260">
        <v>46054</v>
      </c>
    </row>
    <row r="2449" spans="1:23" hidden="1" x14ac:dyDescent="0.35">
      <c r="A2449" s="879" t="s">
        <v>526</v>
      </c>
      <c r="B2449" s="879" t="s">
        <v>159</v>
      </c>
      <c r="C2449" s="879" t="s">
        <v>998</v>
      </c>
      <c r="D2449" s="879" t="s">
        <v>999</v>
      </c>
      <c r="E2449" s="879" t="s">
        <v>1000</v>
      </c>
      <c r="F2449" s="879" t="s">
        <v>276</v>
      </c>
      <c r="G2449" s="879" t="s">
        <v>472</v>
      </c>
      <c r="H2449" s="879" t="s">
        <v>1001</v>
      </c>
      <c r="I2449" s="879" t="s">
        <v>277</v>
      </c>
      <c r="J2449" s="879" t="s">
        <v>997</v>
      </c>
      <c r="K2449" s="879" t="s">
        <v>1002</v>
      </c>
      <c r="L2449" s="879" t="s">
        <v>384</v>
      </c>
      <c r="M2449" s="879" t="s">
        <v>1003</v>
      </c>
      <c r="N2449" s="879" t="s">
        <v>670</v>
      </c>
      <c r="O2449" s="879" t="s">
        <v>670</v>
      </c>
      <c r="P2449" s="879" t="s">
        <v>522</v>
      </c>
      <c r="Q2449" s="879" t="s">
        <v>670</v>
      </c>
      <c r="R2449" s="880">
        <v>46065</v>
      </c>
      <c r="S2449" s="879" t="s">
        <v>278</v>
      </c>
      <c r="T2449" s="880">
        <v>46067</v>
      </c>
      <c r="U2449" s="883">
        <v>4</v>
      </c>
      <c r="V2449" s="882">
        <v>454.28</v>
      </c>
      <c r="W2449" s="260">
        <v>46054</v>
      </c>
    </row>
    <row r="2450" spans="1:23" hidden="1" x14ac:dyDescent="0.35">
      <c r="A2450" s="879" t="s">
        <v>526</v>
      </c>
      <c r="B2450" s="879" t="s">
        <v>159</v>
      </c>
      <c r="C2450" s="879" t="s">
        <v>998</v>
      </c>
      <c r="D2450" s="879" t="s">
        <v>999</v>
      </c>
      <c r="E2450" s="879" t="s">
        <v>1000</v>
      </c>
      <c r="F2450" s="879" t="s">
        <v>276</v>
      </c>
      <c r="G2450" s="879" t="s">
        <v>472</v>
      </c>
      <c r="H2450" s="879" t="s">
        <v>1001</v>
      </c>
      <c r="I2450" s="879" t="s">
        <v>277</v>
      </c>
      <c r="J2450" s="879" t="s">
        <v>997</v>
      </c>
      <c r="K2450" s="879" t="s">
        <v>1002</v>
      </c>
      <c r="L2450" s="879" t="s">
        <v>384</v>
      </c>
      <c r="M2450" s="879" t="s">
        <v>1003</v>
      </c>
      <c r="N2450" s="879" t="s">
        <v>670</v>
      </c>
      <c r="O2450" s="879" t="s">
        <v>670</v>
      </c>
      <c r="P2450" s="879" t="s">
        <v>522</v>
      </c>
      <c r="Q2450" s="879" t="s">
        <v>670</v>
      </c>
      <c r="R2450" s="880">
        <v>46066</v>
      </c>
      <c r="S2450" s="879" t="s">
        <v>278</v>
      </c>
      <c r="T2450" s="880">
        <v>46067</v>
      </c>
      <c r="U2450" s="883">
        <v>4</v>
      </c>
      <c r="V2450" s="882">
        <v>454.28</v>
      </c>
      <c r="W2450" s="260">
        <v>46054</v>
      </c>
    </row>
    <row r="2451" spans="1:23" hidden="1" x14ac:dyDescent="0.35">
      <c r="A2451" s="879" t="s">
        <v>526</v>
      </c>
      <c r="B2451" s="879" t="s">
        <v>53</v>
      </c>
      <c r="C2451" s="879" t="s">
        <v>670</v>
      </c>
      <c r="D2451" s="879" t="s">
        <v>385</v>
      </c>
      <c r="E2451" s="879" t="s">
        <v>386</v>
      </c>
      <c r="F2451" s="879" t="s">
        <v>588</v>
      </c>
      <c r="G2451" s="879" t="s">
        <v>472</v>
      </c>
      <c r="H2451" s="879" t="s">
        <v>670</v>
      </c>
      <c r="I2451" s="879" t="s">
        <v>277</v>
      </c>
      <c r="J2451" s="879" t="s">
        <v>1004</v>
      </c>
      <c r="K2451" s="879" t="s">
        <v>670</v>
      </c>
      <c r="L2451" s="879" t="s">
        <v>384</v>
      </c>
      <c r="M2451" s="879" t="s">
        <v>285</v>
      </c>
      <c r="N2451" s="879" t="s">
        <v>670</v>
      </c>
      <c r="O2451" s="879" t="s">
        <v>833</v>
      </c>
      <c r="P2451" s="879" t="s">
        <v>524</v>
      </c>
      <c r="Q2451" s="879" t="s">
        <v>589</v>
      </c>
      <c r="R2451" s="880">
        <v>46051</v>
      </c>
      <c r="S2451" s="879" t="s">
        <v>670</v>
      </c>
      <c r="T2451" s="880">
        <v>46054</v>
      </c>
      <c r="U2451" s="883">
        <v>0</v>
      </c>
      <c r="V2451" s="882">
        <v>-2512</v>
      </c>
      <c r="W2451" s="260">
        <v>46054</v>
      </c>
    </row>
    <row r="2452" spans="1:23" hidden="1" x14ac:dyDescent="0.35">
      <c r="A2452" s="879" t="s">
        <v>526</v>
      </c>
      <c r="B2452" s="879" t="s">
        <v>53</v>
      </c>
      <c r="C2452" s="879" t="s">
        <v>670</v>
      </c>
      <c r="D2452" s="879" t="s">
        <v>385</v>
      </c>
      <c r="E2452" s="879" t="s">
        <v>386</v>
      </c>
      <c r="F2452" s="879" t="s">
        <v>588</v>
      </c>
      <c r="G2452" s="879" t="s">
        <v>472</v>
      </c>
      <c r="H2452" s="879" t="s">
        <v>670</v>
      </c>
      <c r="I2452" s="879" t="s">
        <v>277</v>
      </c>
      <c r="J2452" s="879" t="s">
        <v>1004</v>
      </c>
      <c r="K2452" s="879" t="s">
        <v>670</v>
      </c>
      <c r="L2452" s="879" t="s">
        <v>384</v>
      </c>
      <c r="M2452" s="879" t="s">
        <v>285</v>
      </c>
      <c r="N2452" s="879" t="s">
        <v>670</v>
      </c>
      <c r="O2452" s="879" t="s">
        <v>739</v>
      </c>
      <c r="P2452" s="879" t="s">
        <v>524</v>
      </c>
      <c r="Q2452" s="879" t="s">
        <v>589</v>
      </c>
      <c r="R2452" s="880">
        <v>46051</v>
      </c>
      <c r="S2452" s="879" t="s">
        <v>670</v>
      </c>
      <c r="T2452" s="880">
        <v>46054</v>
      </c>
      <c r="U2452" s="883">
        <v>0</v>
      </c>
      <c r="V2452" s="882">
        <v>-15000</v>
      </c>
      <c r="W2452" s="260">
        <v>46054</v>
      </c>
    </row>
    <row r="2453" spans="1:23" hidden="1" x14ac:dyDescent="0.35">
      <c r="A2453" s="879" t="s">
        <v>526</v>
      </c>
      <c r="B2453" s="879" t="s">
        <v>53</v>
      </c>
      <c r="C2453" s="879" t="s">
        <v>670</v>
      </c>
      <c r="D2453" s="879" t="s">
        <v>385</v>
      </c>
      <c r="E2453" s="879" t="s">
        <v>386</v>
      </c>
      <c r="F2453" s="879" t="s">
        <v>588</v>
      </c>
      <c r="G2453" s="879" t="s">
        <v>472</v>
      </c>
      <c r="H2453" s="879" t="s">
        <v>670</v>
      </c>
      <c r="I2453" s="879" t="s">
        <v>277</v>
      </c>
      <c r="J2453" s="879" t="s">
        <v>1004</v>
      </c>
      <c r="K2453" s="879" t="s">
        <v>670</v>
      </c>
      <c r="L2453" s="879" t="s">
        <v>384</v>
      </c>
      <c r="M2453" s="879" t="s">
        <v>285</v>
      </c>
      <c r="N2453" s="879" t="s">
        <v>670</v>
      </c>
      <c r="O2453" s="879" t="s">
        <v>687</v>
      </c>
      <c r="P2453" s="879" t="s">
        <v>524</v>
      </c>
      <c r="Q2453" s="879" t="s">
        <v>589</v>
      </c>
      <c r="R2453" s="880">
        <v>46051</v>
      </c>
      <c r="S2453" s="879" t="s">
        <v>670</v>
      </c>
      <c r="T2453" s="880">
        <v>46054</v>
      </c>
      <c r="U2453" s="883">
        <v>0</v>
      </c>
      <c r="V2453" s="882">
        <v>-22000</v>
      </c>
      <c r="W2453" s="260">
        <v>46054</v>
      </c>
    </row>
    <row r="2454" spans="1:23" hidden="1" x14ac:dyDescent="0.35">
      <c r="A2454" s="879" t="s">
        <v>526</v>
      </c>
      <c r="B2454" s="879" t="s">
        <v>53</v>
      </c>
      <c r="C2454" s="879" t="s">
        <v>670</v>
      </c>
      <c r="D2454" s="879" t="s">
        <v>385</v>
      </c>
      <c r="E2454" s="879" t="s">
        <v>386</v>
      </c>
      <c r="F2454" s="879" t="s">
        <v>588</v>
      </c>
      <c r="G2454" s="879" t="s">
        <v>472</v>
      </c>
      <c r="H2454" s="879" t="s">
        <v>670</v>
      </c>
      <c r="I2454" s="879" t="s">
        <v>277</v>
      </c>
      <c r="J2454" s="879" t="s">
        <v>1004</v>
      </c>
      <c r="K2454" s="879" t="s">
        <v>670</v>
      </c>
      <c r="L2454" s="879" t="s">
        <v>384</v>
      </c>
      <c r="M2454" s="879" t="s">
        <v>285</v>
      </c>
      <c r="N2454" s="879" t="s">
        <v>670</v>
      </c>
      <c r="O2454" s="879" t="s">
        <v>765</v>
      </c>
      <c r="P2454" s="879" t="s">
        <v>524</v>
      </c>
      <c r="Q2454" s="879" t="s">
        <v>589</v>
      </c>
      <c r="R2454" s="880">
        <v>46051</v>
      </c>
      <c r="S2454" s="879" t="s">
        <v>670</v>
      </c>
      <c r="T2454" s="880">
        <v>46054</v>
      </c>
      <c r="U2454" s="883">
        <v>0</v>
      </c>
      <c r="V2454" s="882">
        <v>-23973</v>
      </c>
      <c r="W2454" s="260">
        <v>46054</v>
      </c>
    </row>
    <row r="2455" spans="1:23" hidden="1" x14ac:dyDescent="0.35">
      <c r="A2455" s="879" t="s">
        <v>526</v>
      </c>
      <c r="B2455" s="879" t="s">
        <v>53</v>
      </c>
      <c r="C2455" s="879" t="s">
        <v>670</v>
      </c>
      <c r="D2455" s="879" t="s">
        <v>385</v>
      </c>
      <c r="E2455" s="879" t="s">
        <v>386</v>
      </c>
      <c r="F2455" s="879" t="s">
        <v>588</v>
      </c>
      <c r="G2455" s="879" t="s">
        <v>472</v>
      </c>
      <c r="H2455" s="879" t="s">
        <v>670</v>
      </c>
      <c r="I2455" s="879" t="s">
        <v>277</v>
      </c>
      <c r="J2455" s="879" t="s">
        <v>1004</v>
      </c>
      <c r="K2455" s="879" t="s">
        <v>670</v>
      </c>
      <c r="L2455" s="879" t="s">
        <v>384</v>
      </c>
      <c r="M2455" s="879" t="s">
        <v>285</v>
      </c>
      <c r="N2455" s="879" t="s">
        <v>670</v>
      </c>
      <c r="O2455" s="879" t="s">
        <v>824</v>
      </c>
      <c r="P2455" s="879" t="s">
        <v>524</v>
      </c>
      <c r="Q2455" s="879" t="s">
        <v>589</v>
      </c>
      <c r="R2455" s="880">
        <v>46051</v>
      </c>
      <c r="S2455" s="879" t="s">
        <v>670</v>
      </c>
      <c r="T2455" s="880">
        <v>46054</v>
      </c>
      <c r="U2455" s="883">
        <v>0</v>
      </c>
      <c r="V2455" s="882">
        <v>-275528</v>
      </c>
      <c r="W2455" s="260">
        <v>46054</v>
      </c>
    </row>
    <row r="2456" spans="1:23" hidden="1" x14ac:dyDescent="0.35">
      <c r="A2456" s="879" t="s">
        <v>526</v>
      </c>
      <c r="B2456" s="879" t="s">
        <v>53</v>
      </c>
      <c r="C2456" s="879" t="s">
        <v>670</v>
      </c>
      <c r="D2456" s="879" t="s">
        <v>385</v>
      </c>
      <c r="E2456" s="879" t="s">
        <v>386</v>
      </c>
      <c r="F2456" s="879" t="s">
        <v>588</v>
      </c>
      <c r="G2456" s="879" t="s">
        <v>472</v>
      </c>
      <c r="H2456" s="879" t="s">
        <v>670</v>
      </c>
      <c r="I2456" s="879" t="s">
        <v>277</v>
      </c>
      <c r="J2456" s="879" t="s">
        <v>1004</v>
      </c>
      <c r="K2456" s="879" t="s">
        <v>670</v>
      </c>
      <c r="L2456" s="879" t="s">
        <v>384</v>
      </c>
      <c r="M2456" s="879" t="s">
        <v>285</v>
      </c>
      <c r="N2456" s="879" t="s">
        <v>670</v>
      </c>
      <c r="O2456" s="879" t="s">
        <v>866</v>
      </c>
      <c r="P2456" s="879" t="s">
        <v>524</v>
      </c>
      <c r="Q2456" s="879" t="s">
        <v>589</v>
      </c>
      <c r="R2456" s="880">
        <v>46051</v>
      </c>
      <c r="S2456" s="879" t="s">
        <v>670</v>
      </c>
      <c r="T2456" s="880">
        <v>46054</v>
      </c>
      <c r="U2456" s="883">
        <v>0</v>
      </c>
      <c r="V2456" s="882">
        <v>-507450</v>
      </c>
      <c r="W2456" s="260">
        <v>46054</v>
      </c>
    </row>
    <row r="2457" spans="1:23" hidden="1" x14ac:dyDescent="0.35">
      <c r="A2457" s="879" t="s">
        <v>526</v>
      </c>
      <c r="B2457" s="879" t="s">
        <v>53</v>
      </c>
      <c r="C2457" s="879" t="s">
        <v>670</v>
      </c>
      <c r="D2457" s="879" t="s">
        <v>385</v>
      </c>
      <c r="E2457" s="879" t="s">
        <v>386</v>
      </c>
      <c r="F2457" s="879" t="s">
        <v>588</v>
      </c>
      <c r="G2457" s="879" t="s">
        <v>472</v>
      </c>
      <c r="H2457" s="879" t="s">
        <v>670</v>
      </c>
      <c r="I2457" s="879" t="s">
        <v>277</v>
      </c>
      <c r="J2457" s="879" t="s">
        <v>1004</v>
      </c>
      <c r="K2457" s="879" t="s">
        <v>670</v>
      </c>
      <c r="L2457" s="879" t="s">
        <v>384</v>
      </c>
      <c r="M2457" s="879" t="s">
        <v>285</v>
      </c>
      <c r="N2457" s="879" t="s">
        <v>670</v>
      </c>
      <c r="O2457" s="879" t="s">
        <v>684</v>
      </c>
      <c r="P2457" s="879" t="s">
        <v>524</v>
      </c>
      <c r="Q2457" s="879" t="s">
        <v>589</v>
      </c>
      <c r="R2457" s="880">
        <v>46051</v>
      </c>
      <c r="S2457" s="879" t="s">
        <v>670</v>
      </c>
      <c r="T2457" s="880">
        <v>46054</v>
      </c>
      <c r="U2457" s="883">
        <v>0</v>
      </c>
      <c r="V2457" s="882">
        <v>-59134</v>
      </c>
      <c r="W2457" s="260">
        <v>46054</v>
      </c>
    </row>
    <row r="2458" spans="1:23" hidden="1" x14ac:dyDescent="0.35">
      <c r="A2458" s="879" t="s">
        <v>526</v>
      </c>
      <c r="B2458" s="879" t="s">
        <v>53</v>
      </c>
      <c r="C2458" s="879" t="s">
        <v>670</v>
      </c>
      <c r="D2458" s="879" t="s">
        <v>385</v>
      </c>
      <c r="E2458" s="879" t="s">
        <v>386</v>
      </c>
      <c r="F2458" s="879" t="s">
        <v>276</v>
      </c>
      <c r="G2458" s="879" t="s">
        <v>472</v>
      </c>
      <c r="H2458" s="879" t="s">
        <v>670</v>
      </c>
      <c r="I2458" s="879" t="s">
        <v>277</v>
      </c>
      <c r="J2458" s="879" t="s">
        <v>1004</v>
      </c>
      <c r="K2458" s="879" t="s">
        <v>670</v>
      </c>
      <c r="L2458" s="879" t="s">
        <v>384</v>
      </c>
      <c r="M2458" s="879" t="s">
        <v>285</v>
      </c>
      <c r="N2458" s="879" t="s">
        <v>695</v>
      </c>
      <c r="O2458" s="879" t="s">
        <v>687</v>
      </c>
      <c r="P2458" s="879" t="s">
        <v>524</v>
      </c>
      <c r="Q2458" s="879" t="s">
        <v>387</v>
      </c>
      <c r="R2458" s="880">
        <v>46038</v>
      </c>
      <c r="S2458" s="879" t="s">
        <v>388</v>
      </c>
      <c r="T2458" s="880">
        <v>46065</v>
      </c>
      <c r="U2458" s="881">
        <v>1</v>
      </c>
      <c r="V2458" s="882">
        <v>5500</v>
      </c>
      <c r="W2458" s="260">
        <v>46054</v>
      </c>
    </row>
    <row r="2459" spans="1:23" hidden="1" x14ac:dyDescent="0.35">
      <c r="A2459" s="879" t="s">
        <v>526</v>
      </c>
      <c r="B2459" s="879" t="s">
        <v>53</v>
      </c>
      <c r="C2459" s="879" t="s">
        <v>670</v>
      </c>
      <c r="D2459" s="879" t="s">
        <v>385</v>
      </c>
      <c r="E2459" s="879" t="s">
        <v>386</v>
      </c>
      <c r="F2459" s="879" t="s">
        <v>276</v>
      </c>
      <c r="G2459" s="879" t="s">
        <v>472</v>
      </c>
      <c r="H2459" s="879" t="s">
        <v>670</v>
      </c>
      <c r="I2459" s="879" t="s">
        <v>277</v>
      </c>
      <c r="J2459" s="879" t="s">
        <v>1004</v>
      </c>
      <c r="K2459" s="879" t="s">
        <v>670</v>
      </c>
      <c r="L2459" s="879" t="s">
        <v>384</v>
      </c>
      <c r="M2459" s="879" t="s">
        <v>285</v>
      </c>
      <c r="N2459" s="879" t="s">
        <v>841</v>
      </c>
      <c r="O2459" s="879" t="s">
        <v>866</v>
      </c>
      <c r="P2459" s="879" t="s">
        <v>524</v>
      </c>
      <c r="Q2459" s="879" t="s">
        <v>387</v>
      </c>
      <c r="R2459" s="880">
        <v>46044</v>
      </c>
      <c r="S2459" s="879" t="s">
        <v>388</v>
      </c>
      <c r="T2459" s="880">
        <v>46065</v>
      </c>
      <c r="U2459" s="881">
        <v>1</v>
      </c>
      <c r="V2459" s="882">
        <v>90030</v>
      </c>
      <c r="W2459" s="260">
        <v>46054</v>
      </c>
    </row>
    <row r="2460" spans="1:23" hidden="1" x14ac:dyDescent="0.35">
      <c r="A2460" s="879" t="s">
        <v>526</v>
      </c>
      <c r="B2460" s="879" t="s">
        <v>53</v>
      </c>
      <c r="C2460" s="879" t="s">
        <v>670</v>
      </c>
      <c r="D2460" s="879" t="s">
        <v>385</v>
      </c>
      <c r="E2460" s="879" t="s">
        <v>386</v>
      </c>
      <c r="F2460" s="879" t="s">
        <v>276</v>
      </c>
      <c r="G2460" s="879" t="s">
        <v>472</v>
      </c>
      <c r="H2460" s="879" t="s">
        <v>670</v>
      </c>
      <c r="I2460" s="879" t="s">
        <v>277</v>
      </c>
      <c r="J2460" s="879" t="s">
        <v>1004</v>
      </c>
      <c r="K2460" s="879" t="s">
        <v>670</v>
      </c>
      <c r="L2460" s="879" t="s">
        <v>384</v>
      </c>
      <c r="M2460" s="879" t="s">
        <v>285</v>
      </c>
      <c r="N2460" s="879" t="s">
        <v>1005</v>
      </c>
      <c r="O2460" s="879" t="s">
        <v>824</v>
      </c>
      <c r="P2460" s="879" t="s">
        <v>524</v>
      </c>
      <c r="Q2460" s="879" t="s">
        <v>387</v>
      </c>
      <c r="R2460" s="880">
        <v>46053</v>
      </c>
      <c r="S2460" s="879" t="s">
        <v>388</v>
      </c>
      <c r="T2460" s="880">
        <v>46065</v>
      </c>
      <c r="U2460" s="881">
        <v>1</v>
      </c>
      <c r="V2460" s="882">
        <v>60102</v>
      </c>
      <c r="W2460" s="260">
        <v>46054</v>
      </c>
    </row>
    <row r="2461" spans="1:23" hidden="1" x14ac:dyDescent="0.35">
      <c r="A2461" s="879" t="s">
        <v>526</v>
      </c>
      <c r="B2461" s="879" t="s">
        <v>53</v>
      </c>
      <c r="C2461" s="879" t="s">
        <v>670</v>
      </c>
      <c r="D2461" s="879" t="s">
        <v>385</v>
      </c>
      <c r="E2461" s="879" t="s">
        <v>386</v>
      </c>
      <c r="F2461" s="879" t="s">
        <v>276</v>
      </c>
      <c r="G2461" s="879" t="s">
        <v>472</v>
      </c>
      <c r="H2461" s="879" t="s">
        <v>670</v>
      </c>
      <c r="I2461" s="879" t="s">
        <v>277</v>
      </c>
      <c r="J2461" s="879" t="s">
        <v>1004</v>
      </c>
      <c r="K2461" s="879" t="s">
        <v>670</v>
      </c>
      <c r="L2461" s="879" t="s">
        <v>384</v>
      </c>
      <c r="M2461" s="879" t="s">
        <v>285</v>
      </c>
      <c r="N2461" s="879" t="s">
        <v>695</v>
      </c>
      <c r="O2461" s="879">
        <v>7000001429</v>
      </c>
      <c r="P2461" s="879" t="s">
        <v>524</v>
      </c>
      <c r="Q2461" s="879" t="s">
        <v>387</v>
      </c>
      <c r="R2461" s="880">
        <v>46065</v>
      </c>
      <c r="S2461" s="879" t="s">
        <v>388</v>
      </c>
      <c r="T2461" s="880">
        <v>46073</v>
      </c>
      <c r="U2461" s="881">
        <v>1</v>
      </c>
      <c r="V2461" s="882">
        <v>5500</v>
      </c>
      <c r="W2461" s="260">
        <v>46054</v>
      </c>
    </row>
    <row r="2462" spans="1:23" hidden="1" x14ac:dyDescent="0.35">
      <c r="A2462" s="879" t="s">
        <v>526</v>
      </c>
      <c r="B2462" s="879" t="s">
        <v>53</v>
      </c>
      <c r="C2462" s="879" t="s">
        <v>670</v>
      </c>
      <c r="D2462" s="879" t="s">
        <v>385</v>
      </c>
      <c r="E2462" s="879" t="s">
        <v>386</v>
      </c>
      <c r="F2462" s="879" t="s">
        <v>276</v>
      </c>
      <c r="G2462" s="879" t="s">
        <v>472</v>
      </c>
      <c r="H2462" s="879" t="s">
        <v>670</v>
      </c>
      <c r="I2462" s="879" t="s">
        <v>277</v>
      </c>
      <c r="J2462" s="879" t="s">
        <v>1004</v>
      </c>
      <c r="K2462" s="879" t="s">
        <v>670</v>
      </c>
      <c r="L2462" s="879" t="s">
        <v>384</v>
      </c>
      <c r="M2462" s="879" t="s">
        <v>285</v>
      </c>
      <c r="N2462" s="879" t="s">
        <v>670</v>
      </c>
      <c r="O2462" s="879">
        <v>7000001998</v>
      </c>
      <c r="P2462" s="879" t="s">
        <v>524</v>
      </c>
      <c r="Q2462" s="879" t="s">
        <v>400</v>
      </c>
      <c r="R2462" s="880">
        <v>46080</v>
      </c>
      <c r="S2462" s="879" t="s">
        <v>670</v>
      </c>
      <c r="T2462" s="880">
        <v>46081</v>
      </c>
      <c r="U2462" s="883">
        <v>0</v>
      </c>
      <c r="V2462" s="882">
        <v>2512</v>
      </c>
      <c r="W2462" s="260">
        <v>46054</v>
      </c>
    </row>
    <row r="2463" spans="1:23" hidden="1" x14ac:dyDescent="0.35">
      <c r="A2463" s="879" t="s">
        <v>526</v>
      </c>
      <c r="B2463" s="879" t="s">
        <v>53</v>
      </c>
      <c r="C2463" s="879" t="s">
        <v>670</v>
      </c>
      <c r="D2463" s="879" t="s">
        <v>385</v>
      </c>
      <c r="E2463" s="879" t="s">
        <v>386</v>
      </c>
      <c r="F2463" s="879" t="s">
        <v>276</v>
      </c>
      <c r="G2463" s="879" t="s">
        <v>472</v>
      </c>
      <c r="H2463" s="879" t="s">
        <v>670</v>
      </c>
      <c r="I2463" s="879" t="s">
        <v>277</v>
      </c>
      <c r="J2463" s="879" t="s">
        <v>1004</v>
      </c>
      <c r="K2463" s="879" t="s">
        <v>670</v>
      </c>
      <c r="L2463" s="879" t="s">
        <v>384</v>
      </c>
      <c r="M2463" s="879" t="s">
        <v>285</v>
      </c>
      <c r="N2463" s="879" t="s">
        <v>670</v>
      </c>
      <c r="O2463" s="879">
        <v>7000000729</v>
      </c>
      <c r="P2463" s="879" t="s">
        <v>524</v>
      </c>
      <c r="Q2463" s="879" t="s">
        <v>400</v>
      </c>
      <c r="R2463" s="880">
        <v>46080</v>
      </c>
      <c r="S2463" s="879" t="s">
        <v>670</v>
      </c>
      <c r="T2463" s="880">
        <v>46081</v>
      </c>
      <c r="U2463" s="883">
        <v>0</v>
      </c>
      <c r="V2463" s="882">
        <v>30002</v>
      </c>
      <c r="W2463" s="260">
        <v>46054</v>
      </c>
    </row>
    <row r="2464" spans="1:23" hidden="1" x14ac:dyDescent="0.35">
      <c r="A2464" s="879" t="s">
        <v>526</v>
      </c>
      <c r="B2464" s="879" t="s">
        <v>53</v>
      </c>
      <c r="C2464" s="879" t="s">
        <v>670</v>
      </c>
      <c r="D2464" s="879" t="s">
        <v>385</v>
      </c>
      <c r="E2464" s="879" t="s">
        <v>386</v>
      </c>
      <c r="F2464" s="879" t="s">
        <v>276</v>
      </c>
      <c r="G2464" s="879" t="s">
        <v>472</v>
      </c>
      <c r="H2464" s="879" t="s">
        <v>670</v>
      </c>
      <c r="I2464" s="879" t="s">
        <v>277</v>
      </c>
      <c r="J2464" s="879" t="s">
        <v>1004</v>
      </c>
      <c r="K2464" s="879" t="s">
        <v>670</v>
      </c>
      <c r="L2464" s="879" t="s">
        <v>384</v>
      </c>
      <c r="M2464" s="879" t="s">
        <v>285</v>
      </c>
      <c r="N2464" s="879" t="s">
        <v>670</v>
      </c>
      <c r="O2464" s="879">
        <v>7000001429</v>
      </c>
      <c r="P2464" s="879" t="s">
        <v>524</v>
      </c>
      <c r="Q2464" s="879" t="s">
        <v>400</v>
      </c>
      <c r="R2464" s="880">
        <v>46080</v>
      </c>
      <c r="S2464" s="879" t="s">
        <v>670</v>
      </c>
      <c r="T2464" s="880">
        <v>46081</v>
      </c>
      <c r="U2464" s="883">
        <v>0</v>
      </c>
      <c r="V2464" s="882">
        <v>5500</v>
      </c>
      <c r="W2464" s="260">
        <v>46054</v>
      </c>
    </row>
    <row r="2465" spans="1:23" hidden="1" x14ac:dyDescent="0.35">
      <c r="A2465" s="879" t="s">
        <v>526</v>
      </c>
      <c r="B2465" s="879" t="s">
        <v>53</v>
      </c>
      <c r="C2465" s="879" t="s">
        <v>670</v>
      </c>
      <c r="D2465" s="879" t="s">
        <v>385</v>
      </c>
      <c r="E2465" s="879" t="s">
        <v>386</v>
      </c>
      <c r="F2465" s="879" t="s">
        <v>276</v>
      </c>
      <c r="G2465" s="879" t="s">
        <v>472</v>
      </c>
      <c r="H2465" s="879" t="s">
        <v>670</v>
      </c>
      <c r="I2465" s="879" t="s">
        <v>277</v>
      </c>
      <c r="J2465" s="879" t="s">
        <v>1004</v>
      </c>
      <c r="K2465" s="879" t="s">
        <v>670</v>
      </c>
      <c r="L2465" s="879" t="s">
        <v>384</v>
      </c>
      <c r="M2465" s="879" t="s">
        <v>285</v>
      </c>
      <c r="N2465" s="879" t="s">
        <v>670</v>
      </c>
      <c r="O2465" s="879">
        <v>7000002000</v>
      </c>
      <c r="P2465" s="879" t="s">
        <v>524</v>
      </c>
      <c r="Q2465" s="879" t="s">
        <v>400</v>
      </c>
      <c r="R2465" s="880">
        <v>46080</v>
      </c>
      <c r="S2465" s="879" t="s">
        <v>670</v>
      </c>
      <c r="T2465" s="880">
        <v>46081</v>
      </c>
      <c r="U2465" s="883">
        <v>0</v>
      </c>
      <c r="V2465" s="882">
        <v>23973</v>
      </c>
      <c r="W2465" s="260">
        <v>46054</v>
      </c>
    </row>
    <row r="2466" spans="1:23" hidden="1" x14ac:dyDescent="0.35">
      <c r="A2466" s="879" t="s">
        <v>526</v>
      </c>
      <c r="B2466" s="879" t="s">
        <v>53</v>
      </c>
      <c r="C2466" s="879" t="s">
        <v>670</v>
      </c>
      <c r="D2466" s="879" t="s">
        <v>385</v>
      </c>
      <c r="E2466" s="879" t="s">
        <v>386</v>
      </c>
      <c r="F2466" s="879" t="s">
        <v>276</v>
      </c>
      <c r="G2466" s="879" t="s">
        <v>472</v>
      </c>
      <c r="H2466" s="879" t="s">
        <v>670</v>
      </c>
      <c r="I2466" s="879" t="s">
        <v>277</v>
      </c>
      <c r="J2466" s="879" t="s">
        <v>1004</v>
      </c>
      <c r="K2466" s="879" t="s">
        <v>670</v>
      </c>
      <c r="L2466" s="879" t="s">
        <v>384</v>
      </c>
      <c r="M2466" s="879" t="s">
        <v>285</v>
      </c>
      <c r="N2466" s="879" t="s">
        <v>670</v>
      </c>
      <c r="O2466" s="879">
        <v>7000009182</v>
      </c>
      <c r="P2466" s="879" t="s">
        <v>524</v>
      </c>
      <c r="Q2466" s="879" t="s">
        <v>400</v>
      </c>
      <c r="R2466" s="880">
        <v>46080</v>
      </c>
      <c r="S2466" s="879" t="s">
        <v>670</v>
      </c>
      <c r="T2466" s="880">
        <v>46081</v>
      </c>
      <c r="U2466" s="883">
        <v>0</v>
      </c>
      <c r="V2466" s="882">
        <v>8229</v>
      </c>
      <c r="W2466" s="260">
        <v>46054</v>
      </c>
    </row>
    <row r="2467" spans="1:23" hidden="1" x14ac:dyDescent="0.35">
      <c r="A2467" s="879" t="s">
        <v>526</v>
      </c>
      <c r="B2467" s="879" t="s">
        <v>53</v>
      </c>
      <c r="C2467" s="879" t="s">
        <v>670</v>
      </c>
      <c r="D2467" s="879" t="s">
        <v>385</v>
      </c>
      <c r="E2467" s="879" t="s">
        <v>386</v>
      </c>
      <c r="F2467" s="879" t="s">
        <v>276</v>
      </c>
      <c r="G2467" s="879" t="s">
        <v>472</v>
      </c>
      <c r="H2467" s="879" t="s">
        <v>670</v>
      </c>
      <c r="I2467" s="879" t="s">
        <v>277</v>
      </c>
      <c r="J2467" s="879" t="s">
        <v>1004</v>
      </c>
      <c r="K2467" s="879" t="s">
        <v>670</v>
      </c>
      <c r="L2467" s="879" t="s">
        <v>384</v>
      </c>
      <c r="M2467" s="879" t="s">
        <v>285</v>
      </c>
      <c r="N2467" s="879" t="s">
        <v>670</v>
      </c>
      <c r="O2467" s="879">
        <v>7000002054</v>
      </c>
      <c r="P2467" s="879" t="s">
        <v>524</v>
      </c>
      <c r="Q2467" s="879" t="s">
        <v>400</v>
      </c>
      <c r="R2467" s="880">
        <v>46080</v>
      </c>
      <c r="S2467" s="879" t="s">
        <v>670</v>
      </c>
      <c r="T2467" s="880">
        <v>46081</v>
      </c>
      <c r="U2467" s="883">
        <v>0</v>
      </c>
      <c r="V2467" s="882">
        <v>285395</v>
      </c>
      <c r="W2467" s="260">
        <v>46054</v>
      </c>
    </row>
    <row r="2468" spans="1:23" hidden="1" x14ac:dyDescent="0.35">
      <c r="A2468" s="879" t="s">
        <v>526</v>
      </c>
      <c r="B2468" s="879" t="s">
        <v>53</v>
      </c>
      <c r="C2468" s="879" t="s">
        <v>670</v>
      </c>
      <c r="D2468" s="879" t="s">
        <v>385</v>
      </c>
      <c r="E2468" s="879" t="s">
        <v>386</v>
      </c>
      <c r="F2468" s="879" t="s">
        <v>276</v>
      </c>
      <c r="G2468" s="879" t="s">
        <v>472</v>
      </c>
      <c r="H2468" s="879" t="s">
        <v>670</v>
      </c>
      <c r="I2468" s="879" t="s">
        <v>277</v>
      </c>
      <c r="J2468" s="879" t="s">
        <v>1004</v>
      </c>
      <c r="K2468" s="879" t="s">
        <v>670</v>
      </c>
      <c r="L2468" s="879" t="s">
        <v>384</v>
      </c>
      <c r="M2468" s="879" t="s">
        <v>285</v>
      </c>
      <c r="N2468" s="879" t="s">
        <v>670</v>
      </c>
      <c r="O2468" s="879">
        <v>7000002099</v>
      </c>
      <c r="P2468" s="879" t="s">
        <v>524</v>
      </c>
      <c r="Q2468" s="879" t="s">
        <v>400</v>
      </c>
      <c r="R2468" s="880">
        <v>46080</v>
      </c>
      <c r="S2468" s="879" t="s">
        <v>670</v>
      </c>
      <c r="T2468" s="880">
        <v>46081</v>
      </c>
      <c r="U2468" s="883">
        <v>0</v>
      </c>
      <c r="V2468" s="882">
        <v>528855</v>
      </c>
      <c r="W2468" s="260">
        <v>46054</v>
      </c>
    </row>
    <row r="2469" spans="1:23" hidden="1" x14ac:dyDescent="0.35">
      <c r="A2469" s="879" t="s">
        <v>526</v>
      </c>
      <c r="B2469" s="879" t="s">
        <v>53</v>
      </c>
      <c r="C2469" s="879" t="s">
        <v>670</v>
      </c>
      <c r="D2469" s="879" t="s">
        <v>385</v>
      </c>
      <c r="E2469" s="879" t="s">
        <v>386</v>
      </c>
      <c r="F2469" s="879" t="s">
        <v>276</v>
      </c>
      <c r="G2469" s="879" t="s">
        <v>472</v>
      </c>
      <c r="H2469" s="879" t="s">
        <v>670</v>
      </c>
      <c r="I2469" s="879" t="s">
        <v>277</v>
      </c>
      <c r="J2469" s="879" t="s">
        <v>1004</v>
      </c>
      <c r="K2469" s="879" t="s">
        <v>670</v>
      </c>
      <c r="L2469" s="879" t="s">
        <v>384</v>
      </c>
      <c r="M2469" s="879" t="s">
        <v>285</v>
      </c>
      <c r="N2469" s="879" t="s">
        <v>670</v>
      </c>
      <c r="O2469" s="879">
        <v>7000001527</v>
      </c>
      <c r="P2469" s="879" t="s">
        <v>524</v>
      </c>
      <c r="Q2469" s="879" t="s">
        <v>400</v>
      </c>
      <c r="R2469" s="880">
        <v>46080</v>
      </c>
      <c r="S2469" s="879" t="s">
        <v>670</v>
      </c>
      <c r="T2469" s="880">
        <v>46081</v>
      </c>
      <c r="U2469" s="883">
        <v>0</v>
      </c>
      <c r="V2469" s="882">
        <v>4703</v>
      </c>
      <c r="W2469" s="260">
        <v>46054</v>
      </c>
    </row>
    <row r="2470" spans="1:23" hidden="1" x14ac:dyDescent="0.35">
      <c r="A2470" s="879" t="s">
        <v>526</v>
      </c>
      <c r="B2470" s="879" t="s">
        <v>53</v>
      </c>
      <c r="C2470" s="879" t="s">
        <v>670</v>
      </c>
      <c r="D2470" s="879" t="s">
        <v>385</v>
      </c>
      <c r="E2470" s="879" t="s">
        <v>386</v>
      </c>
      <c r="F2470" s="879" t="s">
        <v>276</v>
      </c>
      <c r="G2470" s="879" t="s">
        <v>472</v>
      </c>
      <c r="H2470" s="879" t="s">
        <v>670</v>
      </c>
      <c r="I2470" s="879" t="s">
        <v>277</v>
      </c>
      <c r="J2470" s="879" t="s">
        <v>1004</v>
      </c>
      <c r="K2470" s="879" t="s">
        <v>670</v>
      </c>
      <c r="L2470" s="879" t="s">
        <v>384</v>
      </c>
      <c r="M2470" s="879" t="s">
        <v>285</v>
      </c>
      <c r="N2470" s="879" t="s">
        <v>670</v>
      </c>
      <c r="O2470" s="879">
        <v>7000001415</v>
      </c>
      <c r="P2470" s="879" t="s">
        <v>524</v>
      </c>
      <c r="Q2470" s="879" t="s">
        <v>400</v>
      </c>
      <c r="R2470" s="880">
        <v>46080</v>
      </c>
      <c r="S2470" s="879" t="s">
        <v>670</v>
      </c>
      <c r="T2470" s="880">
        <v>46081</v>
      </c>
      <c r="U2470" s="883">
        <v>0</v>
      </c>
      <c r="V2470" s="882">
        <v>70570</v>
      </c>
      <c r="W2470" s="260">
        <v>46054</v>
      </c>
    </row>
    <row r="2471" spans="1:23" hidden="1" x14ac:dyDescent="0.35">
      <c r="A2471" s="879" t="s">
        <v>526</v>
      </c>
      <c r="B2471" s="879" t="s">
        <v>53</v>
      </c>
      <c r="C2471" s="879" t="s">
        <v>799</v>
      </c>
      <c r="D2471" s="879" t="s">
        <v>385</v>
      </c>
      <c r="E2471" s="879" t="s">
        <v>386</v>
      </c>
      <c r="F2471" s="879" t="s">
        <v>276</v>
      </c>
      <c r="G2471" s="879" t="s">
        <v>472</v>
      </c>
      <c r="H2471" s="879" t="s">
        <v>670</v>
      </c>
      <c r="I2471" s="879" t="s">
        <v>277</v>
      </c>
      <c r="J2471" s="879" t="s">
        <v>1004</v>
      </c>
      <c r="K2471" s="879" t="s">
        <v>800</v>
      </c>
      <c r="L2471" s="879" t="s">
        <v>384</v>
      </c>
      <c r="M2471" s="879" t="s">
        <v>285</v>
      </c>
      <c r="N2471" s="879" t="s">
        <v>670</v>
      </c>
      <c r="O2471" s="879" t="s">
        <v>670</v>
      </c>
      <c r="P2471" s="879" t="s">
        <v>524</v>
      </c>
      <c r="Q2471" s="879" t="s">
        <v>670</v>
      </c>
      <c r="R2471" s="880">
        <v>46083</v>
      </c>
      <c r="S2471" s="879" t="s">
        <v>670</v>
      </c>
      <c r="T2471" s="880">
        <v>46081</v>
      </c>
      <c r="U2471" s="883">
        <v>0</v>
      </c>
      <c r="V2471" s="882">
        <v>3473.24</v>
      </c>
      <c r="W2471" s="260">
        <v>46054</v>
      </c>
    </row>
    <row r="2472" spans="1:23" hidden="1" x14ac:dyDescent="0.35">
      <c r="A2472" s="879" t="s">
        <v>526</v>
      </c>
      <c r="B2472" s="879" t="s">
        <v>53</v>
      </c>
      <c r="C2472" s="879" t="s">
        <v>799</v>
      </c>
      <c r="D2472" s="879" t="s">
        <v>801</v>
      </c>
      <c r="E2472" s="879" t="s">
        <v>802</v>
      </c>
      <c r="F2472" s="879" t="s">
        <v>276</v>
      </c>
      <c r="G2472" s="879" t="s">
        <v>472</v>
      </c>
      <c r="H2472" s="879" t="s">
        <v>670</v>
      </c>
      <c r="I2472" s="879" t="s">
        <v>277</v>
      </c>
      <c r="J2472" s="879" t="s">
        <v>1004</v>
      </c>
      <c r="K2472" s="879" t="s">
        <v>800</v>
      </c>
      <c r="L2472" s="879" t="s">
        <v>384</v>
      </c>
      <c r="M2472" s="879" t="s">
        <v>285</v>
      </c>
      <c r="N2472" s="879" t="s">
        <v>670</v>
      </c>
      <c r="O2472" s="879" t="s">
        <v>670</v>
      </c>
      <c r="P2472" s="879" t="s">
        <v>524</v>
      </c>
      <c r="Q2472" s="879" t="s">
        <v>670</v>
      </c>
      <c r="R2472" s="880">
        <v>46083</v>
      </c>
      <c r="S2472" s="879" t="s">
        <v>670</v>
      </c>
      <c r="T2472" s="880">
        <v>46081</v>
      </c>
      <c r="U2472" s="883">
        <v>0</v>
      </c>
      <c r="V2472" s="882">
        <v>343.65</v>
      </c>
      <c r="W2472" s="260">
        <v>46054</v>
      </c>
    </row>
    <row r="2473" spans="1:23" hidden="1" x14ac:dyDescent="0.35">
      <c r="A2473" s="879" t="s">
        <v>526</v>
      </c>
      <c r="B2473" s="879" t="s">
        <v>53</v>
      </c>
      <c r="C2473" s="879" t="s">
        <v>670</v>
      </c>
      <c r="D2473" s="879" t="s">
        <v>762</v>
      </c>
      <c r="E2473" s="879" t="s">
        <v>763</v>
      </c>
      <c r="F2473" s="879" t="s">
        <v>276</v>
      </c>
      <c r="G2473" s="879" t="s">
        <v>472</v>
      </c>
      <c r="H2473" s="879" t="s">
        <v>670</v>
      </c>
      <c r="I2473" s="879" t="s">
        <v>277</v>
      </c>
      <c r="J2473" s="879" t="s">
        <v>1004</v>
      </c>
      <c r="K2473" s="879" t="s">
        <v>670</v>
      </c>
      <c r="L2473" s="879" t="s">
        <v>384</v>
      </c>
      <c r="M2473" s="879" t="s">
        <v>285</v>
      </c>
      <c r="N2473" s="879" t="s">
        <v>764</v>
      </c>
      <c r="O2473" s="879" t="s">
        <v>765</v>
      </c>
      <c r="P2473" s="879" t="s">
        <v>524</v>
      </c>
      <c r="Q2473" s="879" t="s">
        <v>387</v>
      </c>
      <c r="R2473" s="880">
        <v>46055</v>
      </c>
      <c r="S2473" s="879" t="s">
        <v>388</v>
      </c>
      <c r="T2473" s="880">
        <v>46070</v>
      </c>
      <c r="U2473" s="881">
        <v>1</v>
      </c>
      <c r="V2473" s="882">
        <v>23200</v>
      </c>
      <c r="W2473" s="260">
        <v>46054</v>
      </c>
    </row>
    <row r="2474" spans="1:23" hidden="1" x14ac:dyDescent="0.35">
      <c r="A2474" s="879" t="s">
        <v>526</v>
      </c>
      <c r="B2474" s="879" t="s">
        <v>53</v>
      </c>
      <c r="C2474" s="879" t="s">
        <v>521</v>
      </c>
      <c r="D2474" s="879" t="s">
        <v>681</v>
      </c>
      <c r="E2474" s="879" t="s">
        <v>682</v>
      </c>
      <c r="F2474" s="879" t="s">
        <v>276</v>
      </c>
      <c r="G2474" s="879" t="s">
        <v>472</v>
      </c>
      <c r="H2474" s="879" t="s">
        <v>670</v>
      </c>
      <c r="I2474" s="879" t="s">
        <v>277</v>
      </c>
      <c r="J2474" s="879" t="s">
        <v>1004</v>
      </c>
      <c r="K2474" s="879" t="s">
        <v>683</v>
      </c>
      <c r="L2474" s="879" t="s">
        <v>384</v>
      </c>
      <c r="M2474" s="879" t="s">
        <v>285</v>
      </c>
      <c r="N2474" s="879" t="s">
        <v>670</v>
      </c>
      <c r="O2474" s="879" t="s">
        <v>670</v>
      </c>
      <c r="P2474" s="879" t="s">
        <v>524</v>
      </c>
      <c r="Q2474" s="879" t="s">
        <v>670</v>
      </c>
      <c r="R2474" s="880">
        <v>46083</v>
      </c>
      <c r="S2474" s="879" t="s">
        <v>670</v>
      </c>
      <c r="T2474" s="880">
        <v>46081</v>
      </c>
      <c r="U2474" s="883">
        <v>0</v>
      </c>
      <c r="V2474" s="882">
        <v>15907</v>
      </c>
      <c r="W2474" s="260">
        <v>46054</v>
      </c>
    </row>
    <row r="2475" spans="1:23" hidden="1" x14ac:dyDescent="0.35">
      <c r="A2475" s="873" t="s">
        <v>748</v>
      </c>
      <c r="B2475" s="873" t="s">
        <v>53</v>
      </c>
      <c r="C2475" s="873"/>
      <c r="D2475" s="873" t="s">
        <v>762</v>
      </c>
      <c r="E2475" s="873" t="s">
        <v>763</v>
      </c>
      <c r="F2475" s="873" t="s">
        <v>276</v>
      </c>
      <c r="G2475" s="873" t="s">
        <v>472</v>
      </c>
      <c r="H2475" s="873"/>
      <c r="I2475" s="873" t="s">
        <v>277</v>
      </c>
      <c r="J2475" s="873" t="s">
        <v>654</v>
      </c>
      <c r="K2475" s="873"/>
      <c r="L2475" s="873" t="s">
        <v>384</v>
      </c>
      <c r="M2475" s="873" t="s">
        <v>285</v>
      </c>
      <c r="N2475" s="873"/>
      <c r="O2475" s="873">
        <v>5000060473</v>
      </c>
      <c r="P2475" s="873" t="s">
        <v>654</v>
      </c>
      <c r="Q2475" s="873" t="s">
        <v>400</v>
      </c>
      <c r="R2475" s="874">
        <v>46080</v>
      </c>
      <c r="S2475" s="873"/>
      <c r="T2475" s="874">
        <v>46081</v>
      </c>
      <c r="U2475" s="884">
        <v>0</v>
      </c>
      <c r="V2475" s="876">
        <v>11917</v>
      </c>
      <c r="W2475" s="260">
        <v>46054</v>
      </c>
    </row>
    <row r="2476" spans="1:23" hidden="1" x14ac:dyDescent="0.35">
      <c r="A2476" s="879" t="s">
        <v>526</v>
      </c>
      <c r="B2476" s="879" t="s">
        <v>159</v>
      </c>
      <c r="C2476" s="879" t="s">
        <v>281</v>
      </c>
      <c r="D2476" s="879" t="s">
        <v>282</v>
      </c>
      <c r="E2476" s="879" t="s">
        <v>283</v>
      </c>
      <c r="F2476" s="879" t="s">
        <v>276</v>
      </c>
      <c r="G2476" s="879" t="s">
        <v>472</v>
      </c>
      <c r="H2476" s="879" t="s">
        <v>670</v>
      </c>
      <c r="I2476" s="879" t="s">
        <v>277</v>
      </c>
      <c r="J2476" s="879" t="s">
        <v>997</v>
      </c>
      <c r="K2476" s="879" t="s">
        <v>284</v>
      </c>
      <c r="L2476" s="879" t="s">
        <v>529</v>
      </c>
      <c r="M2476" s="879" t="s">
        <v>285</v>
      </c>
      <c r="N2476" s="879" t="s">
        <v>670</v>
      </c>
      <c r="O2476" s="879" t="s">
        <v>670</v>
      </c>
      <c r="P2476" s="879" t="s">
        <v>522</v>
      </c>
      <c r="Q2476" s="879" t="s">
        <v>670</v>
      </c>
      <c r="R2476" s="880">
        <v>46113</v>
      </c>
      <c r="S2476" s="879" t="s">
        <v>670</v>
      </c>
      <c r="T2476" s="880">
        <v>46112</v>
      </c>
      <c r="U2476" s="883">
        <v>0</v>
      </c>
      <c r="V2476" s="882">
        <v>446.99</v>
      </c>
      <c r="W2476" s="260">
        <v>46082</v>
      </c>
    </row>
    <row r="2477" spans="1:23" hidden="1" x14ac:dyDescent="0.35">
      <c r="A2477" s="879" t="s">
        <v>526</v>
      </c>
      <c r="B2477" s="879" t="s">
        <v>159</v>
      </c>
      <c r="C2477" s="879" t="s">
        <v>286</v>
      </c>
      <c r="D2477" s="879" t="s">
        <v>287</v>
      </c>
      <c r="E2477" s="879" t="s">
        <v>288</v>
      </c>
      <c r="F2477" s="879" t="s">
        <v>276</v>
      </c>
      <c r="G2477" s="879" t="s">
        <v>472</v>
      </c>
      <c r="H2477" s="879" t="s">
        <v>670</v>
      </c>
      <c r="I2477" s="879" t="s">
        <v>277</v>
      </c>
      <c r="J2477" s="879" t="s">
        <v>997</v>
      </c>
      <c r="K2477" s="879" t="s">
        <v>289</v>
      </c>
      <c r="L2477" s="879" t="s">
        <v>529</v>
      </c>
      <c r="M2477" s="879" t="s">
        <v>285</v>
      </c>
      <c r="N2477" s="879" t="s">
        <v>670</v>
      </c>
      <c r="O2477" s="879" t="s">
        <v>670</v>
      </c>
      <c r="P2477" s="879" t="s">
        <v>522</v>
      </c>
      <c r="Q2477" s="879" t="s">
        <v>670</v>
      </c>
      <c r="R2477" s="880">
        <v>46113</v>
      </c>
      <c r="S2477" s="879" t="s">
        <v>670</v>
      </c>
      <c r="T2477" s="880">
        <v>46112</v>
      </c>
      <c r="U2477" s="883">
        <v>0</v>
      </c>
      <c r="V2477" s="882">
        <v>1250.27</v>
      </c>
      <c r="W2477" s="260">
        <v>46082</v>
      </c>
    </row>
    <row r="2478" spans="1:23" hidden="1" x14ac:dyDescent="0.35">
      <c r="A2478" s="879" t="s">
        <v>526</v>
      </c>
      <c r="B2478" s="879" t="s">
        <v>159</v>
      </c>
      <c r="C2478" s="879" t="s">
        <v>281</v>
      </c>
      <c r="D2478" s="879" t="s">
        <v>290</v>
      </c>
      <c r="E2478" s="879" t="s">
        <v>291</v>
      </c>
      <c r="F2478" s="879" t="s">
        <v>276</v>
      </c>
      <c r="G2478" s="879" t="s">
        <v>472</v>
      </c>
      <c r="H2478" s="879" t="s">
        <v>670</v>
      </c>
      <c r="I2478" s="879" t="s">
        <v>277</v>
      </c>
      <c r="J2478" s="879" t="s">
        <v>997</v>
      </c>
      <c r="K2478" s="879" t="s">
        <v>284</v>
      </c>
      <c r="L2478" s="879" t="s">
        <v>529</v>
      </c>
      <c r="M2478" s="879" t="s">
        <v>285</v>
      </c>
      <c r="N2478" s="879" t="s">
        <v>670</v>
      </c>
      <c r="O2478" s="879" t="s">
        <v>670</v>
      </c>
      <c r="P2478" s="879" t="s">
        <v>522</v>
      </c>
      <c r="Q2478" s="879" t="s">
        <v>670</v>
      </c>
      <c r="R2478" s="880">
        <v>46113</v>
      </c>
      <c r="S2478" s="879" t="s">
        <v>670</v>
      </c>
      <c r="T2478" s="880">
        <v>46112</v>
      </c>
      <c r="U2478" s="883">
        <v>0</v>
      </c>
      <c r="V2478" s="882">
        <v>277.51</v>
      </c>
      <c r="W2478" s="260">
        <v>46082</v>
      </c>
    </row>
    <row r="2479" spans="1:23" hidden="1" x14ac:dyDescent="0.35">
      <c r="A2479" s="879" t="s">
        <v>526</v>
      </c>
      <c r="B2479" s="879" t="s">
        <v>159</v>
      </c>
      <c r="C2479" s="879" t="s">
        <v>281</v>
      </c>
      <c r="D2479" s="879" t="s">
        <v>292</v>
      </c>
      <c r="E2479" s="879" t="s">
        <v>293</v>
      </c>
      <c r="F2479" s="879" t="s">
        <v>276</v>
      </c>
      <c r="G2479" s="879" t="s">
        <v>472</v>
      </c>
      <c r="H2479" s="879" t="s">
        <v>670</v>
      </c>
      <c r="I2479" s="879" t="s">
        <v>277</v>
      </c>
      <c r="J2479" s="879" t="s">
        <v>997</v>
      </c>
      <c r="K2479" s="879" t="s">
        <v>294</v>
      </c>
      <c r="L2479" s="879" t="s">
        <v>529</v>
      </c>
      <c r="M2479" s="879" t="s">
        <v>285</v>
      </c>
      <c r="N2479" s="879" t="s">
        <v>670</v>
      </c>
      <c r="O2479" s="879" t="s">
        <v>670</v>
      </c>
      <c r="P2479" s="879" t="s">
        <v>522</v>
      </c>
      <c r="Q2479" s="879" t="s">
        <v>670</v>
      </c>
      <c r="R2479" s="880">
        <v>46113</v>
      </c>
      <c r="S2479" s="879" t="s">
        <v>670</v>
      </c>
      <c r="T2479" s="880">
        <v>46112</v>
      </c>
      <c r="U2479" s="883">
        <v>0</v>
      </c>
      <c r="V2479" s="882">
        <v>141.44</v>
      </c>
      <c r="W2479" s="260">
        <v>46082</v>
      </c>
    </row>
    <row r="2480" spans="1:23" hidden="1" x14ac:dyDescent="0.35">
      <c r="A2480" s="879" t="s">
        <v>526</v>
      </c>
      <c r="B2480" s="879" t="s">
        <v>159</v>
      </c>
      <c r="C2480" s="879" t="s">
        <v>286</v>
      </c>
      <c r="D2480" s="879" t="s">
        <v>295</v>
      </c>
      <c r="E2480" s="879" t="s">
        <v>296</v>
      </c>
      <c r="F2480" s="879" t="s">
        <v>276</v>
      </c>
      <c r="G2480" s="879" t="s">
        <v>472</v>
      </c>
      <c r="H2480" s="879" t="s">
        <v>670</v>
      </c>
      <c r="I2480" s="879" t="s">
        <v>277</v>
      </c>
      <c r="J2480" s="879" t="s">
        <v>997</v>
      </c>
      <c r="K2480" s="879" t="s">
        <v>297</v>
      </c>
      <c r="L2480" s="879" t="s">
        <v>529</v>
      </c>
      <c r="M2480" s="879" t="s">
        <v>285</v>
      </c>
      <c r="N2480" s="879" t="s">
        <v>670</v>
      </c>
      <c r="O2480" s="879" t="s">
        <v>670</v>
      </c>
      <c r="P2480" s="879" t="s">
        <v>522</v>
      </c>
      <c r="Q2480" s="879" t="s">
        <v>670</v>
      </c>
      <c r="R2480" s="880">
        <v>46113</v>
      </c>
      <c r="S2480" s="879" t="s">
        <v>670</v>
      </c>
      <c r="T2480" s="880">
        <v>46112</v>
      </c>
      <c r="U2480" s="883">
        <v>0</v>
      </c>
      <c r="V2480" s="882">
        <v>569.33000000000004</v>
      </c>
      <c r="W2480" s="260">
        <v>46082</v>
      </c>
    </row>
    <row r="2481" spans="1:23" hidden="1" x14ac:dyDescent="0.35">
      <c r="A2481" s="879" t="s">
        <v>526</v>
      </c>
      <c r="B2481" s="879" t="s">
        <v>159</v>
      </c>
      <c r="C2481" s="879" t="s">
        <v>298</v>
      </c>
      <c r="D2481" s="879" t="s">
        <v>299</v>
      </c>
      <c r="E2481" s="879" t="s">
        <v>300</v>
      </c>
      <c r="F2481" s="879" t="s">
        <v>276</v>
      </c>
      <c r="G2481" s="879" t="s">
        <v>472</v>
      </c>
      <c r="H2481" s="879" t="s">
        <v>670</v>
      </c>
      <c r="I2481" s="879" t="s">
        <v>277</v>
      </c>
      <c r="J2481" s="879" t="s">
        <v>997</v>
      </c>
      <c r="K2481" s="879" t="s">
        <v>301</v>
      </c>
      <c r="L2481" s="879" t="s">
        <v>529</v>
      </c>
      <c r="M2481" s="879" t="s">
        <v>285</v>
      </c>
      <c r="N2481" s="879" t="s">
        <v>670</v>
      </c>
      <c r="O2481" s="879" t="s">
        <v>670</v>
      </c>
      <c r="P2481" s="879" t="s">
        <v>522</v>
      </c>
      <c r="Q2481" s="879" t="s">
        <v>670</v>
      </c>
      <c r="R2481" s="880">
        <v>46113</v>
      </c>
      <c r="S2481" s="879" t="s">
        <v>670</v>
      </c>
      <c r="T2481" s="880">
        <v>46112</v>
      </c>
      <c r="U2481" s="883">
        <v>0</v>
      </c>
      <c r="V2481" s="882">
        <v>0.05</v>
      </c>
      <c r="W2481" s="260">
        <v>46082</v>
      </c>
    </row>
    <row r="2482" spans="1:23" hidden="1" x14ac:dyDescent="0.35">
      <c r="A2482" s="879" t="s">
        <v>526</v>
      </c>
      <c r="B2482" s="879" t="s">
        <v>159</v>
      </c>
      <c r="C2482" s="879" t="s">
        <v>298</v>
      </c>
      <c r="D2482" s="879" t="s">
        <v>299</v>
      </c>
      <c r="E2482" s="879" t="s">
        <v>300</v>
      </c>
      <c r="F2482" s="879" t="s">
        <v>276</v>
      </c>
      <c r="G2482" s="879" t="s">
        <v>472</v>
      </c>
      <c r="H2482" s="879" t="s">
        <v>670</v>
      </c>
      <c r="I2482" s="879" t="s">
        <v>277</v>
      </c>
      <c r="J2482" s="879" t="s">
        <v>997</v>
      </c>
      <c r="K2482" s="879" t="s">
        <v>301</v>
      </c>
      <c r="L2482" s="879" t="s">
        <v>529</v>
      </c>
      <c r="M2482" s="879" t="s">
        <v>285</v>
      </c>
      <c r="N2482" s="879" t="s">
        <v>670</v>
      </c>
      <c r="O2482" s="879" t="s">
        <v>670</v>
      </c>
      <c r="P2482" s="879" t="s">
        <v>522</v>
      </c>
      <c r="Q2482" s="879" t="s">
        <v>670</v>
      </c>
      <c r="R2482" s="880">
        <v>46113</v>
      </c>
      <c r="S2482" s="879" t="s">
        <v>670</v>
      </c>
      <c r="T2482" s="880">
        <v>46112</v>
      </c>
      <c r="U2482" s="883">
        <v>0</v>
      </c>
      <c r="V2482" s="882">
        <v>0.8</v>
      </c>
      <c r="W2482" s="260">
        <v>46082</v>
      </c>
    </row>
    <row r="2483" spans="1:23" hidden="1" x14ac:dyDescent="0.35">
      <c r="A2483" s="879" t="s">
        <v>526</v>
      </c>
      <c r="B2483" s="879" t="s">
        <v>159</v>
      </c>
      <c r="C2483" s="879" t="s">
        <v>298</v>
      </c>
      <c r="D2483" s="879" t="s">
        <v>304</v>
      </c>
      <c r="E2483" s="879" t="s">
        <v>305</v>
      </c>
      <c r="F2483" s="879" t="s">
        <v>276</v>
      </c>
      <c r="G2483" s="879" t="s">
        <v>472</v>
      </c>
      <c r="H2483" s="879" t="s">
        <v>670</v>
      </c>
      <c r="I2483" s="879" t="s">
        <v>277</v>
      </c>
      <c r="J2483" s="879" t="s">
        <v>997</v>
      </c>
      <c r="K2483" s="879" t="s">
        <v>301</v>
      </c>
      <c r="L2483" s="879" t="s">
        <v>529</v>
      </c>
      <c r="M2483" s="879" t="s">
        <v>285</v>
      </c>
      <c r="N2483" s="879" t="s">
        <v>670</v>
      </c>
      <c r="O2483" s="879" t="s">
        <v>670</v>
      </c>
      <c r="P2483" s="879" t="s">
        <v>522</v>
      </c>
      <c r="Q2483" s="879" t="s">
        <v>670</v>
      </c>
      <c r="R2483" s="880">
        <v>46113</v>
      </c>
      <c r="S2483" s="879" t="s">
        <v>670</v>
      </c>
      <c r="T2483" s="880">
        <v>46112</v>
      </c>
      <c r="U2483" s="883">
        <v>0</v>
      </c>
      <c r="V2483" s="882">
        <v>0.41</v>
      </c>
      <c r="W2483" s="260">
        <v>46082</v>
      </c>
    </row>
    <row r="2484" spans="1:23" hidden="1" x14ac:dyDescent="0.35">
      <c r="A2484" s="879" t="s">
        <v>526</v>
      </c>
      <c r="B2484" s="879" t="s">
        <v>159</v>
      </c>
      <c r="C2484" s="879" t="s">
        <v>298</v>
      </c>
      <c r="D2484" s="879" t="s">
        <v>306</v>
      </c>
      <c r="E2484" s="879" t="s">
        <v>307</v>
      </c>
      <c r="F2484" s="879" t="s">
        <v>276</v>
      </c>
      <c r="G2484" s="879" t="s">
        <v>472</v>
      </c>
      <c r="H2484" s="879" t="s">
        <v>670</v>
      </c>
      <c r="I2484" s="879" t="s">
        <v>277</v>
      </c>
      <c r="J2484" s="879" t="s">
        <v>997</v>
      </c>
      <c r="K2484" s="879" t="s">
        <v>301</v>
      </c>
      <c r="L2484" s="879" t="s">
        <v>529</v>
      </c>
      <c r="M2484" s="879" t="s">
        <v>285</v>
      </c>
      <c r="N2484" s="879" t="s">
        <v>670</v>
      </c>
      <c r="O2484" s="879" t="s">
        <v>670</v>
      </c>
      <c r="P2484" s="879" t="s">
        <v>522</v>
      </c>
      <c r="Q2484" s="879" t="s">
        <v>670</v>
      </c>
      <c r="R2484" s="880">
        <v>46113</v>
      </c>
      <c r="S2484" s="879" t="s">
        <v>670</v>
      </c>
      <c r="T2484" s="880">
        <v>46112</v>
      </c>
      <c r="U2484" s="883">
        <v>0</v>
      </c>
      <c r="V2484" s="882">
        <v>7.0000000000000007E-2</v>
      </c>
      <c r="W2484" s="260">
        <v>46082</v>
      </c>
    </row>
    <row r="2485" spans="1:23" hidden="1" x14ac:dyDescent="0.35">
      <c r="A2485" s="879" t="s">
        <v>526</v>
      </c>
      <c r="B2485" s="879" t="s">
        <v>159</v>
      </c>
      <c r="C2485" s="879" t="s">
        <v>298</v>
      </c>
      <c r="D2485" s="879" t="s">
        <v>306</v>
      </c>
      <c r="E2485" s="879" t="s">
        <v>307</v>
      </c>
      <c r="F2485" s="879" t="s">
        <v>276</v>
      </c>
      <c r="G2485" s="879" t="s">
        <v>472</v>
      </c>
      <c r="H2485" s="879" t="s">
        <v>670</v>
      </c>
      <c r="I2485" s="879" t="s">
        <v>277</v>
      </c>
      <c r="J2485" s="879" t="s">
        <v>997</v>
      </c>
      <c r="K2485" s="879" t="s">
        <v>301</v>
      </c>
      <c r="L2485" s="879" t="s">
        <v>529</v>
      </c>
      <c r="M2485" s="879" t="s">
        <v>285</v>
      </c>
      <c r="N2485" s="879" t="s">
        <v>670</v>
      </c>
      <c r="O2485" s="879" t="s">
        <v>670</v>
      </c>
      <c r="P2485" s="879" t="s">
        <v>522</v>
      </c>
      <c r="Q2485" s="879" t="s">
        <v>670</v>
      </c>
      <c r="R2485" s="880">
        <v>46113</v>
      </c>
      <c r="S2485" s="879" t="s">
        <v>670</v>
      </c>
      <c r="T2485" s="880">
        <v>46112</v>
      </c>
      <c r="U2485" s="883">
        <v>0</v>
      </c>
      <c r="V2485" s="882">
        <v>1.3</v>
      </c>
      <c r="W2485" s="260">
        <v>46082</v>
      </c>
    </row>
    <row r="2486" spans="1:23" hidden="1" x14ac:dyDescent="0.35">
      <c r="A2486" s="879" t="s">
        <v>526</v>
      </c>
      <c r="B2486" s="879" t="s">
        <v>159</v>
      </c>
      <c r="C2486" s="879" t="s">
        <v>298</v>
      </c>
      <c r="D2486" s="879" t="s">
        <v>308</v>
      </c>
      <c r="E2486" s="879" t="s">
        <v>309</v>
      </c>
      <c r="F2486" s="879" t="s">
        <v>276</v>
      </c>
      <c r="G2486" s="879" t="s">
        <v>472</v>
      </c>
      <c r="H2486" s="879" t="s">
        <v>670</v>
      </c>
      <c r="I2486" s="879" t="s">
        <v>277</v>
      </c>
      <c r="J2486" s="879" t="s">
        <v>997</v>
      </c>
      <c r="K2486" s="879" t="s">
        <v>301</v>
      </c>
      <c r="L2486" s="879" t="s">
        <v>529</v>
      </c>
      <c r="M2486" s="879" t="s">
        <v>285</v>
      </c>
      <c r="N2486" s="879" t="s">
        <v>670</v>
      </c>
      <c r="O2486" s="879" t="s">
        <v>670</v>
      </c>
      <c r="P2486" s="879" t="s">
        <v>522</v>
      </c>
      <c r="Q2486" s="879" t="s">
        <v>670</v>
      </c>
      <c r="R2486" s="880">
        <v>46113</v>
      </c>
      <c r="S2486" s="879" t="s">
        <v>670</v>
      </c>
      <c r="T2486" s="880">
        <v>46112</v>
      </c>
      <c r="U2486" s="883">
        <v>0</v>
      </c>
      <c r="V2486" s="882">
        <v>686.94</v>
      </c>
      <c r="W2486" s="260">
        <v>46082</v>
      </c>
    </row>
    <row r="2487" spans="1:23" hidden="1" x14ac:dyDescent="0.35">
      <c r="A2487" s="879" t="s">
        <v>526</v>
      </c>
      <c r="B2487" s="879" t="s">
        <v>159</v>
      </c>
      <c r="C2487" s="879" t="s">
        <v>302</v>
      </c>
      <c r="D2487" s="879" t="s">
        <v>308</v>
      </c>
      <c r="E2487" s="879" t="s">
        <v>309</v>
      </c>
      <c r="F2487" s="879" t="s">
        <v>276</v>
      </c>
      <c r="G2487" s="879" t="s">
        <v>472</v>
      </c>
      <c r="H2487" s="879" t="s">
        <v>670</v>
      </c>
      <c r="I2487" s="879" t="s">
        <v>277</v>
      </c>
      <c r="J2487" s="879" t="s">
        <v>997</v>
      </c>
      <c r="K2487" s="879" t="s">
        <v>303</v>
      </c>
      <c r="L2487" s="879" t="s">
        <v>529</v>
      </c>
      <c r="M2487" s="879" t="s">
        <v>285</v>
      </c>
      <c r="N2487" s="879" t="s">
        <v>670</v>
      </c>
      <c r="O2487" s="879" t="s">
        <v>670</v>
      </c>
      <c r="P2487" s="879" t="s">
        <v>522</v>
      </c>
      <c r="Q2487" s="879" t="s">
        <v>670</v>
      </c>
      <c r="R2487" s="880">
        <v>46113</v>
      </c>
      <c r="S2487" s="879" t="s">
        <v>670</v>
      </c>
      <c r="T2487" s="880">
        <v>46112</v>
      </c>
      <c r="U2487" s="883">
        <v>0</v>
      </c>
      <c r="V2487" s="882">
        <v>1418.37</v>
      </c>
      <c r="W2487" s="260">
        <v>46082</v>
      </c>
    </row>
    <row r="2488" spans="1:23" hidden="1" x14ac:dyDescent="0.35">
      <c r="A2488" s="879" t="s">
        <v>526</v>
      </c>
      <c r="B2488" s="879" t="s">
        <v>159</v>
      </c>
      <c r="C2488" s="879" t="s">
        <v>302</v>
      </c>
      <c r="D2488" s="879" t="s">
        <v>310</v>
      </c>
      <c r="E2488" s="879" t="s">
        <v>311</v>
      </c>
      <c r="F2488" s="879" t="s">
        <v>276</v>
      </c>
      <c r="G2488" s="879" t="s">
        <v>472</v>
      </c>
      <c r="H2488" s="879" t="s">
        <v>670</v>
      </c>
      <c r="I2488" s="879" t="s">
        <v>277</v>
      </c>
      <c r="J2488" s="879" t="s">
        <v>997</v>
      </c>
      <c r="K2488" s="879" t="s">
        <v>303</v>
      </c>
      <c r="L2488" s="879" t="s">
        <v>529</v>
      </c>
      <c r="M2488" s="879" t="s">
        <v>285</v>
      </c>
      <c r="N2488" s="879" t="s">
        <v>670</v>
      </c>
      <c r="O2488" s="879" t="s">
        <v>670</v>
      </c>
      <c r="P2488" s="879" t="s">
        <v>522</v>
      </c>
      <c r="Q2488" s="879" t="s">
        <v>670</v>
      </c>
      <c r="R2488" s="880">
        <v>46113</v>
      </c>
      <c r="S2488" s="879" t="s">
        <v>670</v>
      </c>
      <c r="T2488" s="880">
        <v>46112</v>
      </c>
      <c r="U2488" s="883">
        <v>0</v>
      </c>
      <c r="V2488" s="882">
        <v>181.04</v>
      </c>
      <c r="W2488" s="260">
        <v>46082</v>
      </c>
    </row>
    <row r="2489" spans="1:23" hidden="1" x14ac:dyDescent="0.35">
      <c r="A2489" s="879" t="s">
        <v>526</v>
      </c>
      <c r="B2489" s="879" t="s">
        <v>159</v>
      </c>
      <c r="C2489" s="879" t="s">
        <v>298</v>
      </c>
      <c r="D2489" s="879" t="s">
        <v>312</v>
      </c>
      <c r="E2489" s="879" t="s">
        <v>313</v>
      </c>
      <c r="F2489" s="879" t="s">
        <v>276</v>
      </c>
      <c r="G2489" s="879" t="s">
        <v>472</v>
      </c>
      <c r="H2489" s="879" t="s">
        <v>670</v>
      </c>
      <c r="I2489" s="879" t="s">
        <v>277</v>
      </c>
      <c r="J2489" s="879" t="s">
        <v>997</v>
      </c>
      <c r="K2489" s="879" t="s">
        <v>301</v>
      </c>
      <c r="L2489" s="879" t="s">
        <v>529</v>
      </c>
      <c r="M2489" s="879" t="s">
        <v>285</v>
      </c>
      <c r="N2489" s="879" t="s">
        <v>670</v>
      </c>
      <c r="O2489" s="879" t="s">
        <v>670</v>
      </c>
      <c r="P2489" s="879" t="s">
        <v>522</v>
      </c>
      <c r="Q2489" s="879" t="s">
        <v>670</v>
      </c>
      <c r="R2489" s="880">
        <v>46113</v>
      </c>
      <c r="S2489" s="879" t="s">
        <v>670</v>
      </c>
      <c r="T2489" s="880">
        <v>46112</v>
      </c>
      <c r="U2489" s="883">
        <v>0</v>
      </c>
      <c r="V2489" s="882">
        <v>67.66</v>
      </c>
      <c r="W2489" s="260">
        <v>46082</v>
      </c>
    </row>
    <row r="2490" spans="1:23" hidden="1" x14ac:dyDescent="0.35">
      <c r="A2490" s="879" t="s">
        <v>526</v>
      </c>
      <c r="B2490" s="879" t="s">
        <v>159</v>
      </c>
      <c r="C2490" s="879" t="s">
        <v>298</v>
      </c>
      <c r="D2490" s="879" t="s">
        <v>312</v>
      </c>
      <c r="E2490" s="879" t="s">
        <v>313</v>
      </c>
      <c r="F2490" s="879" t="s">
        <v>276</v>
      </c>
      <c r="G2490" s="879" t="s">
        <v>472</v>
      </c>
      <c r="H2490" s="879" t="s">
        <v>670</v>
      </c>
      <c r="I2490" s="879" t="s">
        <v>277</v>
      </c>
      <c r="J2490" s="879" t="s">
        <v>997</v>
      </c>
      <c r="K2490" s="879" t="s">
        <v>301</v>
      </c>
      <c r="L2490" s="879" t="s">
        <v>529</v>
      </c>
      <c r="M2490" s="879" t="s">
        <v>285</v>
      </c>
      <c r="N2490" s="879" t="s">
        <v>670</v>
      </c>
      <c r="O2490" s="879" t="s">
        <v>670</v>
      </c>
      <c r="P2490" s="879" t="s">
        <v>522</v>
      </c>
      <c r="Q2490" s="879" t="s">
        <v>670</v>
      </c>
      <c r="R2490" s="880">
        <v>46113</v>
      </c>
      <c r="S2490" s="879" t="s">
        <v>670</v>
      </c>
      <c r="T2490" s="880">
        <v>46112</v>
      </c>
      <c r="U2490" s="883">
        <v>0</v>
      </c>
      <c r="V2490" s="882">
        <v>-577.79999999999995</v>
      </c>
      <c r="W2490" s="260">
        <v>46082</v>
      </c>
    </row>
    <row r="2491" spans="1:23" hidden="1" x14ac:dyDescent="0.35">
      <c r="A2491" s="879" t="s">
        <v>526</v>
      </c>
      <c r="B2491" s="879" t="s">
        <v>159</v>
      </c>
      <c r="C2491" s="879" t="s">
        <v>298</v>
      </c>
      <c r="D2491" s="879" t="s">
        <v>314</v>
      </c>
      <c r="E2491" s="879" t="s">
        <v>315</v>
      </c>
      <c r="F2491" s="879" t="s">
        <v>276</v>
      </c>
      <c r="G2491" s="879" t="s">
        <v>472</v>
      </c>
      <c r="H2491" s="879" t="s">
        <v>670</v>
      </c>
      <c r="I2491" s="879" t="s">
        <v>277</v>
      </c>
      <c r="J2491" s="879" t="s">
        <v>997</v>
      </c>
      <c r="K2491" s="879" t="s">
        <v>301</v>
      </c>
      <c r="L2491" s="879" t="s">
        <v>529</v>
      </c>
      <c r="M2491" s="879" t="s">
        <v>285</v>
      </c>
      <c r="N2491" s="879" t="s">
        <v>670</v>
      </c>
      <c r="O2491" s="879" t="s">
        <v>670</v>
      </c>
      <c r="P2491" s="879" t="s">
        <v>522</v>
      </c>
      <c r="Q2491" s="879" t="s">
        <v>670</v>
      </c>
      <c r="R2491" s="880">
        <v>46113</v>
      </c>
      <c r="S2491" s="879" t="s">
        <v>670</v>
      </c>
      <c r="T2491" s="880">
        <v>46112</v>
      </c>
      <c r="U2491" s="883">
        <v>0</v>
      </c>
      <c r="V2491" s="882">
        <v>169.28</v>
      </c>
      <c r="W2491" s="260">
        <v>46082</v>
      </c>
    </row>
    <row r="2492" spans="1:23" hidden="1" x14ac:dyDescent="0.35">
      <c r="A2492" s="879" t="s">
        <v>526</v>
      </c>
      <c r="B2492" s="879" t="s">
        <v>159</v>
      </c>
      <c r="C2492" s="879" t="s">
        <v>298</v>
      </c>
      <c r="D2492" s="879" t="s">
        <v>316</v>
      </c>
      <c r="E2492" s="879" t="s">
        <v>317</v>
      </c>
      <c r="F2492" s="879" t="s">
        <v>276</v>
      </c>
      <c r="G2492" s="879" t="s">
        <v>472</v>
      </c>
      <c r="H2492" s="879" t="s">
        <v>670</v>
      </c>
      <c r="I2492" s="879" t="s">
        <v>277</v>
      </c>
      <c r="J2492" s="879" t="s">
        <v>997</v>
      </c>
      <c r="K2492" s="879" t="s">
        <v>301</v>
      </c>
      <c r="L2492" s="879" t="s">
        <v>529</v>
      </c>
      <c r="M2492" s="879" t="s">
        <v>285</v>
      </c>
      <c r="N2492" s="879" t="s">
        <v>670</v>
      </c>
      <c r="O2492" s="879" t="s">
        <v>670</v>
      </c>
      <c r="P2492" s="879" t="s">
        <v>522</v>
      </c>
      <c r="Q2492" s="879" t="s">
        <v>670</v>
      </c>
      <c r="R2492" s="880">
        <v>46113</v>
      </c>
      <c r="S2492" s="879" t="s">
        <v>670</v>
      </c>
      <c r="T2492" s="880">
        <v>46112</v>
      </c>
      <c r="U2492" s="883">
        <v>0</v>
      </c>
      <c r="V2492" s="882">
        <v>294.33</v>
      </c>
      <c r="W2492" s="260">
        <v>46082</v>
      </c>
    </row>
    <row r="2493" spans="1:23" hidden="1" x14ac:dyDescent="0.35">
      <c r="A2493" s="879" t="s">
        <v>526</v>
      </c>
      <c r="B2493" s="879" t="s">
        <v>159</v>
      </c>
      <c r="C2493" s="879" t="s">
        <v>302</v>
      </c>
      <c r="D2493" s="879" t="s">
        <v>1041</v>
      </c>
      <c r="E2493" s="879" t="s">
        <v>1042</v>
      </c>
      <c r="F2493" s="879" t="s">
        <v>276</v>
      </c>
      <c r="G2493" s="879" t="s">
        <v>472</v>
      </c>
      <c r="H2493" s="879" t="s">
        <v>670</v>
      </c>
      <c r="I2493" s="879" t="s">
        <v>277</v>
      </c>
      <c r="J2493" s="879" t="s">
        <v>997</v>
      </c>
      <c r="K2493" s="879" t="s">
        <v>303</v>
      </c>
      <c r="L2493" s="879" t="s">
        <v>529</v>
      </c>
      <c r="M2493" s="879" t="s">
        <v>285</v>
      </c>
      <c r="N2493" s="879" t="s">
        <v>670</v>
      </c>
      <c r="O2493" s="879" t="s">
        <v>670</v>
      </c>
      <c r="P2493" s="879" t="s">
        <v>522</v>
      </c>
      <c r="Q2493" s="879" t="s">
        <v>670</v>
      </c>
      <c r="R2493" s="880">
        <v>46113</v>
      </c>
      <c r="S2493" s="879" t="s">
        <v>670</v>
      </c>
      <c r="T2493" s="880">
        <v>46112</v>
      </c>
      <c r="U2493" s="883">
        <v>0</v>
      </c>
      <c r="V2493" s="882">
        <v>3.38</v>
      </c>
      <c r="W2493" s="260">
        <v>46082</v>
      </c>
    </row>
    <row r="2494" spans="1:23" hidden="1" x14ac:dyDescent="0.35">
      <c r="A2494" s="879" t="s">
        <v>526</v>
      </c>
      <c r="B2494" s="879" t="s">
        <v>159</v>
      </c>
      <c r="C2494" s="879" t="s">
        <v>298</v>
      </c>
      <c r="D2494" s="879" t="s">
        <v>318</v>
      </c>
      <c r="E2494" s="879" t="s">
        <v>319</v>
      </c>
      <c r="F2494" s="879" t="s">
        <v>276</v>
      </c>
      <c r="G2494" s="879" t="s">
        <v>472</v>
      </c>
      <c r="H2494" s="879" t="s">
        <v>670</v>
      </c>
      <c r="I2494" s="879" t="s">
        <v>277</v>
      </c>
      <c r="J2494" s="879" t="s">
        <v>997</v>
      </c>
      <c r="K2494" s="879" t="s">
        <v>301</v>
      </c>
      <c r="L2494" s="879" t="s">
        <v>529</v>
      </c>
      <c r="M2494" s="879" t="s">
        <v>285</v>
      </c>
      <c r="N2494" s="879" t="s">
        <v>670</v>
      </c>
      <c r="O2494" s="879" t="s">
        <v>670</v>
      </c>
      <c r="P2494" s="879" t="s">
        <v>522</v>
      </c>
      <c r="Q2494" s="879" t="s">
        <v>670</v>
      </c>
      <c r="R2494" s="880">
        <v>46113</v>
      </c>
      <c r="S2494" s="879" t="s">
        <v>670</v>
      </c>
      <c r="T2494" s="880">
        <v>46112</v>
      </c>
      <c r="U2494" s="883">
        <v>0</v>
      </c>
      <c r="V2494" s="882">
        <v>0.16</v>
      </c>
      <c r="W2494" s="260">
        <v>46082</v>
      </c>
    </row>
    <row r="2495" spans="1:23" hidden="1" x14ac:dyDescent="0.35">
      <c r="A2495" s="879" t="s">
        <v>526</v>
      </c>
      <c r="B2495" s="879" t="s">
        <v>159</v>
      </c>
      <c r="C2495" s="879" t="s">
        <v>298</v>
      </c>
      <c r="D2495" s="879" t="s">
        <v>318</v>
      </c>
      <c r="E2495" s="879" t="s">
        <v>319</v>
      </c>
      <c r="F2495" s="879" t="s">
        <v>276</v>
      </c>
      <c r="G2495" s="879" t="s">
        <v>472</v>
      </c>
      <c r="H2495" s="879" t="s">
        <v>670</v>
      </c>
      <c r="I2495" s="879" t="s">
        <v>277</v>
      </c>
      <c r="J2495" s="879" t="s">
        <v>997</v>
      </c>
      <c r="K2495" s="879" t="s">
        <v>301</v>
      </c>
      <c r="L2495" s="879" t="s">
        <v>529</v>
      </c>
      <c r="M2495" s="879" t="s">
        <v>285</v>
      </c>
      <c r="N2495" s="879" t="s">
        <v>670</v>
      </c>
      <c r="O2495" s="879" t="s">
        <v>670</v>
      </c>
      <c r="P2495" s="879" t="s">
        <v>522</v>
      </c>
      <c r="Q2495" s="879" t="s">
        <v>670</v>
      </c>
      <c r="R2495" s="880">
        <v>46113</v>
      </c>
      <c r="S2495" s="879" t="s">
        <v>670</v>
      </c>
      <c r="T2495" s="880">
        <v>46112</v>
      </c>
      <c r="U2495" s="883">
        <v>0</v>
      </c>
      <c r="V2495" s="882">
        <v>3.39</v>
      </c>
      <c r="W2495" s="260">
        <v>46082</v>
      </c>
    </row>
    <row r="2496" spans="1:23" hidden="1" x14ac:dyDescent="0.35">
      <c r="A2496" s="879" t="s">
        <v>526</v>
      </c>
      <c r="B2496" s="879" t="s">
        <v>159</v>
      </c>
      <c r="C2496" s="879" t="s">
        <v>298</v>
      </c>
      <c r="D2496" s="879" t="s">
        <v>391</v>
      </c>
      <c r="E2496" s="879" t="s">
        <v>392</v>
      </c>
      <c r="F2496" s="879" t="s">
        <v>276</v>
      </c>
      <c r="G2496" s="879" t="s">
        <v>472</v>
      </c>
      <c r="H2496" s="879" t="s">
        <v>670</v>
      </c>
      <c r="I2496" s="879" t="s">
        <v>277</v>
      </c>
      <c r="J2496" s="879" t="s">
        <v>997</v>
      </c>
      <c r="K2496" s="879" t="s">
        <v>301</v>
      </c>
      <c r="L2496" s="879" t="s">
        <v>529</v>
      </c>
      <c r="M2496" s="879" t="s">
        <v>285</v>
      </c>
      <c r="N2496" s="879" t="s">
        <v>670</v>
      </c>
      <c r="O2496" s="879" t="s">
        <v>670</v>
      </c>
      <c r="P2496" s="879" t="s">
        <v>522</v>
      </c>
      <c r="Q2496" s="879" t="s">
        <v>670</v>
      </c>
      <c r="R2496" s="880">
        <v>46113</v>
      </c>
      <c r="S2496" s="879" t="s">
        <v>670</v>
      </c>
      <c r="T2496" s="880">
        <v>46112</v>
      </c>
      <c r="U2496" s="883">
        <v>0</v>
      </c>
      <c r="V2496" s="882">
        <v>0.12</v>
      </c>
      <c r="W2496" s="260">
        <v>46082</v>
      </c>
    </row>
    <row r="2497" spans="1:23" hidden="1" x14ac:dyDescent="0.35">
      <c r="A2497" s="879" t="s">
        <v>526</v>
      </c>
      <c r="B2497" s="879" t="s">
        <v>159</v>
      </c>
      <c r="C2497" s="879" t="s">
        <v>298</v>
      </c>
      <c r="D2497" s="879" t="s">
        <v>320</v>
      </c>
      <c r="E2497" s="879" t="s">
        <v>321</v>
      </c>
      <c r="F2497" s="879" t="s">
        <v>276</v>
      </c>
      <c r="G2497" s="879" t="s">
        <v>472</v>
      </c>
      <c r="H2497" s="879" t="s">
        <v>670</v>
      </c>
      <c r="I2497" s="879" t="s">
        <v>277</v>
      </c>
      <c r="J2497" s="879" t="s">
        <v>997</v>
      </c>
      <c r="K2497" s="879" t="s">
        <v>301</v>
      </c>
      <c r="L2497" s="879" t="s">
        <v>529</v>
      </c>
      <c r="M2497" s="879" t="s">
        <v>285</v>
      </c>
      <c r="N2497" s="879" t="s">
        <v>670</v>
      </c>
      <c r="O2497" s="879" t="s">
        <v>670</v>
      </c>
      <c r="P2497" s="879" t="s">
        <v>522</v>
      </c>
      <c r="Q2497" s="879" t="s">
        <v>670</v>
      </c>
      <c r="R2497" s="880">
        <v>46113</v>
      </c>
      <c r="S2497" s="879" t="s">
        <v>670</v>
      </c>
      <c r="T2497" s="880">
        <v>46112</v>
      </c>
      <c r="U2497" s="883">
        <v>0</v>
      </c>
      <c r="V2497" s="882">
        <v>157.34</v>
      </c>
      <c r="W2497" s="260">
        <v>46082</v>
      </c>
    </row>
    <row r="2498" spans="1:23" hidden="1" x14ac:dyDescent="0.35">
      <c r="A2498" s="879" t="s">
        <v>526</v>
      </c>
      <c r="B2498" s="879" t="s">
        <v>159</v>
      </c>
      <c r="C2498" s="879" t="s">
        <v>298</v>
      </c>
      <c r="D2498" s="879" t="s">
        <v>322</v>
      </c>
      <c r="E2498" s="879" t="s">
        <v>323</v>
      </c>
      <c r="F2498" s="879" t="s">
        <v>276</v>
      </c>
      <c r="G2498" s="879" t="s">
        <v>472</v>
      </c>
      <c r="H2498" s="879" t="s">
        <v>670</v>
      </c>
      <c r="I2498" s="879" t="s">
        <v>277</v>
      </c>
      <c r="J2498" s="879" t="s">
        <v>997</v>
      </c>
      <c r="K2498" s="879" t="s">
        <v>301</v>
      </c>
      <c r="L2498" s="879" t="s">
        <v>529</v>
      </c>
      <c r="M2498" s="879" t="s">
        <v>285</v>
      </c>
      <c r="N2498" s="879" t="s">
        <v>670</v>
      </c>
      <c r="O2498" s="879" t="s">
        <v>670</v>
      </c>
      <c r="P2498" s="879" t="s">
        <v>522</v>
      </c>
      <c r="Q2498" s="879" t="s">
        <v>670</v>
      </c>
      <c r="R2498" s="880">
        <v>46113</v>
      </c>
      <c r="S2498" s="879" t="s">
        <v>670</v>
      </c>
      <c r="T2498" s="880">
        <v>46112</v>
      </c>
      <c r="U2498" s="883">
        <v>0</v>
      </c>
      <c r="V2498" s="882">
        <v>0.5</v>
      </c>
      <c r="W2498" s="260">
        <v>46082</v>
      </c>
    </row>
    <row r="2499" spans="1:23" hidden="1" x14ac:dyDescent="0.35">
      <c r="A2499" s="879" t="s">
        <v>526</v>
      </c>
      <c r="B2499" s="879" t="s">
        <v>159</v>
      </c>
      <c r="C2499" s="879" t="s">
        <v>298</v>
      </c>
      <c r="D2499" s="879" t="s">
        <v>322</v>
      </c>
      <c r="E2499" s="879" t="s">
        <v>323</v>
      </c>
      <c r="F2499" s="879" t="s">
        <v>276</v>
      </c>
      <c r="G2499" s="879" t="s">
        <v>472</v>
      </c>
      <c r="H2499" s="879" t="s">
        <v>670</v>
      </c>
      <c r="I2499" s="879" t="s">
        <v>277</v>
      </c>
      <c r="J2499" s="879" t="s">
        <v>997</v>
      </c>
      <c r="K2499" s="879" t="s">
        <v>301</v>
      </c>
      <c r="L2499" s="879" t="s">
        <v>529</v>
      </c>
      <c r="M2499" s="879" t="s">
        <v>285</v>
      </c>
      <c r="N2499" s="879" t="s">
        <v>670</v>
      </c>
      <c r="O2499" s="879" t="s">
        <v>670</v>
      </c>
      <c r="P2499" s="879" t="s">
        <v>522</v>
      </c>
      <c r="Q2499" s="879" t="s">
        <v>670</v>
      </c>
      <c r="R2499" s="880">
        <v>46113</v>
      </c>
      <c r="S2499" s="879" t="s">
        <v>670</v>
      </c>
      <c r="T2499" s="880">
        <v>46112</v>
      </c>
      <c r="U2499" s="883">
        <v>0</v>
      </c>
      <c r="V2499" s="882">
        <v>0.08</v>
      </c>
      <c r="W2499" s="260">
        <v>46082</v>
      </c>
    </row>
    <row r="2500" spans="1:23" hidden="1" x14ac:dyDescent="0.35">
      <c r="A2500" s="879" t="s">
        <v>526</v>
      </c>
      <c r="B2500" s="879" t="s">
        <v>159</v>
      </c>
      <c r="C2500" s="879" t="s">
        <v>298</v>
      </c>
      <c r="D2500" s="879" t="s">
        <v>324</v>
      </c>
      <c r="E2500" s="879" t="s">
        <v>325</v>
      </c>
      <c r="F2500" s="879" t="s">
        <v>276</v>
      </c>
      <c r="G2500" s="879" t="s">
        <v>472</v>
      </c>
      <c r="H2500" s="879" t="s">
        <v>670</v>
      </c>
      <c r="I2500" s="879" t="s">
        <v>277</v>
      </c>
      <c r="J2500" s="879" t="s">
        <v>997</v>
      </c>
      <c r="K2500" s="879" t="s">
        <v>301</v>
      </c>
      <c r="L2500" s="879" t="s">
        <v>529</v>
      </c>
      <c r="M2500" s="879" t="s">
        <v>285</v>
      </c>
      <c r="N2500" s="879" t="s">
        <v>670</v>
      </c>
      <c r="O2500" s="879" t="s">
        <v>670</v>
      </c>
      <c r="P2500" s="879" t="s">
        <v>522</v>
      </c>
      <c r="Q2500" s="879" t="s">
        <v>670</v>
      </c>
      <c r="R2500" s="880">
        <v>46113</v>
      </c>
      <c r="S2500" s="879" t="s">
        <v>670</v>
      </c>
      <c r="T2500" s="880">
        <v>46112</v>
      </c>
      <c r="U2500" s="883">
        <v>0</v>
      </c>
      <c r="V2500" s="882">
        <v>400.15</v>
      </c>
      <c r="W2500" s="260">
        <v>46082</v>
      </c>
    </row>
    <row r="2501" spans="1:23" hidden="1" x14ac:dyDescent="0.35">
      <c r="A2501" s="879" t="s">
        <v>526</v>
      </c>
      <c r="B2501" s="879" t="s">
        <v>159</v>
      </c>
      <c r="C2501" s="879" t="s">
        <v>298</v>
      </c>
      <c r="D2501" s="879" t="s">
        <v>326</v>
      </c>
      <c r="E2501" s="879" t="s">
        <v>327</v>
      </c>
      <c r="F2501" s="879" t="s">
        <v>276</v>
      </c>
      <c r="G2501" s="879" t="s">
        <v>472</v>
      </c>
      <c r="H2501" s="879" t="s">
        <v>670</v>
      </c>
      <c r="I2501" s="879" t="s">
        <v>277</v>
      </c>
      <c r="J2501" s="879" t="s">
        <v>997</v>
      </c>
      <c r="K2501" s="879" t="s">
        <v>301</v>
      </c>
      <c r="L2501" s="879" t="s">
        <v>529</v>
      </c>
      <c r="M2501" s="879" t="s">
        <v>285</v>
      </c>
      <c r="N2501" s="879" t="s">
        <v>670</v>
      </c>
      <c r="O2501" s="879" t="s">
        <v>670</v>
      </c>
      <c r="P2501" s="879" t="s">
        <v>522</v>
      </c>
      <c r="Q2501" s="879" t="s">
        <v>670</v>
      </c>
      <c r="R2501" s="880">
        <v>46113</v>
      </c>
      <c r="S2501" s="879" t="s">
        <v>670</v>
      </c>
      <c r="T2501" s="880">
        <v>46112</v>
      </c>
      <c r="U2501" s="883">
        <v>0</v>
      </c>
      <c r="V2501" s="882">
        <v>0.82</v>
      </c>
      <c r="W2501" s="260">
        <v>46082</v>
      </c>
    </row>
    <row r="2502" spans="1:23" hidden="1" x14ac:dyDescent="0.35">
      <c r="A2502" s="879" t="s">
        <v>526</v>
      </c>
      <c r="B2502" s="879" t="s">
        <v>159</v>
      </c>
      <c r="C2502" s="879" t="s">
        <v>298</v>
      </c>
      <c r="D2502" s="879" t="s">
        <v>326</v>
      </c>
      <c r="E2502" s="879" t="s">
        <v>327</v>
      </c>
      <c r="F2502" s="879" t="s">
        <v>276</v>
      </c>
      <c r="G2502" s="879" t="s">
        <v>472</v>
      </c>
      <c r="H2502" s="879" t="s">
        <v>670</v>
      </c>
      <c r="I2502" s="879" t="s">
        <v>277</v>
      </c>
      <c r="J2502" s="879" t="s">
        <v>997</v>
      </c>
      <c r="K2502" s="879" t="s">
        <v>301</v>
      </c>
      <c r="L2502" s="879" t="s">
        <v>529</v>
      </c>
      <c r="M2502" s="879" t="s">
        <v>285</v>
      </c>
      <c r="N2502" s="879" t="s">
        <v>670</v>
      </c>
      <c r="O2502" s="879" t="s">
        <v>670</v>
      </c>
      <c r="P2502" s="879" t="s">
        <v>522</v>
      </c>
      <c r="Q2502" s="879" t="s">
        <v>670</v>
      </c>
      <c r="R2502" s="880">
        <v>46113</v>
      </c>
      <c r="S2502" s="879" t="s">
        <v>670</v>
      </c>
      <c r="T2502" s="880">
        <v>46112</v>
      </c>
      <c r="U2502" s="883">
        <v>0</v>
      </c>
      <c r="V2502" s="882">
        <v>13.59</v>
      </c>
      <c r="W2502" s="260">
        <v>46082</v>
      </c>
    </row>
    <row r="2503" spans="1:23" hidden="1" x14ac:dyDescent="0.35">
      <c r="A2503" s="879" t="s">
        <v>526</v>
      </c>
      <c r="B2503" s="879" t="s">
        <v>159</v>
      </c>
      <c r="C2503" s="879" t="s">
        <v>298</v>
      </c>
      <c r="D2503" s="879" t="s">
        <v>393</v>
      </c>
      <c r="E2503" s="879" t="s">
        <v>394</v>
      </c>
      <c r="F2503" s="879" t="s">
        <v>276</v>
      </c>
      <c r="G2503" s="879" t="s">
        <v>472</v>
      </c>
      <c r="H2503" s="879" t="s">
        <v>670</v>
      </c>
      <c r="I2503" s="879" t="s">
        <v>277</v>
      </c>
      <c r="J2503" s="879" t="s">
        <v>997</v>
      </c>
      <c r="K2503" s="879" t="s">
        <v>301</v>
      </c>
      <c r="L2503" s="879" t="s">
        <v>529</v>
      </c>
      <c r="M2503" s="879" t="s">
        <v>285</v>
      </c>
      <c r="N2503" s="879" t="s">
        <v>670</v>
      </c>
      <c r="O2503" s="879" t="s">
        <v>670</v>
      </c>
      <c r="P2503" s="879" t="s">
        <v>522</v>
      </c>
      <c r="Q2503" s="879" t="s">
        <v>670</v>
      </c>
      <c r="R2503" s="880">
        <v>46113</v>
      </c>
      <c r="S2503" s="879" t="s">
        <v>670</v>
      </c>
      <c r="T2503" s="880">
        <v>46112</v>
      </c>
      <c r="U2503" s="883">
        <v>0</v>
      </c>
      <c r="V2503" s="882">
        <v>0.32</v>
      </c>
      <c r="W2503" s="260">
        <v>46082</v>
      </c>
    </row>
    <row r="2504" spans="1:23" hidden="1" x14ac:dyDescent="0.35">
      <c r="A2504" s="879" t="s">
        <v>526</v>
      </c>
      <c r="B2504" s="879" t="s">
        <v>159</v>
      </c>
      <c r="C2504" s="879" t="s">
        <v>298</v>
      </c>
      <c r="D2504" s="879" t="s">
        <v>328</v>
      </c>
      <c r="E2504" s="879" t="s">
        <v>329</v>
      </c>
      <c r="F2504" s="879" t="s">
        <v>276</v>
      </c>
      <c r="G2504" s="879" t="s">
        <v>472</v>
      </c>
      <c r="H2504" s="879" t="s">
        <v>670</v>
      </c>
      <c r="I2504" s="879" t="s">
        <v>277</v>
      </c>
      <c r="J2504" s="879" t="s">
        <v>997</v>
      </c>
      <c r="K2504" s="879" t="s">
        <v>301</v>
      </c>
      <c r="L2504" s="879" t="s">
        <v>529</v>
      </c>
      <c r="M2504" s="879" t="s">
        <v>285</v>
      </c>
      <c r="N2504" s="879" t="s">
        <v>670</v>
      </c>
      <c r="O2504" s="879" t="s">
        <v>670</v>
      </c>
      <c r="P2504" s="879" t="s">
        <v>522</v>
      </c>
      <c r="Q2504" s="879" t="s">
        <v>670</v>
      </c>
      <c r="R2504" s="880">
        <v>46113</v>
      </c>
      <c r="S2504" s="879" t="s">
        <v>670</v>
      </c>
      <c r="T2504" s="880">
        <v>46112</v>
      </c>
      <c r="U2504" s="883">
        <v>0</v>
      </c>
      <c r="V2504" s="882">
        <v>-1479.65</v>
      </c>
      <c r="W2504" s="260">
        <v>46082</v>
      </c>
    </row>
    <row r="2505" spans="1:23" hidden="1" x14ac:dyDescent="0.35">
      <c r="A2505" s="879" t="s">
        <v>526</v>
      </c>
      <c r="B2505" s="879" t="s">
        <v>159</v>
      </c>
      <c r="C2505" s="879" t="s">
        <v>298</v>
      </c>
      <c r="D2505" s="879" t="s">
        <v>330</v>
      </c>
      <c r="E2505" s="879" t="s">
        <v>331</v>
      </c>
      <c r="F2505" s="879" t="s">
        <v>276</v>
      </c>
      <c r="G2505" s="879" t="s">
        <v>472</v>
      </c>
      <c r="H2505" s="879" t="s">
        <v>670</v>
      </c>
      <c r="I2505" s="879" t="s">
        <v>277</v>
      </c>
      <c r="J2505" s="879" t="s">
        <v>997</v>
      </c>
      <c r="K2505" s="879" t="s">
        <v>301</v>
      </c>
      <c r="L2505" s="879" t="s">
        <v>529</v>
      </c>
      <c r="M2505" s="879" t="s">
        <v>285</v>
      </c>
      <c r="N2505" s="879" t="s">
        <v>670</v>
      </c>
      <c r="O2505" s="879" t="s">
        <v>670</v>
      </c>
      <c r="P2505" s="879" t="s">
        <v>522</v>
      </c>
      <c r="Q2505" s="879" t="s">
        <v>670</v>
      </c>
      <c r="R2505" s="880">
        <v>46113</v>
      </c>
      <c r="S2505" s="879" t="s">
        <v>670</v>
      </c>
      <c r="T2505" s="880">
        <v>46112</v>
      </c>
      <c r="U2505" s="883">
        <v>0</v>
      </c>
      <c r="V2505" s="882">
        <v>8.36</v>
      </c>
      <c r="W2505" s="260">
        <v>46082</v>
      </c>
    </row>
    <row r="2506" spans="1:23" hidden="1" x14ac:dyDescent="0.35">
      <c r="A2506" s="879" t="s">
        <v>526</v>
      </c>
      <c r="B2506" s="879" t="s">
        <v>159</v>
      </c>
      <c r="C2506" s="879" t="s">
        <v>298</v>
      </c>
      <c r="D2506" s="879" t="s">
        <v>332</v>
      </c>
      <c r="E2506" s="879" t="s">
        <v>333</v>
      </c>
      <c r="F2506" s="879" t="s">
        <v>276</v>
      </c>
      <c r="G2506" s="879" t="s">
        <v>472</v>
      </c>
      <c r="H2506" s="879" t="s">
        <v>670</v>
      </c>
      <c r="I2506" s="879" t="s">
        <v>277</v>
      </c>
      <c r="J2506" s="879" t="s">
        <v>997</v>
      </c>
      <c r="K2506" s="879" t="s">
        <v>301</v>
      </c>
      <c r="L2506" s="879" t="s">
        <v>529</v>
      </c>
      <c r="M2506" s="879" t="s">
        <v>285</v>
      </c>
      <c r="N2506" s="879" t="s">
        <v>670</v>
      </c>
      <c r="O2506" s="879" t="s">
        <v>670</v>
      </c>
      <c r="P2506" s="879" t="s">
        <v>522</v>
      </c>
      <c r="Q2506" s="879" t="s">
        <v>670</v>
      </c>
      <c r="R2506" s="880">
        <v>46113</v>
      </c>
      <c r="S2506" s="879" t="s">
        <v>670</v>
      </c>
      <c r="T2506" s="880">
        <v>46112</v>
      </c>
      <c r="U2506" s="883">
        <v>0</v>
      </c>
      <c r="V2506" s="882">
        <v>-204.35</v>
      </c>
      <c r="W2506" s="260">
        <v>46082</v>
      </c>
    </row>
    <row r="2507" spans="1:23" hidden="1" x14ac:dyDescent="0.35">
      <c r="A2507" s="879" t="s">
        <v>526</v>
      </c>
      <c r="B2507" s="879" t="s">
        <v>159</v>
      </c>
      <c r="C2507" s="879" t="s">
        <v>298</v>
      </c>
      <c r="D2507" s="879" t="s">
        <v>334</v>
      </c>
      <c r="E2507" s="879" t="s">
        <v>335</v>
      </c>
      <c r="F2507" s="879" t="s">
        <v>276</v>
      </c>
      <c r="G2507" s="879" t="s">
        <v>472</v>
      </c>
      <c r="H2507" s="879" t="s">
        <v>670</v>
      </c>
      <c r="I2507" s="879" t="s">
        <v>277</v>
      </c>
      <c r="J2507" s="879" t="s">
        <v>997</v>
      </c>
      <c r="K2507" s="879" t="s">
        <v>301</v>
      </c>
      <c r="L2507" s="879" t="s">
        <v>529</v>
      </c>
      <c r="M2507" s="879" t="s">
        <v>285</v>
      </c>
      <c r="N2507" s="879" t="s">
        <v>670</v>
      </c>
      <c r="O2507" s="879" t="s">
        <v>670</v>
      </c>
      <c r="P2507" s="879" t="s">
        <v>522</v>
      </c>
      <c r="Q2507" s="879" t="s">
        <v>670</v>
      </c>
      <c r="R2507" s="880">
        <v>46113</v>
      </c>
      <c r="S2507" s="879" t="s">
        <v>670</v>
      </c>
      <c r="T2507" s="880">
        <v>46112</v>
      </c>
      <c r="U2507" s="883">
        <v>0</v>
      </c>
      <c r="V2507" s="882">
        <v>-10.95</v>
      </c>
      <c r="W2507" s="260">
        <v>46082</v>
      </c>
    </row>
    <row r="2508" spans="1:23" hidden="1" x14ac:dyDescent="0.35">
      <c r="A2508" s="879" t="s">
        <v>526</v>
      </c>
      <c r="B2508" s="879" t="s">
        <v>159</v>
      </c>
      <c r="C2508" s="879" t="s">
        <v>298</v>
      </c>
      <c r="D2508" s="879" t="s">
        <v>336</v>
      </c>
      <c r="E2508" s="879" t="s">
        <v>337</v>
      </c>
      <c r="F2508" s="879" t="s">
        <v>276</v>
      </c>
      <c r="G2508" s="879" t="s">
        <v>472</v>
      </c>
      <c r="H2508" s="879" t="s">
        <v>670</v>
      </c>
      <c r="I2508" s="879" t="s">
        <v>277</v>
      </c>
      <c r="J2508" s="879" t="s">
        <v>997</v>
      </c>
      <c r="K2508" s="879" t="s">
        <v>301</v>
      </c>
      <c r="L2508" s="879" t="s">
        <v>529</v>
      </c>
      <c r="M2508" s="879" t="s">
        <v>285</v>
      </c>
      <c r="N2508" s="879" t="s">
        <v>670</v>
      </c>
      <c r="O2508" s="879" t="s">
        <v>670</v>
      </c>
      <c r="P2508" s="879" t="s">
        <v>522</v>
      </c>
      <c r="Q2508" s="879" t="s">
        <v>670</v>
      </c>
      <c r="R2508" s="880">
        <v>46113</v>
      </c>
      <c r="S2508" s="879" t="s">
        <v>670</v>
      </c>
      <c r="T2508" s="880">
        <v>46112</v>
      </c>
      <c r="U2508" s="883">
        <v>0</v>
      </c>
      <c r="V2508" s="882">
        <v>2.62</v>
      </c>
      <c r="W2508" s="260">
        <v>46082</v>
      </c>
    </row>
    <row r="2509" spans="1:23" hidden="1" x14ac:dyDescent="0.35">
      <c r="A2509" s="879" t="s">
        <v>526</v>
      </c>
      <c r="B2509" s="879" t="s">
        <v>159</v>
      </c>
      <c r="C2509" s="879" t="s">
        <v>298</v>
      </c>
      <c r="D2509" s="879" t="s">
        <v>1043</v>
      </c>
      <c r="E2509" s="879" t="s">
        <v>1044</v>
      </c>
      <c r="F2509" s="879" t="s">
        <v>276</v>
      </c>
      <c r="G2509" s="879" t="s">
        <v>472</v>
      </c>
      <c r="H2509" s="879" t="s">
        <v>670</v>
      </c>
      <c r="I2509" s="879" t="s">
        <v>277</v>
      </c>
      <c r="J2509" s="879" t="s">
        <v>997</v>
      </c>
      <c r="K2509" s="879" t="s">
        <v>301</v>
      </c>
      <c r="L2509" s="879" t="s">
        <v>529</v>
      </c>
      <c r="M2509" s="879" t="s">
        <v>285</v>
      </c>
      <c r="N2509" s="879" t="s">
        <v>670</v>
      </c>
      <c r="O2509" s="879" t="s">
        <v>670</v>
      </c>
      <c r="P2509" s="879" t="s">
        <v>522</v>
      </c>
      <c r="Q2509" s="879" t="s">
        <v>670</v>
      </c>
      <c r="R2509" s="880">
        <v>46113</v>
      </c>
      <c r="S2509" s="879" t="s">
        <v>670</v>
      </c>
      <c r="T2509" s="880">
        <v>46112</v>
      </c>
      <c r="U2509" s="883">
        <v>0</v>
      </c>
      <c r="V2509" s="882">
        <v>-0.01</v>
      </c>
      <c r="W2509" s="260">
        <v>46082</v>
      </c>
    </row>
    <row r="2510" spans="1:23" hidden="1" x14ac:dyDescent="0.35">
      <c r="A2510" s="879" t="s">
        <v>526</v>
      </c>
      <c r="B2510" s="879" t="s">
        <v>159</v>
      </c>
      <c r="C2510" s="879" t="s">
        <v>298</v>
      </c>
      <c r="D2510" s="879" t="s">
        <v>397</v>
      </c>
      <c r="E2510" s="879" t="s">
        <v>398</v>
      </c>
      <c r="F2510" s="879" t="s">
        <v>276</v>
      </c>
      <c r="G2510" s="879" t="s">
        <v>472</v>
      </c>
      <c r="H2510" s="879" t="s">
        <v>670</v>
      </c>
      <c r="I2510" s="879" t="s">
        <v>277</v>
      </c>
      <c r="J2510" s="879" t="s">
        <v>997</v>
      </c>
      <c r="K2510" s="879" t="s">
        <v>301</v>
      </c>
      <c r="L2510" s="879" t="s">
        <v>529</v>
      </c>
      <c r="M2510" s="879" t="s">
        <v>285</v>
      </c>
      <c r="N2510" s="879" t="s">
        <v>670</v>
      </c>
      <c r="O2510" s="879" t="s">
        <v>670</v>
      </c>
      <c r="P2510" s="879" t="s">
        <v>522</v>
      </c>
      <c r="Q2510" s="879" t="s">
        <v>670</v>
      </c>
      <c r="R2510" s="880">
        <v>46113</v>
      </c>
      <c r="S2510" s="879" t="s">
        <v>670</v>
      </c>
      <c r="T2510" s="880">
        <v>46112</v>
      </c>
      <c r="U2510" s="883">
        <v>0</v>
      </c>
      <c r="V2510" s="882">
        <v>-1.44</v>
      </c>
      <c r="W2510" s="260">
        <v>46082</v>
      </c>
    </row>
    <row r="2511" spans="1:23" hidden="1" x14ac:dyDescent="0.35">
      <c r="A2511" s="879" t="s">
        <v>526</v>
      </c>
      <c r="B2511" s="879" t="s">
        <v>159</v>
      </c>
      <c r="C2511" s="879" t="s">
        <v>298</v>
      </c>
      <c r="D2511" s="879" t="s">
        <v>338</v>
      </c>
      <c r="E2511" s="879" t="s">
        <v>339</v>
      </c>
      <c r="F2511" s="879" t="s">
        <v>276</v>
      </c>
      <c r="G2511" s="879" t="s">
        <v>472</v>
      </c>
      <c r="H2511" s="879" t="s">
        <v>670</v>
      </c>
      <c r="I2511" s="879" t="s">
        <v>277</v>
      </c>
      <c r="J2511" s="879" t="s">
        <v>997</v>
      </c>
      <c r="K2511" s="879" t="s">
        <v>301</v>
      </c>
      <c r="L2511" s="879" t="s">
        <v>529</v>
      </c>
      <c r="M2511" s="879" t="s">
        <v>285</v>
      </c>
      <c r="N2511" s="879" t="s">
        <v>670</v>
      </c>
      <c r="O2511" s="879" t="s">
        <v>670</v>
      </c>
      <c r="P2511" s="879" t="s">
        <v>522</v>
      </c>
      <c r="Q2511" s="879" t="s">
        <v>670</v>
      </c>
      <c r="R2511" s="880">
        <v>46113</v>
      </c>
      <c r="S2511" s="879" t="s">
        <v>670</v>
      </c>
      <c r="T2511" s="880">
        <v>46112</v>
      </c>
      <c r="U2511" s="883">
        <v>0</v>
      </c>
      <c r="V2511" s="882">
        <v>-0.14000000000000001</v>
      </c>
      <c r="W2511" s="260">
        <v>46082</v>
      </c>
    </row>
    <row r="2512" spans="1:23" hidden="1" x14ac:dyDescent="0.35">
      <c r="A2512" s="879" t="s">
        <v>526</v>
      </c>
      <c r="B2512" s="879" t="s">
        <v>159</v>
      </c>
      <c r="C2512" s="879" t="s">
        <v>281</v>
      </c>
      <c r="D2512" s="879" t="s">
        <v>340</v>
      </c>
      <c r="E2512" s="879" t="s">
        <v>283</v>
      </c>
      <c r="F2512" s="879" t="s">
        <v>276</v>
      </c>
      <c r="G2512" s="879" t="s">
        <v>472</v>
      </c>
      <c r="H2512" s="879" t="s">
        <v>670</v>
      </c>
      <c r="I2512" s="879" t="s">
        <v>277</v>
      </c>
      <c r="J2512" s="879" t="s">
        <v>997</v>
      </c>
      <c r="K2512" s="879" t="s">
        <v>284</v>
      </c>
      <c r="L2512" s="879" t="s">
        <v>529</v>
      </c>
      <c r="M2512" s="879" t="s">
        <v>285</v>
      </c>
      <c r="N2512" s="879" t="s">
        <v>670</v>
      </c>
      <c r="O2512" s="879" t="s">
        <v>670</v>
      </c>
      <c r="P2512" s="879" t="s">
        <v>522</v>
      </c>
      <c r="Q2512" s="879" t="s">
        <v>670</v>
      </c>
      <c r="R2512" s="880">
        <v>46113</v>
      </c>
      <c r="S2512" s="879" t="s">
        <v>670</v>
      </c>
      <c r="T2512" s="880">
        <v>46112</v>
      </c>
      <c r="U2512" s="883">
        <v>0</v>
      </c>
      <c r="V2512" s="882">
        <v>-5.08</v>
      </c>
      <c r="W2512" s="260">
        <v>46082</v>
      </c>
    </row>
    <row r="2513" spans="1:23" hidden="1" x14ac:dyDescent="0.35">
      <c r="A2513" s="879" t="s">
        <v>526</v>
      </c>
      <c r="B2513" s="879" t="s">
        <v>159</v>
      </c>
      <c r="C2513" s="879" t="s">
        <v>298</v>
      </c>
      <c r="D2513" s="879" t="s">
        <v>340</v>
      </c>
      <c r="E2513" s="879" t="s">
        <v>283</v>
      </c>
      <c r="F2513" s="879" t="s">
        <v>276</v>
      </c>
      <c r="G2513" s="879" t="s">
        <v>472</v>
      </c>
      <c r="H2513" s="879" t="s">
        <v>670</v>
      </c>
      <c r="I2513" s="879" t="s">
        <v>277</v>
      </c>
      <c r="J2513" s="879" t="s">
        <v>997</v>
      </c>
      <c r="K2513" s="879" t="s">
        <v>301</v>
      </c>
      <c r="L2513" s="879" t="s">
        <v>529</v>
      </c>
      <c r="M2513" s="879" t="s">
        <v>285</v>
      </c>
      <c r="N2513" s="879" t="s">
        <v>670</v>
      </c>
      <c r="O2513" s="879" t="s">
        <v>670</v>
      </c>
      <c r="P2513" s="879" t="s">
        <v>522</v>
      </c>
      <c r="Q2513" s="879" t="s">
        <v>670</v>
      </c>
      <c r="R2513" s="880">
        <v>46113</v>
      </c>
      <c r="S2513" s="879" t="s">
        <v>670</v>
      </c>
      <c r="T2513" s="880">
        <v>46112</v>
      </c>
      <c r="U2513" s="883">
        <v>0</v>
      </c>
      <c r="V2513" s="882">
        <v>15.67</v>
      </c>
      <c r="W2513" s="260">
        <v>46082</v>
      </c>
    </row>
    <row r="2514" spans="1:23" hidden="1" x14ac:dyDescent="0.35">
      <c r="A2514" s="879" t="s">
        <v>526</v>
      </c>
      <c r="B2514" s="879" t="s">
        <v>159</v>
      </c>
      <c r="C2514" s="879" t="s">
        <v>298</v>
      </c>
      <c r="D2514" s="879" t="s">
        <v>340</v>
      </c>
      <c r="E2514" s="879" t="s">
        <v>283</v>
      </c>
      <c r="F2514" s="879" t="s">
        <v>276</v>
      </c>
      <c r="G2514" s="879" t="s">
        <v>472</v>
      </c>
      <c r="H2514" s="879" t="s">
        <v>670</v>
      </c>
      <c r="I2514" s="879" t="s">
        <v>277</v>
      </c>
      <c r="J2514" s="879" t="s">
        <v>997</v>
      </c>
      <c r="K2514" s="879" t="s">
        <v>301</v>
      </c>
      <c r="L2514" s="879" t="s">
        <v>529</v>
      </c>
      <c r="M2514" s="879" t="s">
        <v>285</v>
      </c>
      <c r="N2514" s="879" t="s">
        <v>670</v>
      </c>
      <c r="O2514" s="879" t="s">
        <v>670</v>
      </c>
      <c r="P2514" s="879" t="s">
        <v>522</v>
      </c>
      <c r="Q2514" s="879" t="s">
        <v>670</v>
      </c>
      <c r="R2514" s="880">
        <v>46113</v>
      </c>
      <c r="S2514" s="879" t="s">
        <v>670</v>
      </c>
      <c r="T2514" s="880">
        <v>46112</v>
      </c>
      <c r="U2514" s="883">
        <v>0</v>
      </c>
      <c r="V2514" s="882">
        <v>-0.18</v>
      </c>
      <c r="W2514" s="260">
        <v>46082</v>
      </c>
    </row>
    <row r="2515" spans="1:23" hidden="1" x14ac:dyDescent="0.35">
      <c r="A2515" s="879" t="s">
        <v>526</v>
      </c>
      <c r="B2515" s="879" t="s">
        <v>159</v>
      </c>
      <c r="C2515" s="879" t="s">
        <v>302</v>
      </c>
      <c r="D2515" s="879" t="s">
        <v>340</v>
      </c>
      <c r="E2515" s="879" t="s">
        <v>283</v>
      </c>
      <c r="F2515" s="879" t="s">
        <v>276</v>
      </c>
      <c r="G2515" s="879" t="s">
        <v>472</v>
      </c>
      <c r="H2515" s="879" t="s">
        <v>670</v>
      </c>
      <c r="I2515" s="879" t="s">
        <v>277</v>
      </c>
      <c r="J2515" s="879" t="s">
        <v>997</v>
      </c>
      <c r="K2515" s="879" t="s">
        <v>303</v>
      </c>
      <c r="L2515" s="879" t="s">
        <v>529</v>
      </c>
      <c r="M2515" s="879" t="s">
        <v>285</v>
      </c>
      <c r="N2515" s="879" t="s">
        <v>670</v>
      </c>
      <c r="O2515" s="879" t="s">
        <v>670</v>
      </c>
      <c r="P2515" s="879" t="s">
        <v>522</v>
      </c>
      <c r="Q2515" s="879" t="s">
        <v>670</v>
      </c>
      <c r="R2515" s="880">
        <v>46113</v>
      </c>
      <c r="S2515" s="879" t="s">
        <v>670</v>
      </c>
      <c r="T2515" s="880">
        <v>46112</v>
      </c>
      <c r="U2515" s="883">
        <v>0</v>
      </c>
      <c r="V2515" s="882">
        <v>106.49</v>
      </c>
      <c r="W2515" s="260">
        <v>46082</v>
      </c>
    </row>
    <row r="2516" spans="1:23" hidden="1" x14ac:dyDescent="0.35">
      <c r="A2516" s="879" t="s">
        <v>526</v>
      </c>
      <c r="B2516" s="879" t="s">
        <v>159</v>
      </c>
      <c r="C2516" s="879" t="s">
        <v>302</v>
      </c>
      <c r="D2516" s="879" t="s">
        <v>340</v>
      </c>
      <c r="E2516" s="879" t="s">
        <v>283</v>
      </c>
      <c r="F2516" s="879" t="s">
        <v>276</v>
      </c>
      <c r="G2516" s="879" t="s">
        <v>472</v>
      </c>
      <c r="H2516" s="879" t="s">
        <v>670</v>
      </c>
      <c r="I2516" s="879" t="s">
        <v>277</v>
      </c>
      <c r="J2516" s="879" t="s">
        <v>997</v>
      </c>
      <c r="K2516" s="879" t="s">
        <v>303</v>
      </c>
      <c r="L2516" s="879" t="s">
        <v>529</v>
      </c>
      <c r="M2516" s="879" t="s">
        <v>285</v>
      </c>
      <c r="N2516" s="879" t="s">
        <v>670</v>
      </c>
      <c r="O2516" s="879" t="s">
        <v>670</v>
      </c>
      <c r="P2516" s="879" t="s">
        <v>522</v>
      </c>
      <c r="Q2516" s="879" t="s">
        <v>670</v>
      </c>
      <c r="R2516" s="880">
        <v>46113</v>
      </c>
      <c r="S2516" s="879" t="s">
        <v>670</v>
      </c>
      <c r="T2516" s="880">
        <v>46112</v>
      </c>
      <c r="U2516" s="883">
        <v>0</v>
      </c>
      <c r="V2516" s="882">
        <v>-1.21</v>
      </c>
      <c r="W2516" s="260">
        <v>46082</v>
      </c>
    </row>
    <row r="2517" spans="1:23" hidden="1" x14ac:dyDescent="0.35">
      <c r="A2517" s="879" t="s">
        <v>526</v>
      </c>
      <c r="B2517" s="879" t="s">
        <v>159</v>
      </c>
      <c r="C2517" s="879" t="s">
        <v>286</v>
      </c>
      <c r="D2517" s="879" t="s">
        <v>341</v>
      </c>
      <c r="E2517" s="879" t="s">
        <v>288</v>
      </c>
      <c r="F2517" s="879" t="s">
        <v>276</v>
      </c>
      <c r="G2517" s="879" t="s">
        <v>472</v>
      </c>
      <c r="H2517" s="879" t="s">
        <v>670</v>
      </c>
      <c r="I2517" s="879" t="s">
        <v>277</v>
      </c>
      <c r="J2517" s="879" t="s">
        <v>997</v>
      </c>
      <c r="K2517" s="879" t="s">
        <v>289</v>
      </c>
      <c r="L2517" s="879" t="s">
        <v>529</v>
      </c>
      <c r="M2517" s="879" t="s">
        <v>285</v>
      </c>
      <c r="N2517" s="879" t="s">
        <v>670</v>
      </c>
      <c r="O2517" s="879" t="s">
        <v>670</v>
      </c>
      <c r="P2517" s="879" t="s">
        <v>522</v>
      </c>
      <c r="Q2517" s="879" t="s">
        <v>670</v>
      </c>
      <c r="R2517" s="880">
        <v>46113</v>
      </c>
      <c r="S2517" s="879" t="s">
        <v>670</v>
      </c>
      <c r="T2517" s="880">
        <v>46112</v>
      </c>
      <c r="U2517" s="883">
        <v>0</v>
      </c>
      <c r="V2517" s="882">
        <v>-90.9</v>
      </c>
      <c r="W2517" s="260">
        <v>46082</v>
      </c>
    </row>
    <row r="2518" spans="1:23" hidden="1" x14ac:dyDescent="0.35">
      <c r="A2518" s="879" t="s">
        <v>526</v>
      </c>
      <c r="B2518" s="879" t="s">
        <v>159</v>
      </c>
      <c r="C2518" s="879" t="s">
        <v>298</v>
      </c>
      <c r="D2518" s="879" t="s">
        <v>341</v>
      </c>
      <c r="E2518" s="879" t="s">
        <v>288</v>
      </c>
      <c r="F2518" s="879" t="s">
        <v>276</v>
      </c>
      <c r="G2518" s="879" t="s">
        <v>472</v>
      </c>
      <c r="H2518" s="879" t="s">
        <v>670</v>
      </c>
      <c r="I2518" s="879" t="s">
        <v>277</v>
      </c>
      <c r="J2518" s="879" t="s">
        <v>997</v>
      </c>
      <c r="K2518" s="879" t="s">
        <v>301</v>
      </c>
      <c r="L2518" s="879" t="s">
        <v>529</v>
      </c>
      <c r="M2518" s="879" t="s">
        <v>285</v>
      </c>
      <c r="N2518" s="879" t="s">
        <v>670</v>
      </c>
      <c r="O2518" s="879" t="s">
        <v>670</v>
      </c>
      <c r="P2518" s="879" t="s">
        <v>522</v>
      </c>
      <c r="Q2518" s="879" t="s">
        <v>670</v>
      </c>
      <c r="R2518" s="880">
        <v>46113</v>
      </c>
      <c r="S2518" s="879" t="s">
        <v>670</v>
      </c>
      <c r="T2518" s="880">
        <v>46112</v>
      </c>
      <c r="U2518" s="883">
        <v>0</v>
      </c>
      <c r="V2518" s="882">
        <v>43.83</v>
      </c>
      <c r="W2518" s="260">
        <v>46082</v>
      </c>
    </row>
    <row r="2519" spans="1:23" hidden="1" x14ac:dyDescent="0.35">
      <c r="A2519" s="879" t="s">
        <v>526</v>
      </c>
      <c r="B2519" s="879" t="s">
        <v>159</v>
      </c>
      <c r="C2519" s="879" t="s">
        <v>298</v>
      </c>
      <c r="D2519" s="879" t="s">
        <v>341</v>
      </c>
      <c r="E2519" s="879" t="s">
        <v>288</v>
      </c>
      <c r="F2519" s="879" t="s">
        <v>276</v>
      </c>
      <c r="G2519" s="879" t="s">
        <v>472</v>
      </c>
      <c r="H2519" s="879" t="s">
        <v>670</v>
      </c>
      <c r="I2519" s="879" t="s">
        <v>277</v>
      </c>
      <c r="J2519" s="879" t="s">
        <v>997</v>
      </c>
      <c r="K2519" s="879" t="s">
        <v>301</v>
      </c>
      <c r="L2519" s="879" t="s">
        <v>529</v>
      </c>
      <c r="M2519" s="879" t="s">
        <v>285</v>
      </c>
      <c r="N2519" s="879" t="s">
        <v>670</v>
      </c>
      <c r="O2519" s="879" t="s">
        <v>670</v>
      </c>
      <c r="P2519" s="879" t="s">
        <v>522</v>
      </c>
      <c r="Q2519" s="879" t="s">
        <v>670</v>
      </c>
      <c r="R2519" s="880">
        <v>46113</v>
      </c>
      <c r="S2519" s="879" t="s">
        <v>670</v>
      </c>
      <c r="T2519" s="880">
        <v>46112</v>
      </c>
      <c r="U2519" s="883">
        <v>0</v>
      </c>
      <c r="V2519" s="882">
        <v>-3.19</v>
      </c>
      <c r="W2519" s="260">
        <v>46082</v>
      </c>
    </row>
    <row r="2520" spans="1:23" hidden="1" x14ac:dyDescent="0.35">
      <c r="A2520" s="879" t="s">
        <v>526</v>
      </c>
      <c r="B2520" s="879" t="s">
        <v>159</v>
      </c>
      <c r="C2520" s="879" t="s">
        <v>302</v>
      </c>
      <c r="D2520" s="879" t="s">
        <v>341</v>
      </c>
      <c r="E2520" s="879" t="s">
        <v>288</v>
      </c>
      <c r="F2520" s="879" t="s">
        <v>276</v>
      </c>
      <c r="G2520" s="879" t="s">
        <v>472</v>
      </c>
      <c r="H2520" s="879" t="s">
        <v>670</v>
      </c>
      <c r="I2520" s="879" t="s">
        <v>277</v>
      </c>
      <c r="J2520" s="879" t="s">
        <v>997</v>
      </c>
      <c r="K2520" s="879" t="s">
        <v>303</v>
      </c>
      <c r="L2520" s="879" t="s">
        <v>529</v>
      </c>
      <c r="M2520" s="879" t="s">
        <v>285</v>
      </c>
      <c r="N2520" s="879" t="s">
        <v>670</v>
      </c>
      <c r="O2520" s="879" t="s">
        <v>670</v>
      </c>
      <c r="P2520" s="879" t="s">
        <v>522</v>
      </c>
      <c r="Q2520" s="879" t="s">
        <v>670</v>
      </c>
      <c r="R2520" s="880">
        <v>46113</v>
      </c>
      <c r="S2520" s="879" t="s">
        <v>670</v>
      </c>
      <c r="T2520" s="880">
        <v>46112</v>
      </c>
      <c r="U2520" s="883">
        <v>0</v>
      </c>
      <c r="V2520" s="882">
        <v>297.14999999999998</v>
      </c>
      <c r="W2520" s="260">
        <v>46082</v>
      </c>
    </row>
    <row r="2521" spans="1:23" hidden="1" x14ac:dyDescent="0.35">
      <c r="A2521" s="879" t="s">
        <v>526</v>
      </c>
      <c r="B2521" s="879" t="s">
        <v>159</v>
      </c>
      <c r="C2521" s="879" t="s">
        <v>302</v>
      </c>
      <c r="D2521" s="879" t="s">
        <v>341</v>
      </c>
      <c r="E2521" s="879" t="s">
        <v>288</v>
      </c>
      <c r="F2521" s="879" t="s">
        <v>276</v>
      </c>
      <c r="G2521" s="879" t="s">
        <v>472</v>
      </c>
      <c r="H2521" s="879" t="s">
        <v>670</v>
      </c>
      <c r="I2521" s="879" t="s">
        <v>277</v>
      </c>
      <c r="J2521" s="879" t="s">
        <v>997</v>
      </c>
      <c r="K2521" s="879" t="s">
        <v>303</v>
      </c>
      <c r="L2521" s="879" t="s">
        <v>529</v>
      </c>
      <c r="M2521" s="879" t="s">
        <v>285</v>
      </c>
      <c r="N2521" s="879" t="s">
        <v>670</v>
      </c>
      <c r="O2521" s="879" t="s">
        <v>670</v>
      </c>
      <c r="P2521" s="879" t="s">
        <v>522</v>
      </c>
      <c r="Q2521" s="879" t="s">
        <v>670</v>
      </c>
      <c r="R2521" s="880">
        <v>46113</v>
      </c>
      <c r="S2521" s="879" t="s">
        <v>670</v>
      </c>
      <c r="T2521" s="880">
        <v>46112</v>
      </c>
      <c r="U2521" s="883">
        <v>0</v>
      </c>
      <c r="V2521" s="882">
        <v>-21.6</v>
      </c>
      <c r="W2521" s="260">
        <v>46082</v>
      </c>
    </row>
    <row r="2522" spans="1:23" hidden="1" x14ac:dyDescent="0.35">
      <c r="A2522" s="879" t="s">
        <v>526</v>
      </c>
      <c r="B2522" s="879" t="s">
        <v>159</v>
      </c>
      <c r="C2522" s="879" t="s">
        <v>281</v>
      </c>
      <c r="D2522" s="879" t="s">
        <v>342</v>
      </c>
      <c r="E2522" s="879" t="s">
        <v>291</v>
      </c>
      <c r="F2522" s="879" t="s">
        <v>276</v>
      </c>
      <c r="G2522" s="879" t="s">
        <v>472</v>
      </c>
      <c r="H2522" s="879" t="s">
        <v>670</v>
      </c>
      <c r="I2522" s="879" t="s">
        <v>277</v>
      </c>
      <c r="J2522" s="879" t="s">
        <v>997</v>
      </c>
      <c r="K2522" s="879" t="s">
        <v>284</v>
      </c>
      <c r="L2522" s="879" t="s">
        <v>529</v>
      </c>
      <c r="M2522" s="879" t="s">
        <v>285</v>
      </c>
      <c r="N2522" s="879" t="s">
        <v>670</v>
      </c>
      <c r="O2522" s="879" t="s">
        <v>670</v>
      </c>
      <c r="P2522" s="879" t="s">
        <v>522</v>
      </c>
      <c r="Q2522" s="879" t="s">
        <v>670</v>
      </c>
      <c r="R2522" s="880">
        <v>46113</v>
      </c>
      <c r="S2522" s="879" t="s">
        <v>670</v>
      </c>
      <c r="T2522" s="880">
        <v>46112</v>
      </c>
      <c r="U2522" s="883">
        <v>0</v>
      </c>
      <c r="V2522" s="882">
        <v>235.39</v>
      </c>
      <c r="W2522" s="260">
        <v>46082</v>
      </c>
    </row>
    <row r="2523" spans="1:23" hidden="1" x14ac:dyDescent="0.35">
      <c r="A2523" s="879" t="s">
        <v>526</v>
      </c>
      <c r="B2523" s="879" t="s">
        <v>159</v>
      </c>
      <c r="C2523" s="879" t="s">
        <v>298</v>
      </c>
      <c r="D2523" s="879" t="s">
        <v>342</v>
      </c>
      <c r="E2523" s="879" t="s">
        <v>291</v>
      </c>
      <c r="F2523" s="879" t="s">
        <v>276</v>
      </c>
      <c r="G2523" s="879" t="s">
        <v>472</v>
      </c>
      <c r="H2523" s="879" t="s">
        <v>670</v>
      </c>
      <c r="I2523" s="879" t="s">
        <v>277</v>
      </c>
      <c r="J2523" s="879" t="s">
        <v>997</v>
      </c>
      <c r="K2523" s="879" t="s">
        <v>301</v>
      </c>
      <c r="L2523" s="879" t="s">
        <v>529</v>
      </c>
      <c r="M2523" s="879" t="s">
        <v>285</v>
      </c>
      <c r="N2523" s="879" t="s">
        <v>670</v>
      </c>
      <c r="O2523" s="879" t="s">
        <v>670</v>
      </c>
      <c r="P2523" s="879" t="s">
        <v>522</v>
      </c>
      <c r="Q2523" s="879" t="s">
        <v>670</v>
      </c>
      <c r="R2523" s="880">
        <v>46113</v>
      </c>
      <c r="S2523" s="879" t="s">
        <v>670</v>
      </c>
      <c r="T2523" s="880">
        <v>46112</v>
      </c>
      <c r="U2523" s="883">
        <v>0</v>
      </c>
      <c r="V2523" s="882">
        <v>9.73</v>
      </c>
      <c r="W2523" s="260">
        <v>46082</v>
      </c>
    </row>
    <row r="2524" spans="1:23" hidden="1" x14ac:dyDescent="0.35">
      <c r="A2524" s="879" t="s">
        <v>526</v>
      </c>
      <c r="B2524" s="879" t="s">
        <v>159</v>
      </c>
      <c r="C2524" s="879" t="s">
        <v>298</v>
      </c>
      <c r="D2524" s="879" t="s">
        <v>342</v>
      </c>
      <c r="E2524" s="879" t="s">
        <v>291</v>
      </c>
      <c r="F2524" s="879" t="s">
        <v>276</v>
      </c>
      <c r="G2524" s="879" t="s">
        <v>472</v>
      </c>
      <c r="H2524" s="879" t="s">
        <v>670</v>
      </c>
      <c r="I2524" s="879" t="s">
        <v>277</v>
      </c>
      <c r="J2524" s="879" t="s">
        <v>997</v>
      </c>
      <c r="K2524" s="879" t="s">
        <v>301</v>
      </c>
      <c r="L2524" s="879" t="s">
        <v>529</v>
      </c>
      <c r="M2524" s="879" t="s">
        <v>285</v>
      </c>
      <c r="N2524" s="879" t="s">
        <v>670</v>
      </c>
      <c r="O2524" s="879" t="s">
        <v>670</v>
      </c>
      <c r="P2524" s="879" t="s">
        <v>522</v>
      </c>
      <c r="Q2524" s="879" t="s">
        <v>670</v>
      </c>
      <c r="R2524" s="880">
        <v>46113</v>
      </c>
      <c r="S2524" s="879" t="s">
        <v>670</v>
      </c>
      <c r="T2524" s="880">
        <v>46112</v>
      </c>
      <c r="U2524" s="883">
        <v>0</v>
      </c>
      <c r="V2524" s="882">
        <v>8.25</v>
      </c>
      <c r="W2524" s="260">
        <v>46082</v>
      </c>
    </row>
    <row r="2525" spans="1:23" hidden="1" x14ac:dyDescent="0.35">
      <c r="A2525" s="879" t="s">
        <v>526</v>
      </c>
      <c r="B2525" s="879" t="s">
        <v>159</v>
      </c>
      <c r="C2525" s="879" t="s">
        <v>302</v>
      </c>
      <c r="D2525" s="879" t="s">
        <v>342</v>
      </c>
      <c r="E2525" s="879" t="s">
        <v>291</v>
      </c>
      <c r="F2525" s="879" t="s">
        <v>276</v>
      </c>
      <c r="G2525" s="879" t="s">
        <v>472</v>
      </c>
      <c r="H2525" s="879" t="s">
        <v>670</v>
      </c>
      <c r="I2525" s="879" t="s">
        <v>277</v>
      </c>
      <c r="J2525" s="879" t="s">
        <v>997</v>
      </c>
      <c r="K2525" s="879" t="s">
        <v>303</v>
      </c>
      <c r="L2525" s="879" t="s">
        <v>529</v>
      </c>
      <c r="M2525" s="879" t="s">
        <v>285</v>
      </c>
      <c r="N2525" s="879" t="s">
        <v>670</v>
      </c>
      <c r="O2525" s="879" t="s">
        <v>670</v>
      </c>
      <c r="P2525" s="879" t="s">
        <v>522</v>
      </c>
      <c r="Q2525" s="879" t="s">
        <v>670</v>
      </c>
      <c r="R2525" s="880">
        <v>46113</v>
      </c>
      <c r="S2525" s="879" t="s">
        <v>670</v>
      </c>
      <c r="T2525" s="880">
        <v>46112</v>
      </c>
      <c r="U2525" s="883">
        <v>0</v>
      </c>
      <c r="V2525" s="882">
        <v>66.11</v>
      </c>
      <c r="W2525" s="260">
        <v>46082</v>
      </c>
    </row>
    <row r="2526" spans="1:23" hidden="1" x14ac:dyDescent="0.35">
      <c r="A2526" s="879" t="s">
        <v>526</v>
      </c>
      <c r="B2526" s="879" t="s">
        <v>159</v>
      </c>
      <c r="C2526" s="879" t="s">
        <v>302</v>
      </c>
      <c r="D2526" s="879" t="s">
        <v>342</v>
      </c>
      <c r="E2526" s="879" t="s">
        <v>291</v>
      </c>
      <c r="F2526" s="879" t="s">
        <v>276</v>
      </c>
      <c r="G2526" s="879" t="s">
        <v>472</v>
      </c>
      <c r="H2526" s="879" t="s">
        <v>670</v>
      </c>
      <c r="I2526" s="879" t="s">
        <v>277</v>
      </c>
      <c r="J2526" s="879" t="s">
        <v>997</v>
      </c>
      <c r="K2526" s="879" t="s">
        <v>303</v>
      </c>
      <c r="L2526" s="879" t="s">
        <v>529</v>
      </c>
      <c r="M2526" s="879" t="s">
        <v>285</v>
      </c>
      <c r="N2526" s="879" t="s">
        <v>670</v>
      </c>
      <c r="O2526" s="879" t="s">
        <v>670</v>
      </c>
      <c r="P2526" s="879" t="s">
        <v>522</v>
      </c>
      <c r="Q2526" s="879" t="s">
        <v>670</v>
      </c>
      <c r="R2526" s="880">
        <v>46113</v>
      </c>
      <c r="S2526" s="879" t="s">
        <v>670</v>
      </c>
      <c r="T2526" s="880">
        <v>46112</v>
      </c>
      <c r="U2526" s="883">
        <v>0</v>
      </c>
      <c r="V2526" s="882">
        <v>56.08</v>
      </c>
      <c r="W2526" s="260">
        <v>46082</v>
      </c>
    </row>
    <row r="2527" spans="1:23" hidden="1" x14ac:dyDescent="0.35">
      <c r="A2527" s="879" t="s">
        <v>526</v>
      </c>
      <c r="B2527" s="879" t="s">
        <v>159</v>
      </c>
      <c r="C2527" s="879" t="s">
        <v>281</v>
      </c>
      <c r="D2527" s="879" t="s">
        <v>343</v>
      </c>
      <c r="E2527" s="879" t="s">
        <v>293</v>
      </c>
      <c r="F2527" s="879" t="s">
        <v>276</v>
      </c>
      <c r="G2527" s="879" t="s">
        <v>472</v>
      </c>
      <c r="H2527" s="879" t="s">
        <v>670</v>
      </c>
      <c r="I2527" s="879" t="s">
        <v>277</v>
      </c>
      <c r="J2527" s="879" t="s">
        <v>997</v>
      </c>
      <c r="K2527" s="879" t="s">
        <v>294</v>
      </c>
      <c r="L2527" s="879" t="s">
        <v>529</v>
      </c>
      <c r="M2527" s="879" t="s">
        <v>285</v>
      </c>
      <c r="N2527" s="879" t="s">
        <v>670</v>
      </c>
      <c r="O2527" s="879" t="s">
        <v>670</v>
      </c>
      <c r="P2527" s="879" t="s">
        <v>522</v>
      </c>
      <c r="Q2527" s="879" t="s">
        <v>670</v>
      </c>
      <c r="R2527" s="880">
        <v>46113</v>
      </c>
      <c r="S2527" s="879" t="s">
        <v>670</v>
      </c>
      <c r="T2527" s="880">
        <v>46112</v>
      </c>
      <c r="U2527" s="883">
        <v>0</v>
      </c>
      <c r="V2527" s="882">
        <v>-57.25</v>
      </c>
      <c r="W2527" s="260">
        <v>46082</v>
      </c>
    </row>
    <row r="2528" spans="1:23" hidden="1" x14ac:dyDescent="0.35">
      <c r="A2528" s="879" t="s">
        <v>526</v>
      </c>
      <c r="B2528" s="879" t="s">
        <v>159</v>
      </c>
      <c r="C2528" s="879" t="s">
        <v>298</v>
      </c>
      <c r="D2528" s="879" t="s">
        <v>343</v>
      </c>
      <c r="E2528" s="879" t="s">
        <v>293</v>
      </c>
      <c r="F2528" s="879" t="s">
        <v>276</v>
      </c>
      <c r="G2528" s="879" t="s">
        <v>472</v>
      </c>
      <c r="H2528" s="879" t="s">
        <v>670</v>
      </c>
      <c r="I2528" s="879" t="s">
        <v>277</v>
      </c>
      <c r="J2528" s="879" t="s">
        <v>997</v>
      </c>
      <c r="K2528" s="879" t="s">
        <v>301</v>
      </c>
      <c r="L2528" s="879" t="s">
        <v>529</v>
      </c>
      <c r="M2528" s="879" t="s">
        <v>285</v>
      </c>
      <c r="N2528" s="879" t="s">
        <v>670</v>
      </c>
      <c r="O2528" s="879" t="s">
        <v>670</v>
      </c>
      <c r="P2528" s="879" t="s">
        <v>522</v>
      </c>
      <c r="Q2528" s="879" t="s">
        <v>670</v>
      </c>
      <c r="R2528" s="880">
        <v>46113</v>
      </c>
      <c r="S2528" s="879" t="s">
        <v>670</v>
      </c>
      <c r="T2528" s="880">
        <v>46112</v>
      </c>
      <c r="U2528" s="883">
        <v>0</v>
      </c>
      <c r="V2528" s="882">
        <v>4.96</v>
      </c>
      <c r="W2528" s="260">
        <v>46082</v>
      </c>
    </row>
    <row r="2529" spans="1:23" hidden="1" x14ac:dyDescent="0.35">
      <c r="A2529" s="879" t="s">
        <v>526</v>
      </c>
      <c r="B2529" s="879" t="s">
        <v>159</v>
      </c>
      <c r="C2529" s="879" t="s">
        <v>298</v>
      </c>
      <c r="D2529" s="879" t="s">
        <v>343</v>
      </c>
      <c r="E2529" s="879" t="s">
        <v>293</v>
      </c>
      <c r="F2529" s="879" t="s">
        <v>276</v>
      </c>
      <c r="G2529" s="879" t="s">
        <v>472</v>
      </c>
      <c r="H2529" s="879" t="s">
        <v>670</v>
      </c>
      <c r="I2529" s="879" t="s">
        <v>277</v>
      </c>
      <c r="J2529" s="879" t="s">
        <v>997</v>
      </c>
      <c r="K2529" s="879" t="s">
        <v>301</v>
      </c>
      <c r="L2529" s="879" t="s">
        <v>529</v>
      </c>
      <c r="M2529" s="879" t="s">
        <v>285</v>
      </c>
      <c r="N2529" s="879" t="s">
        <v>670</v>
      </c>
      <c r="O2529" s="879" t="s">
        <v>670</v>
      </c>
      <c r="P2529" s="879" t="s">
        <v>522</v>
      </c>
      <c r="Q2529" s="879" t="s">
        <v>670</v>
      </c>
      <c r="R2529" s="880">
        <v>46113</v>
      </c>
      <c r="S2529" s="879" t="s">
        <v>670</v>
      </c>
      <c r="T2529" s="880">
        <v>46112</v>
      </c>
      <c r="U2529" s="883">
        <v>0</v>
      </c>
      <c r="V2529" s="882">
        <v>-2.0099999999999998</v>
      </c>
      <c r="W2529" s="260">
        <v>46082</v>
      </c>
    </row>
    <row r="2530" spans="1:23" hidden="1" x14ac:dyDescent="0.35">
      <c r="A2530" s="879" t="s">
        <v>526</v>
      </c>
      <c r="B2530" s="879" t="s">
        <v>159</v>
      </c>
      <c r="C2530" s="879" t="s">
        <v>302</v>
      </c>
      <c r="D2530" s="879" t="s">
        <v>343</v>
      </c>
      <c r="E2530" s="879" t="s">
        <v>293</v>
      </c>
      <c r="F2530" s="879" t="s">
        <v>276</v>
      </c>
      <c r="G2530" s="879" t="s">
        <v>472</v>
      </c>
      <c r="H2530" s="879" t="s">
        <v>670</v>
      </c>
      <c r="I2530" s="879" t="s">
        <v>277</v>
      </c>
      <c r="J2530" s="879" t="s">
        <v>997</v>
      </c>
      <c r="K2530" s="879" t="s">
        <v>303</v>
      </c>
      <c r="L2530" s="879" t="s">
        <v>529</v>
      </c>
      <c r="M2530" s="879" t="s">
        <v>285</v>
      </c>
      <c r="N2530" s="879" t="s">
        <v>670</v>
      </c>
      <c r="O2530" s="879" t="s">
        <v>670</v>
      </c>
      <c r="P2530" s="879" t="s">
        <v>522</v>
      </c>
      <c r="Q2530" s="879" t="s">
        <v>670</v>
      </c>
      <c r="R2530" s="880">
        <v>46113</v>
      </c>
      <c r="S2530" s="879" t="s">
        <v>670</v>
      </c>
      <c r="T2530" s="880">
        <v>46112</v>
      </c>
      <c r="U2530" s="883">
        <v>0</v>
      </c>
      <c r="V2530" s="882">
        <v>33.700000000000003</v>
      </c>
      <c r="W2530" s="260">
        <v>46082</v>
      </c>
    </row>
    <row r="2531" spans="1:23" hidden="1" x14ac:dyDescent="0.35">
      <c r="A2531" s="879" t="s">
        <v>526</v>
      </c>
      <c r="B2531" s="879" t="s">
        <v>159</v>
      </c>
      <c r="C2531" s="879" t="s">
        <v>302</v>
      </c>
      <c r="D2531" s="879" t="s">
        <v>343</v>
      </c>
      <c r="E2531" s="879" t="s">
        <v>293</v>
      </c>
      <c r="F2531" s="879" t="s">
        <v>276</v>
      </c>
      <c r="G2531" s="879" t="s">
        <v>472</v>
      </c>
      <c r="H2531" s="879" t="s">
        <v>670</v>
      </c>
      <c r="I2531" s="879" t="s">
        <v>277</v>
      </c>
      <c r="J2531" s="879" t="s">
        <v>997</v>
      </c>
      <c r="K2531" s="879" t="s">
        <v>303</v>
      </c>
      <c r="L2531" s="879" t="s">
        <v>529</v>
      </c>
      <c r="M2531" s="879" t="s">
        <v>285</v>
      </c>
      <c r="N2531" s="879" t="s">
        <v>670</v>
      </c>
      <c r="O2531" s="879" t="s">
        <v>670</v>
      </c>
      <c r="P2531" s="879" t="s">
        <v>522</v>
      </c>
      <c r="Q2531" s="879" t="s">
        <v>670</v>
      </c>
      <c r="R2531" s="880">
        <v>46113</v>
      </c>
      <c r="S2531" s="879" t="s">
        <v>670</v>
      </c>
      <c r="T2531" s="880">
        <v>46112</v>
      </c>
      <c r="U2531" s="883">
        <v>0</v>
      </c>
      <c r="V2531" s="882">
        <v>-13.64</v>
      </c>
      <c r="W2531" s="260">
        <v>46082</v>
      </c>
    </row>
    <row r="2532" spans="1:23" hidden="1" x14ac:dyDescent="0.35">
      <c r="A2532" s="879" t="s">
        <v>526</v>
      </c>
      <c r="B2532" s="879" t="s">
        <v>159</v>
      </c>
      <c r="C2532" s="879" t="s">
        <v>286</v>
      </c>
      <c r="D2532" s="879" t="s">
        <v>344</v>
      </c>
      <c r="E2532" s="879" t="s">
        <v>296</v>
      </c>
      <c r="F2532" s="879" t="s">
        <v>276</v>
      </c>
      <c r="G2532" s="879" t="s">
        <v>472</v>
      </c>
      <c r="H2532" s="879" t="s">
        <v>670</v>
      </c>
      <c r="I2532" s="879" t="s">
        <v>277</v>
      </c>
      <c r="J2532" s="879" t="s">
        <v>997</v>
      </c>
      <c r="K2532" s="879" t="s">
        <v>297</v>
      </c>
      <c r="L2532" s="879" t="s">
        <v>529</v>
      </c>
      <c r="M2532" s="879" t="s">
        <v>285</v>
      </c>
      <c r="N2532" s="879" t="s">
        <v>670</v>
      </c>
      <c r="O2532" s="879" t="s">
        <v>670</v>
      </c>
      <c r="P2532" s="879" t="s">
        <v>522</v>
      </c>
      <c r="Q2532" s="879" t="s">
        <v>670</v>
      </c>
      <c r="R2532" s="880">
        <v>46113</v>
      </c>
      <c r="S2532" s="879" t="s">
        <v>670</v>
      </c>
      <c r="T2532" s="880">
        <v>46112</v>
      </c>
      <c r="U2532" s="883">
        <v>0</v>
      </c>
      <c r="V2532" s="882">
        <v>-79.05</v>
      </c>
      <c r="W2532" s="260">
        <v>46082</v>
      </c>
    </row>
    <row r="2533" spans="1:23" hidden="1" x14ac:dyDescent="0.35">
      <c r="A2533" s="879" t="s">
        <v>526</v>
      </c>
      <c r="B2533" s="879" t="s">
        <v>159</v>
      </c>
      <c r="C2533" s="879" t="s">
        <v>298</v>
      </c>
      <c r="D2533" s="879" t="s">
        <v>344</v>
      </c>
      <c r="E2533" s="879" t="s">
        <v>296</v>
      </c>
      <c r="F2533" s="879" t="s">
        <v>276</v>
      </c>
      <c r="G2533" s="879" t="s">
        <v>472</v>
      </c>
      <c r="H2533" s="879" t="s">
        <v>670</v>
      </c>
      <c r="I2533" s="879" t="s">
        <v>277</v>
      </c>
      <c r="J2533" s="879" t="s">
        <v>997</v>
      </c>
      <c r="K2533" s="879" t="s">
        <v>301</v>
      </c>
      <c r="L2533" s="879" t="s">
        <v>529</v>
      </c>
      <c r="M2533" s="879" t="s">
        <v>285</v>
      </c>
      <c r="N2533" s="879" t="s">
        <v>670</v>
      </c>
      <c r="O2533" s="879" t="s">
        <v>670</v>
      </c>
      <c r="P2533" s="879" t="s">
        <v>522</v>
      </c>
      <c r="Q2533" s="879" t="s">
        <v>670</v>
      </c>
      <c r="R2533" s="880">
        <v>46113</v>
      </c>
      <c r="S2533" s="879" t="s">
        <v>670</v>
      </c>
      <c r="T2533" s="880">
        <v>46112</v>
      </c>
      <c r="U2533" s="883">
        <v>0</v>
      </c>
      <c r="V2533" s="882">
        <v>19.96</v>
      </c>
      <c r="W2533" s="260">
        <v>46082</v>
      </c>
    </row>
    <row r="2534" spans="1:23" hidden="1" x14ac:dyDescent="0.35">
      <c r="A2534" s="879" t="s">
        <v>526</v>
      </c>
      <c r="B2534" s="879" t="s">
        <v>159</v>
      </c>
      <c r="C2534" s="879" t="s">
        <v>298</v>
      </c>
      <c r="D2534" s="879" t="s">
        <v>344</v>
      </c>
      <c r="E2534" s="879" t="s">
        <v>296</v>
      </c>
      <c r="F2534" s="879" t="s">
        <v>276</v>
      </c>
      <c r="G2534" s="879" t="s">
        <v>472</v>
      </c>
      <c r="H2534" s="879" t="s">
        <v>670</v>
      </c>
      <c r="I2534" s="879" t="s">
        <v>277</v>
      </c>
      <c r="J2534" s="879" t="s">
        <v>997</v>
      </c>
      <c r="K2534" s="879" t="s">
        <v>301</v>
      </c>
      <c r="L2534" s="879" t="s">
        <v>529</v>
      </c>
      <c r="M2534" s="879" t="s">
        <v>285</v>
      </c>
      <c r="N2534" s="879" t="s">
        <v>670</v>
      </c>
      <c r="O2534" s="879" t="s">
        <v>670</v>
      </c>
      <c r="P2534" s="879" t="s">
        <v>522</v>
      </c>
      <c r="Q2534" s="879" t="s">
        <v>670</v>
      </c>
      <c r="R2534" s="880">
        <v>46113</v>
      </c>
      <c r="S2534" s="879" t="s">
        <v>670</v>
      </c>
      <c r="T2534" s="880">
        <v>46112</v>
      </c>
      <c r="U2534" s="883">
        <v>0</v>
      </c>
      <c r="V2534" s="882">
        <v>-2.77</v>
      </c>
      <c r="W2534" s="260">
        <v>46082</v>
      </c>
    </row>
    <row r="2535" spans="1:23" hidden="1" x14ac:dyDescent="0.35">
      <c r="A2535" s="879" t="s">
        <v>526</v>
      </c>
      <c r="B2535" s="879" t="s">
        <v>159</v>
      </c>
      <c r="C2535" s="879" t="s">
        <v>302</v>
      </c>
      <c r="D2535" s="879" t="s">
        <v>344</v>
      </c>
      <c r="E2535" s="879" t="s">
        <v>296</v>
      </c>
      <c r="F2535" s="879" t="s">
        <v>276</v>
      </c>
      <c r="G2535" s="879" t="s">
        <v>472</v>
      </c>
      <c r="H2535" s="879" t="s">
        <v>670</v>
      </c>
      <c r="I2535" s="879" t="s">
        <v>277</v>
      </c>
      <c r="J2535" s="879" t="s">
        <v>997</v>
      </c>
      <c r="K2535" s="879" t="s">
        <v>303</v>
      </c>
      <c r="L2535" s="879" t="s">
        <v>529</v>
      </c>
      <c r="M2535" s="879" t="s">
        <v>285</v>
      </c>
      <c r="N2535" s="879" t="s">
        <v>670</v>
      </c>
      <c r="O2535" s="879" t="s">
        <v>670</v>
      </c>
      <c r="P2535" s="879" t="s">
        <v>522</v>
      </c>
      <c r="Q2535" s="879" t="s">
        <v>670</v>
      </c>
      <c r="R2535" s="880">
        <v>46113</v>
      </c>
      <c r="S2535" s="879" t="s">
        <v>670</v>
      </c>
      <c r="T2535" s="880">
        <v>46112</v>
      </c>
      <c r="U2535" s="883">
        <v>0</v>
      </c>
      <c r="V2535" s="882">
        <v>135.31</v>
      </c>
      <c r="W2535" s="260">
        <v>46082</v>
      </c>
    </row>
    <row r="2536" spans="1:23" hidden="1" x14ac:dyDescent="0.35">
      <c r="A2536" s="879" t="s">
        <v>526</v>
      </c>
      <c r="B2536" s="879" t="s">
        <v>159</v>
      </c>
      <c r="C2536" s="879" t="s">
        <v>302</v>
      </c>
      <c r="D2536" s="879" t="s">
        <v>344</v>
      </c>
      <c r="E2536" s="879" t="s">
        <v>296</v>
      </c>
      <c r="F2536" s="879" t="s">
        <v>276</v>
      </c>
      <c r="G2536" s="879" t="s">
        <v>472</v>
      </c>
      <c r="H2536" s="879" t="s">
        <v>670</v>
      </c>
      <c r="I2536" s="879" t="s">
        <v>277</v>
      </c>
      <c r="J2536" s="879" t="s">
        <v>997</v>
      </c>
      <c r="K2536" s="879" t="s">
        <v>303</v>
      </c>
      <c r="L2536" s="879" t="s">
        <v>529</v>
      </c>
      <c r="M2536" s="879" t="s">
        <v>285</v>
      </c>
      <c r="N2536" s="879" t="s">
        <v>670</v>
      </c>
      <c r="O2536" s="879" t="s">
        <v>670</v>
      </c>
      <c r="P2536" s="879" t="s">
        <v>522</v>
      </c>
      <c r="Q2536" s="879" t="s">
        <v>670</v>
      </c>
      <c r="R2536" s="880">
        <v>46113</v>
      </c>
      <c r="S2536" s="879" t="s">
        <v>670</v>
      </c>
      <c r="T2536" s="880">
        <v>46112</v>
      </c>
      <c r="U2536" s="883">
        <v>0</v>
      </c>
      <c r="V2536" s="882">
        <v>-18.79</v>
      </c>
      <c r="W2536" s="260">
        <v>46082</v>
      </c>
    </row>
    <row r="2537" spans="1:23" hidden="1" x14ac:dyDescent="0.35">
      <c r="A2537" s="879" t="s">
        <v>526</v>
      </c>
      <c r="B2537" s="879" t="s">
        <v>159</v>
      </c>
      <c r="C2537" s="879" t="s">
        <v>298</v>
      </c>
      <c r="D2537" s="879" t="s">
        <v>345</v>
      </c>
      <c r="E2537" s="879" t="s">
        <v>346</v>
      </c>
      <c r="F2537" s="879" t="s">
        <v>276</v>
      </c>
      <c r="G2537" s="879" t="s">
        <v>472</v>
      </c>
      <c r="H2537" s="879" t="s">
        <v>670</v>
      </c>
      <c r="I2537" s="879" t="s">
        <v>277</v>
      </c>
      <c r="J2537" s="879" t="s">
        <v>997</v>
      </c>
      <c r="K2537" s="879" t="s">
        <v>301</v>
      </c>
      <c r="L2537" s="879" t="s">
        <v>529</v>
      </c>
      <c r="M2537" s="879" t="s">
        <v>285</v>
      </c>
      <c r="N2537" s="879" t="s">
        <v>670</v>
      </c>
      <c r="O2537" s="879" t="s">
        <v>670</v>
      </c>
      <c r="P2537" s="879" t="s">
        <v>522</v>
      </c>
      <c r="Q2537" s="879" t="s">
        <v>670</v>
      </c>
      <c r="R2537" s="880">
        <v>46113</v>
      </c>
      <c r="S2537" s="879" t="s">
        <v>670</v>
      </c>
      <c r="T2537" s="880">
        <v>46112</v>
      </c>
      <c r="U2537" s="883">
        <v>0</v>
      </c>
      <c r="V2537" s="882">
        <v>0.67</v>
      </c>
      <c r="W2537" s="260">
        <v>46082</v>
      </c>
    </row>
    <row r="2538" spans="1:23" hidden="1" x14ac:dyDescent="0.35">
      <c r="A2538" s="879" t="s">
        <v>526</v>
      </c>
      <c r="B2538" s="879" t="s">
        <v>159</v>
      </c>
      <c r="C2538" s="879" t="s">
        <v>298</v>
      </c>
      <c r="D2538" s="879" t="s">
        <v>347</v>
      </c>
      <c r="E2538" s="879" t="s">
        <v>348</v>
      </c>
      <c r="F2538" s="879" t="s">
        <v>276</v>
      </c>
      <c r="G2538" s="879" t="s">
        <v>472</v>
      </c>
      <c r="H2538" s="879" t="s">
        <v>670</v>
      </c>
      <c r="I2538" s="879" t="s">
        <v>277</v>
      </c>
      <c r="J2538" s="879" t="s">
        <v>997</v>
      </c>
      <c r="K2538" s="879" t="s">
        <v>301</v>
      </c>
      <c r="L2538" s="879" t="s">
        <v>529</v>
      </c>
      <c r="M2538" s="879" t="s">
        <v>285</v>
      </c>
      <c r="N2538" s="879" t="s">
        <v>670</v>
      </c>
      <c r="O2538" s="879" t="s">
        <v>670</v>
      </c>
      <c r="P2538" s="879" t="s">
        <v>522</v>
      </c>
      <c r="Q2538" s="879" t="s">
        <v>670</v>
      </c>
      <c r="R2538" s="880">
        <v>46113</v>
      </c>
      <c r="S2538" s="879" t="s">
        <v>670</v>
      </c>
      <c r="T2538" s="880">
        <v>46112</v>
      </c>
      <c r="U2538" s="883">
        <v>0</v>
      </c>
      <c r="V2538" s="882">
        <v>3.56</v>
      </c>
      <c r="W2538" s="260">
        <v>46082</v>
      </c>
    </row>
    <row r="2539" spans="1:23" hidden="1" x14ac:dyDescent="0.35">
      <c r="A2539" s="879" t="s">
        <v>526</v>
      </c>
      <c r="B2539" s="879" t="s">
        <v>159</v>
      </c>
      <c r="C2539" s="879" t="s">
        <v>298</v>
      </c>
      <c r="D2539" s="879" t="s">
        <v>347</v>
      </c>
      <c r="E2539" s="879" t="s">
        <v>348</v>
      </c>
      <c r="F2539" s="879" t="s">
        <v>276</v>
      </c>
      <c r="G2539" s="879" t="s">
        <v>472</v>
      </c>
      <c r="H2539" s="879" t="s">
        <v>670</v>
      </c>
      <c r="I2539" s="879" t="s">
        <v>277</v>
      </c>
      <c r="J2539" s="879" t="s">
        <v>997</v>
      </c>
      <c r="K2539" s="879" t="s">
        <v>301</v>
      </c>
      <c r="L2539" s="879" t="s">
        <v>529</v>
      </c>
      <c r="M2539" s="879" t="s">
        <v>285</v>
      </c>
      <c r="N2539" s="879" t="s">
        <v>670</v>
      </c>
      <c r="O2539" s="879" t="s">
        <v>670</v>
      </c>
      <c r="P2539" s="879" t="s">
        <v>522</v>
      </c>
      <c r="Q2539" s="879" t="s">
        <v>670</v>
      </c>
      <c r="R2539" s="880">
        <v>46113</v>
      </c>
      <c r="S2539" s="879" t="s">
        <v>670</v>
      </c>
      <c r="T2539" s="880">
        <v>46112</v>
      </c>
      <c r="U2539" s="883">
        <v>0</v>
      </c>
      <c r="V2539" s="882">
        <v>-0.46</v>
      </c>
      <c r="W2539" s="260">
        <v>46082</v>
      </c>
    </row>
    <row r="2540" spans="1:23" hidden="1" x14ac:dyDescent="0.35">
      <c r="A2540" s="879" t="s">
        <v>526</v>
      </c>
      <c r="B2540" s="879" t="s">
        <v>159</v>
      </c>
      <c r="C2540" s="879" t="s">
        <v>298</v>
      </c>
      <c r="D2540" s="879" t="s">
        <v>349</v>
      </c>
      <c r="E2540" s="879" t="s">
        <v>350</v>
      </c>
      <c r="F2540" s="879" t="s">
        <v>276</v>
      </c>
      <c r="G2540" s="879" t="s">
        <v>472</v>
      </c>
      <c r="H2540" s="879" t="s">
        <v>670</v>
      </c>
      <c r="I2540" s="879" t="s">
        <v>277</v>
      </c>
      <c r="J2540" s="879" t="s">
        <v>997</v>
      </c>
      <c r="K2540" s="879" t="s">
        <v>301</v>
      </c>
      <c r="L2540" s="879" t="s">
        <v>529</v>
      </c>
      <c r="M2540" s="879" t="s">
        <v>285</v>
      </c>
      <c r="N2540" s="879" t="s">
        <v>670</v>
      </c>
      <c r="O2540" s="879" t="s">
        <v>670</v>
      </c>
      <c r="P2540" s="879" t="s">
        <v>522</v>
      </c>
      <c r="Q2540" s="879" t="s">
        <v>670</v>
      </c>
      <c r="R2540" s="880">
        <v>46113</v>
      </c>
      <c r="S2540" s="879" t="s">
        <v>670</v>
      </c>
      <c r="T2540" s="880">
        <v>46112</v>
      </c>
      <c r="U2540" s="883">
        <v>0</v>
      </c>
      <c r="V2540" s="882">
        <v>-0.19</v>
      </c>
      <c r="W2540" s="260">
        <v>46082</v>
      </c>
    </row>
    <row r="2541" spans="1:23" hidden="1" x14ac:dyDescent="0.35">
      <c r="A2541" s="879" t="s">
        <v>526</v>
      </c>
      <c r="B2541" s="879" t="s">
        <v>159</v>
      </c>
      <c r="C2541" s="879" t="s">
        <v>298</v>
      </c>
      <c r="D2541" s="879" t="s">
        <v>351</v>
      </c>
      <c r="E2541" s="879" t="s">
        <v>352</v>
      </c>
      <c r="F2541" s="879" t="s">
        <v>276</v>
      </c>
      <c r="G2541" s="879" t="s">
        <v>472</v>
      </c>
      <c r="H2541" s="879" t="s">
        <v>670</v>
      </c>
      <c r="I2541" s="879" t="s">
        <v>277</v>
      </c>
      <c r="J2541" s="879" t="s">
        <v>997</v>
      </c>
      <c r="K2541" s="879" t="s">
        <v>301</v>
      </c>
      <c r="L2541" s="879" t="s">
        <v>529</v>
      </c>
      <c r="M2541" s="879" t="s">
        <v>285</v>
      </c>
      <c r="N2541" s="879" t="s">
        <v>670</v>
      </c>
      <c r="O2541" s="879" t="s">
        <v>670</v>
      </c>
      <c r="P2541" s="879" t="s">
        <v>522</v>
      </c>
      <c r="Q2541" s="879" t="s">
        <v>670</v>
      </c>
      <c r="R2541" s="880">
        <v>46113</v>
      </c>
      <c r="S2541" s="879" t="s">
        <v>670</v>
      </c>
      <c r="T2541" s="880">
        <v>46112</v>
      </c>
      <c r="U2541" s="883">
        <v>0</v>
      </c>
      <c r="V2541" s="882">
        <v>1.62</v>
      </c>
      <c r="W2541" s="260">
        <v>46082</v>
      </c>
    </row>
    <row r="2542" spans="1:23" hidden="1" x14ac:dyDescent="0.35">
      <c r="A2542" s="879" t="s">
        <v>526</v>
      </c>
      <c r="B2542" s="879" t="s">
        <v>159</v>
      </c>
      <c r="C2542" s="879" t="s">
        <v>298</v>
      </c>
      <c r="D2542" s="879" t="s">
        <v>351</v>
      </c>
      <c r="E2542" s="879" t="s">
        <v>352</v>
      </c>
      <c r="F2542" s="879" t="s">
        <v>276</v>
      </c>
      <c r="G2542" s="879" t="s">
        <v>472</v>
      </c>
      <c r="H2542" s="879" t="s">
        <v>670</v>
      </c>
      <c r="I2542" s="879" t="s">
        <v>277</v>
      </c>
      <c r="J2542" s="879" t="s">
        <v>997</v>
      </c>
      <c r="K2542" s="879" t="s">
        <v>301</v>
      </c>
      <c r="L2542" s="879" t="s">
        <v>529</v>
      </c>
      <c r="M2542" s="879" t="s">
        <v>285</v>
      </c>
      <c r="N2542" s="879" t="s">
        <v>670</v>
      </c>
      <c r="O2542" s="879" t="s">
        <v>670</v>
      </c>
      <c r="P2542" s="879" t="s">
        <v>522</v>
      </c>
      <c r="Q2542" s="879" t="s">
        <v>670</v>
      </c>
      <c r="R2542" s="880">
        <v>46113</v>
      </c>
      <c r="S2542" s="879" t="s">
        <v>670</v>
      </c>
      <c r="T2542" s="880">
        <v>46112</v>
      </c>
      <c r="U2542" s="883">
        <v>0</v>
      </c>
      <c r="V2542" s="882">
        <v>-0.28000000000000003</v>
      </c>
      <c r="W2542" s="260">
        <v>46082</v>
      </c>
    </row>
    <row r="2543" spans="1:23" hidden="1" x14ac:dyDescent="0.35">
      <c r="A2543" s="879" t="s">
        <v>526</v>
      </c>
      <c r="B2543" s="879" t="s">
        <v>159</v>
      </c>
      <c r="C2543" s="879" t="s">
        <v>530</v>
      </c>
      <c r="D2543" s="879" t="s">
        <v>531</v>
      </c>
      <c r="E2543" s="879" t="s">
        <v>532</v>
      </c>
      <c r="F2543" s="879" t="s">
        <v>276</v>
      </c>
      <c r="G2543" s="879" t="s">
        <v>472</v>
      </c>
      <c r="H2543" s="879" t="s">
        <v>567</v>
      </c>
      <c r="I2543" s="879" t="s">
        <v>277</v>
      </c>
      <c r="J2543" s="879" t="s">
        <v>997</v>
      </c>
      <c r="K2543" s="879" t="s">
        <v>534</v>
      </c>
      <c r="L2543" s="879" t="s">
        <v>529</v>
      </c>
      <c r="M2543" s="879" t="s">
        <v>568</v>
      </c>
      <c r="N2543" s="879" t="s">
        <v>670</v>
      </c>
      <c r="O2543" s="879" t="s">
        <v>670</v>
      </c>
      <c r="P2543" s="879" t="s">
        <v>522</v>
      </c>
      <c r="Q2543" s="879" t="s">
        <v>670</v>
      </c>
      <c r="R2543" s="880">
        <v>46080</v>
      </c>
      <c r="S2543" s="879" t="s">
        <v>278</v>
      </c>
      <c r="T2543" s="880">
        <v>46086</v>
      </c>
      <c r="U2543" s="883">
        <v>1</v>
      </c>
      <c r="V2543" s="882">
        <v>87.4</v>
      </c>
      <c r="W2543" s="260">
        <v>46082</v>
      </c>
    </row>
    <row r="2544" spans="1:23" hidden="1" x14ac:dyDescent="0.35">
      <c r="A2544" s="879" t="s">
        <v>526</v>
      </c>
      <c r="B2544" s="879" t="s">
        <v>159</v>
      </c>
      <c r="C2544" s="879" t="s">
        <v>530</v>
      </c>
      <c r="D2544" s="879" t="s">
        <v>531</v>
      </c>
      <c r="E2544" s="879" t="s">
        <v>532</v>
      </c>
      <c r="F2544" s="879" t="s">
        <v>276</v>
      </c>
      <c r="G2544" s="879" t="s">
        <v>472</v>
      </c>
      <c r="H2544" s="879" t="s">
        <v>565</v>
      </c>
      <c r="I2544" s="879" t="s">
        <v>277</v>
      </c>
      <c r="J2544" s="879" t="s">
        <v>997</v>
      </c>
      <c r="K2544" s="879" t="s">
        <v>534</v>
      </c>
      <c r="L2544" s="879" t="s">
        <v>529</v>
      </c>
      <c r="M2544" s="879" t="s">
        <v>566</v>
      </c>
      <c r="N2544" s="879" t="s">
        <v>670</v>
      </c>
      <c r="O2544" s="879" t="s">
        <v>670</v>
      </c>
      <c r="P2544" s="879" t="s">
        <v>522</v>
      </c>
      <c r="Q2544" s="879" t="s">
        <v>670</v>
      </c>
      <c r="R2544" s="880">
        <v>46080</v>
      </c>
      <c r="S2544" s="879" t="s">
        <v>278</v>
      </c>
      <c r="T2544" s="880">
        <v>46086</v>
      </c>
      <c r="U2544" s="883">
        <v>2</v>
      </c>
      <c r="V2544" s="882">
        <v>174.8</v>
      </c>
      <c r="W2544" s="260">
        <v>46082</v>
      </c>
    </row>
    <row r="2545" spans="1:23" hidden="1" x14ac:dyDescent="0.35">
      <c r="A2545" s="879" t="s">
        <v>526</v>
      </c>
      <c r="B2545" s="879" t="s">
        <v>159</v>
      </c>
      <c r="C2545" s="879" t="s">
        <v>530</v>
      </c>
      <c r="D2545" s="879" t="s">
        <v>531</v>
      </c>
      <c r="E2545" s="879" t="s">
        <v>532</v>
      </c>
      <c r="F2545" s="879" t="s">
        <v>276</v>
      </c>
      <c r="G2545" s="879" t="s">
        <v>472</v>
      </c>
      <c r="H2545" s="879" t="s">
        <v>565</v>
      </c>
      <c r="I2545" s="879" t="s">
        <v>277</v>
      </c>
      <c r="J2545" s="879" t="s">
        <v>997</v>
      </c>
      <c r="K2545" s="879" t="s">
        <v>534</v>
      </c>
      <c r="L2545" s="879" t="s">
        <v>529</v>
      </c>
      <c r="M2545" s="879" t="s">
        <v>566</v>
      </c>
      <c r="N2545" s="879" t="s">
        <v>670</v>
      </c>
      <c r="O2545" s="879" t="s">
        <v>670</v>
      </c>
      <c r="P2545" s="879" t="s">
        <v>522</v>
      </c>
      <c r="Q2545" s="879" t="s">
        <v>670</v>
      </c>
      <c r="R2545" s="880">
        <v>46077</v>
      </c>
      <c r="S2545" s="879" t="s">
        <v>278</v>
      </c>
      <c r="T2545" s="880">
        <v>46086</v>
      </c>
      <c r="U2545" s="883">
        <v>3</v>
      </c>
      <c r="V2545" s="882">
        <v>262.2</v>
      </c>
      <c r="W2545" s="260">
        <v>46082</v>
      </c>
    </row>
    <row r="2546" spans="1:23" hidden="1" x14ac:dyDescent="0.35">
      <c r="A2546" s="879" t="s">
        <v>526</v>
      </c>
      <c r="B2546" s="879" t="s">
        <v>159</v>
      </c>
      <c r="C2546" s="879" t="s">
        <v>530</v>
      </c>
      <c r="D2546" s="879" t="s">
        <v>531</v>
      </c>
      <c r="E2546" s="879" t="s">
        <v>532</v>
      </c>
      <c r="F2546" s="879" t="s">
        <v>276</v>
      </c>
      <c r="G2546" s="879" t="s">
        <v>472</v>
      </c>
      <c r="H2546" s="934" t="s">
        <v>567</v>
      </c>
      <c r="I2546" s="879" t="s">
        <v>277</v>
      </c>
      <c r="J2546" s="879" t="s">
        <v>997</v>
      </c>
      <c r="K2546" s="879" t="s">
        <v>534</v>
      </c>
      <c r="L2546" s="879" t="s">
        <v>529</v>
      </c>
      <c r="M2546" s="879" t="s">
        <v>568</v>
      </c>
      <c r="N2546" s="879" t="s">
        <v>670</v>
      </c>
      <c r="O2546" s="879" t="s">
        <v>670</v>
      </c>
      <c r="P2546" s="879" t="s">
        <v>522</v>
      </c>
      <c r="Q2546" s="879" t="s">
        <v>670</v>
      </c>
      <c r="R2546" s="880">
        <v>46084</v>
      </c>
      <c r="S2546" s="879" t="s">
        <v>278</v>
      </c>
      <c r="T2546" s="880">
        <v>46091</v>
      </c>
      <c r="U2546" s="883">
        <v>1</v>
      </c>
      <c r="V2546" s="882">
        <v>87.4</v>
      </c>
      <c r="W2546" s="260">
        <v>46082</v>
      </c>
    </row>
    <row r="2547" spans="1:23" hidden="1" x14ac:dyDescent="0.35">
      <c r="A2547" s="879" t="s">
        <v>526</v>
      </c>
      <c r="B2547" s="879" t="s">
        <v>159</v>
      </c>
      <c r="C2547" s="879" t="s">
        <v>530</v>
      </c>
      <c r="D2547" s="879" t="s">
        <v>531</v>
      </c>
      <c r="E2547" s="879" t="s">
        <v>532</v>
      </c>
      <c r="F2547" s="879" t="s">
        <v>276</v>
      </c>
      <c r="G2547" s="879" t="s">
        <v>472</v>
      </c>
      <c r="H2547" s="879" t="s">
        <v>567</v>
      </c>
      <c r="I2547" s="879" t="s">
        <v>277</v>
      </c>
      <c r="J2547" s="879" t="s">
        <v>997</v>
      </c>
      <c r="K2547" s="879" t="s">
        <v>534</v>
      </c>
      <c r="L2547" s="879" t="s">
        <v>529</v>
      </c>
      <c r="M2547" s="879" t="s">
        <v>568</v>
      </c>
      <c r="N2547" s="879" t="s">
        <v>670</v>
      </c>
      <c r="O2547" s="879" t="s">
        <v>670</v>
      </c>
      <c r="P2547" s="879" t="s">
        <v>522</v>
      </c>
      <c r="Q2547" s="879" t="s">
        <v>670</v>
      </c>
      <c r="R2547" s="880">
        <v>46085</v>
      </c>
      <c r="S2547" s="879" t="s">
        <v>278</v>
      </c>
      <c r="T2547" s="880">
        <v>46091</v>
      </c>
      <c r="U2547" s="883">
        <v>1</v>
      </c>
      <c r="V2547" s="882">
        <v>87.4</v>
      </c>
      <c r="W2547" s="260">
        <v>46082</v>
      </c>
    </row>
    <row r="2548" spans="1:23" hidden="1" x14ac:dyDescent="0.35">
      <c r="A2548" s="879" t="s">
        <v>526</v>
      </c>
      <c r="B2548" s="879" t="s">
        <v>159</v>
      </c>
      <c r="C2548" s="879" t="s">
        <v>530</v>
      </c>
      <c r="D2548" s="879" t="s">
        <v>531</v>
      </c>
      <c r="E2548" s="879" t="s">
        <v>532</v>
      </c>
      <c r="F2548" s="879" t="s">
        <v>276</v>
      </c>
      <c r="G2548" s="879" t="s">
        <v>472</v>
      </c>
      <c r="H2548" s="879" t="s">
        <v>565</v>
      </c>
      <c r="I2548" s="879" t="s">
        <v>277</v>
      </c>
      <c r="J2548" s="879" t="s">
        <v>997</v>
      </c>
      <c r="K2548" s="879" t="s">
        <v>534</v>
      </c>
      <c r="L2548" s="879" t="s">
        <v>529</v>
      </c>
      <c r="M2548" s="879" t="s">
        <v>566</v>
      </c>
      <c r="N2548" s="879" t="s">
        <v>670</v>
      </c>
      <c r="O2548" s="879" t="s">
        <v>670</v>
      </c>
      <c r="P2548" s="879" t="s">
        <v>522</v>
      </c>
      <c r="Q2548" s="879" t="s">
        <v>670</v>
      </c>
      <c r="R2548" s="880">
        <v>46084</v>
      </c>
      <c r="S2548" s="879" t="s">
        <v>278</v>
      </c>
      <c r="T2548" s="880">
        <v>46091</v>
      </c>
      <c r="U2548" s="883">
        <v>2</v>
      </c>
      <c r="V2548" s="882">
        <v>174.8</v>
      </c>
      <c r="W2548" s="260">
        <v>46082</v>
      </c>
    </row>
    <row r="2549" spans="1:23" hidden="1" x14ac:dyDescent="0.35">
      <c r="A2549" s="879" t="s">
        <v>526</v>
      </c>
      <c r="B2549" s="879" t="s">
        <v>159</v>
      </c>
      <c r="C2549" s="879" t="s">
        <v>530</v>
      </c>
      <c r="D2549" s="879" t="s">
        <v>531</v>
      </c>
      <c r="E2549" s="879" t="s">
        <v>532</v>
      </c>
      <c r="F2549" s="879" t="s">
        <v>276</v>
      </c>
      <c r="G2549" s="879" t="s">
        <v>472</v>
      </c>
      <c r="H2549" s="879" t="s">
        <v>565</v>
      </c>
      <c r="I2549" s="879" t="s">
        <v>277</v>
      </c>
      <c r="J2549" s="879" t="s">
        <v>997</v>
      </c>
      <c r="K2549" s="879" t="s">
        <v>534</v>
      </c>
      <c r="L2549" s="879" t="s">
        <v>529</v>
      </c>
      <c r="M2549" s="879" t="s">
        <v>566</v>
      </c>
      <c r="N2549" s="879" t="s">
        <v>670</v>
      </c>
      <c r="O2549" s="879" t="s">
        <v>670</v>
      </c>
      <c r="P2549" s="879" t="s">
        <v>522</v>
      </c>
      <c r="Q2549" s="879" t="s">
        <v>670</v>
      </c>
      <c r="R2549" s="880">
        <v>46087</v>
      </c>
      <c r="S2549" s="879" t="s">
        <v>278</v>
      </c>
      <c r="T2549" s="880">
        <v>46091</v>
      </c>
      <c r="U2549" s="883">
        <v>1</v>
      </c>
      <c r="V2549" s="882">
        <v>87.4</v>
      </c>
      <c r="W2549" s="260">
        <v>46082</v>
      </c>
    </row>
    <row r="2550" spans="1:23" hidden="1" x14ac:dyDescent="0.35">
      <c r="A2550" s="879" t="s">
        <v>526</v>
      </c>
      <c r="B2550" s="879" t="s">
        <v>159</v>
      </c>
      <c r="C2550" s="879" t="s">
        <v>530</v>
      </c>
      <c r="D2550" s="879" t="s">
        <v>531</v>
      </c>
      <c r="E2550" s="879" t="s">
        <v>532</v>
      </c>
      <c r="F2550" s="879" t="s">
        <v>276</v>
      </c>
      <c r="G2550" s="879" t="s">
        <v>472</v>
      </c>
      <c r="H2550" s="879" t="s">
        <v>565</v>
      </c>
      <c r="I2550" s="879" t="s">
        <v>277</v>
      </c>
      <c r="J2550" s="879" t="s">
        <v>997</v>
      </c>
      <c r="K2550" s="879" t="s">
        <v>534</v>
      </c>
      <c r="L2550" s="879" t="s">
        <v>529</v>
      </c>
      <c r="M2550" s="879" t="s">
        <v>566</v>
      </c>
      <c r="N2550" s="879" t="s">
        <v>670</v>
      </c>
      <c r="O2550" s="879" t="s">
        <v>670</v>
      </c>
      <c r="P2550" s="879" t="s">
        <v>522</v>
      </c>
      <c r="Q2550" s="879" t="s">
        <v>670</v>
      </c>
      <c r="R2550" s="880">
        <v>46090</v>
      </c>
      <c r="S2550" s="879" t="s">
        <v>278</v>
      </c>
      <c r="T2550" s="880">
        <v>46100</v>
      </c>
      <c r="U2550" s="883">
        <v>8</v>
      </c>
      <c r="V2550" s="882">
        <v>699.2</v>
      </c>
      <c r="W2550" s="260">
        <v>46082</v>
      </c>
    </row>
    <row r="2551" spans="1:23" hidden="1" x14ac:dyDescent="0.35">
      <c r="A2551" s="879" t="s">
        <v>526</v>
      </c>
      <c r="B2551" s="879" t="s">
        <v>159</v>
      </c>
      <c r="C2551" s="879" t="s">
        <v>530</v>
      </c>
      <c r="D2551" s="879" t="s">
        <v>531</v>
      </c>
      <c r="E2551" s="879" t="s">
        <v>532</v>
      </c>
      <c r="F2551" s="879" t="s">
        <v>276</v>
      </c>
      <c r="G2551" s="879" t="s">
        <v>472</v>
      </c>
      <c r="H2551" s="879" t="s">
        <v>565</v>
      </c>
      <c r="I2551" s="879" t="s">
        <v>277</v>
      </c>
      <c r="J2551" s="879" t="s">
        <v>997</v>
      </c>
      <c r="K2551" s="879" t="s">
        <v>534</v>
      </c>
      <c r="L2551" s="879" t="s">
        <v>529</v>
      </c>
      <c r="M2551" s="879" t="s">
        <v>566</v>
      </c>
      <c r="N2551" s="879" t="s">
        <v>670</v>
      </c>
      <c r="O2551" s="879" t="s">
        <v>670</v>
      </c>
      <c r="P2551" s="879" t="s">
        <v>522</v>
      </c>
      <c r="Q2551" s="879" t="s">
        <v>670</v>
      </c>
      <c r="R2551" s="880">
        <v>46091</v>
      </c>
      <c r="S2551" s="879" t="s">
        <v>278</v>
      </c>
      <c r="T2551" s="880">
        <v>46100</v>
      </c>
      <c r="U2551" s="883">
        <v>8</v>
      </c>
      <c r="V2551" s="882">
        <v>699.2</v>
      </c>
      <c r="W2551" s="260">
        <v>46082</v>
      </c>
    </row>
    <row r="2552" spans="1:23" hidden="1" x14ac:dyDescent="0.35">
      <c r="A2552" s="879" t="s">
        <v>526</v>
      </c>
      <c r="B2552" s="879" t="s">
        <v>159</v>
      </c>
      <c r="C2552" s="879" t="s">
        <v>530</v>
      </c>
      <c r="D2552" s="879" t="s">
        <v>531</v>
      </c>
      <c r="E2552" s="879" t="s">
        <v>532</v>
      </c>
      <c r="F2552" s="879" t="s">
        <v>276</v>
      </c>
      <c r="G2552" s="879" t="s">
        <v>472</v>
      </c>
      <c r="H2552" s="879" t="s">
        <v>565</v>
      </c>
      <c r="I2552" s="879" t="s">
        <v>277</v>
      </c>
      <c r="J2552" s="879" t="s">
        <v>997</v>
      </c>
      <c r="K2552" s="879" t="s">
        <v>534</v>
      </c>
      <c r="L2552" s="879" t="s">
        <v>529</v>
      </c>
      <c r="M2552" s="879" t="s">
        <v>566</v>
      </c>
      <c r="N2552" s="879" t="s">
        <v>670</v>
      </c>
      <c r="O2552" s="879" t="s">
        <v>670</v>
      </c>
      <c r="P2552" s="879" t="s">
        <v>522</v>
      </c>
      <c r="Q2552" s="879" t="s">
        <v>670</v>
      </c>
      <c r="R2552" s="880">
        <v>46092</v>
      </c>
      <c r="S2552" s="879" t="s">
        <v>278</v>
      </c>
      <c r="T2552" s="880">
        <v>46100</v>
      </c>
      <c r="U2552" s="883">
        <v>1</v>
      </c>
      <c r="V2552" s="882">
        <v>87.4</v>
      </c>
      <c r="W2552" s="260">
        <v>46082</v>
      </c>
    </row>
    <row r="2553" spans="1:23" hidden="1" x14ac:dyDescent="0.35">
      <c r="A2553" s="879" t="s">
        <v>526</v>
      </c>
      <c r="B2553" s="879" t="s">
        <v>159</v>
      </c>
      <c r="C2553" s="879" t="s">
        <v>998</v>
      </c>
      <c r="D2553" s="879" t="s">
        <v>999</v>
      </c>
      <c r="E2553" s="879" t="s">
        <v>1000</v>
      </c>
      <c r="F2553" s="879" t="s">
        <v>276</v>
      </c>
      <c r="G2553" s="879" t="s">
        <v>472</v>
      </c>
      <c r="H2553" s="879" t="s">
        <v>1001</v>
      </c>
      <c r="I2553" s="879" t="s">
        <v>277</v>
      </c>
      <c r="J2553" s="879" t="s">
        <v>997</v>
      </c>
      <c r="K2553" s="879" t="s">
        <v>1002</v>
      </c>
      <c r="L2553" s="879" t="s">
        <v>529</v>
      </c>
      <c r="M2553" s="879" t="s">
        <v>1003</v>
      </c>
      <c r="N2553" s="879" t="s">
        <v>670</v>
      </c>
      <c r="O2553" s="879" t="s">
        <v>670</v>
      </c>
      <c r="P2553" s="879" t="s">
        <v>522</v>
      </c>
      <c r="Q2553" s="879" t="s">
        <v>670</v>
      </c>
      <c r="R2553" s="880">
        <v>46059</v>
      </c>
      <c r="S2553" s="879" t="s">
        <v>278</v>
      </c>
      <c r="T2553" s="880">
        <v>46102</v>
      </c>
      <c r="U2553" s="883">
        <v>1</v>
      </c>
      <c r="V2553" s="882">
        <v>113.57</v>
      </c>
      <c r="W2553" s="260">
        <v>46082</v>
      </c>
    </row>
    <row r="2554" spans="1:23" hidden="1" x14ac:dyDescent="0.35">
      <c r="A2554" s="879" t="s">
        <v>526</v>
      </c>
      <c r="B2554" s="879" t="s">
        <v>159</v>
      </c>
      <c r="C2554" s="879" t="s">
        <v>998</v>
      </c>
      <c r="D2554" s="879" t="s">
        <v>999</v>
      </c>
      <c r="E2554" s="879" t="s">
        <v>1000</v>
      </c>
      <c r="F2554" s="879" t="s">
        <v>276</v>
      </c>
      <c r="G2554" s="879" t="s">
        <v>472</v>
      </c>
      <c r="H2554" s="879" t="s">
        <v>1001</v>
      </c>
      <c r="I2554" s="879" t="s">
        <v>277</v>
      </c>
      <c r="J2554" s="879" t="s">
        <v>997</v>
      </c>
      <c r="K2554" s="879" t="s">
        <v>1002</v>
      </c>
      <c r="L2554" s="879" t="s">
        <v>529</v>
      </c>
      <c r="M2554" s="879" t="s">
        <v>1003</v>
      </c>
      <c r="N2554" s="879" t="s">
        <v>670</v>
      </c>
      <c r="O2554" s="879" t="s">
        <v>670</v>
      </c>
      <c r="P2554" s="879" t="s">
        <v>522</v>
      </c>
      <c r="Q2554" s="879" t="s">
        <v>670</v>
      </c>
      <c r="R2554" s="880">
        <v>46052</v>
      </c>
      <c r="S2554" s="879" t="s">
        <v>278</v>
      </c>
      <c r="T2554" s="880">
        <v>46102</v>
      </c>
      <c r="U2554" s="883">
        <v>2</v>
      </c>
      <c r="V2554" s="882">
        <v>227.14</v>
      </c>
      <c r="W2554" s="260">
        <v>46082</v>
      </c>
    </row>
    <row r="2555" spans="1:23" hidden="1" x14ac:dyDescent="0.35">
      <c r="A2555" s="879" t="s">
        <v>526</v>
      </c>
      <c r="B2555" s="879" t="s">
        <v>159</v>
      </c>
      <c r="C2555" s="879" t="s">
        <v>998</v>
      </c>
      <c r="D2555" s="879" t="s">
        <v>999</v>
      </c>
      <c r="E2555" s="879" t="s">
        <v>1000</v>
      </c>
      <c r="F2555" s="879" t="s">
        <v>276</v>
      </c>
      <c r="G2555" s="879" t="s">
        <v>472</v>
      </c>
      <c r="H2555" s="879" t="s">
        <v>1001</v>
      </c>
      <c r="I2555" s="879" t="s">
        <v>277</v>
      </c>
      <c r="J2555" s="879" t="s">
        <v>997</v>
      </c>
      <c r="K2555" s="879" t="s">
        <v>1002</v>
      </c>
      <c r="L2555" s="879" t="s">
        <v>529</v>
      </c>
      <c r="M2555" s="879" t="s">
        <v>1003</v>
      </c>
      <c r="N2555" s="879" t="s">
        <v>670</v>
      </c>
      <c r="O2555" s="879" t="s">
        <v>670</v>
      </c>
      <c r="P2555" s="879" t="s">
        <v>522</v>
      </c>
      <c r="Q2555" s="879" t="s">
        <v>670</v>
      </c>
      <c r="R2555" s="880">
        <v>46051</v>
      </c>
      <c r="S2555" s="879" t="s">
        <v>278</v>
      </c>
      <c r="T2555" s="880">
        <v>46102</v>
      </c>
      <c r="U2555" s="883">
        <v>2</v>
      </c>
      <c r="V2555" s="882">
        <v>227.14</v>
      </c>
      <c r="W2555" s="260">
        <v>46082</v>
      </c>
    </row>
    <row r="2556" spans="1:23" hidden="1" x14ac:dyDescent="0.35">
      <c r="A2556" s="879" t="s">
        <v>526</v>
      </c>
      <c r="B2556" s="879" t="s">
        <v>159</v>
      </c>
      <c r="C2556" s="879" t="s">
        <v>998</v>
      </c>
      <c r="D2556" s="879" t="s">
        <v>999</v>
      </c>
      <c r="E2556" s="879" t="s">
        <v>1000</v>
      </c>
      <c r="F2556" s="879" t="s">
        <v>276</v>
      </c>
      <c r="G2556" s="879" t="s">
        <v>472</v>
      </c>
      <c r="H2556" s="934" t="s">
        <v>1001</v>
      </c>
      <c r="I2556" s="879" t="s">
        <v>277</v>
      </c>
      <c r="J2556" s="879" t="s">
        <v>997</v>
      </c>
      <c r="K2556" s="879" t="s">
        <v>1002</v>
      </c>
      <c r="L2556" s="879" t="s">
        <v>529</v>
      </c>
      <c r="M2556" s="879" t="s">
        <v>1003</v>
      </c>
      <c r="N2556" s="879" t="s">
        <v>670</v>
      </c>
      <c r="O2556" s="879" t="s">
        <v>670</v>
      </c>
      <c r="P2556" s="879" t="s">
        <v>522</v>
      </c>
      <c r="Q2556" s="879" t="s">
        <v>670</v>
      </c>
      <c r="R2556" s="880">
        <v>46049</v>
      </c>
      <c r="S2556" s="879" t="s">
        <v>278</v>
      </c>
      <c r="T2556" s="880">
        <v>46102</v>
      </c>
      <c r="U2556" s="883">
        <v>1</v>
      </c>
      <c r="V2556" s="882">
        <v>113.57</v>
      </c>
      <c r="W2556" s="260">
        <v>46082</v>
      </c>
    </row>
    <row r="2557" spans="1:23" hidden="1" x14ac:dyDescent="0.35">
      <c r="A2557" s="879" t="s">
        <v>526</v>
      </c>
      <c r="B2557" s="879" t="s">
        <v>159</v>
      </c>
      <c r="C2557" s="879" t="s">
        <v>998</v>
      </c>
      <c r="D2557" s="879" t="s">
        <v>999</v>
      </c>
      <c r="E2557" s="879" t="s">
        <v>1000</v>
      </c>
      <c r="F2557" s="879" t="s">
        <v>276</v>
      </c>
      <c r="G2557" s="879" t="s">
        <v>472</v>
      </c>
      <c r="H2557" s="879" t="s">
        <v>1001</v>
      </c>
      <c r="I2557" s="879" t="s">
        <v>277</v>
      </c>
      <c r="J2557" s="879" t="s">
        <v>997</v>
      </c>
      <c r="K2557" s="879" t="s">
        <v>1002</v>
      </c>
      <c r="L2557" s="879" t="s">
        <v>529</v>
      </c>
      <c r="M2557" s="879" t="s">
        <v>1003</v>
      </c>
      <c r="N2557" s="879" t="s">
        <v>670</v>
      </c>
      <c r="O2557" s="879" t="s">
        <v>670</v>
      </c>
      <c r="P2557" s="879" t="s">
        <v>522</v>
      </c>
      <c r="Q2557" s="879" t="s">
        <v>670</v>
      </c>
      <c r="R2557" s="880">
        <v>46048</v>
      </c>
      <c r="S2557" s="879" t="s">
        <v>278</v>
      </c>
      <c r="T2557" s="880">
        <v>46102</v>
      </c>
      <c r="U2557" s="883">
        <v>1</v>
      </c>
      <c r="V2557" s="882">
        <v>113.57</v>
      </c>
      <c r="W2557" s="260">
        <v>46082</v>
      </c>
    </row>
    <row r="2558" spans="1:23" hidden="1" x14ac:dyDescent="0.35">
      <c r="A2558" s="879" t="s">
        <v>526</v>
      </c>
      <c r="B2558" s="879" t="s">
        <v>159</v>
      </c>
      <c r="C2558" s="879" t="s">
        <v>998</v>
      </c>
      <c r="D2558" s="879" t="s">
        <v>999</v>
      </c>
      <c r="E2558" s="879" t="s">
        <v>1000</v>
      </c>
      <c r="F2558" s="879" t="s">
        <v>276</v>
      </c>
      <c r="G2558" s="879" t="s">
        <v>472</v>
      </c>
      <c r="H2558" s="879" t="s">
        <v>1001</v>
      </c>
      <c r="I2558" s="879" t="s">
        <v>277</v>
      </c>
      <c r="J2558" s="879" t="s">
        <v>997</v>
      </c>
      <c r="K2558" s="879" t="s">
        <v>1002</v>
      </c>
      <c r="L2558" s="879" t="s">
        <v>529</v>
      </c>
      <c r="M2558" s="879" t="s">
        <v>1003</v>
      </c>
      <c r="N2558" s="879" t="s">
        <v>670</v>
      </c>
      <c r="O2558" s="879" t="s">
        <v>670</v>
      </c>
      <c r="P2558" s="879" t="s">
        <v>522</v>
      </c>
      <c r="Q2558" s="879" t="s">
        <v>670</v>
      </c>
      <c r="R2558" s="880">
        <v>46087</v>
      </c>
      <c r="S2558" s="879" t="s">
        <v>278</v>
      </c>
      <c r="T2558" s="880">
        <v>46102</v>
      </c>
      <c r="U2558" s="883">
        <v>2</v>
      </c>
      <c r="V2558" s="882">
        <v>227.14</v>
      </c>
      <c r="W2558" s="260">
        <v>46082</v>
      </c>
    </row>
    <row r="2559" spans="1:23" hidden="1" x14ac:dyDescent="0.35">
      <c r="A2559" s="879" t="s">
        <v>526</v>
      </c>
      <c r="B2559" s="879" t="s">
        <v>159</v>
      </c>
      <c r="C2559" s="879" t="s">
        <v>998</v>
      </c>
      <c r="D2559" s="879" t="s">
        <v>999</v>
      </c>
      <c r="E2559" s="879" t="s">
        <v>1000</v>
      </c>
      <c r="F2559" s="879" t="s">
        <v>276</v>
      </c>
      <c r="G2559" s="879" t="s">
        <v>472</v>
      </c>
      <c r="H2559" s="879" t="s">
        <v>1001</v>
      </c>
      <c r="I2559" s="879" t="s">
        <v>277</v>
      </c>
      <c r="J2559" s="879" t="s">
        <v>997</v>
      </c>
      <c r="K2559" s="879" t="s">
        <v>1002</v>
      </c>
      <c r="L2559" s="879" t="s">
        <v>529</v>
      </c>
      <c r="M2559" s="879" t="s">
        <v>1003</v>
      </c>
      <c r="N2559" s="879" t="s">
        <v>670</v>
      </c>
      <c r="O2559" s="879" t="s">
        <v>670</v>
      </c>
      <c r="P2559" s="879" t="s">
        <v>522</v>
      </c>
      <c r="Q2559" s="879" t="s">
        <v>670</v>
      </c>
      <c r="R2559" s="880">
        <v>46086</v>
      </c>
      <c r="S2559" s="879" t="s">
        <v>278</v>
      </c>
      <c r="T2559" s="880">
        <v>46102</v>
      </c>
      <c r="U2559" s="883">
        <v>1</v>
      </c>
      <c r="V2559" s="882">
        <v>113.57</v>
      </c>
      <c r="W2559" s="260">
        <v>46082</v>
      </c>
    </row>
    <row r="2560" spans="1:23" hidden="1" x14ac:dyDescent="0.35">
      <c r="A2560" s="879" t="s">
        <v>526</v>
      </c>
      <c r="B2560" s="879" t="s">
        <v>159</v>
      </c>
      <c r="C2560" s="879" t="s">
        <v>998</v>
      </c>
      <c r="D2560" s="879" t="s">
        <v>999</v>
      </c>
      <c r="E2560" s="879" t="s">
        <v>1000</v>
      </c>
      <c r="F2560" s="879" t="s">
        <v>276</v>
      </c>
      <c r="G2560" s="879" t="s">
        <v>472</v>
      </c>
      <c r="H2560" s="879" t="s">
        <v>1001</v>
      </c>
      <c r="I2560" s="879" t="s">
        <v>277</v>
      </c>
      <c r="J2560" s="879" t="s">
        <v>997</v>
      </c>
      <c r="K2560" s="879" t="s">
        <v>1002</v>
      </c>
      <c r="L2560" s="879" t="s">
        <v>529</v>
      </c>
      <c r="M2560" s="879" t="s">
        <v>1003</v>
      </c>
      <c r="N2560" s="879" t="s">
        <v>670</v>
      </c>
      <c r="O2560" s="879" t="s">
        <v>670</v>
      </c>
      <c r="P2560" s="879" t="s">
        <v>522</v>
      </c>
      <c r="Q2560" s="879" t="s">
        <v>670</v>
      </c>
      <c r="R2560" s="880">
        <v>46083</v>
      </c>
      <c r="S2560" s="879" t="s">
        <v>278</v>
      </c>
      <c r="T2560" s="880">
        <v>46102</v>
      </c>
      <c r="U2560" s="883">
        <v>2</v>
      </c>
      <c r="V2560" s="882">
        <v>227.14</v>
      </c>
      <c r="W2560" s="260">
        <v>46082</v>
      </c>
    </row>
    <row r="2561" spans="1:23" hidden="1" x14ac:dyDescent="0.35">
      <c r="A2561" s="879" t="s">
        <v>526</v>
      </c>
      <c r="B2561" s="879" t="s">
        <v>159</v>
      </c>
      <c r="C2561" s="879" t="s">
        <v>998</v>
      </c>
      <c r="D2561" s="879" t="s">
        <v>999</v>
      </c>
      <c r="E2561" s="879" t="s">
        <v>1000</v>
      </c>
      <c r="F2561" s="879" t="s">
        <v>276</v>
      </c>
      <c r="G2561" s="879" t="s">
        <v>472</v>
      </c>
      <c r="H2561" s="879" t="s">
        <v>1001</v>
      </c>
      <c r="I2561" s="879" t="s">
        <v>277</v>
      </c>
      <c r="J2561" s="879" t="s">
        <v>997</v>
      </c>
      <c r="K2561" s="879" t="s">
        <v>1002</v>
      </c>
      <c r="L2561" s="879" t="s">
        <v>529</v>
      </c>
      <c r="M2561" s="879" t="s">
        <v>1003</v>
      </c>
      <c r="N2561" s="879" t="s">
        <v>670</v>
      </c>
      <c r="O2561" s="879" t="s">
        <v>670</v>
      </c>
      <c r="P2561" s="879" t="s">
        <v>522</v>
      </c>
      <c r="Q2561" s="879" t="s">
        <v>670</v>
      </c>
      <c r="R2561" s="880">
        <v>46080</v>
      </c>
      <c r="S2561" s="879" t="s">
        <v>278</v>
      </c>
      <c r="T2561" s="880">
        <v>46102</v>
      </c>
      <c r="U2561" s="883">
        <v>1</v>
      </c>
      <c r="V2561" s="882">
        <v>113.57</v>
      </c>
      <c r="W2561" s="260">
        <v>46082</v>
      </c>
    </row>
    <row r="2562" spans="1:23" hidden="1" x14ac:dyDescent="0.35">
      <c r="A2562" s="879" t="s">
        <v>526</v>
      </c>
      <c r="B2562" s="879" t="s">
        <v>159</v>
      </c>
      <c r="C2562" s="879" t="s">
        <v>998</v>
      </c>
      <c r="D2562" s="879" t="s">
        <v>999</v>
      </c>
      <c r="E2562" s="879" t="s">
        <v>1000</v>
      </c>
      <c r="F2562" s="879" t="s">
        <v>276</v>
      </c>
      <c r="G2562" s="879" t="s">
        <v>472</v>
      </c>
      <c r="H2562" s="879" t="s">
        <v>1001</v>
      </c>
      <c r="I2562" s="879" t="s">
        <v>277</v>
      </c>
      <c r="J2562" s="879" t="s">
        <v>997</v>
      </c>
      <c r="K2562" s="879" t="s">
        <v>1002</v>
      </c>
      <c r="L2562" s="879" t="s">
        <v>529</v>
      </c>
      <c r="M2562" s="879" t="s">
        <v>1003</v>
      </c>
      <c r="N2562" s="879" t="s">
        <v>670</v>
      </c>
      <c r="O2562" s="879" t="s">
        <v>670</v>
      </c>
      <c r="P2562" s="879" t="s">
        <v>522</v>
      </c>
      <c r="Q2562" s="879" t="s">
        <v>670</v>
      </c>
      <c r="R2562" s="880">
        <v>46078</v>
      </c>
      <c r="S2562" s="879" t="s">
        <v>278</v>
      </c>
      <c r="T2562" s="880">
        <v>46102</v>
      </c>
      <c r="U2562" s="883">
        <v>1</v>
      </c>
      <c r="V2562" s="882">
        <v>113.57</v>
      </c>
      <c r="W2562" s="260">
        <v>46082</v>
      </c>
    </row>
    <row r="2563" spans="1:23" hidden="1" x14ac:dyDescent="0.35">
      <c r="A2563" s="879" t="s">
        <v>526</v>
      </c>
      <c r="B2563" s="879" t="s">
        <v>159</v>
      </c>
      <c r="C2563" s="879" t="s">
        <v>998</v>
      </c>
      <c r="D2563" s="879" t="s">
        <v>999</v>
      </c>
      <c r="E2563" s="879" t="s">
        <v>1000</v>
      </c>
      <c r="F2563" s="879" t="s">
        <v>276</v>
      </c>
      <c r="G2563" s="879" t="s">
        <v>472</v>
      </c>
      <c r="H2563" s="879" t="s">
        <v>1001</v>
      </c>
      <c r="I2563" s="879" t="s">
        <v>277</v>
      </c>
      <c r="J2563" s="879" t="s">
        <v>997</v>
      </c>
      <c r="K2563" s="879" t="s">
        <v>1002</v>
      </c>
      <c r="L2563" s="879" t="s">
        <v>529</v>
      </c>
      <c r="M2563" s="879" t="s">
        <v>1003</v>
      </c>
      <c r="N2563" s="879" t="s">
        <v>670</v>
      </c>
      <c r="O2563" s="879" t="s">
        <v>670</v>
      </c>
      <c r="P2563" s="879" t="s">
        <v>522</v>
      </c>
      <c r="Q2563" s="879" t="s">
        <v>670</v>
      </c>
      <c r="R2563" s="880">
        <v>46076</v>
      </c>
      <c r="S2563" s="879" t="s">
        <v>278</v>
      </c>
      <c r="T2563" s="880">
        <v>46102</v>
      </c>
      <c r="U2563" s="883">
        <v>2</v>
      </c>
      <c r="V2563" s="882">
        <v>227.14</v>
      </c>
      <c r="W2563" s="260">
        <v>46082</v>
      </c>
    </row>
    <row r="2564" spans="1:23" hidden="1" x14ac:dyDescent="0.35">
      <c r="A2564" s="879" t="s">
        <v>526</v>
      </c>
      <c r="B2564" s="879" t="s">
        <v>159</v>
      </c>
      <c r="C2564" s="879" t="s">
        <v>998</v>
      </c>
      <c r="D2564" s="879" t="s">
        <v>999</v>
      </c>
      <c r="E2564" s="879" t="s">
        <v>1000</v>
      </c>
      <c r="F2564" s="879" t="s">
        <v>276</v>
      </c>
      <c r="G2564" s="879" t="s">
        <v>472</v>
      </c>
      <c r="H2564" s="879" t="s">
        <v>1001</v>
      </c>
      <c r="I2564" s="879" t="s">
        <v>277</v>
      </c>
      <c r="J2564" s="879" t="s">
        <v>997</v>
      </c>
      <c r="K2564" s="879" t="s">
        <v>1002</v>
      </c>
      <c r="L2564" s="879" t="s">
        <v>529</v>
      </c>
      <c r="M2564" s="879" t="s">
        <v>1003</v>
      </c>
      <c r="N2564" s="879" t="s">
        <v>670</v>
      </c>
      <c r="O2564" s="879" t="s">
        <v>670</v>
      </c>
      <c r="P2564" s="879" t="s">
        <v>522</v>
      </c>
      <c r="Q2564" s="879" t="s">
        <v>670</v>
      </c>
      <c r="R2564" s="880">
        <v>46073</v>
      </c>
      <c r="S2564" s="879" t="s">
        <v>278</v>
      </c>
      <c r="T2564" s="880">
        <v>46102</v>
      </c>
      <c r="U2564" s="883">
        <v>1</v>
      </c>
      <c r="V2564" s="882">
        <v>113.57</v>
      </c>
      <c r="W2564" s="260">
        <v>46082</v>
      </c>
    </row>
    <row r="2565" spans="1:23" hidden="1" x14ac:dyDescent="0.35">
      <c r="A2565" s="879" t="s">
        <v>526</v>
      </c>
      <c r="B2565" s="879" t="s">
        <v>159</v>
      </c>
      <c r="C2565" s="879" t="s">
        <v>998</v>
      </c>
      <c r="D2565" s="879" t="s">
        <v>999</v>
      </c>
      <c r="E2565" s="879" t="s">
        <v>1000</v>
      </c>
      <c r="F2565" s="879" t="s">
        <v>276</v>
      </c>
      <c r="G2565" s="879" t="s">
        <v>472</v>
      </c>
      <c r="H2565" s="879" t="s">
        <v>1001</v>
      </c>
      <c r="I2565" s="879" t="s">
        <v>277</v>
      </c>
      <c r="J2565" s="879" t="s">
        <v>997</v>
      </c>
      <c r="K2565" s="879" t="s">
        <v>1002</v>
      </c>
      <c r="L2565" s="879" t="s">
        <v>529</v>
      </c>
      <c r="M2565" s="879" t="s">
        <v>1003</v>
      </c>
      <c r="N2565" s="879" t="s">
        <v>670</v>
      </c>
      <c r="O2565" s="879" t="s">
        <v>670</v>
      </c>
      <c r="P2565" s="879" t="s">
        <v>522</v>
      </c>
      <c r="Q2565" s="879" t="s">
        <v>670</v>
      </c>
      <c r="R2565" s="880">
        <v>46072</v>
      </c>
      <c r="S2565" s="879" t="s">
        <v>278</v>
      </c>
      <c r="T2565" s="880">
        <v>46102</v>
      </c>
      <c r="U2565" s="883">
        <v>2</v>
      </c>
      <c r="V2565" s="882">
        <v>227.14</v>
      </c>
      <c r="W2565" s="260">
        <v>46082</v>
      </c>
    </row>
    <row r="2566" spans="1:23" hidden="1" x14ac:dyDescent="0.35">
      <c r="A2566" s="879" t="s">
        <v>526</v>
      </c>
      <c r="B2566" s="879" t="s">
        <v>159</v>
      </c>
      <c r="C2566" s="879" t="s">
        <v>998</v>
      </c>
      <c r="D2566" s="879" t="s">
        <v>999</v>
      </c>
      <c r="E2566" s="879" t="s">
        <v>1000</v>
      </c>
      <c r="F2566" s="879" t="s">
        <v>276</v>
      </c>
      <c r="G2566" s="879" t="s">
        <v>472</v>
      </c>
      <c r="H2566" s="879" t="s">
        <v>1001</v>
      </c>
      <c r="I2566" s="879" t="s">
        <v>277</v>
      </c>
      <c r="J2566" s="879" t="s">
        <v>997</v>
      </c>
      <c r="K2566" s="879" t="s">
        <v>1002</v>
      </c>
      <c r="L2566" s="879" t="s">
        <v>529</v>
      </c>
      <c r="M2566" s="879" t="s">
        <v>1003</v>
      </c>
      <c r="N2566" s="879" t="s">
        <v>670</v>
      </c>
      <c r="O2566" s="879" t="s">
        <v>670</v>
      </c>
      <c r="P2566" s="879" t="s">
        <v>522</v>
      </c>
      <c r="Q2566" s="879" t="s">
        <v>670</v>
      </c>
      <c r="R2566" s="880">
        <v>46071</v>
      </c>
      <c r="S2566" s="879" t="s">
        <v>278</v>
      </c>
      <c r="T2566" s="880">
        <v>46102</v>
      </c>
      <c r="U2566" s="883">
        <v>1</v>
      </c>
      <c r="V2566" s="882">
        <v>113.57</v>
      </c>
      <c r="W2566" s="260">
        <v>46082</v>
      </c>
    </row>
    <row r="2567" spans="1:23" hidden="1" x14ac:dyDescent="0.35">
      <c r="A2567" s="879" t="s">
        <v>526</v>
      </c>
      <c r="B2567" s="879" t="s">
        <v>159</v>
      </c>
      <c r="C2567" s="879" t="s">
        <v>998</v>
      </c>
      <c r="D2567" s="879" t="s">
        <v>999</v>
      </c>
      <c r="E2567" s="879" t="s">
        <v>1000</v>
      </c>
      <c r="F2567" s="879" t="s">
        <v>276</v>
      </c>
      <c r="G2567" s="879" t="s">
        <v>472</v>
      </c>
      <c r="H2567" s="879" t="s">
        <v>1001</v>
      </c>
      <c r="I2567" s="879" t="s">
        <v>277</v>
      </c>
      <c r="J2567" s="879" t="s">
        <v>997</v>
      </c>
      <c r="K2567" s="879" t="s">
        <v>1002</v>
      </c>
      <c r="L2567" s="879" t="s">
        <v>529</v>
      </c>
      <c r="M2567" s="879" t="s">
        <v>1003</v>
      </c>
      <c r="N2567" s="879" t="s">
        <v>670</v>
      </c>
      <c r="O2567" s="879" t="s">
        <v>670</v>
      </c>
      <c r="P2567" s="879" t="s">
        <v>522</v>
      </c>
      <c r="Q2567" s="879" t="s">
        <v>670</v>
      </c>
      <c r="R2567" s="880">
        <v>46070</v>
      </c>
      <c r="S2567" s="879" t="s">
        <v>278</v>
      </c>
      <c r="T2567" s="880">
        <v>46102</v>
      </c>
      <c r="U2567" s="883">
        <v>1</v>
      </c>
      <c r="V2567" s="882">
        <v>113.57</v>
      </c>
      <c r="W2567" s="260">
        <v>46082</v>
      </c>
    </row>
    <row r="2568" spans="1:23" hidden="1" x14ac:dyDescent="0.35">
      <c r="A2568" s="879" t="s">
        <v>526</v>
      </c>
      <c r="B2568" s="879" t="s">
        <v>159</v>
      </c>
      <c r="C2568" s="879" t="s">
        <v>998</v>
      </c>
      <c r="D2568" s="879" t="s">
        <v>999</v>
      </c>
      <c r="E2568" s="879" t="s">
        <v>1000</v>
      </c>
      <c r="F2568" s="879" t="s">
        <v>276</v>
      </c>
      <c r="G2568" s="879" t="s">
        <v>472</v>
      </c>
      <c r="H2568" s="879" t="s">
        <v>1001</v>
      </c>
      <c r="I2568" s="879" t="s">
        <v>277</v>
      </c>
      <c r="J2568" s="879" t="s">
        <v>997</v>
      </c>
      <c r="K2568" s="879" t="s">
        <v>1002</v>
      </c>
      <c r="L2568" s="879" t="s">
        <v>529</v>
      </c>
      <c r="M2568" s="879" t="s">
        <v>1003</v>
      </c>
      <c r="N2568" s="879" t="s">
        <v>670</v>
      </c>
      <c r="O2568" s="879" t="s">
        <v>670</v>
      </c>
      <c r="P2568" s="879" t="s">
        <v>522</v>
      </c>
      <c r="Q2568" s="879" t="s">
        <v>670</v>
      </c>
      <c r="R2568" s="880">
        <v>46101</v>
      </c>
      <c r="S2568" s="879" t="s">
        <v>278</v>
      </c>
      <c r="T2568" s="880">
        <v>46102</v>
      </c>
      <c r="U2568" s="883">
        <v>2</v>
      </c>
      <c r="V2568" s="882">
        <v>227.14</v>
      </c>
      <c r="W2568" s="260">
        <v>46082</v>
      </c>
    </row>
    <row r="2569" spans="1:23" hidden="1" x14ac:dyDescent="0.35">
      <c r="A2569" s="879" t="s">
        <v>526</v>
      </c>
      <c r="B2569" s="879" t="s">
        <v>159</v>
      </c>
      <c r="C2569" s="879" t="s">
        <v>998</v>
      </c>
      <c r="D2569" s="879" t="s">
        <v>999</v>
      </c>
      <c r="E2569" s="879" t="s">
        <v>1000</v>
      </c>
      <c r="F2569" s="879" t="s">
        <v>276</v>
      </c>
      <c r="G2569" s="879" t="s">
        <v>472</v>
      </c>
      <c r="H2569" s="879" t="s">
        <v>1001</v>
      </c>
      <c r="I2569" s="879" t="s">
        <v>277</v>
      </c>
      <c r="J2569" s="879" t="s">
        <v>997</v>
      </c>
      <c r="K2569" s="879" t="s">
        <v>1002</v>
      </c>
      <c r="L2569" s="879" t="s">
        <v>529</v>
      </c>
      <c r="M2569" s="879" t="s">
        <v>1003</v>
      </c>
      <c r="N2569" s="879" t="s">
        <v>670</v>
      </c>
      <c r="O2569" s="879" t="s">
        <v>670</v>
      </c>
      <c r="P2569" s="879" t="s">
        <v>522</v>
      </c>
      <c r="Q2569" s="879" t="s">
        <v>670</v>
      </c>
      <c r="R2569" s="880">
        <v>46099</v>
      </c>
      <c r="S2569" s="879" t="s">
        <v>278</v>
      </c>
      <c r="T2569" s="880">
        <v>46102</v>
      </c>
      <c r="U2569" s="883">
        <v>2</v>
      </c>
      <c r="V2569" s="882">
        <v>227.14</v>
      </c>
      <c r="W2569" s="260">
        <v>46082</v>
      </c>
    </row>
    <row r="2570" spans="1:23" hidden="1" x14ac:dyDescent="0.35">
      <c r="A2570" s="879" t="s">
        <v>526</v>
      </c>
      <c r="B2570" s="879" t="s">
        <v>159</v>
      </c>
      <c r="C2570" s="879" t="s">
        <v>998</v>
      </c>
      <c r="D2570" s="879" t="s">
        <v>999</v>
      </c>
      <c r="E2570" s="879" t="s">
        <v>1000</v>
      </c>
      <c r="F2570" s="879" t="s">
        <v>276</v>
      </c>
      <c r="G2570" s="879" t="s">
        <v>472</v>
      </c>
      <c r="H2570" s="879" t="s">
        <v>1001</v>
      </c>
      <c r="I2570" s="879" t="s">
        <v>277</v>
      </c>
      <c r="J2570" s="879" t="s">
        <v>997</v>
      </c>
      <c r="K2570" s="879" t="s">
        <v>1002</v>
      </c>
      <c r="L2570" s="879" t="s">
        <v>529</v>
      </c>
      <c r="M2570" s="879" t="s">
        <v>1003</v>
      </c>
      <c r="N2570" s="879" t="s">
        <v>670</v>
      </c>
      <c r="O2570" s="879" t="s">
        <v>670</v>
      </c>
      <c r="P2570" s="879" t="s">
        <v>522</v>
      </c>
      <c r="Q2570" s="879" t="s">
        <v>670</v>
      </c>
      <c r="R2570" s="880">
        <v>46098</v>
      </c>
      <c r="S2570" s="879" t="s">
        <v>278</v>
      </c>
      <c r="T2570" s="880">
        <v>46102</v>
      </c>
      <c r="U2570" s="883">
        <v>2</v>
      </c>
      <c r="V2570" s="882">
        <v>227.14</v>
      </c>
      <c r="W2570" s="260">
        <v>46082</v>
      </c>
    </row>
    <row r="2571" spans="1:23" hidden="1" x14ac:dyDescent="0.35">
      <c r="A2571" s="879" t="s">
        <v>526</v>
      </c>
      <c r="B2571" s="879" t="s">
        <v>159</v>
      </c>
      <c r="C2571" s="879" t="s">
        <v>998</v>
      </c>
      <c r="D2571" s="879" t="s">
        <v>999</v>
      </c>
      <c r="E2571" s="879" t="s">
        <v>1000</v>
      </c>
      <c r="F2571" s="879" t="s">
        <v>276</v>
      </c>
      <c r="G2571" s="879" t="s">
        <v>472</v>
      </c>
      <c r="H2571" s="879" t="s">
        <v>1001</v>
      </c>
      <c r="I2571" s="879" t="s">
        <v>277</v>
      </c>
      <c r="J2571" s="879" t="s">
        <v>997</v>
      </c>
      <c r="K2571" s="879" t="s">
        <v>1002</v>
      </c>
      <c r="L2571" s="879" t="s">
        <v>529</v>
      </c>
      <c r="M2571" s="879" t="s">
        <v>1003</v>
      </c>
      <c r="N2571" s="879" t="s">
        <v>670</v>
      </c>
      <c r="O2571" s="879" t="s">
        <v>670</v>
      </c>
      <c r="P2571" s="879" t="s">
        <v>522</v>
      </c>
      <c r="Q2571" s="879" t="s">
        <v>670</v>
      </c>
      <c r="R2571" s="880">
        <v>46097</v>
      </c>
      <c r="S2571" s="879" t="s">
        <v>278</v>
      </c>
      <c r="T2571" s="880">
        <v>46102</v>
      </c>
      <c r="U2571" s="883">
        <v>2</v>
      </c>
      <c r="V2571" s="882">
        <v>227.14</v>
      </c>
      <c r="W2571" s="260">
        <v>46082</v>
      </c>
    </row>
    <row r="2572" spans="1:23" hidden="1" x14ac:dyDescent="0.35">
      <c r="A2572" s="879" t="s">
        <v>526</v>
      </c>
      <c r="B2572" s="879" t="s">
        <v>159</v>
      </c>
      <c r="C2572" s="879" t="s">
        <v>998</v>
      </c>
      <c r="D2572" s="879" t="s">
        <v>999</v>
      </c>
      <c r="E2572" s="879" t="s">
        <v>1000</v>
      </c>
      <c r="F2572" s="879" t="s">
        <v>276</v>
      </c>
      <c r="G2572" s="879" t="s">
        <v>472</v>
      </c>
      <c r="H2572" s="879" t="s">
        <v>1001</v>
      </c>
      <c r="I2572" s="879" t="s">
        <v>277</v>
      </c>
      <c r="J2572" s="879" t="s">
        <v>997</v>
      </c>
      <c r="K2572" s="879" t="s">
        <v>1002</v>
      </c>
      <c r="L2572" s="879" t="s">
        <v>529</v>
      </c>
      <c r="M2572" s="879" t="s">
        <v>1003</v>
      </c>
      <c r="N2572" s="879" t="s">
        <v>670</v>
      </c>
      <c r="O2572" s="879" t="s">
        <v>670</v>
      </c>
      <c r="P2572" s="879" t="s">
        <v>522</v>
      </c>
      <c r="Q2572" s="879" t="s">
        <v>670</v>
      </c>
      <c r="R2572" s="880">
        <v>46090</v>
      </c>
      <c r="S2572" s="879" t="s">
        <v>278</v>
      </c>
      <c r="T2572" s="880">
        <v>46102</v>
      </c>
      <c r="U2572" s="883">
        <v>2</v>
      </c>
      <c r="V2572" s="882">
        <v>227.14</v>
      </c>
      <c r="W2572" s="260">
        <v>46082</v>
      </c>
    </row>
    <row r="2573" spans="1:23" hidden="1" x14ac:dyDescent="0.35">
      <c r="A2573" s="879" t="s">
        <v>526</v>
      </c>
      <c r="B2573" s="879" t="s">
        <v>160</v>
      </c>
      <c r="C2573" s="879" t="s">
        <v>670</v>
      </c>
      <c r="D2573" s="879" t="s">
        <v>1028</v>
      </c>
      <c r="E2573" s="879" t="s">
        <v>1029</v>
      </c>
      <c r="F2573" s="879" t="s">
        <v>276</v>
      </c>
      <c r="G2573" s="879" t="s">
        <v>472</v>
      </c>
      <c r="H2573" s="879" t="s">
        <v>670</v>
      </c>
      <c r="I2573" s="879" t="s">
        <v>277</v>
      </c>
      <c r="J2573" s="879" t="s">
        <v>1030</v>
      </c>
      <c r="K2573" s="879" t="s">
        <v>670</v>
      </c>
      <c r="L2573" s="879" t="s">
        <v>529</v>
      </c>
      <c r="M2573" s="879" t="s">
        <v>285</v>
      </c>
      <c r="N2573" s="934" t="s">
        <v>1031</v>
      </c>
      <c r="O2573" s="879">
        <v>7000002119</v>
      </c>
      <c r="P2573" s="879" t="s">
        <v>523</v>
      </c>
      <c r="Q2573" s="879" t="s">
        <v>387</v>
      </c>
      <c r="R2573" s="880">
        <v>46066</v>
      </c>
      <c r="S2573" s="879" t="s">
        <v>388</v>
      </c>
      <c r="T2573" s="880">
        <v>46086</v>
      </c>
      <c r="U2573" s="881">
        <v>1</v>
      </c>
      <c r="V2573" s="882">
        <v>44357.4</v>
      </c>
      <c r="W2573" s="260">
        <v>46082</v>
      </c>
    </row>
    <row r="2574" spans="1:23" hidden="1" x14ac:dyDescent="0.35">
      <c r="A2574" s="879" t="s">
        <v>526</v>
      </c>
      <c r="B2574" s="879" t="s">
        <v>160</v>
      </c>
      <c r="C2574" s="879" t="s">
        <v>670</v>
      </c>
      <c r="D2574" s="879" t="s">
        <v>385</v>
      </c>
      <c r="E2574" s="879" t="s">
        <v>386</v>
      </c>
      <c r="F2574" s="879" t="s">
        <v>276</v>
      </c>
      <c r="G2574" s="879" t="s">
        <v>472</v>
      </c>
      <c r="H2574" s="879" t="s">
        <v>670</v>
      </c>
      <c r="I2574" s="879" t="s">
        <v>277</v>
      </c>
      <c r="J2574" s="879" t="s">
        <v>1030</v>
      </c>
      <c r="K2574" s="879" t="s">
        <v>670</v>
      </c>
      <c r="L2574" s="879" t="s">
        <v>529</v>
      </c>
      <c r="M2574" s="879" t="s">
        <v>285</v>
      </c>
      <c r="N2574" s="879" t="s">
        <v>670</v>
      </c>
      <c r="O2574" s="879">
        <v>7000001857</v>
      </c>
      <c r="P2574" s="879" t="s">
        <v>523</v>
      </c>
      <c r="Q2574" s="879" t="s">
        <v>400</v>
      </c>
      <c r="R2574" s="880">
        <v>46106</v>
      </c>
      <c r="S2574" s="879" t="s">
        <v>670</v>
      </c>
      <c r="T2574" s="880">
        <v>46112</v>
      </c>
      <c r="U2574" s="883">
        <v>0</v>
      </c>
      <c r="V2574" s="882">
        <v>753373</v>
      </c>
      <c r="W2574" s="260">
        <v>46082</v>
      </c>
    </row>
    <row r="2575" spans="1:23" hidden="1" x14ac:dyDescent="0.35">
      <c r="A2575" s="879" t="s">
        <v>526</v>
      </c>
      <c r="B2575" s="879" t="s">
        <v>53</v>
      </c>
      <c r="C2575" s="879" t="s">
        <v>670</v>
      </c>
      <c r="D2575" s="879" t="s">
        <v>385</v>
      </c>
      <c r="E2575" s="879" t="s">
        <v>386</v>
      </c>
      <c r="F2575" s="879" t="s">
        <v>588</v>
      </c>
      <c r="G2575" s="879" t="s">
        <v>472</v>
      </c>
      <c r="H2575" s="879" t="s">
        <v>670</v>
      </c>
      <c r="I2575" s="879" t="s">
        <v>277</v>
      </c>
      <c r="J2575" s="879" t="s">
        <v>1004</v>
      </c>
      <c r="K2575" s="879" t="s">
        <v>670</v>
      </c>
      <c r="L2575" s="879" t="s">
        <v>529</v>
      </c>
      <c r="M2575" s="879" t="s">
        <v>285</v>
      </c>
      <c r="N2575" s="879" t="s">
        <v>670</v>
      </c>
      <c r="O2575" s="879">
        <v>7000001998</v>
      </c>
      <c r="P2575" s="879" t="s">
        <v>524</v>
      </c>
      <c r="Q2575" s="879" t="s">
        <v>589</v>
      </c>
      <c r="R2575" s="880">
        <v>46080</v>
      </c>
      <c r="S2575" s="879" t="s">
        <v>670</v>
      </c>
      <c r="T2575" s="880">
        <v>46082</v>
      </c>
      <c r="U2575" s="883">
        <v>0</v>
      </c>
      <c r="V2575" s="882">
        <v>-2512</v>
      </c>
      <c r="W2575" s="260">
        <v>46082</v>
      </c>
    </row>
    <row r="2576" spans="1:23" hidden="1" x14ac:dyDescent="0.35">
      <c r="A2576" s="879" t="s">
        <v>526</v>
      </c>
      <c r="B2576" s="879" t="s">
        <v>53</v>
      </c>
      <c r="C2576" s="879" t="s">
        <v>670</v>
      </c>
      <c r="D2576" s="879" t="s">
        <v>385</v>
      </c>
      <c r="E2576" s="879" t="s">
        <v>386</v>
      </c>
      <c r="F2576" s="879" t="s">
        <v>588</v>
      </c>
      <c r="G2576" s="879" t="s">
        <v>472</v>
      </c>
      <c r="H2576" s="879" t="s">
        <v>670</v>
      </c>
      <c r="I2576" s="879" t="s">
        <v>277</v>
      </c>
      <c r="J2576" s="879" t="s">
        <v>1004</v>
      </c>
      <c r="K2576" s="879" t="s">
        <v>670</v>
      </c>
      <c r="L2576" s="879" t="s">
        <v>529</v>
      </c>
      <c r="M2576" s="879" t="s">
        <v>285</v>
      </c>
      <c r="N2576" s="879" t="s">
        <v>670</v>
      </c>
      <c r="O2576" s="879">
        <v>7000000729</v>
      </c>
      <c r="P2576" s="879" t="s">
        <v>524</v>
      </c>
      <c r="Q2576" s="879" t="s">
        <v>589</v>
      </c>
      <c r="R2576" s="880">
        <v>46080</v>
      </c>
      <c r="S2576" s="879" t="s">
        <v>670</v>
      </c>
      <c r="T2576" s="880">
        <v>46082</v>
      </c>
      <c r="U2576" s="883">
        <v>0</v>
      </c>
      <c r="V2576" s="882">
        <v>-30002</v>
      </c>
      <c r="W2576" s="260">
        <v>46082</v>
      </c>
    </row>
    <row r="2577" spans="1:23" hidden="1" x14ac:dyDescent="0.35">
      <c r="A2577" s="879" t="s">
        <v>526</v>
      </c>
      <c r="B2577" s="879" t="s">
        <v>53</v>
      </c>
      <c r="C2577" s="879" t="s">
        <v>670</v>
      </c>
      <c r="D2577" s="879" t="s">
        <v>385</v>
      </c>
      <c r="E2577" s="879" t="s">
        <v>386</v>
      </c>
      <c r="F2577" s="879" t="s">
        <v>588</v>
      </c>
      <c r="G2577" s="879" t="s">
        <v>472</v>
      </c>
      <c r="H2577" s="879" t="s">
        <v>670</v>
      </c>
      <c r="I2577" s="879" t="s">
        <v>277</v>
      </c>
      <c r="J2577" s="879" t="s">
        <v>1004</v>
      </c>
      <c r="K2577" s="879" t="s">
        <v>670</v>
      </c>
      <c r="L2577" s="879" t="s">
        <v>529</v>
      </c>
      <c r="M2577" s="879" t="s">
        <v>285</v>
      </c>
      <c r="N2577" s="879" t="s">
        <v>670</v>
      </c>
      <c r="O2577" s="879">
        <v>7000001429</v>
      </c>
      <c r="P2577" s="879" t="s">
        <v>524</v>
      </c>
      <c r="Q2577" s="879" t="s">
        <v>589</v>
      </c>
      <c r="R2577" s="880">
        <v>46080</v>
      </c>
      <c r="S2577" s="879" t="s">
        <v>670</v>
      </c>
      <c r="T2577" s="880">
        <v>46082</v>
      </c>
      <c r="U2577" s="883">
        <v>0</v>
      </c>
      <c r="V2577" s="882">
        <v>-5500</v>
      </c>
      <c r="W2577" s="260">
        <v>46082</v>
      </c>
    </row>
    <row r="2578" spans="1:23" hidden="1" x14ac:dyDescent="0.35">
      <c r="A2578" s="879" t="s">
        <v>526</v>
      </c>
      <c r="B2578" s="879" t="s">
        <v>53</v>
      </c>
      <c r="C2578" s="879" t="s">
        <v>670</v>
      </c>
      <c r="D2578" s="879" t="s">
        <v>385</v>
      </c>
      <c r="E2578" s="879" t="s">
        <v>386</v>
      </c>
      <c r="F2578" s="879" t="s">
        <v>588</v>
      </c>
      <c r="G2578" s="879" t="s">
        <v>472</v>
      </c>
      <c r="H2578" s="879" t="s">
        <v>670</v>
      </c>
      <c r="I2578" s="879" t="s">
        <v>277</v>
      </c>
      <c r="J2578" s="879" t="s">
        <v>1004</v>
      </c>
      <c r="K2578" s="879" t="s">
        <v>670</v>
      </c>
      <c r="L2578" s="879" t="s">
        <v>529</v>
      </c>
      <c r="M2578" s="879" t="s">
        <v>285</v>
      </c>
      <c r="N2578" s="879" t="s">
        <v>670</v>
      </c>
      <c r="O2578" s="879" t="s">
        <v>765</v>
      </c>
      <c r="P2578" s="879" t="s">
        <v>524</v>
      </c>
      <c r="Q2578" s="879" t="s">
        <v>589</v>
      </c>
      <c r="R2578" s="880">
        <v>46080</v>
      </c>
      <c r="S2578" s="879" t="s">
        <v>670</v>
      </c>
      <c r="T2578" s="880">
        <v>46082</v>
      </c>
      <c r="U2578" s="883">
        <v>0</v>
      </c>
      <c r="V2578" s="882">
        <v>-23973</v>
      </c>
      <c r="W2578" s="260">
        <v>46082</v>
      </c>
    </row>
    <row r="2579" spans="1:23" hidden="1" x14ac:dyDescent="0.35">
      <c r="A2579" s="879" t="s">
        <v>526</v>
      </c>
      <c r="B2579" s="879" t="s">
        <v>53</v>
      </c>
      <c r="C2579" s="879" t="s">
        <v>670</v>
      </c>
      <c r="D2579" s="879" t="s">
        <v>385</v>
      </c>
      <c r="E2579" s="879" t="s">
        <v>386</v>
      </c>
      <c r="F2579" s="879" t="s">
        <v>588</v>
      </c>
      <c r="G2579" s="879" t="s">
        <v>472</v>
      </c>
      <c r="H2579" s="879" t="s">
        <v>670</v>
      </c>
      <c r="I2579" s="879" t="s">
        <v>277</v>
      </c>
      <c r="J2579" s="879" t="s">
        <v>1004</v>
      </c>
      <c r="K2579" s="879" t="s">
        <v>670</v>
      </c>
      <c r="L2579" s="879" t="s">
        <v>529</v>
      </c>
      <c r="M2579" s="879" t="s">
        <v>285</v>
      </c>
      <c r="N2579" s="879" t="s">
        <v>670</v>
      </c>
      <c r="O2579" s="879">
        <v>7000009182</v>
      </c>
      <c r="P2579" s="879" t="s">
        <v>524</v>
      </c>
      <c r="Q2579" s="879" t="s">
        <v>589</v>
      </c>
      <c r="R2579" s="880">
        <v>46080</v>
      </c>
      <c r="S2579" s="879" t="s">
        <v>670</v>
      </c>
      <c r="T2579" s="880">
        <v>46082</v>
      </c>
      <c r="U2579" s="883">
        <v>0</v>
      </c>
      <c r="V2579" s="882">
        <v>-8229</v>
      </c>
      <c r="W2579" s="260">
        <v>46082</v>
      </c>
    </row>
    <row r="2580" spans="1:23" hidden="1" x14ac:dyDescent="0.35">
      <c r="A2580" s="879" t="s">
        <v>526</v>
      </c>
      <c r="B2580" s="879" t="s">
        <v>53</v>
      </c>
      <c r="C2580" s="879" t="s">
        <v>670</v>
      </c>
      <c r="D2580" s="879" t="s">
        <v>385</v>
      </c>
      <c r="E2580" s="879" t="s">
        <v>386</v>
      </c>
      <c r="F2580" s="879" t="s">
        <v>588</v>
      </c>
      <c r="G2580" s="879" t="s">
        <v>472</v>
      </c>
      <c r="H2580" s="879" t="s">
        <v>670</v>
      </c>
      <c r="I2580" s="879" t="s">
        <v>277</v>
      </c>
      <c r="J2580" s="879" t="s">
        <v>1004</v>
      </c>
      <c r="K2580" s="879" t="s">
        <v>670</v>
      </c>
      <c r="L2580" s="879" t="s">
        <v>529</v>
      </c>
      <c r="M2580" s="879" t="s">
        <v>285</v>
      </c>
      <c r="N2580" s="879" t="s">
        <v>670</v>
      </c>
      <c r="O2580" s="879">
        <v>7000002054</v>
      </c>
      <c r="P2580" s="879" t="s">
        <v>524</v>
      </c>
      <c r="Q2580" s="879" t="s">
        <v>589</v>
      </c>
      <c r="R2580" s="880">
        <v>46080</v>
      </c>
      <c r="S2580" s="879" t="s">
        <v>670</v>
      </c>
      <c r="T2580" s="880">
        <v>46082</v>
      </c>
      <c r="U2580" s="883">
        <v>0</v>
      </c>
      <c r="V2580" s="882">
        <v>-285395</v>
      </c>
      <c r="W2580" s="260">
        <v>46082</v>
      </c>
    </row>
    <row r="2581" spans="1:23" hidden="1" x14ac:dyDescent="0.35">
      <c r="A2581" s="879" t="s">
        <v>526</v>
      </c>
      <c r="B2581" s="879" t="s">
        <v>53</v>
      </c>
      <c r="C2581" s="879" t="s">
        <v>670</v>
      </c>
      <c r="D2581" s="879" t="s">
        <v>385</v>
      </c>
      <c r="E2581" s="879" t="s">
        <v>386</v>
      </c>
      <c r="F2581" s="879" t="s">
        <v>588</v>
      </c>
      <c r="G2581" s="879" t="s">
        <v>472</v>
      </c>
      <c r="H2581" s="879" t="s">
        <v>670</v>
      </c>
      <c r="I2581" s="879" t="s">
        <v>277</v>
      </c>
      <c r="J2581" s="879" t="s">
        <v>1004</v>
      </c>
      <c r="K2581" s="879" t="s">
        <v>670</v>
      </c>
      <c r="L2581" s="879" t="s">
        <v>529</v>
      </c>
      <c r="M2581" s="879" t="s">
        <v>285</v>
      </c>
      <c r="N2581" s="879" t="s">
        <v>670</v>
      </c>
      <c r="O2581" s="879">
        <v>7000002099</v>
      </c>
      <c r="P2581" s="879" t="s">
        <v>524</v>
      </c>
      <c r="Q2581" s="879" t="s">
        <v>589</v>
      </c>
      <c r="R2581" s="880">
        <v>46080</v>
      </c>
      <c r="S2581" s="879" t="s">
        <v>670</v>
      </c>
      <c r="T2581" s="880">
        <v>46082</v>
      </c>
      <c r="U2581" s="883">
        <v>0</v>
      </c>
      <c r="V2581" s="882">
        <v>-528855</v>
      </c>
      <c r="W2581" s="260">
        <v>46082</v>
      </c>
    </row>
    <row r="2582" spans="1:23" hidden="1" x14ac:dyDescent="0.35">
      <c r="A2582" s="879" t="s">
        <v>526</v>
      </c>
      <c r="B2582" s="879" t="s">
        <v>53</v>
      </c>
      <c r="C2582" s="879" t="s">
        <v>670</v>
      </c>
      <c r="D2582" s="879" t="s">
        <v>385</v>
      </c>
      <c r="E2582" s="879" t="s">
        <v>386</v>
      </c>
      <c r="F2582" s="879" t="s">
        <v>588</v>
      </c>
      <c r="G2582" s="879" t="s">
        <v>472</v>
      </c>
      <c r="H2582" s="879" t="s">
        <v>670</v>
      </c>
      <c r="I2582" s="879" t="s">
        <v>277</v>
      </c>
      <c r="J2582" s="879" t="s">
        <v>1004</v>
      </c>
      <c r="K2582" s="879" t="s">
        <v>670</v>
      </c>
      <c r="L2582" s="879" t="s">
        <v>529</v>
      </c>
      <c r="M2582" s="879" t="s">
        <v>285</v>
      </c>
      <c r="N2582" s="879" t="s">
        <v>670</v>
      </c>
      <c r="O2582" s="879">
        <v>7000001527</v>
      </c>
      <c r="P2582" s="879" t="s">
        <v>524</v>
      </c>
      <c r="Q2582" s="879" t="s">
        <v>589</v>
      </c>
      <c r="R2582" s="880">
        <v>46080</v>
      </c>
      <c r="S2582" s="879" t="s">
        <v>670</v>
      </c>
      <c r="T2582" s="880">
        <v>46082</v>
      </c>
      <c r="U2582" s="883">
        <v>0</v>
      </c>
      <c r="V2582" s="882">
        <v>-4703</v>
      </c>
      <c r="W2582" s="260">
        <v>46082</v>
      </c>
    </row>
    <row r="2583" spans="1:23" hidden="1" x14ac:dyDescent="0.35">
      <c r="A2583" s="879" t="s">
        <v>526</v>
      </c>
      <c r="B2583" s="879" t="s">
        <v>53</v>
      </c>
      <c r="C2583" s="879" t="s">
        <v>670</v>
      </c>
      <c r="D2583" s="879" t="s">
        <v>385</v>
      </c>
      <c r="E2583" s="879" t="s">
        <v>386</v>
      </c>
      <c r="F2583" s="879" t="s">
        <v>588</v>
      </c>
      <c r="G2583" s="879" t="s">
        <v>472</v>
      </c>
      <c r="H2583" s="879" t="s">
        <v>670</v>
      </c>
      <c r="I2583" s="879" t="s">
        <v>277</v>
      </c>
      <c r="J2583" s="879" t="s">
        <v>1004</v>
      </c>
      <c r="K2583" s="879" t="s">
        <v>670</v>
      </c>
      <c r="L2583" s="879" t="s">
        <v>529</v>
      </c>
      <c r="M2583" s="879" t="s">
        <v>285</v>
      </c>
      <c r="N2583" s="879" t="s">
        <v>670</v>
      </c>
      <c r="O2583" s="879">
        <v>7000001415</v>
      </c>
      <c r="P2583" s="879" t="s">
        <v>524</v>
      </c>
      <c r="Q2583" s="879" t="s">
        <v>589</v>
      </c>
      <c r="R2583" s="880">
        <v>46080</v>
      </c>
      <c r="S2583" s="879" t="s">
        <v>670</v>
      </c>
      <c r="T2583" s="880">
        <v>46082</v>
      </c>
      <c r="U2583" s="883">
        <v>0</v>
      </c>
      <c r="V2583" s="882">
        <v>-70570</v>
      </c>
      <c r="W2583" s="260">
        <v>46082</v>
      </c>
    </row>
    <row r="2584" spans="1:23" hidden="1" x14ac:dyDescent="0.35">
      <c r="A2584" s="879" t="s">
        <v>526</v>
      </c>
      <c r="B2584" s="879" t="s">
        <v>53</v>
      </c>
      <c r="C2584" s="879" t="s">
        <v>670</v>
      </c>
      <c r="D2584" s="879" t="s">
        <v>385</v>
      </c>
      <c r="E2584" s="879" t="s">
        <v>386</v>
      </c>
      <c r="F2584" s="879" t="s">
        <v>276</v>
      </c>
      <c r="G2584" s="879" t="s">
        <v>472</v>
      </c>
      <c r="H2584" s="879" t="s">
        <v>670</v>
      </c>
      <c r="I2584" s="879" t="s">
        <v>277</v>
      </c>
      <c r="J2584" s="879" t="s">
        <v>1004</v>
      </c>
      <c r="K2584" s="879" t="s">
        <v>670</v>
      </c>
      <c r="L2584" s="879" t="s">
        <v>529</v>
      </c>
      <c r="M2584" s="879" t="s">
        <v>285</v>
      </c>
      <c r="N2584" s="879" t="s">
        <v>1027</v>
      </c>
      <c r="O2584" s="879" t="s">
        <v>1036</v>
      </c>
      <c r="P2584" s="879" t="s">
        <v>524</v>
      </c>
      <c r="Q2584" s="879" t="s">
        <v>387</v>
      </c>
      <c r="R2584" s="880">
        <v>46055</v>
      </c>
      <c r="S2584" s="879" t="s">
        <v>388</v>
      </c>
      <c r="T2584" s="880">
        <v>46085</v>
      </c>
      <c r="U2584" s="881">
        <v>1</v>
      </c>
      <c r="V2584" s="882">
        <v>7454.89</v>
      </c>
      <c r="W2584" s="260">
        <v>46082</v>
      </c>
    </row>
    <row r="2585" spans="1:23" hidden="1" x14ac:dyDescent="0.35">
      <c r="A2585" s="879" t="s">
        <v>526</v>
      </c>
      <c r="B2585" s="879" t="s">
        <v>53</v>
      </c>
      <c r="C2585" s="879" t="s">
        <v>670</v>
      </c>
      <c r="D2585" s="879" t="s">
        <v>385</v>
      </c>
      <c r="E2585" s="879" t="s">
        <v>386</v>
      </c>
      <c r="F2585" s="879" t="s">
        <v>276</v>
      </c>
      <c r="G2585" s="879" t="s">
        <v>472</v>
      </c>
      <c r="H2585" s="879" t="s">
        <v>670</v>
      </c>
      <c r="I2585" s="879" t="s">
        <v>277</v>
      </c>
      <c r="J2585" s="879" t="s">
        <v>1004</v>
      </c>
      <c r="K2585" s="879" t="s">
        <v>670</v>
      </c>
      <c r="L2585" s="879" t="s">
        <v>529</v>
      </c>
      <c r="M2585" s="879" t="s">
        <v>285</v>
      </c>
      <c r="N2585" s="879" t="s">
        <v>841</v>
      </c>
      <c r="O2585" s="879" t="s">
        <v>866</v>
      </c>
      <c r="P2585" s="879" t="s">
        <v>524</v>
      </c>
      <c r="Q2585" s="879" t="s">
        <v>387</v>
      </c>
      <c r="R2585" s="880">
        <v>46072</v>
      </c>
      <c r="S2585" s="879" t="s">
        <v>388</v>
      </c>
      <c r="T2585" s="880">
        <v>46092</v>
      </c>
      <c r="U2585" s="881">
        <v>1</v>
      </c>
      <c r="V2585" s="882">
        <v>61350</v>
      </c>
      <c r="W2585" s="260">
        <v>46082</v>
      </c>
    </row>
    <row r="2586" spans="1:23" hidden="1" x14ac:dyDescent="0.35">
      <c r="A2586" s="879" t="s">
        <v>526</v>
      </c>
      <c r="B2586" s="879" t="s">
        <v>53</v>
      </c>
      <c r="C2586" s="879" t="s">
        <v>670</v>
      </c>
      <c r="D2586" s="879" t="s">
        <v>385</v>
      </c>
      <c r="E2586" s="879" t="s">
        <v>386</v>
      </c>
      <c r="F2586" s="879" t="s">
        <v>276</v>
      </c>
      <c r="G2586" s="879" t="s">
        <v>472</v>
      </c>
      <c r="H2586" s="879" t="s">
        <v>670</v>
      </c>
      <c r="I2586" s="879" t="s">
        <v>277</v>
      </c>
      <c r="J2586" s="879" t="s">
        <v>1004</v>
      </c>
      <c r="K2586" s="879" t="s">
        <v>670</v>
      </c>
      <c r="L2586" s="879" t="s">
        <v>529</v>
      </c>
      <c r="M2586" s="879" t="s">
        <v>285</v>
      </c>
      <c r="N2586" s="879" t="s">
        <v>841</v>
      </c>
      <c r="O2586" s="879" t="s">
        <v>866</v>
      </c>
      <c r="P2586" s="879" t="s">
        <v>524</v>
      </c>
      <c r="Q2586" s="879" t="s">
        <v>387</v>
      </c>
      <c r="R2586" s="880">
        <v>46006</v>
      </c>
      <c r="S2586" s="879" t="s">
        <v>388</v>
      </c>
      <c r="T2586" s="880">
        <v>46092</v>
      </c>
      <c r="U2586" s="881">
        <v>1</v>
      </c>
      <c r="V2586" s="882">
        <v>90030</v>
      </c>
      <c r="W2586" s="260">
        <v>46082</v>
      </c>
    </row>
    <row r="2587" spans="1:23" hidden="1" x14ac:dyDescent="0.35">
      <c r="A2587" s="879" t="s">
        <v>526</v>
      </c>
      <c r="B2587" s="879" t="s">
        <v>53</v>
      </c>
      <c r="C2587" s="879" t="s">
        <v>670</v>
      </c>
      <c r="D2587" s="879" t="s">
        <v>385</v>
      </c>
      <c r="E2587" s="879" t="s">
        <v>386</v>
      </c>
      <c r="F2587" s="879" t="s">
        <v>276</v>
      </c>
      <c r="G2587" s="879" t="s">
        <v>472</v>
      </c>
      <c r="H2587" s="879" t="s">
        <v>670</v>
      </c>
      <c r="I2587" s="879" t="s">
        <v>277</v>
      </c>
      <c r="J2587" s="879" t="s">
        <v>1004</v>
      </c>
      <c r="K2587" s="879" t="s">
        <v>670</v>
      </c>
      <c r="L2587" s="879" t="s">
        <v>529</v>
      </c>
      <c r="M2587" s="879" t="s">
        <v>285</v>
      </c>
      <c r="N2587" s="879" t="s">
        <v>1032</v>
      </c>
      <c r="O2587" s="879">
        <v>7000002490</v>
      </c>
      <c r="P2587" s="879" t="s">
        <v>524</v>
      </c>
      <c r="Q2587" s="879" t="s">
        <v>387</v>
      </c>
      <c r="R2587" s="880">
        <v>46065</v>
      </c>
      <c r="S2587" s="879" t="s">
        <v>388</v>
      </c>
      <c r="T2587" s="880">
        <v>46092</v>
      </c>
      <c r="U2587" s="881">
        <v>1</v>
      </c>
      <c r="V2587" s="882">
        <v>14500</v>
      </c>
      <c r="W2587" s="260">
        <v>46082</v>
      </c>
    </row>
    <row r="2588" spans="1:23" hidden="1" x14ac:dyDescent="0.35">
      <c r="A2588" s="879" t="s">
        <v>526</v>
      </c>
      <c r="B2588" s="879" t="s">
        <v>53</v>
      </c>
      <c r="C2588" s="879" t="s">
        <v>670</v>
      </c>
      <c r="D2588" s="879" t="s">
        <v>385</v>
      </c>
      <c r="E2588" s="879" t="s">
        <v>386</v>
      </c>
      <c r="F2588" s="879" t="s">
        <v>276</v>
      </c>
      <c r="G2588" s="879" t="s">
        <v>472</v>
      </c>
      <c r="H2588" s="879" t="s">
        <v>670</v>
      </c>
      <c r="I2588" s="879" t="s">
        <v>277</v>
      </c>
      <c r="J2588" s="879" t="s">
        <v>1004</v>
      </c>
      <c r="K2588" s="879" t="s">
        <v>670</v>
      </c>
      <c r="L2588" s="879" t="s">
        <v>529</v>
      </c>
      <c r="M2588" s="879" t="s">
        <v>285</v>
      </c>
      <c r="N2588" s="879" t="s">
        <v>1037</v>
      </c>
      <c r="O2588" s="879" t="s">
        <v>1038</v>
      </c>
      <c r="P2588" s="879" t="s">
        <v>524</v>
      </c>
      <c r="Q2588" s="879" t="s">
        <v>387</v>
      </c>
      <c r="R2588" s="880">
        <v>46068</v>
      </c>
      <c r="S2588" s="879" t="s">
        <v>388</v>
      </c>
      <c r="T2588" s="880">
        <v>46098</v>
      </c>
      <c r="U2588" s="881">
        <v>1</v>
      </c>
      <c r="V2588" s="882">
        <v>5488</v>
      </c>
      <c r="W2588" s="260">
        <v>46082</v>
      </c>
    </row>
    <row r="2589" spans="1:23" hidden="1" x14ac:dyDescent="0.35">
      <c r="A2589" s="879" t="s">
        <v>526</v>
      </c>
      <c r="B2589" s="879" t="s">
        <v>53</v>
      </c>
      <c r="C2589" s="879" t="s">
        <v>670</v>
      </c>
      <c r="D2589" s="879" t="s">
        <v>385</v>
      </c>
      <c r="E2589" s="879" t="s">
        <v>386</v>
      </c>
      <c r="F2589" s="879" t="s">
        <v>276</v>
      </c>
      <c r="G2589" s="879" t="s">
        <v>472</v>
      </c>
      <c r="H2589" s="879" t="s">
        <v>670</v>
      </c>
      <c r="I2589" s="879" t="s">
        <v>277</v>
      </c>
      <c r="J2589" s="879" t="s">
        <v>1004</v>
      </c>
      <c r="K2589" s="879" t="s">
        <v>670</v>
      </c>
      <c r="L2589" s="879" t="s">
        <v>529</v>
      </c>
      <c r="M2589" s="879" t="s">
        <v>285</v>
      </c>
      <c r="N2589" s="879" t="s">
        <v>1027</v>
      </c>
      <c r="O2589" s="879" t="s">
        <v>1036</v>
      </c>
      <c r="P2589" s="879" t="s">
        <v>524</v>
      </c>
      <c r="Q2589" s="879" t="s">
        <v>387</v>
      </c>
      <c r="R2589" s="880">
        <v>46083</v>
      </c>
      <c r="S2589" s="879" t="s">
        <v>388</v>
      </c>
      <c r="T2589" s="880">
        <v>46098</v>
      </c>
      <c r="U2589" s="881">
        <v>1</v>
      </c>
      <c r="V2589" s="882">
        <v>2606.58</v>
      </c>
      <c r="W2589" s="260">
        <v>46082</v>
      </c>
    </row>
    <row r="2590" spans="1:23" hidden="1" x14ac:dyDescent="0.35">
      <c r="A2590" s="879" t="s">
        <v>526</v>
      </c>
      <c r="B2590" s="879" t="s">
        <v>53</v>
      </c>
      <c r="C2590" s="879" t="s">
        <v>670</v>
      </c>
      <c r="D2590" s="879" t="s">
        <v>385</v>
      </c>
      <c r="E2590" s="879" t="s">
        <v>386</v>
      </c>
      <c r="F2590" s="879" t="s">
        <v>276</v>
      </c>
      <c r="G2590" s="879" t="s">
        <v>472</v>
      </c>
      <c r="H2590" s="879" t="s">
        <v>670</v>
      </c>
      <c r="I2590" s="879" t="s">
        <v>277</v>
      </c>
      <c r="J2590" s="879" t="s">
        <v>1004</v>
      </c>
      <c r="K2590" s="879" t="s">
        <v>670</v>
      </c>
      <c r="L2590" s="879" t="s">
        <v>529</v>
      </c>
      <c r="M2590" s="879" t="s">
        <v>285</v>
      </c>
      <c r="N2590" s="879" t="s">
        <v>695</v>
      </c>
      <c r="O2590" s="879" t="s">
        <v>687</v>
      </c>
      <c r="P2590" s="879" t="s">
        <v>524</v>
      </c>
      <c r="Q2590" s="879" t="s">
        <v>387</v>
      </c>
      <c r="R2590" s="880">
        <v>46092</v>
      </c>
      <c r="S2590" s="879" t="s">
        <v>388</v>
      </c>
      <c r="T2590" s="880">
        <v>46100</v>
      </c>
      <c r="U2590" s="881">
        <v>1</v>
      </c>
      <c r="V2590" s="882">
        <v>5500</v>
      </c>
      <c r="W2590" s="260">
        <v>46082</v>
      </c>
    </row>
    <row r="2591" spans="1:23" hidden="1" x14ac:dyDescent="0.35">
      <c r="A2591" s="879" t="s">
        <v>526</v>
      </c>
      <c r="B2591" s="879" t="s">
        <v>53</v>
      </c>
      <c r="C2591" s="879" t="s">
        <v>670</v>
      </c>
      <c r="D2591" s="879" t="s">
        <v>385</v>
      </c>
      <c r="E2591" s="879" t="s">
        <v>386</v>
      </c>
      <c r="F2591" s="879" t="s">
        <v>276</v>
      </c>
      <c r="G2591" s="879" t="s">
        <v>472</v>
      </c>
      <c r="H2591" s="879" t="s">
        <v>670</v>
      </c>
      <c r="I2591" s="879" t="s">
        <v>277</v>
      </c>
      <c r="J2591" s="879" t="s">
        <v>1004</v>
      </c>
      <c r="K2591" s="879" t="s">
        <v>670</v>
      </c>
      <c r="L2591" s="879" t="s">
        <v>529</v>
      </c>
      <c r="M2591" s="879" t="s">
        <v>285</v>
      </c>
      <c r="N2591" s="879" t="s">
        <v>841</v>
      </c>
      <c r="O2591" s="879" t="s">
        <v>866</v>
      </c>
      <c r="P2591" s="879" t="s">
        <v>524</v>
      </c>
      <c r="Q2591" s="879" t="s">
        <v>387</v>
      </c>
      <c r="R2591" s="880">
        <v>46094</v>
      </c>
      <c r="S2591" s="879" t="s">
        <v>388</v>
      </c>
      <c r="T2591" s="880">
        <v>46100</v>
      </c>
      <c r="U2591" s="881">
        <v>1</v>
      </c>
      <c r="V2591" s="882">
        <v>111435</v>
      </c>
      <c r="W2591" s="260">
        <v>46082</v>
      </c>
    </row>
    <row r="2592" spans="1:23" hidden="1" x14ac:dyDescent="0.35">
      <c r="A2592" s="879" t="s">
        <v>526</v>
      </c>
      <c r="B2592" s="879" t="s">
        <v>53</v>
      </c>
      <c r="C2592" s="879" t="s">
        <v>670</v>
      </c>
      <c r="D2592" s="879" t="s">
        <v>385</v>
      </c>
      <c r="E2592" s="879" t="s">
        <v>386</v>
      </c>
      <c r="F2592" s="879" t="s">
        <v>276</v>
      </c>
      <c r="G2592" s="879" t="s">
        <v>472</v>
      </c>
      <c r="H2592" s="879" t="s">
        <v>670</v>
      </c>
      <c r="I2592" s="879" t="s">
        <v>277</v>
      </c>
      <c r="J2592" s="879" t="s">
        <v>1004</v>
      </c>
      <c r="K2592" s="879" t="s">
        <v>670</v>
      </c>
      <c r="L2592" s="879" t="s">
        <v>529</v>
      </c>
      <c r="M2592" s="879" t="s">
        <v>285</v>
      </c>
      <c r="N2592" s="879" t="s">
        <v>1037</v>
      </c>
      <c r="O2592" s="879" t="s">
        <v>1038</v>
      </c>
      <c r="P2592" s="879" t="s">
        <v>524</v>
      </c>
      <c r="Q2592" s="879" t="s">
        <v>387</v>
      </c>
      <c r="R2592" s="880">
        <v>46091</v>
      </c>
      <c r="S2592" s="879" t="s">
        <v>388</v>
      </c>
      <c r="T2592" s="880">
        <v>46108</v>
      </c>
      <c r="U2592" s="881">
        <v>1</v>
      </c>
      <c r="V2592" s="882">
        <v>5712</v>
      </c>
      <c r="W2592" s="260">
        <v>46082</v>
      </c>
    </row>
    <row r="2593" spans="1:23" hidden="1" x14ac:dyDescent="0.35">
      <c r="A2593" s="879" t="s">
        <v>526</v>
      </c>
      <c r="B2593" s="879" t="s">
        <v>53</v>
      </c>
      <c r="C2593" s="879" t="s">
        <v>670</v>
      </c>
      <c r="D2593" s="879" t="s">
        <v>385</v>
      </c>
      <c r="E2593" s="879" t="s">
        <v>386</v>
      </c>
      <c r="F2593" s="879" t="s">
        <v>276</v>
      </c>
      <c r="G2593" s="879" t="s">
        <v>472</v>
      </c>
      <c r="H2593" s="879" t="s">
        <v>670</v>
      </c>
      <c r="I2593" s="879" t="s">
        <v>277</v>
      </c>
      <c r="J2593" s="879" t="s">
        <v>1004</v>
      </c>
      <c r="K2593" s="879" t="s">
        <v>670</v>
      </c>
      <c r="L2593" s="879" t="s">
        <v>529</v>
      </c>
      <c r="M2593" s="879" t="s">
        <v>285</v>
      </c>
      <c r="N2593" s="879" t="s">
        <v>1045</v>
      </c>
      <c r="O2593" s="879" t="s">
        <v>1046</v>
      </c>
      <c r="P2593" s="879" t="s">
        <v>524</v>
      </c>
      <c r="Q2593" s="879" t="s">
        <v>387</v>
      </c>
      <c r="R2593" s="880">
        <v>46091</v>
      </c>
      <c r="S2593" s="879" t="s">
        <v>388</v>
      </c>
      <c r="T2593" s="880">
        <v>46108</v>
      </c>
      <c r="U2593" s="881">
        <v>1</v>
      </c>
      <c r="V2593" s="882">
        <v>2036.88</v>
      </c>
      <c r="W2593" s="260">
        <v>46082</v>
      </c>
    </row>
    <row r="2594" spans="1:23" hidden="1" x14ac:dyDescent="0.35">
      <c r="A2594" s="879" t="s">
        <v>526</v>
      </c>
      <c r="B2594" s="879" t="s">
        <v>53</v>
      </c>
      <c r="C2594" s="879" t="s">
        <v>670</v>
      </c>
      <c r="D2594" s="879" t="s">
        <v>385</v>
      </c>
      <c r="E2594" s="879" t="s">
        <v>386</v>
      </c>
      <c r="F2594" s="879" t="s">
        <v>276</v>
      </c>
      <c r="G2594" s="879" t="s">
        <v>472</v>
      </c>
      <c r="H2594" s="879" t="s">
        <v>670</v>
      </c>
      <c r="I2594" s="879" t="s">
        <v>277</v>
      </c>
      <c r="J2594" s="879" t="s">
        <v>1004</v>
      </c>
      <c r="K2594" s="879" t="s">
        <v>670</v>
      </c>
      <c r="L2594" s="879" t="s">
        <v>529</v>
      </c>
      <c r="M2594" s="879" t="s">
        <v>285</v>
      </c>
      <c r="N2594" s="879" t="s">
        <v>1045</v>
      </c>
      <c r="O2594" s="879">
        <v>7000002343</v>
      </c>
      <c r="P2594" s="879" t="s">
        <v>524</v>
      </c>
      <c r="Q2594" s="879" t="s">
        <v>387</v>
      </c>
      <c r="R2594" s="880">
        <v>46070</v>
      </c>
      <c r="S2594" s="879" t="s">
        <v>388</v>
      </c>
      <c r="T2594" s="880">
        <v>46108</v>
      </c>
      <c r="U2594" s="881">
        <v>1</v>
      </c>
      <c r="V2594" s="882">
        <v>678.96</v>
      </c>
      <c r="W2594" s="260">
        <v>46082</v>
      </c>
    </row>
    <row r="2595" spans="1:23" hidden="1" x14ac:dyDescent="0.35">
      <c r="A2595" s="879" t="s">
        <v>526</v>
      </c>
      <c r="B2595" s="879" t="s">
        <v>53</v>
      </c>
      <c r="C2595" s="879" t="s">
        <v>670</v>
      </c>
      <c r="D2595" s="879" t="s">
        <v>385</v>
      </c>
      <c r="E2595" s="879" t="s">
        <v>386</v>
      </c>
      <c r="F2595" s="879" t="s">
        <v>276</v>
      </c>
      <c r="G2595" s="879" t="s">
        <v>472</v>
      </c>
      <c r="H2595" s="879" t="s">
        <v>670</v>
      </c>
      <c r="I2595" s="879" t="s">
        <v>277</v>
      </c>
      <c r="J2595" s="879" t="s">
        <v>1004</v>
      </c>
      <c r="K2595" s="879" t="s">
        <v>670</v>
      </c>
      <c r="L2595" s="879" t="s">
        <v>529</v>
      </c>
      <c r="M2595" s="879" t="s">
        <v>285</v>
      </c>
      <c r="N2595" s="879" t="s">
        <v>670</v>
      </c>
      <c r="O2595" s="879" t="s">
        <v>1033</v>
      </c>
      <c r="P2595" s="879" t="s">
        <v>524</v>
      </c>
      <c r="Q2595" s="879" t="s">
        <v>400</v>
      </c>
      <c r="R2595" s="880">
        <v>46106</v>
      </c>
      <c r="S2595" s="879" t="s">
        <v>670</v>
      </c>
      <c r="T2595" s="880">
        <v>46112</v>
      </c>
      <c r="U2595" s="883">
        <v>0</v>
      </c>
      <c r="V2595" s="882">
        <v>14500</v>
      </c>
      <c r="W2595" s="260">
        <v>46082</v>
      </c>
    </row>
    <row r="2596" spans="1:23" hidden="1" x14ac:dyDescent="0.35">
      <c r="A2596" s="879" t="s">
        <v>526</v>
      </c>
      <c r="B2596" s="879" t="s">
        <v>53</v>
      </c>
      <c r="C2596" s="879" t="s">
        <v>670</v>
      </c>
      <c r="D2596" s="879" t="s">
        <v>385</v>
      </c>
      <c r="E2596" s="879" t="s">
        <v>386</v>
      </c>
      <c r="F2596" s="879" t="s">
        <v>276</v>
      </c>
      <c r="G2596" s="879" t="s">
        <v>472</v>
      </c>
      <c r="H2596" s="879" t="s">
        <v>670</v>
      </c>
      <c r="I2596" s="879" t="s">
        <v>277</v>
      </c>
      <c r="J2596" s="879" t="s">
        <v>1004</v>
      </c>
      <c r="K2596" s="879" t="s">
        <v>670</v>
      </c>
      <c r="L2596" s="879" t="s">
        <v>529</v>
      </c>
      <c r="M2596" s="879" t="s">
        <v>285</v>
      </c>
      <c r="N2596" s="879" t="s">
        <v>670</v>
      </c>
      <c r="O2596" s="879" t="s">
        <v>687</v>
      </c>
      <c r="P2596" s="879" t="s">
        <v>524</v>
      </c>
      <c r="Q2596" s="879" t="s">
        <v>400</v>
      </c>
      <c r="R2596" s="880">
        <v>46106</v>
      </c>
      <c r="S2596" s="879" t="s">
        <v>670</v>
      </c>
      <c r="T2596" s="880">
        <v>46112</v>
      </c>
      <c r="U2596" s="883">
        <v>0</v>
      </c>
      <c r="V2596" s="882">
        <v>5500</v>
      </c>
      <c r="W2596" s="260">
        <v>46082</v>
      </c>
    </row>
    <row r="2597" spans="1:23" hidden="1" x14ac:dyDescent="0.35">
      <c r="A2597" s="879" t="s">
        <v>526</v>
      </c>
      <c r="B2597" s="879" t="s">
        <v>53</v>
      </c>
      <c r="C2597" s="879" t="s">
        <v>670</v>
      </c>
      <c r="D2597" s="879" t="s">
        <v>385</v>
      </c>
      <c r="E2597" s="879" t="s">
        <v>386</v>
      </c>
      <c r="F2597" s="879" t="s">
        <v>276</v>
      </c>
      <c r="G2597" s="879" t="s">
        <v>472</v>
      </c>
      <c r="H2597" s="879" t="s">
        <v>670</v>
      </c>
      <c r="I2597" s="879" t="s">
        <v>277</v>
      </c>
      <c r="J2597" s="879" t="s">
        <v>1004</v>
      </c>
      <c r="K2597" s="879" t="s">
        <v>670</v>
      </c>
      <c r="L2597" s="879" t="s">
        <v>529</v>
      </c>
      <c r="M2597" s="879" t="s">
        <v>285</v>
      </c>
      <c r="N2597" s="879" t="s">
        <v>670</v>
      </c>
      <c r="O2597" s="879" t="s">
        <v>1047</v>
      </c>
      <c r="P2597" s="879" t="s">
        <v>524</v>
      </c>
      <c r="Q2597" s="879" t="s">
        <v>400</v>
      </c>
      <c r="R2597" s="880">
        <v>46106</v>
      </c>
      <c r="S2597" s="879" t="s">
        <v>670</v>
      </c>
      <c r="T2597" s="880">
        <v>46112</v>
      </c>
      <c r="U2597" s="883">
        <v>0</v>
      </c>
      <c r="V2597" s="882">
        <v>8229</v>
      </c>
      <c r="W2597" s="260">
        <v>46082</v>
      </c>
    </row>
    <row r="2598" spans="1:23" hidden="1" x14ac:dyDescent="0.35">
      <c r="A2598" s="879" t="s">
        <v>526</v>
      </c>
      <c r="B2598" s="879" t="s">
        <v>53</v>
      </c>
      <c r="C2598" s="879" t="s">
        <v>670</v>
      </c>
      <c r="D2598" s="879" t="s">
        <v>385</v>
      </c>
      <c r="E2598" s="879" t="s">
        <v>386</v>
      </c>
      <c r="F2598" s="879" t="s">
        <v>276</v>
      </c>
      <c r="G2598" s="879" t="s">
        <v>472</v>
      </c>
      <c r="H2598" s="879" t="s">
        <v>670</v>
      </c>
      <c r="I2598" s="879" t="s">
        <v>277</v>
      </c>
      <c r="J2598" s="879" t="s">
        <v>1004</v>
      </c>
      <c r="K2598" s="879" t="s">
        <v>670</v>
      </c>
      <c r="L2598" s="879" t="s">
        <v>529</v>
      </c>
      <c r="M2598" s="879" t="s">
        <v>285</v>
      </c>
      <c r="N2598" s="879" t="s">
        <v>670</v>
      </c>
      <c r="O2598" s="879">
        <v>7000002054</v>
      </c>
      <c r="P2598" s="879" t="s">
        <v>524</v>
      </c>
      <c r="Q2598" s="879" t="s">
        <v>400</v>
      </c>
      <c r="R2598" s="880">
        <v>46106</v>
      </c>
      <c r="S2598" s="879" t="s">
        <v>670</v>
      </c>
      <c r="T2598" s="880">
        <v>46112</v>
      </c>
      <c r="U2598" s="883">
        <v>0</v>
      </c>
      <c r="V2598" s="882">
        <v>214067</v>
      </c>
      <c r="W2598" s="260">
        <v>46082</v>
      </c>
    </row>
    <row r="2599" spans="1:23" hidden="1" x14ac:dyDescent="0.35">
      <c r="A2599" s="879" t="s">
        <v>526</v>
      </c>
      <c r="B2599" s="879" t="s">
        <v>53</v>
      </c>
      <c r="C2599" s="879" t="s">
        <v>670</v>
      </c>
      <c r="D2599" s="879" t="s">
        <v>385</v>
      </c>
      <c r="E2599" s="879" t="s">
        <v>386</v>
      </c>
      <c r="F2599" s="879" t="s">
        <v>276</v>
      </c>
      <c r="G2599" s="879" t="s">
        <v>472</v>
      </c>
      <c r="H2599" s="879" t="s">
        <v>670</v>
      </c>
      <c r="I2599" s="879" t="s">
        <v>277</v>
      </c>
      <c r="J2599" s="879" t="s">
        <v>1004</v>
      </c>
      <c r="K2599" s="879" t="s">
        <v>670</v>
      </c>
      <c r="L2599" s="879" t="s">
        <v>529</v>
      </c>
      <c r="M2599" s="879" t="s">
        <v>285</v>
      </c>
      <c r="N2599" s="879" t="s">
        <v>670</v>
      </c>
      <c r="O2599" s="879" t="s">
        <v>866</v>
      </c>
      <c r="P2599" s="879" t="s">
        <v>524</v>
      </c>
      <c r="Q2599" s="879" t="s">
        <v>400</v>
      </c>
      <c r="R2599" s="880">
        <v>46106</v>
      </c>
      <c r="S2599" s="879" t="s">
        <v>670</v>
      </c>
      <c r="T2599" s="880">
        <v>46112</v>
      </c>
      <c r="U2599" s="883">
        <v>0</v>
      </c>
      <c r="V2599" s="882">
        <v>412059</v>
      </c>
      <c r="W2599" s="260">
        <v>46082</v>
      </c>
    </row>
    <row r="2600" spans="1:23" hidden="1" x14ac:dyDescent="0.35">
      <c r="A2600" s="879" t="s">
        <v>526</v>
      </c>
      <c r="B2600" s="879" t="s">
        <v>53</v>
      </c>
      <c r="C2600" s="879" t="s">
        <v>670</v>
      </c>
      <c r="D2600" s="879" t="s">
        <v>385</v>
      </c>
      <c r="E2600" s="879" t="s">
        <v>386</v>
      </c>
      <c r="F2600" s="879" t="s">
        <v>276</v>
      </c>
      <c r="G2600" s="879" t="s">
        <v>472</v>
      </c>
      <c r="H2600" s="879" t="s">
        <v>670</v>
      </c>
      <c r="I2600" s="879" t="s">
        <v>277</v>
      </c>
      <c r="J2600" s="879" t="s">
        <v>1004</v>
      </c>
      <c r="K2600" s="879" t="s">
        <v>670</v>
      </c>
      <c r="L2600" s="879" t="s">
        <v>529</v>
      </c>
      <c r="M2600" s="879" t="s">
        <v>285</v>
      </c>
      <c r="N2600" s="879" t="s">
        <v>670</v>
      </c>
      <c r="O2600" s="879" t="s">
        <v>678</v>
      </c>
      <c r="P2600" s="879" t="s">
        <v>524</v>
      </c>
      <c r="Q2600" s="879" t="s">
        <v>400</v>
      </c>
      <c r="R2600" s="880">
        <v>46106</v>
      </c>
      <c r="S2600" s="879" t="s">
        <v>670</v>
      </c>
      <c r="T2600" s="880">
        <v>46112</v>
      </c>
      <c r="U2600" s="883">
        <v>0</v>
      </c>
      <c r="V2600" s="882">
        <v>1951</v>
      </c>
      <c r="W2600" s="260">
        <v>46082</v>
      </c>
    </row>
    <row r="2601" spans="1:23" hidden="1" x14ac:dyDescent="0.35">
      <c r="A2601" s="879" t="s">
        <v>526</v>
      </c>
      <c r="B2601" s="879" t="s">
        <v>53</v>
      </c>
      <c r="C2601" s="879" t="s">
        <v>670</v>
      </c>
      <c r="D2601" s="879" t="s">
        <v>385</v>
      </c>
      <c r="E2601" s="879" t="s">
        <v>386</v>
      </c>
      <c r="F2601" s="879" t="s">
        <v>276</v>
      </c>
      <c r="G2601" s="879" t="s">
        <v>472</v>
      </c>
      <c r="H2601" s="879" t="s">
        <v>670</v>
      </c>
      <c r="I2601" s="879" t="s">
        <v>277</v>
      </c>
      <c r="J2601" s="879" t="s">
        <v>1004</v>
      </c>
      <c r="K2601" s="879" t="s">
        <v>670</v>
      </c>
      <c r="L2601" s="879" t="s">
        <v>529</v>
      </c>
      <c r="M2601" s="879" t="s">
        <v>285</v>
      </c>
      <c r="N2601" s="879" t="s">
        <v>670</v>
      </c>
      <c r="O2601" s="879" t="s">
        <v>684</v>
      </c>
      <c r="P2601" s="879" t="s">
        <v>524</v>
      </c>
      <c r="Q2601" s="879" t="s">
        <v>400</v>
      </c>
      <c r="R2601" s="880">
        <v>46106</v>
      </c>
      <c r="S2601" s="879" t="s">
        <v>670</v>
      </c>
      <c r="T2601" s="880">
        <v>46112</v>
      </c>
      <c r="U2601" s="883">
        <v>0</v>
      </c>
      <c r="V2601" s="882">
        <v>70570</v>
      </c>
      <c r="W2601" s="260">
        <v>46082</v>
      </c>
    </row>
    <row r="2602" spans="1:23" hidden="1" x14ac:dyDescent="0.35">
      <c r="A2602" s="879" t="s">
        <v>526</v>
      </c>
      <c r="B2602" s="879" t="s">
        <v>53</v>
      </c>
      <c r="C2602" s="879" t="s">
        <v>799</v>
      </c>
      <c r="D2602" s="879" t="s">
        <v>385</v>
      </c>
      <c r="E2602" s="879" t="s">
        <v>386</v>
      </c>
      <c r="F2602" s="879" t="s">
        <v>276</v>
      </c>
      <c r="G2602" s="879" t="s">
        <v>472</v>
      </c>
      <c r="H2602" s="879" t="s">
        <v>670</v>
      </c>
      <c r="I2602" s="879" t="s">
        <v>277</v>
      </c>
      <c r="J2602" s="879" t="s">
        <v>1004</v>
      </c>
      <c r="K2602" s="879" t="s">
        <v>800</v>
      </c>
      <c r="L2602" s="879" t="s">
        <v>529</v>
      </c>
      <c r="M2602" s="879" t="s">
        <v>285</v>
      </c>
      <c r="N2602" s="879" t="s">
        <v>670</v>
      </c>
      <c r="O2602" s="879" t="s">
        <v>670</v>
      </c>
      <c r="P2602" s="879" t="s">
        <v>524</v>
      </c>
      <c r="Q2602" s="879" t="s">
        <v>670</v>
      </c>
      <c r="R2602" s="880">
        <v>46113</v>
      </c>
      <c r="S2602" s="879" t="s">
        <v>670</v>
      </c>
      <c r="T2602" s="880">
        <v>46112</v>
      </c>
      <c r="U2602" s="883">
        <v>0</v>
      </c>
      <c r="V2602" s="882">
        <v>4264.6099999999997</v>
      </c>
      <c r="W2602" s="260">
        <v>46082</v>
      </c>
    </row>
    <row r="2603" spans="1:23" hidden="1" x14ac:dyDescent="0.35">
      <c r="A2603" s="879" t="s">
        <v>526</v>
      </c>
      <c r="B2603" s="879" t="s">
        <v>53</v>
      </c>
      <c r="C2603" s="879" t="s">
        <v>799</v>
      </c>
      <c r="D2603" s="879" t="s">
        <v>801</v>
      </c>
      <c r="E2603" s="879" t="s">
        <v>802</v>
      </c>
      <c r="F2603" s="879" t="s">
        <v>276</v>
      </c>
      <c r="G2603" s="879" t="s">
        <v>472</v>
      </c>
      <c r="H2603" s="879" t="s">
        <v>670</v>
      </c>
      <c r="I2603" s="879" t="s">
        <v>277</v>
      </c>
      <c r="J2603" s="879" t="s">
        <v>1004</v>
      </c>
      <c r="K2603" s="879" t="s">
        <v>800</v>
      </c>
      <c r="L2603" s="879" t="s">
        <v>529</v>
      </c>
      <c r="M2603" s="879" t="s">
        <v>285</v>
      </c>
      <c r="N2603" s="879" t="s">
        <v>670</v>
      </c>
      <c r="O2603" s="879" t="s">
        <v>670</v>
      </c>
      <c r="P2603" s="879" t="s">
        <v>524</v>
      </c>
      <c r="Q2603" s="879" t="s">
        <v>670</v>
      </c>
      <c r="R2603" s="880">
        <v>46113</v>
      </c>
      <c r="S2603" s="879" t="s">
        <v>670</v>
      </c>
      <c r="T2603" s="880">
        <v>46112</v>
      </c>
      <c r="U2603" s="883">
        <v>0</v>
      </c>
      <c r="V2603" s="882">
        <v>420.5</v>
      </c>
      <c r="W2603" s="260">
        <v>46082</v>
      </c>
    </row>
    <row r="2604" spans="1:23" hidden="1" x14ac:dyDescent="0.35">
      <c r="A2604" s="879" t="s">
        <v>526</v>
      </c>
      <c r="B2604" s="879" t="s">
        <v>53</v>
      </c>
      <c r="C2604" s="879" t="s">
        <v>670</v>
      </c>
      <c r="D2604" s="879" t="s">
        <v>762</v>
      </c>
      <c r="E2604" s="879" t="s">
        <v>763</v>
      </c>
      <c r="F2604" s="879" t="s">
        <v>276</v>
      </c>
      <c r="G2604" s="879" t="s">
        <v>472</v>
      </c>
      <c r="H2604" s="879" t="s">
        <v>670</v>
      </c>
      <c r="I2604" s="879" t="s">
        <v>277</v>
      </c>
      <c r="J2604" s="879" t="s">
        <v>1004</v>
      </c>
      <c r="K2604" s="879" t="s">
        <v>670</v>
      </c>
      <c r="L2604" s="879" t="s">
        <v>529</v>
      </c>
      <c r="M2604" s="879" t="s">
        <v>285</v>
      </c>
      <c r="N2604" s="879" t="s">
        <v>764</v>
      </c>
      <c r="O2604" s="879" t="s">
        <v>765</v>
      </c>
      <c r="P2604" s="879" t="s">
        <v>524</v>
      </c>
      <c r="Q2604" s="879" t="s">
        <v>387</v>
      </c>
      <c r="R2604" s="880">
        <v>46083</v>
      </c>
      <c r="S2604" s="879" t="s">
        <v>388</v>
      </c>
      <c r="T2604" s="880">
        <v>46101</v>
      </c>
      <c r="U2604" s="881">
        <v>1</v>
      </c>
      <c r="V2604" s="882">
        <v>22040</v>
      </c>
      <c r="W2604" s="260">
        <v>46082</v>
      </c>
    </row>
    <row r="2605" spans="1:23" hidden="1" x14ac:dyDescent="0.35">
      <c r="A2605" s="879" t="s">
        <v>526</v>
      </c>
      <c r="B2605" s="879" t="s">
        <v>53</v>
      </c>
      <c r="C2605" s="879" t="s">
        <v>670</v>
      </c>
      <c r="D2605" s="879" t="s">
        <v>762</v>
      </c>
      <c r="E2605" s="879" t="s">
        <v>763</v>
      </c>
      <c r="F2605" s="879" t="s">
        <v>276</v>
      </c>
      <c r="G2605" s="879" t="s">
        <v>472</v>
      </c>
      <c r="H2605" s="879" t="s">
        <v>670</v>
      </c>
      <c r="I2605" s="879" t="s">
        <v>277</v>
      </c>
      <c r="J2605" s="879" t="s">
        <v>1004</v>
      </c>
      <c r="K2605" s="879" t="s">
        <v>670</v>
      </c>
      <c r="L2605" s="879" t="s">
        <v>529</v>
      </c>
      <c r="M2605" s="879" t="s">
        <v>285</v>
      </c>
      <c r="N2605" s="879" t="s">
        <v>764</v>
      </c>
      <c r="O2605" s="879" t="s">
        <v>765</v>
      </c>
      <c r="P2605" s="879" t="s">
        <v>524</v>
      </c>
      <c r="Q2605" s="879" t="s">
        <v>387</v>
      </c>
      <c r="R2605" s="880">
        <v>46024</v>
      </c>
      <c r="S2605" s="879" t="s">
        <v>388</v>
      </c>
      <c r="T2605" s="880">
        <v>46101</v>
      </c>
      <c r="U2605" s="881">
        <v>1</v>
      </c>
      <c r="V2605" s="882">
        <v>25520</v>
      </c>
      <c r="W2605" s="260">
        <v>46082</v>
      </c>
    </row>
    <row r="2606" spans="1:23" hidden="1" x14ac:dyDescent="0.35">
      <c r="A2606" s="879" t="s">
        <v>526</v>
      </c>
      <c r="B2606" s="879" t="s">
        <v>53</v>
      </c>
      <c r="C2606" s="879" t="s">
        <v>521</v>
      </c>
      <c r="D2606" s="879" t="s">
        <v>681</v>
      </c>
      <c r="E2606" s="879" t="s">
        <v>682</v>
      </c>
      <c r="F2606" s="879" t="s">
        <v>276</v>
      </c>
      <c r="G2606" s="879" t="s">
        <v>472</v>
      </c>
      <c r="H2606" s="879" t="s">
        <v>670</v>
      </c>
      <c r="I2606" s="879" t="s">
        <v>277</v>
      </c>
      <c r="J2606" s="879" t="s">
        <v>1004</v>
      </c>
      <c r="K2606" s="879" t="s">
        <v>683</v>
      </c>
      <c r="L2606" s="879" t="s">
        <v>529</v>
      </c>
      <c r="M2606" s="879" t="s">
        <v>285</v>
      </c>
      <c r="N2606" s="879" t="s">
        <v>670</v>
      </c>
      <c r="O2606" s="879" t="s">
        <v>670</v>
      </c>
      <c r="P2606" s="879" t="s">
        <v>524</v>
      </c>
      <c r="Q2606" s="879" t="s">
        <v>670</v>
      </c>
      <c r="R2606" s="880">
        <v>46113</v>
      </c>
      <c r="S2606" s="879" t="s">
        <v>670</v>
      </c>
      <c r="T2606" s="880">
        <v>46112</v>
      </c>
      <c r="U2606" s="883">
        <v>0</v>
      </c>
      <c r="V2606" s="882">
        <v>4326</v>
      </c>
      <c r="W2606" s="260">
        <v>46082</v>
      </c>
    </row>
    <row r="2607" spans="1:23" hidden="1" x14ac:dyDescent="0.35">
      <c r="V2607" s="923">
        <v>469301</v>
      </c>
    </row>
    <row r="2608" spans="1:23" hidden="1" x14ac:dyDescent="0.35">
      <c r="A2608" s="879" t="s">
        <v>526</v>
      </c>
      <c r="B2608" s="879" t="s">
        <v>159</v>
      </c>
      <c r="C2608" s="879" t="s">
        <v>973</v>
      </c>
      <c r="D2608" s="879" t="s">
        <v>974</v>
      </c>
      <c r="E2608" s="879" t="s">
        <v>975</v>
      </c>
      <c r="F2608" s="879" t="s">
        <v>276</v>
      </c>
      <c r="G2608" s="879" t="s">
        <v>472</v>
      </c>
      <c r="H2608" s="879" t="s">
        <v>670</v>
      </c>
      <c r="I2608" s="879" t="s">
        <v>277</v>
      </c>
      <c r="J2608" s="879" t="s">
        <v>997</v>
      </c>
      <c r="K2608" s="879" t="s">
        <v>976</v>
      </c>
      <c r="L2608" s="879" t="s">
        <v>536</v>
      </c>
      <c r="M2608" s="879" t="s">
        <v>285</v>
      </c>
      <c r="N2608" s="879" t="s">
        <v>670</v>
      </c>
      <c r="O2608" s="879" t="s">
        <v>670</v>
      </c>
      <c r="P2608" s="879" t="s">
        <v>522</v>
      </c>
      <c r="Q2608" s="879" t="s">
        <v>670</v>
      </c>
      <c r="R2608" s="880">
        <v>46143</v>
      </c>
      <c r="S2608" s="879" t="s">
        <v>670</v>
      </c>
      <c r="T2608" s="880">
        <v>46142</v>
      </c>
      <c r="U2608" s="883">
        <v>0</v>
      </c>
      <c r="V2608" s="882">
        <v>377.3</v>
      </c>
      <c r="W2608" s="260">
        <v>46113</v>
      </c>
    </row>
    <row r="2609" spans="1:24" hidden="1" x14ac:dyDescent="0.35">
      <c r="A2609" s="879" t="s">
        <v>526</v>
      </c>
      <c r="B2609" s="879" t="s">
        <v>159</v>
      </c>
      <c r="C2609" s="879" t="s">
        <v>977</v>
      </c>
      <c r="D2609" s="879" t="s">
        <v>978</v>
      </c>
      <c r="E2609" s="879" t="s">
        <v>979</v>
      </c>
      <c r="F2609" s="879" t="s">
        <v>276</v>
      </c>
      <c r="G2609" s="879" t="s">
        <v>472</v>
      </c>
      <c r="H2609" s="879" t="s">
        <v>670</v>
      </c>
      <c r="I2609" s="879" t="s">
        <v>277</v>
      </c>
      <c r="J2609" s="879" t="s">
        <v>997</v>
      </c>
      <c r="K2609" s="879" t="s">
        <v>980</v>
      </c>
      <c r="L2609" s="879" t="s">
        <v>536</v>
      </c>
      <c r="M2609" s="879" t="s">
        <v>285</v>
      </c>
      <c r="N2609" s="879" t="s">
        <v>670</v>
      </c>
      <c r="O2609" s="879" t="s">
        <v>670</v>
      </c>
      <c r="P2609" s="879" t="s">
        <v>522</v>
      </c>
      <c r="Q2609" s="879" t="s">
        <v>670</v>
      </c>
      <c r="R2609" s="880">
        <v>46143</v>
      </c>
      <c r="S2609" s="879" t="s">
        <v>670</v>
      </c>
      <c r="T2609" s="880">
        <v>46142</v>
      </c>
      <c r="U2609" s="883">
        <v>0</v>
      </c>
      <c r="V2609" s="882">
        <v>1055.3399999999999</v>
      </c>
      <c r="W2609" s="260">
        <v>46113</v>
      </c>
    </row>
    <row r="2610" spans="1:24" hidden="1" x14ac:dyDescent="0.35">
      <c r="A2610" s="879" t="s">
        <v>526</v>
      </c>
      <c r="B2610" s="879" t="s">
        <v>159</v>
      </c>
      <c r="C2610" s="879" t="s">
        <v>973</v>
      </c>
      <c r="D2610" s="879" t="s">
        <v>981</v>
      </c>
      <c r="E2610" s="879" t="s">
        <v>982</v>
      </c>
      <c r="F2610" s="879" t="s">
        <v>276</v>
      </c>
      <c r="G2610" s="879" t="s">
        <v>472</v>
      </c>
      <c r="H2610" s="879" t="s">
        <v>670</v>
      </c>
      <c r="I2610" s="879" t="s">
        <v>277</v>
      </c>
      <c r="J2610" s="879" t="s">
        <v>997</v>
      </c>
      <c r="K2610" s="879" t="s">
        <v>976</v>
      </c>
      <c r="L2610" s="879" t="s">
        <v>536</v>
      </c>
      <c r="M2610" s="879" t="s">
        <v>285</v>
      </c>
      <c r="N2610" s="879" t="s">
        <v>670</v>
      </c>
      <c r="O2610" s="879" t="s">
        <v>670</v>
      </c>
      <c r="P2610" s="879" t="s">
        <v>522</v>
      </c>
      <c r="Q2610" s="879" t="s">
        <v>670</v>
      </c>
      <c r="R2610" s="880">
        <v>46143</v>
      </c>
      <c r="S2610" s="879" t="s">
        <v>670</v>
      </c>
      <c r="T2610" s="880">
        <v>46142</v>
      </c>
      <c r="U2610" s="883">
        <v>0</v>
      </c>
      <c r="V2610" s="882">
        <v>234.24</v>
      </c>
      <c r="W2610" s="260">
        <v>46113</v>
      </c>
    </row>
    <row r="2611" spans="1:24" hidden="1" x14ac:dyDescent="0.35">
      <c r="A2611" s="879" t="s">
        <v>526</v>
      </c>
      <c r="B2611" s="879" t="s">
        <v>159</v>
      </c>
      <c r="C2611" s="879" t="s">
        <v>973</v>
      </c>
      <c r="D2611" s="879" t="s">
        <v>983</v>
      </c>
      <c r="E2611" s="879" t="s">
        <v>984</v>
      </c>
      <c r="F2611" s="879" t="s">
        <v>276</v>
      </c>
      <c r="G2611" s="879" t="s">
        <v>472</v>
      </c>
      <c r="H2611" s="879" t="s">
        <v>670</v>
      </c>
      <c r="I2611" s="879" t="s">
        <v>277</v>
      </c>
      <c r="J2611" s="879" t="s">
        <v>997</v>
      </c>
      <c r="K2611" s="879" t="s">
        <v>985</v>
      </c>
      <c r="L2611" s="879" t="s">
        <v>536</v>
      </c>
      <c r="M2611" s="879" t="s">
        <v>285</v>
      </c>
      <c r="N2611" s="879" t="s">
        <v>670</v>
      </c>
      <c r="O2611" s="879" t="s">
        <v>670</v>
      </c>
      <c r="P2611" s="879" t="s">
        <v>522</v>
      </c>
      <c r="Q2611" s="879" t="s">
        <v>670</v>
      </c>
      <c r="R2611" s="880">
        <v>46143</v>
      </c>
      <c r="S2611" s="879" t="s">
        <v>670</v>
      </c>
      <c r="T2611" s="880">
        <v>46142</v>
      </c>
      <c r="U2611" s="883">
        <v>0</v>
      </c>
      <c r="V2611" s="882">
        <v>119.39</v>
      </c>
      <c r="W2611" s="260">
        <v>46113</v>
      </c>
    </row>
    <row r="2612" spans="1:24" hidden="1" x14ac:dyDescent="0.35">
      <c r="A2612" s="879" t="s">
        <v>526</v>
      </c>
      <c r="B2612" s="879" t="s">
        <v>159</v>
      </c>
      <c r="C2612" s="879" t="s">
        <v>977</v>
      </c>
      <c r="D2612" s="879" t="s">
        <v>986</v>
      </c>
      <c r="E2612" s="879" t="s">
        <v>987</v>
      </c>
      <c r="F2612" s="879" t="s">
        <v>276</v>
      </c>
      <c r="G2612" s="879" t="s">
        <v>472</v>
      </c>
      <c r="H2612" s="879" t="s">
        <v>670</v>
      </c>
      <c r="I2612" s="879" t="s">
        <v>277</v>
      </c>
      <c r="J2612" s="879" t="s">
        <v>997</v>
      </c>
      <c r="K2612" s="879" t="s">
        <v>988</v>
      </c>
      <c r="L2612" s="879" t="s">
        <v>536</v>
      </c>
      <c r="M2612" s="879" t="s">
        <v>285</v>
      </c>
      <c r="N2612" s="879" t="s">
        <v>670</v>
      </c>
      <c r="O2612" s="879" t="s">
        <v>670</v>
      </c>
      <c r="P2612" s="879" t="s">
        <v>522</v>
      </c>
      <c r="Q2612" s="879" t="s">
        <v>670</v>
      </c>
      <c r="R2612" s="880">
        <v>46143</v>
      </c>
      <c r="S2612" s="879" t="s">
        <v>670</v>
      </c>
      <c r="T2612" s="880">
        <v>46142</v>
      </c>
      <c r="U2612" s="883">
        <v>0</v>
      </c>
      <c r="V2612" s="882">
        <v>480.57</v>
      </c>
      <c r="W2612" s="260">
        <v>46113</v>
      </c>
    </row>
    <row r="2613" spans="1:24" hidden="1" x14ac:dyDescent="0.35">
      <c r="A2613" s="879" t="s">
        <v>526</v>
      </c>
      <c r="B2613" s="879" t="s">
        <v>159</v>
      </c>
      <c r="C2613" s="879" t="s">
        <v>281</v>
      </c>
      <c r="D2613" s="879" t="s">
        <v>282</v>
      </c>
      <c r="E2613" s="879" t="s">
        <v>283</v>
      </c>
      <c r="F2613" s="879" t="s">
        <v>276</v>
      </c>
      <c r="G2613" s="879" t="s">
        <v>472</v>
      </c>
      <c r="H2613" s="879" t="s">
        <v>670</v>
      </c>
      <c r="I2613" s="879" t="s">
        <v>277</v>
      </c>
      <c r="J2613" s="879" t="s">
        <v>997</v>
      </c>
      <c r="K2613" s="879" t="s">
        <v>284</v>
      </c>
      <c r="L2613" s="879" t="s">
        <v>536</v>
      </c>
      <c r="M2613" s="879" t="s">
        <v>285</v>
      </c>
      <c r="N2613" s="879" t="s">
        <v>670</v>
      </c>
      <c r="O2613" s="879" t="s">
        <v>670</v>
      </c>
      <c r="P2613" s="879" t="s">
        <v>522</v>
      </c>
      <c r="Q2613" s="879" t="s">
        <v>670</v>
      </c>
      <c r="R2613" s="880">
        <v>46143</v>
      </c>
      <c r="S2613" s="879" t="s">
        <v>670</v>
      </c>
      <c r="T2613" s="880">
        <v>46142</v>
      </c>
      <c r="U2613" s="883">
        <v>0</v>
      </c>
      <c r="V2613" s="882">
        <v>777.01</v>
      </c>
      <c r="W2613" s="260">
        <v>46113</v>
      </c>
    </row>
    <row r="2614" spans="1:24" hidden="1" x14ac:dyDescent="0.35">
      <c r="A2614" s="879" t="s">
        <v>526</v>
      </c>
      <c r="B2614" s="879" t="s">
        <v>159</v>
      </c>
      <c r="C2614" s="879" t="s">
        <v>286</v>
      </c>
      <c r="D2614" s="879" t="s">
        <v>287</v>
      </c>
      <c r="E2614" s="879" t="s">
        <v>288</v>
      </c>
      <c r="F2614" s="879" t="s">
        <v>276</v>
      </c>
      <c r="G2614" s="879" t="s">
        <v>472</v>
      </c>
      <c r="H2614" s="879" t="s">
        <v>670</v>
      </c>
      <c r="I2614" s="879" t="s">
        <v>277</v>
      </c>
      <c r="J2614" s="879" t="s">
        <v>997</v>
      </c>
      <c r="K2614" s="879" t="s">
        <v>289</v>
      </c>
      <c r="L2614" s="879" t="s">
        <v>536</v>
      </c>
      <c r="M2614" s="879" t="s">
        <v>285</v>
      </c>
      <c r="N2614" s="879" t="s">
        <v>670</v>
      </c>
      <c r="O2614" s="879" t="s">
        <v>670</v>
      </c>
      <c r="P2614" s="879" t="s">
        <v>522</v>
      </c>
      <c r="Q2614" s="879" t="s">
        <v>670</v>
      </c>
      <c r="R2614" s="880">
        <v>46143</v>
      </c>
      <c r="S2614" s="879" t="s">
        <v>670</v>
      </c>
      <c r="T2614" s="880">
        <v>46142</v>
      </c>
      <c r="U2614" s="883">
        <v>0</v>
      </c>
      <c r="V2614" s="882">
        <v>2173.34</v>
      </c>
      <c r="W2614" s="260">
        <v>46113</v>
      </c>
    </row>
    <row r="2615" spans="1:24" hidden="1" x14ac:dyDescent="0.35">
      <c r="A2615" s="879" t="s">
        <v>526</v>
      </c>
      <c r="B2615" s="879" t="s">
        <v>159</v>
      </c>
      <c r="C2615" s="879" t="s">
        <v>281</v>
      </c>
      <c r="D2615" s="879" t="s">
        <v>290</v>
      </c>
      <c r="E2615" s="879" t="s">
        <v>291</v>
      </c>
      <c r="F2615" s="879" t="s">
        <v>276</v>
      </c>
      <c r="G2615" s="879" t="s">
        <v>472</v>
      </c>
      <c r="H2615" s="879" t="s">
        <v>670</v>
      </c>
      <c r="I2615" s="879" t="s">
        <v>277</v>
      </c>
      <c r="J2615" s="879" t="s">
        <v>997</v>
      </c>
      <c r="K2615" s="879" t="s">
        <v>284</v>
      </c>
      <c r="L2615" s="879" t="s">
        <v>536</v>
      </c>
      <c r="M2615" s="879" t="s">
        <v>285</v>
      </c>
      <c r="N2615" s="879" t="s">
        <v>670</v>
      </c>
      <c r="O2615" s="879" t="s">
        <v>670</v>
      </c>
      <c r="P2615" s="879" t="s">
        <v>522</v>
      </c>
      <c r="Q2615" s="879" t="s">
        <v>670</v>
      </c>
      <c r="R2615" s="880">
        <v>46143</v>
      </c>
      <c r="S2615" s="879" t="s">
        <v>670</v>
      </c>
      <c r="T2615" s="880">
        <v>46142</v>
      </c>
      <c r="U2615" s="883">
        <v>0</v>
      </c>
      <c r="V2615" s="882">
        <v>482.39</v>
      </c>
      <c r="W2615" s="260">
        <v>46113</v>
      </c>
    </row>
    <row r="2616" spans="1:24" hidden="1" x14ac:dyDescent="0.35">
      <c r="A2616" s="879" t="s">
        <v>526</v>
      </c>
      <c r="B2616" s="879" t="s">
        <v>159</v>
      </c>
      <c r="C2616" s="879" t="s">
        <v>281</v>
      </c>
      <c r="D2616" s="879" t="s">
        <v>292</v>
      </c>
      <c r="E2616" s="879" t="s">
        <v>293</v>
      </c>
      <c r="F2616" s="879" t="s">
        <v>276</v>
      </c>
      <c r="G2616" s="879" t="s">
        <v>472</v>
      </c>
      <c r="H2616" s="879" t="s">
        <v>670</v>
      </c>
      <c r="I2616" s="879" t="s">
        <v>277</v>
      </c>
      <c r="J2616" s="879" t="s">
        <v>997</v>
      </c>
      <c r="K2616" s="879" t="s">
        <v>294</v>
      </c>
      <c r="L2616" s="879" t="s">
        <v>536</v>
      </c>
      <c r="M2616" s="879" t="s">
        <v>285</v>
      </c>
      <c r="N2616" s="879" t="s">
        <v>670</v>
      </c>
      <c r="O2616" s="879" t="s">
        <v>670</v>
      </c>
      <c r="P2616" s="879" t="s">
        <v>522</v>
      </c>
      <c r="Q2616" s="879" t="s">
        <v>670</v>
      </c>
      <c r="R2616" s="880">
        <v>46143</v>
      </c>
      <c r="S2616" s="879" t="s">
        <v>670</v>
      </c>
      <c r="T2616" s="880">
        <v>46142</v>
      </c>
      <c r="U2616" s="883">
        <v>0</v>
      </c>
      <c r="V2616" s="882">
        <v>245.86</v>
      </c>
      <c r="W2616" s="260">
        <v>46113</v>
      </c>
    </row>
    <row r="2617" spans="1:24" hidden="1" x14ac:dyDescent="0.35">
      <c r="A2617" s="879" t="s">
        <v>526</v>
      </c>
      <c r="B2617" s="879" t="s">
        <v>159</v>
      </c>
      <c r="C2617" s="879" t="s">
        <v>286</v>
      </c>
      <c r="D2617" s="879" t="s">
        <v>295</v>
      </c>
      <c r="E2617" s="879" t="s">
        <v>296</v>
      </c>
      <c r="F2617" s="879" t="s">
        <v>276</v>
      </c>
      <c r="G2617" s="879" t="s">
        <v>472</v>
      </c>
      <c r="H2617" s="879" t="s">
        <v>670</v>
      </c>
      <c r="I2617" s="879" t="s">
        <v>277</v>
      </c>
      <c r="J2617" s="879" t="s">
        <v>997</v>
      </c>
      <c r="K2617" s="879" t="s">
        <v>297</v>
      </c>
      <c r="L2617" s="879" t="s">
        <v>536</v>
      </c>
      <c r="M2617" s="879" t="s">
        <v>285</v>
      </c>
      <c r="N2617" s="879" t="s">
        <v>670</v>
      </c>
      <c r="O2617" s="879" t="s">
        <v>670</v>
      </c>
      <c r="P2617" s="879" t="s">
        <v>522</v>
      </c>
      <c r="Q2617" s="879" t="s">
        <v>670</v>
      </c>
      <c r="R2617" s="880">
        <v>46143</v>
      </c>
      <c r="S2617" s="879" t="s">
        <v>670</v>
      </c>
      <c r="T2617" s="880">
        <v>46142</v>
      </c>
      <c r="U2617" s="883">
        <v>0</v>
      </c>
      <c r="V2617" s="882">
        <v>989.67</v>
      </c>
      <c r="W2617" s="260">
        <v>46113</v>
      </c>
    </row>
    <row r="2618" spans="1:24" hidden="1" x14ac:dyDescent="0.35">
      <c r="A2618" s="879" t="s">
        <v>526</v>
      </c>
      <c r="B2618" s="879" t="s">
        <v>159</v>
      </c>
      <c r="C2618" s="879" t="s">
        <v>1049</v>
      </c>
      <c r="D2618" s="879" t="s">
        <v>1050</v>
      </c>
      <c r="E2618" s="879" t="s">
        <v>1051</v>
      </c>
      <c r="F2618" s="879" t="s">
        <v>276</v>
      </c>
      <c r="G2618" s="879" t="s">
        <v>472</v>
      </c>
      <c r="H2618" s="879" t="s">
        <v>1052</v>
      </c>
      <c r="I2618" s="879" t="s">
        <v>277</v>
      </c>
      <c r="J2618" s="879" t="s">
        <v>997</v>
      </c>
      <c r="K2618" s="879" t="s">
        <v>1053</v>
      </c>
      <c r="L2618" s="879" t="s">
        <v>536</v>
      </c>
      <c r="M2618" s="879" t="s">
        <v>1054</v>
      </c>
      <c r="N2618" s="879" t="s">
        <v>670</v>
      </c>
      <c r="O2618" s="879" t="s">
        <v>670</v>
      </c>
      <c r="P2618" s="879" t="s">
        <v>522</v>
      </c>
      <c r="Q2618" s="879" t="s">
        <v>670</v>
      </c>
      <c r="R2618" s="880">
        <v>46114</v>
      </c>
      <c r="S2618" s="879" t="s">
        <v>278</v>
      </c>
      <c r="T2618" s="880">
        <v>46118</v>
      </c>
      <c r="U2618" s="883">
        <v>8</v>
      </c>
      <c r="V2618" s="882">
        <v>532</v>
      </c>
      <c r="W2618" s="260">
        <v>46113</v>
      </c>
      <c r="X2618">
        <f>V2618/U2618</f>
        <v>66.5</v>
      </c>
    </row>
    <row r="2619" spans="1:24" hidden="1" x14ac:dyDescent="0.35">
      <c r="A2619" s="879" t="s">
        <v>526</v>
      </c>
      <c r="B2619" s="879" t="s">
        <v>159</v>
      </c>
      <c r="C2619" s="879" t="s">
        <v>1049</v>
      </c>
      <c r="D2619" s="879" t="s">
        <v>1050</v>
      </c>
      <c r="E2619" s="879" t="s">
        <v>1051</v>
      </c>
      <c r="F2619" s="879" t="s">
        <v>276</v>
      </c>
      <c r="G2619" s="879" t="s">
        <v>472</v>
      </c>
      <c r="H2619" s="879" t="s">
        <v>1052</v>
      </c>
      <c r="I2619" s="879" t="s">
        <v>277</v>
      </c>
      <c r="J2619" s="879" t="s">
        <v>997</v>
      </c>
      <c r="K2619" s="879" t="s">
        <v>1053</v>
      </c>
      <c r="L2619" s="879" t="s">
        <v>536</v>
      </c>
      <c r="M2619" s="879" t="s">
        <v>1054</v>
      </c>
      <c r="N2619" s="879" t="s">
        <v>670</v>
      </c>
      <c r="O2619" s="879" t="s">
        <v>670</v>
      </c>
      <c r="P2619" s="879" t="s">
        <v>522</v>
      </c>
      <c r="Q2619" s="879" t="s">
        <v>670</v>
      </c>
      <c r="R2619" s="880">
        <v>46115</v>
      </c>
      <c r="S2619" s="879" t="s">
        <v>278</v>
      </c>
      <c r="T2619" s="880">
        <v>46118</v>
      </c>
      <c r="U2619" s="883">
        <v>8</v>
      </c>
      <c r="V2619" s="882">
        <v>532</v>
      </c>
      <c r="W2619" s="260">
        <v>46113</v>
      </c>
      <c r="X2619" s="845">
        <f t="shared" ref="X2619:X2655" si="0">V2619/U2619</f>
        <v>66.5</v>
      </c>
    </row>
    <row r="2620" spans="1:24" hidden="1" x14ac:dyDescent="0.35">
      <c r="A2620" s="879" t="s">
        <v>526</v>
      </c>
      <c r="B2620" s="879" t="s">
        <v>159</v>
      </c>
      <c r="C2620" s="879" t="s">
        <v>1049</v>
      </c>
      <c r="D2620" s="879" t="s">
        <v>1050</v>
      </c>
      <c r="E2620" s="879" t="s">
        <v>1051</v>
      </c>
      <c r="F2620" s="879" t="s">
        <v>276</v>
      </c>
      <c r="G2620" s="879" t="s">
        <v>472</v>
      </c>
      <c r="H2620" s="879" t="s">
        <v>1052</v>
      </c>
      <c r="I2620" s="879" t="s">
        <v>277</v>
      </c>
      <c r="J2620" s="879" t="s">
        <v>997</v>
      </c>
      <c r="K2620" s="879" t="s">
        <v>1053</v>
      </c>
      <c r="L2620" s="879" t="s">
        <v>536</v>
      </c>
      <c r="M2620" s="879" t="s">
        <v>1054</v>
      </c>
      <c r="N2620" s="879" t="s">
        <v>670</v>
      </c>
      <c r="O2620" s="879" t="s">
        <v>670</v>
      </c>
      <c r="P2620" s="879" t="s">
        <v>522</v>
      </c>
      <c r="Q2620" s="879" t="s">
        <v>670</v>
      </c>
      <c r="R2620" s="880">
        <v>46118</v>
      </c>
      <c r="S2620" s="879" t="s">
        <v>278</v>
      </c>
      <c r="T2620" s="880">
        <v>46125</v>
      </c>
      <c r="U2620" s="883">
        <v>8</v>
      </c>
      <c r="V2620" s="882">
        <v>532</v>
      </c>
      <c r="W2620" s="260">
        <v>46113</v>
      </c>
      <c r="X2620" s="845">
        <f t="shared" si="0"/>
        <v>66.5</v>
      </c>
    </row>
    <row r="2621" spans="1:24" hidden="1" x14ac:dyDescent="0.35">
      <c r="A2621" s="879" t="s">
        <v>526</v>
      </c>
      <c r="B2621" s="879" t="s">
        <v>159</v>
      </c>
      <c r="C2621" s="879" t="s">
        <v>1049</v>
      </c>
      <c r="D2621" s="879" t="s">
        <v>1050</v>
      </c>
      <c r="E2621" s="879" t="s">
        <v>1051</v>
      </c>
      <c r="F2621" s="879" t="s">
        <v>276</v>
      </c>
      <c r="G2621" s="879" t="s">
        <v>472</v>
      </c>
      <c r="H2621" s="879" t="s">
        <v>1052</v>
      </c>
      <c r="I2621" s="879" t="s">
        <v>277</v>
      </c>
      <c r="J2621" s="879" t="s">
        <v>997</v>
      </c>
      <c r="K2621" s="879" t="s">
        <v>1053</v>
      </c>
      <c r="L2621" s="879" t="s">
        <v>536</v>
      </c>
      <c r="M2621" s="879" t="s">
        <v>1054</v>
      </c>
      <c r="N2621" s="879" t="s">
        <v>670</v>
      </c>
      <c r="O2621" s="879" t="s">
        <v>670</v>
      </c>
      <c r="P2621" s="879" t="s">
        <v>522</v>
      </c>
      <c r="Q2621" s="879" t="s">
        <v>670</v>
      </c>
      <c r="R2621" s="880">
        <v>46121</v>
      </c>
      <c r="S2621" s="879" t="s">
        <v>278</v>
      </c>
      <c r="T2621" s="880">
        <v>46125</v>
      </c>
      <c r="U2621" s="883">
        <v>8</v>
      </c>
      <c r="V2621" s="882">
        <v>532</v>
      </c>
      <c r="W2621" s="260">
        <v>46113</v>
      </c>
      <c r="X2621" s="845">
        <f t="shared" si="0"/>
        <v>66.5</v>
      </c>
    </row>
    <row r="2622" spans="1:24" hidden="1" x14ac:dyDescent="0.35">
      <c r="A2622" s="879" t="s">
        <v>526</v>
      </c>
      <c r="B2622" s="879" t="s">
        <v>159</v>
      </c>
      <c r="C2622" s="879" t="s">
        <v>1049</v>
      </c>
      <c r="D2622" s="879" t="s">
        <v>1050</v>
      </c>
      <c r="E2622" s="879" t="s">
        <v>1051</v>
      </c>
      <c r="F2622" s="879" t="s">
        <v>276</v>
      </c>
      <c r="G2622" s="879" t="s">
        <v>472</v>
      </c>
      <c r="H2622" s="879" t="s">
        <v>1052</v>
      </c>
      <c r="I2622" s="879" t="s">
        <v>277</v>
      </c>
      <c r="J2622" s="879" t="s">
        <v>997</v>
      </c>
      <c r="K2622" s="879" t="s">
        <v>1053</v>
      </c>
      <c r="L2622" s="879" t="s">
        <v>536</v>
      </c>
      <c r="M2622" s="879" t="s">
        <v>1054</v>
      </c>
      <c r="N2622" s="879" t="s">
        <v>670</v>
      </c>
      <c r="O2622" s="879" t="s">
        <v>670</v>
      </c>
      <c r="P2622" s="879" t="s">
        <v>522</v>
      </c>
      <c r="Q2622" s="879" t="s">
        <v>670</v>
      </c>
      <c r="R2622" s="880">
        <v>46120</v>
      </c>
      <c r="S2622" s="879" t="s">
        <v>278</v>
      </c>
      <c r="T2622" s="880">
        <v>46125</v>
      </c>
      <c r="U2622" s="883">
        <v>8</v>
      </c>
      <c r="V2622" s="882">
        <v>532</v>
      </c>
      <c r="W2622" s="260">
        <v>46113</v>
      </c>
      <c r="X2622" s="845">
        <f t="shared" si="0"/>
        <v>66.5</v>
      </c>
    </row>
    <row r="2623" spans="1:24" hidden="1" x14ac:dyDescent="0.35">
      <c r="A2623" s="879" t="s">
        <v>526</v>
      </c>
      <c r="B2623" s="879" t="s">
        <v>159</v>
      </c>
      <c r="C2623" s="879" t="s">
        <v>1049</v>
      </c>
      <c r="D2623" s="879" t="s">
        <v>1050</v>
      </c>
      <c r="E2623" s="879" t="s">
        <v>1051</v>
      </c>
      <c r="F2623" s="879" t="s">
        <v>276</v>
      </c>
      <c r="G2623" s="879" t="s">
        <v>472</v>
      </c>
      <c r="H2623" s="879" t="s">
        <v>1052</v>
      </c>
      <c r="I2623" s="879" t="s">
        <v>277</v>
      </c>
      <c r="J2623" s="879" t="s">
        <v>997</v>
      </c>
      <c r="K2623" s="879" t="s">
        <v>1053</v>
      </c>
      <c r="L2623" s="879" t="s">
        <v>536</v>
      </c>
      <c r="M2623" s="879" t="s">
        <v>1054</v>
      </c>
      <c r="N2623" s="879" t="s">
        <v>670</v>
      </c>
      <c r="O2623" s="879" t="s">
        <v>670</v>
      </c>
      <c r="P2623" s="879" t="s">
        <v>522</v>
      </c>
      <c r="Q2623" s="879" t="s">
        <v>670</v>
      </c>
      <c r="R2623" s="880">
        <v>46119</v>
      </c>
      <c r="S2623" s="879" t="s">
        <v>278</v>
      </c>
      <c r="T2623" s="880">
        <v>46125</v>
      </c>
      <c r="U2623" s="883">
        <v>8</v>
      </c>
      <c r="V2623" s="882">
        <v>532</v>
      </c>
      <c r="W2623" s="260">
        <v>46113</v>
      </c>
      <c r="X2623" s="845">
        <f t="shared" si="0"/>
        <v>66.5</v>
      </c>
    </row>
    <row r="2624" spans="1:24" hidden="1" x14ac:dyDescent="0.35">
      <c r="A2624" s="879" t="s">
        <v>526</v>
      </c>
      <c r="B2624" s="879" t="s">
        <v>159</v>
      </c>
      <c r="C2624" s="879" t="s">
        <v>1055</v>
      </c>
      <c r="D2624" s="879" t="s">
        <v>1056</v>
      </c>
      <c r="E2624" s="879" t="s">
        <v>995</v>
      </c>
      <c r="F2624" s="879" t="s">
        <v>276</v>
      </c>
      <c r="G2624" s="879" t="s">
        <v>472</v>
      </c>
      <c r="H2624" s="879" t="s">
        <v>1057</v>
      </c>
      <c r="I2624" s="879" t="s">
        <v>277</v>
      </c>
      <c r="J2624" s="879" t="s">
        <v>997</v>
      </c>
      <c r="K2624" s="879" t="s">
        <v>1058</v>
      </c>
      <c r="L2624" s="879" t="s">
        <v>536</v>
      </c>
      <c r="M2624" s="879" t="s">
        <v>1059</v>
      </c>
      <c r="N2624" s="879" t="s">
        <v>670</v>
      </c>
      <c r="O2624" s="879" t="s">
        <v>670</v>
      </c>
      <c r="P2624" s="879" t="s">
        <v>522</v>
      </c>
      <c r="Q2624" s="879" t="s">
        <v>670</v>
      </c>
      <c r="R2624" s="880">
        <v>46113</v>
      </c>
      <c r="S2624" s="879" t="s">
        <v>278</v>
      </c>
      <c r="T2624" s="880">
        <v>46119</v>
      </c>
      <c r="U2624" s="883">
        <v>8</v>
      </c>
      <c r="V2624" s="882">
        <v>922.72</v>
      </c>
      <c r="W2624" s="260">
        <v>46113</v>
      </c>
      <c r="X2624" s="845">
        <f t="shared" si="0"/>
        <v>115.34</v>
      </c>
    </row>
    <row r="2625" spans="1:24" hidden="1" x14ac:dyDescent="0.35">
      <c r="A2625" s="879" t="s">
        <v>526</v>
      </c>
      <c r="B2625" s="879" t="s">
        <v>159</v>
      </c>
      <c r="C2625" s="879" t="s">
        <v>1055</v>
      </c>
      <c r="D2625" s="879" t="s">
        <v>1056</v>
      </c>
      <c r="E2625" s="879" t="s">
        <v>995</v>
      </c>
      <c r="F2625" s="879" t="s">
        <v>276</v>
      </c>
      <c r="G2625" s="879" t="s">
        <v>472</v>
      </c>
      <c r="H2625" s="879" t="s">
        <v>1057</v>
      </c>
      <c r="I2625" s="879" t="s">
        <v>277</v>
      </c>
      <c r="J2625" s="879" t="s">
        <v>997</v>
      </c>
      <c r="K2625" s="879" t="s">
        <v>1058</v>
      </c>
      <c r="L2625" s="879" t="s">
        <v>536</v>
      </c>
      <c r="M2625" s="879" t="s">
        <v>1059</v>
      </c>
      <c r="N2625" s="879" t="s">
        <v>670</v>
      </c>
      <c r="O2625" s="879" t="s">
        <v>670</v>
      </c>
      <c r="P2625" s="879" t="s">
        <v>522</v>
      </c>
      <c r="Q2625" s="879" t="s">
        <v>670</v>
      </c>
      <c r="R2625" s="880">
        <v>46118</v>
      </c>
      <c r="S2625" s="879" t="s">
        <v>278</v>
      </c>
      <c r="T2625" s="880">
        <v>46126</v>
      </c>
      <c r="U2625" s="883">
        <v>8</v>
      </c>
      <c r="V2625" s="882">
        <v>922.72</v>
      </c>
      <c r="W2625" s="260">
        <v>46113</v>
      </c>
      <c r="X2625" s="845">
        <f t="shared" si="0"/>
        <v>115.34</v>
      </c>
    </row>
    <row r="2626" spans="1:24" hidden="1" x14ac:dyDescent="0.35">
      <c r="A2626" s="879" t="s">
        <v>526</v>
      </c>
      <c r="B2626" s="879" t="s">
        <v>159</v>
      </c>
      <c r="C2626" s="879" t="s">
        <v>530</v>
      </c>
      <c r="D2626" s="879" t="s">
        <v>531</v>
      </c>
      <c r="E2626" s="879" t="s">
        <v>532</v>
      </c>
      <c r="F2626" s="879" t="s">
        <v>276</v>
      </c>
      <c r="G2626" s="879" t="s">
        <v>472</v>
      </c>
      <c r="H2626" s="879" t="s">
        <v>565</v>
      </c>
      <c r="I2626" s="879" t="s">
        <v>277</v>
      </c>
      <c r="J2626" s="879" t="s">
        <v>997</v>
      </c>
      <c r="K2626" s="879" t="s">
        <v>534</v>
      </c>
      <c r="L2626" s="879" t="s">
        <v>536</v>
      </c>
      <c r="M2626" s="879" t="s">
        <v>566</v>
      </c>
      <c r="N2626" s="879" t="s">
        <v>670</v>
      </c>
      <c r="O2626" s="879" t="s">
        <v>670</v>
      </c>
      <c r="P2626" s="879" t="s">
        <v>522</v>
      </c>
      <c r="Q2626" s="879" t="s">
        <v>670</v>
      </c>
      <c r="R2626" s="880">
        <v>46105</v>
      </c>
      <c r="S2626" s="879" t="s">
        <v>278</v>
      </c>
      <c r="T2626" s="880">
        <v>46116</v>
      </c>
      <c r="U2626" s="883">
        <v>8</v>
      </c>
      <c r="V2626" s="882">
        <v>699.2</v>
      </c>
      <c r="W2626" s="260">
        <v>46113</v>
      </c>
      <c r="X2626" s="845">
        <f t="shared" si="0"/>
        <v>87.4</v>
      </c>
    </row>
    <row r="2627" spans="1:24" hidden="1" x14ac:dyDescent="0.35">
      <c r="A2627" s="879" t="s">
        <v>526</v>
      </c>
      <c r="B2627" s="879" t="s">
        <v>159</v>
      </c>
      <c r="C2627" s="879" t="s">
        <v>530</v>
      </c>
      <c r="D2627" s="879" t="s">
        <v>531</v>
      </c>
      <c r="E2627" s="879" t="s">
        <v>532</v>
      </c>
      <c r="F2627" s="879" t="s">
        <v>276</v>
      </c>
      <c r="G2627" s="879" t="s">
        <v>472</v>
      </c>
      <c r="H2627" s="879" t="s">
        <v>565</v>
      </c>
      <c r="I2627" s="879" t="s">
        <v>277</v>
      </c>
      <c r="J2627" s="879" t="s">
        <v>997</v>
      </c>
      <c r="K2627" s="879" t="s">
        <v>534</v>
      </c>
      <c r="L2627" s="879" t="s">
        <v>536</v>
      </c>
      <c r="M2627" s="879" t="s">
        <v>566</v>
      </c>
      <c r="N2627" s="879" t="s">
        <v>670</v>
      </c>
      <c r="O2627" s="879" t="s">
        <v>670</v>
      </c>
      <c r="P2627" s="879" t="s">
        <v>522</v>
      </c>
      <c r="Q2627" s="879" t="s">
        <v>670</v>
      </c>
      <c r="R2627" s="880">
        <v>46106</v>
      </c>
      <c r="S2627" s="879" t="s">
        <v>278</v>
      </c>
      <c r="T2627" s="880">
        <v>46116</v>
      </c>
      <c r="U2627" s="883">
        <v>8</v>
      </c>
      <c r="V2627" s="882">
        <v>699.2</v>
      </c>
      <c r="W2627" s="260">
        <v>46113</v>
      </c>
      <c r="X2627" s="845">
        <f t="shared" si="0"/>
        <v>87.4</v>
      </c>
    </row>
    <row r="2628" spans="1:24" hidden="1" x14ac:dyDescent="0.35">
      <c r="A2628" s="879" t="s">
        <v>526</v>
      </c>
      <c r="B2628" s="879" t="s">
        <v>159</v>
      </c>
      <c r="C2628" s="879" t="s">
        <v>530</v>
      </c>
      <c r="D2628" s="879" t="s">
        <v>531</v>
      </c>
      <c r="E2628" s="879" t="s">
        <v>532</v>
      </c>
      <c r="F2628" s="879" t="s">
        <v>276</v>
      </c>
      <c r="G2628" s="879" t="s">
        <v>472</v>
      </c>
      <c r="H2628" s="879" t="s">
        <v>565</v>
      </c>
      <c r="I2628" s="879" t="s">
        <v>277</v>
      </c>
      <c r="J2628" s="879" t="s">
        <v>997</v>
      </c>
      <c r="K2628" s="879" t="s">
        <v>534</v>
      </c>
      <c r="L2628" s="879" t="s">
        <v>536</v>
      </c>
      <c r="M2628" s="879" t="s">
        <v>566</v>
      </c>
      <c r="N2628" s="879" t="s">
        <v>670</v>
      </c>
      <c r="O2628" s="879" t="s">
        <v>670</v>
      </c>
      <c r="P2628" s="879" t="s">
        <v>522</v>
      </c>
      <c r="Q2628" s="879" t="s">
        <v>670</v>
      </c>
      <c r="R2628" s="880">
        <v>46099</v>
      </c>
      <c r="S2628" s="879" t="s">
        <v>278</v>
      </c>
      <c r="T2628" s="880">
        <v>46116</v>
      </c>
      <c r="U2628" s="883">
        <v>2</v>
      </c>
      <c r="V2628" s="882">
        <v>174.8</v>
      </c>
      <c r="W2628" s="260">
        <v>46113</v>
      </c>
      <c r="X2628" s="845">
        <f t="shared" si="0"/>
        <v>87.4</v>
      </c>
    </row>
    <row r="2629" spans="1:24" hidden="1" x14ac:dyDescent="0.35">
      <c r="A2629" s="879" t="s">
        <v>526</v>
      </c>
      <c r="B2629" s="879" t="s">
        <v>159</v>
      </c>
      <c r="C2629" s="879" t="s">
        <v>530</v>
      </c>
      <c r="D2629" s="879" t="s">
        <v>531</v>
      </c>
      <c r="E2629" s="879" t="s">
        <v>532</v>
      </c>
      <c r="F2629" s="879" t="s">
        <v>276</v>
      </c>
      <c r="G2629" s="879" t="s">
        <v>472</v>
      </c>
      <c r="H2629" s="879" t="s">
        <v>567</v>
      </c>
      <c r="I2629" s="879" t="s">
        <v>277</v>
      </c>
      <c r="J2629" s="879" t="s">
        <v>997</v>
      </c>
      <c r="K2629" s="879" t="s">
        <v>534</v>
      </c>
      <c r="L2629" s="879" t="s">
        <v>536</v>
      </c>
      <c r="M2629" s="879" t="s">
        <v>568</v>
      </c>
      <c r="N2629" s="879" t="s">
        <v>670</v>
      </c>
      <c r="O2629" s="879" t="s">
        <v>670</v>
      </c>
      <c r="P2629" s="879" t="s">
        <v>522</v>
      </c>
      <c r="Q2629" s="879" t="s">
        <v>670</v>
      </c>
      <c r="R2629" s="880">
        <v>46104</v>
      </c>
      <c r="S2629" s="879" t="s">
        <v>278</v>
      </c>
      <c r="T2629" s="880">
        <v>46116</v>
      </c>
      <c r="U2629" s="883">
        <v>1</v>
      </c>
      <c r="V2629" s="882">
        <v>87.4</v>
      </c>
      <c r="W2629" s="260">
        <v>46113</v>
      </c>
      <c r="X2629" s="845">
        <f t="shared" si="0"/>
        <v>87.4</v>
      </c>
    </row>
    <row r="2630" spans="1:24" hidden="1" x14ac:dyDescent="0.35">
      <c r="A2630" s="879" t="s">
        <v>526</v>
      </c>
      <c r="B2630" s="879" t="s">
        <v>159</v>
      </c>
      <c r="C2630" s="879" t="s">
        <v>530</v>
      </c>
      <c r="D2630" s="879" t="s">
        <v>531</v>
      </c>
      <c r="E2630" s="879" t="s">
        <v>532</v>
      </c>
      <c r="F2630" s="879" t="s">
        <v>276</v>
      </c>
      <c r="G2630" s="879" t="s">
        <v>472</v>
      </c>
      <c r="H2630" s="879" t="s">
        <v>567</v>
      </c>
      <c r="I2630" s="879" t="s">
        <v>277</v>
      </c>
      <c r="J2630" s="879" t="s">
        <v>997</v>
      </c>
      <c r="K2630" s="879" t="s">
        <v>534</v>
      </c>
      <c r="L2630" s="879" t="s">
        <v>536</v>
      </c>
      <c r="M2630" s="879" t="s">
        <v>568</v>
      </c>
      <c r="N2630" s="879" t="s">
        <v>670</v>
      </c>
      <c r="O2630" s="879" t="s">
        <v>670</v>
      </c>
      <c r="P2630" s="879" t="s">
        <v>522</v>
      </c>
      <c r="Q2630" s="879" t="s">
        <v>670</v>
      </c>
      <c r="R2630" s="880">
        <v>46105</v>
      </c>
      <c r="S2630" s="879" t="s">
        <v>278</v>
      </c>
      <c r="T2630" s="880">
        <v>46116</v>
      </c>
      <c r="U2630" s="883">
        <v>8</v>
      </c>
      <c r="V2630" s="882">
        <v>699.2</v>
      </c>
      <c r="W2630" s="260">
        <v>46113</v>
      </c>
      <c r="X2630" s="845">
        <f t="shared" si="0"/>
        <v>87.4</v>
      </c>
    </row>
    <row r="2631" spans="1:24" hidden="1" x14ac:dyDescent="0.35">
      <c r="A2631" s="879" t="s">
        <v>526</v>
      </c>
      <c r="B2631" s="879" t="s">
        <v>159</v>
      </c>
      <c r="C2631" s="879" t="s">
        <v>530</v>
      </c>
      <c r="D2631" s="879" t="s">
        <v>531</v>
      </c>
      <c r="E2631" s="879" t="s">
        <v>532</v>
      </c>
      <c r="F2631" s="879" t="s">
        <v>276</v>
      </c>
      <c r="G2631" s="879" t="s">
        <v>472</v>
      </c>
      <c r="H2631" s="879" t="s">
        <v>567</v>
      </c>
      <c r="I2631" s="879" t="s">
        <v>277</v>
      </c>
      <c r="J2631" s="879" t="s">
        <v>997</v>
      </c>
      <c r="K2631" s="879" t="s">
        <v>534</v>
      </c>
      <c r="L2631" s="879" t="s">
        <v>536</v>
      </c>
      <c r="M2631" s="879" t="s">
        <v>568</v>
      </c>
      <c r="N2631" s="879" t="s">
        <v>670</v>
      </c>
      <c r="O2631" s="879" t="s">
        <v>670</v>
      </c>
      <c r="P2631" s="879" t="s">
        <v>522</v>
      </c>
      <c r="Q2631" s="879" t="s">
        <v>670</v>
      </c>
      <c r="R2631" s="880">
        <v>46098</v>
      </c>
      <c r="S2631" s="879" t="s">
        <v>278</v>
      </c>
      <c r="T2631" s="880">
        <v>46116</v>
      </c>
      <c r="U2631" s="883">
        <v>8</v>
      </c>
      <c r="V2631" s="882">
        <v>699.2</v>
      </c>
      <c r="W2631" s="260">
        <v>46113</v>
      </c>
      <c r="X2631" s="845">
        <f t="shared" si="0"/>
        <v>87.4</v>
      </c>
    </row>
    <row r="2632" spans="1:24" hidden="1" x14ac:dyDescent="0.35">
      <c r="A2632" s="879" t="s">
        <v>526</v>
      </c>
      <c r="B2632" s="879" t="s">
        <v>159</v>
      </c>
      <c r="C2632" s="879" t="s">
        <v>530</v>
      </c>
      <c r="D2632" s="879" t="s">
        <v>531</v>
      </c>
      <c r="E2632" s="879" t="s">
        <v>532</v>
      </c>
      <c r="F2632" s="879" t="s">
        <v>276</v>
      </c>
      <c r="G2632" s="879" t="s">
        <v>472</v>
      </c>
      <c r="H2632" s="879" t="s">
        <v>567</v>
      </c>
      <c r="I2632" s="879" t="s">
        <v>277</v>
      </c>
      <c r="J2632" s="879" t="s">
        <v>997</v>
      </c>
      <c r="K2632" s="879" t="s">
        <v>534</v>
      </c>
      <c r="L2632" s="879" t="s">
        <v>536</v>
      </c>
      <c r="M2632" s="879" t="s">
        <v>568</v>
      </c>
      <c r="N2632" s="879" t="s">
        <v>670</v>
      </c>
      <c r="O2632" s="879" t="s">
        <v>670</v>
      </c>
      <c r="P2632" s="879" t="s">
        <v>522</v>
      </c>
      <c r="Q2632" s="879" t="s">
        <v>670</v>
      </c>
      <c r="R2632" s="880">
        <v>46099</v>
      </c>
      <c r="S2632" s="879" t="s">
        <v>278</v>
      </c>
      <c r="T2632" s="880">
        <v>46116</v>
      </c>
      <c r="U2632" s="883">
        <v>8</v>
      </c>
      <c r="V2632" s="882">
        <v>699.2</v>
      </c>
      <c r="W2632" s="260">
        <v>46113</v>
      </c>
      <c r="X2632" s="845">
        <f t="shared" si="0"/>
        <v>87.4</v>
      </c>
    </row>
    <row r="2633" spans="1:24" hidden="1" x14ac:dyDescent="0.35">
      <c r="A2633" s="879" t="s">
        <v>526</v>
      </c>
      <c r="B2633" s="879" t="s">
        <v>159</v>
      </c>
      <c r="C2633" s="879" t="s">
        <v>530</v>
      </c>
      <c r="D2633" s="879" t="s">
        <v>531</v>
      </c>
      <c r="E2633" s="879" t="s">
        <v>532</v>
      </c>
      <c r="F2633" s="879" t="s">
        <v>276</v>
      </c>
      <c r="G2633" s="879" t="s">
        <v>472</v>
      </c>
      <c r="H2633" s="879" t="s">
        <v>567</v>
      </c>
      <c r="I2633" s="879" t="s">
        <v>277</v>
      </c>
      <c r="J2633" s="879" t="s">
        <v>997</v>
      </c>
      <c r="K2633" s="879" t="s">
        <v>534</v>
      </c>
      <c r="L2633" s="879" t="s">
        <v>536</v>
      </c>
      <c r="M2633" s="879" t="s">
        <v>568</v>
      </c>
      <c r="N2633" s="879" t="s">
        <v>670</v>
      </c>
      <c r="O2633" s="879" t="s">
        <v>670</v>
      </c>
      <c r="P2633" s="879" t="s">
        <v>522</v>
      </c>
      <c r="Q2633" s="879" t="s">
        <v>670</v>
      </c>
      <c r="R2633" s="880">
        <v>46100</v>
      </c>
      <c r="S2633" s="879" t="s">
        <v>278</v>
      </c>
      <c r="T2633" s="880">
        <v>46116</v>
      </c>
      <c r="U2633" s="883">
        <v>8</v>
      </c>
      <c r="V2633" s="882">
        <v>699.2</v>
      </c>
      <c r="W2633" s="260">
        <v>46113</v>
      </c>
      <c r="X2633" s="845">
        <f t="shared" si="0"/>
        <v>87.4</v>
      </c>
    </row>
    <row r="2634" spans="1:24" hidden="1" x14ac:dyDescent="0.35">
      <c r="A2634" s="879" t="s">
        <v>526</v>
      </c>
      <c r="B2634" s="879" t="s">
        <v>159</v>
      </c>
      <c r="C2634" s="879" t="s">
        <v>530</v>
      </c>
      <c r="D2634" s="879" t="s">
        <v>531</v>
      </c>
      <c r="E2634" s="879" t="s">
        <v>532</v>
      </c>
      <c r="F2634" s="879" t="s">
        <v>276</v>
      </c>
      <c r="G2634" s="879" t="s">
        <v>472</v>
      </c>
      <c r="H2634" s="879" t="s">
        <v>565</v>
      </c>
      <c r="I2634" s="879" t="s">
        <v>277</v>
      </c>
      <c r="J2634" s="879" t="s">
        <v>997</v>
      </c>
      <c r="K2634" s="879" t="s">
        <v>534</v>
      </c>
      <c r="L2634" s="879" t="s">
        <v>536</v>
      </c>
      <c r="M2634" s="879" t="s">
        <v>566</v>
      </c>
      <c r="N2634" s="879" t="s">
        <v>670</v>
      </c>
      <c r="O2634" s="879" t="s">
        <v>670</v>
      </c>
      <c r="P2634" s="879" t="s">
        <v>522</v>
      </c>
      <c r="Q2634" s="879" t="s">
        <v>670</v>
      </c>
      <c r="R2634" s="880">
        <v>46111</v>
      </c>
      <c r="S2634" s="879" t="s">
        <v>278</v>
      </c>
      <c r="T2634" s="880">
        <v>46119</v>
      </c>
      <c r="U2634" s="883">
        <v>1</v>
      </c>
      <c r="V2634" s="882">
        <v>87.4</v>
      </c>
      <c r="W2634" s="260">
        <v>46113</v>
      </c>
      <c r="X2634" s="845">
        <f t="shared" si="0"/>
        <v>87.4</v>
      </c>
    </row>
    <row r="2635" spans="1:24" hidden="1" x14ac:dyDescent="0.35">
      <c r="A2635" s="879" t="s">
        <v>526</v>
      </c>
      <c r="B2635" s="879" t="s">
        <v>159</v>
      </c>
      <c r="C2635" s="879" t="s">
        <v>530</v>
      </c>
      <c r="D2635" s="879" t="s">
        <v>531</v>
      </c>
      <c r="E2635" s="879" t="s">
        <v>532</v>
      </c>
      <c r="F2635" s="879" t="s">
        <v>276</v>
      </c>
      <c r="G2635" s="879" t="s">
        <v>472</v>
      </c>
      <c r="H2635" s="879" t="s">
        <v>565</v>
      </c>
      <c r="I2635" s="879" t="s">
        <v>277</v>
      </c>
      <c r="J2635" s="879" t="s">
        <v>997</v>
      </c>
      <c r="K2635" s="879" t="s">
        <v>534</v>
      </c>
      <c r="L2635" s="879" t="s">
        <v>536</v>
      </c>
      <c r="M2635" s="879" t="s">
        <v>566</v>
      </c>
      <c r="N2635" s="879" t="s">
        <v>670</v>
      </c>
      <c r="O2635" s="879" t="s">
        <v>670</v>
      </c>
      <c r="P2635" s="879" t="s">
        <v>522</v>
      </c>
      <c r="Q2635" s="879" t="s">
        <v>670</v>
      </c>
      <c r="R2635" s="880">
        <v>46112</v>
      </c>
      <c r="S2635" s="879" t="s">
        <v>278</v>
      </c>
      <c r="T2635" s="880">
        <v>46119</v>
      </c>
      <c r="U2635" s="883">
        <v>8</v>
      </c>
      <c r="V2635" s="882">
        <v>699.2</v>
      </c>
      <c r="W2635" s="260">
        <v>46113</v>
      </c>
      <c r="X2635" s="845">
        <f t="shared" si="0"/>
        <v>87.4</v>
      </c>
    </row>
    <row r="2636" spans="1:24" hidden="1" x14ac:dyDescent="0.35">
      <c r="A2636" s="879" t="s">
        <v>526</v>
      </c>
      <c r="B2636" s="879" t="s">
        <v>159</v>
      </c>
      <c r="C2636" s="879" t="s">
        <v>530</v>
      </c>
      <c r="D2636" s="879" t="s">
        <v>531</v>
      </c>
      <c r="E2636" s="879" t="s">
        <v>532</v>
      </c>
      <c r="F2636" s="879" t="s">
        <v>276</v>
      </c>
      <c r="G2636" s="879" t="s">
        <v>472</v>
      </c>
      <c r="H2636" s="879" t="s">
        <v>567</v>
      </c>
      <c r="I2636" s="879" t="s">
        <v>277</v>
      </c>
      <c r="J2636" s="879" t="s">
        <v>997</v>
      </c>
      <c r="K2636" s="879" t="s">
        <v>534</v>
      </c>
      <c r="L2636" s="879" t="s">
        <v>536</v>
      </c>
      <c r="M2636" s="879" t="s">
        <v>568</v>
      </c>
      <c r="N2636" s="879" t="s">
        <v>670</v>
      </c>
      <c r="O2636" s="879" t="s">
        <v>670</v>
      </c>
      <c r="P2636" s="879" t="s">
        <v>522</v>
      </c>
      <c r="Q2636" s="879" t="s">
        <v>670</v>
      </c>
      <c r="R2636" s="880">
        <v>46114</v>
      </c>
      <c r="S2636" s="879" t="s">
        <v>278</v>
      </c>
      <c r="T2636" s="880">
        <v>46119</v>
      </c>
      <c r="U2636" s="883">
        <v>8</v>
      </c>
      <c r="V2636" s="882">
        <v>699.2</v>
      </c>
      <c r="W2636" s="260">
        <v>46113</v>
      </c>
      <c r="X2636" s="845">
        <f t="shared" si="0"/>
        <v>87.4</v>
      </c>
    </row>
    <row r="2637" spans="1:24" hidden="1" x14ac:dyDescent="0.35">
      <c r="A2637" s="879" t="s">
        <v>526</v>
      </c>
      <c r="B2637" s="879" t="s">
        <v>159</v>
      </c>
      <c r="C2637" s="879" t="s">
        <v>530</v>
      </c>
      <c r="D2637" s="879" t="s">
        <v>531</v>
      </c>
      <c r="E2637" s="879" t="s">
        <v>532</v>
      </c>
      <c r="F2637" s="879" t="s">
        <v>276</v>
      </c>
      <c r="G2637" s="879" t="s">
        <v>472</v>
      </c>
      <c r="H2637" s="879" t="s">
        <v>567</v>
      </c>
      <c r="I2637" s="879" t="s">
        <v>277</v>
      </c>
      <c r="J2637" s="879" t="s">
        <v>997</v>
      </c>
      <c r="K2637" s="879" t="s">
        <v>534</v>
      </c>
      <c r="L2637" s="879" t="s">
        <v>536</v>
      </c>
      <c r="M2637" s="879" t="s">
        <v>568</v>
      </c>
      <c r="N2637" s="879" t="s">
        <v>670</v>
      </c>
      <c r="O2637" s="879" t="s">
        <v>670</v>
      </c>
      <c r="P2637" s="879" t="s">
        <v>522</v>
      </c>
      <c r="Q2637" s="879" t="s">
        <v>670</v>
      </c>
      <c r="R2637" s="880">
        <v>46113</v>
      </c>
      <c r="S2637" s="879" t="s">
        <v>278</v>
      </c>
      <c r="T2637" s="880">
        <v>46119</v>
      </c>
      <c r="U2637" s="883">
        <v>8</v>
      </c>
      <c r="V2637" s="882">
        <v>699.2</v>
      </c>
      <c r="W2637" s="260">
        <v>46113</v>
      </c>
      <c r="X2637" s="845">
        <f t="shared" si="0"/>
        <v>87.4</v>
      </c>
    </row>
    <row r="2638" spans="1:24" hidden="1" x14ac:dyDescent="0.35">
      <c r="A2638" s="879" t="s">
        <v>526</v>
      </c>
      <c r="B2638" s="879" t="s">
        <v>159</v>
      </c>
      <c r="C2638" s="879" t="s">
        <v>530</v>
      </c>
      <c r="D2638" s="879" t="s">
        <v>531</v>
      </c>
      <c r="E2638" s="879" t="s">
        <v>532</v>
      </c>
      <c r="F2638" s="879" t="s">
        <v>276</v>
      </c>
      <c r="G2638" s="879" t="s">
        <v>472</v>
      </c>
      <c r="H2638" s="879" t="s">
        <v>565</v>
      </c>
      <c r="I2638" s="879" t="s">
        <v>277</v>
      </c>
      <c r="J2638" s="879" t="s">
        <v>997</v>
      </c>
      <c r="K2638" s="879" t="s">
        <v>534</v>
      </c>
      <c r="L2638" s="879" t="s">
        <v>536</v>
      </c>
      <c r="M2638" s="879" t="s">
        <v>566</v>
      </c>
      <c r="N2638" s="879" t="s">
        <v>670</v>
      </c>
      <c r="O2638" s="879" t="s">
        <v>670</v>
      </c>
      <c r="P2638" s="879" t="s">
        <v>522</v>
      </c>
      <c r="Q2638" s="879" t="s">
        <v>670</v>
      </c>
      <c r="R2638" s="880">
        <v>46115</v>
      </c>
      <c r="S2638" s="879" t="s">
        <v>278</v>
      </c>
      <c r="T2638" s="880">
        <v>46119</v>
      </c>
      <c r="U2638" s="883">
        <v>3</v>
      </c>
      <c r="V2638" s="882">
        <v>262.2</v>
      </c>
      <c r="W2638" s="260">
        <v>46113</v>
      </c>
      <c r="X2638" s="845">
        <f t="shared" si="0"/>
        <v>87.399999999999991</v>
      </c>
    </row>
    <row r="2639" spans="1:24" hidden="1" x14ac:dyDescent="0.35">
      <c r="A2639" s="879" t="s">
        <v>526</v>
      </c>
      <c r="B2639" s="879" t="s">
        <v>159</v>
      </c>
      <c r="C2639" s="879" t="s">
        <v>530</v>
      </c>
      <c r="D2639" s="879" t="s">
        <v>531</v>
      </c>
      <c r="E2639" s="879" t="s">
        <v>532</v>
      </c>
      <c r="F2639" s="879" t="s">
        <v>276</v>
      </c>
      <c r="G2639" s="879" t="s">
        <v>472</v>
      </c>
      <c r="H2639" s="879" t="s">
        <v>567</v>
      </c>
      <c r="I2639" s="879" t="s">
        <v>277</v>
      </c>
      <c r="J2639" s="879" t="s">
        <v>997</v>
      </c>
      <c r="K2639" s="879" t="s">
        <v>534</v>
      </c>
      <c r="L2639" s="879" t="s">
        <v>536</v>
      </c>
      <c r="M2639" s="879" t="s">
        <v>568</v>
      </c>
      <c r="N2639" s="879" t="s">
        <v>670</v>
      </c>
      <c r="O2639" s="879" t="s">
        <v>670</v>
      </c>
      <c r="P2639" s="879" t="s">
        <v>522</v>
      </c>
      <c r="Q2639" s="879" t="s">
        <v>670</v>
      </c>
      <c r="R2639" s="880">
        <v>46121</v>
      </c>
      <c r="S2639" s="879" t="s">
        <v>278</v>
      </c>
      <c r="T2639" s="880">
        <v>46126</v>
      </c>
      <c r="U2639" s="883">
        <v>4</v>
      </c>
      <c r="V2639" s="882">
        <v>349.6</v>
      </c>
      <c r="W2639" s="260">
        <v>46113</v>
      </c>
      <c r="X2639" s="845">
        <f t="shared" si="0"/>
        <v>87.4</v>
      </c>
    </row>
    <row r="2640" spans="1:24" hidden="1" x14ac:dyDescent="0.35">
      <c r="A2640" s="879" t="s">
        <v>526</v>
      </c>
      <c r="B2640" s="879" t="s">
        <v>159</v>
      </c>
      <c r="C2640" s="879" t="s">
        <v>530</v>
      </c>
      <c r="D2640" s="879" t="s">
        <v>531</v>
      </c>
      <c r="E2640" s="879" t="s">
        <v>532</v>
      </c>
      <c r="F2640" s="879" t="s">
        <v>276</v>
      </c>
      <c r="G2640" s="879" t="s">
        <v>472</v>
      </c>
      <c r="H2640" s="879" t="s">
        <v>567</v>
      </c>
      <c r="I2640" s="879" t="s">
        <v>277</v>
      </c>
      <c r="J2640" s="879" t="s">
        <v>997</v>
      </c>
      <c r="K2640" s="879" t="s">
        <v>534</v>
      </c>
      <c r="L2640" s="879" t="s">
        <v>536</v>
      </c>
      <c r="M2640" s="879" t="s">
        <v>568</v>
      </c>
      <c r="N2640" s="879" t="s">
        <v>670</v>
      </c>
      <c r="O2640" s="879" t="s">
        <v>670</v>
      </c>
      <c r="P2640" s="879" t="s">
        <v>522</v>
      </c>
      <c r="Q2640" s="879" t="s">
        <v>670</v>
      </c>
      <c r="R2640" s="880">
        <v>46120</v>
      </c>
      <c r="S2640" s="879" t="s">
        <v>278</v>
      </c>
      <c r="T2640" s="880">
        <v>46126</v>
      </c>
      <c r="U2640" s="883">
        <v>2</v>
      </c>
      <c r="V2640" s="882">
        <v>174.8</v>
      </c>
      <c r="W2640" s="260">
        <v>46113</v>
      </c>
      <c r="X2640" s="845">
        <f t="shared" si="0"/>
        <v>87.4</v>
      </c>
    </row>
    <row r="2641" spans="1:24" hidden="1" x14ac:dyDescent="0.35">
      <c r="A2641" s="879" t="s">
        <v>526</v>
      </c>
      <c r="B2641" s="879" t="s">
        <v>159</v>
      </c>
      <c r="C2641" s="879" t="s">
        <v>530</v>
      </c>
      <c r="D2641" s="879" t="s">
        <v>531</v>
      </c>
      <c r="E2641" s="879" t="s">
        <v>532</v>
      </c>
      <c r="F2641" s="879" t="s">
        <v>276</v>
      </c>
      <c r="G2641" s="879" t="s">
        <v>472</v>
      </c>
      <c r="H2641" s="879" t="s">
        <v>567</v>
      </c>
      <c r="I2641" s="879" t="s">
        <v>277</v>
      </c>
      <c r="J2641" s="879" t="s">
        <v>997</v>
      </c>
      <c r="K2641" s="879" t="s">
        <v>534</v>
      </c>
      <c r="L2641" s="879" t="s">
        <v>536</v>
      </c>
      <c r="M2641" s="879" t="s">
        <v>568</v>
      </c>
      <c r="N2641" s="879" t="s">
        <v>670</v>
      </c>
      <c r="O2641" s="879" t="s">
        <v>670</v>
      </c>
      <c r="P2641" s="879" t="s">
        <v>522</v>
      </c>
      <c r="Q2641" s="879" t="s">
        <v>670</v>
      </c>
      <c r="R2641" s="880">
        <v>46119</v>
      </c>
      <c r="S2641" s="879" t="s">
        <v>278</v>
      </c>
      <c r="T2641" s="880">
        <v>46126</v>
      </c>
      <c r="U2641" s="883">
        <v>1</v>
      </c>
      <c r="V2641" s="882">
        <v>87.4</v>
      </c>
      <c r="W2641" s="260">
        <v>46113</v>
      </c>
      <c r="X2641" s="845">
        <f t="shared" si="0"/>
        <v>87.4</v>
      </c>
    </row>
    <row r="2642" spans="1:24" hidden="1" x14ac:dyDescent="0.35">
      <c r="A2642" s="879" t="s">
        <v>526</v>
      </c>
      <c r="B2642" s="879" t="s">
        <v>159</v>
      </c>
      <c r="C2642" s="879" t="s">
        <v>530</v>
      </c>
      <c r="D2642" s="879" t="s">
        <v>531</v>
      </c>
      <c r="E2642" s="879" t="s">
        <v>532</v>
      </c>
      <c r="F2642" s="879" t="s">
        <v>276</v>
      </c>
      <c r="G2642" s="879" t="s">
        <v>472</v>
      </c>
      <c r="H2642" s="879" t="s">
        <v>567</v>
      </c>
      <c r="I2642" s="879" t="s">
        <v>277</v>
      </c>
      <c r="J2642" s="879" t="s">
        <v>997</v>
      </c>
      <c r="K2642" s="879" t="s">
        <v>534</v>
      </c>
      <c r="L2642" s="879" t="s">
        <v>536</v>
      </c>
      <c r="M2642" s="879" t="s">
        <v>568</v>
      </c>
      <c r="N2642" s="879" t="s">
        <v>670</v>
      </c>
      <c r="O2642" s="879" t="s">
        <v>670</v>
      </c>
      <c r="P2642" s="879" t="s">
        <v>522</v>
      </c>
      <c r="Q2642" s="879" t="s">
        <v>670</v>
      </c>
      <c r="R2642" s="880">
        <v>46118</v>
      </c>
      <c r="S2642" s="879" t="s">
        <v>278</v>
      </c>
      <c r="T2642" s="880">
        <v>46126</v>
      </c>
      <c r="U2642" s="883">
        <v>4</v>
      </c>
      <c r="V2642" s="882">
        <v>349.6</v>
      </c>
      <c r="W2642" s="260">
        <v>46113</v>
      </c>
      <c r="X2642" s="845">
        <f t="shared" si="0"/>
        <v>87.4</v>
      </c>
    </row>
    <row r="2643" spans="1:24" hidden="1" x14ac:dyDescent="0.35">
      <c r="A2643" s="879" t="s">
        <v>526</v>
      </c>
      <c r="B2643" s="879" t="s">
        <v>159</v>
      </c>
      <c r="C2643" s="879" t="s">
        <v>530</v>
      </c>
      <c r="D2643" s="879" t="s">
        <v>531</v>
      </c>
      <c r="E2643" s="879" t="s">
        <v>532</v>
      </c>
      <c r="F2643" s="879" t="s">
        <v>276</v>
      </c>
      <c r="G2643" s="879" t="s">
        <v>472</v>
      </c>
      <c r="H2643" s="879" t="s">
        <v>565</v>
      </c>
      <c r="I2643" s="879" t="s">
        <v>277</v>
      </c>
      <c r="J2643" s="879" t="s">
        <v>997</v>
      </c>
      <c r="K2643" s="879" t="s">
        <v>534</v>
      </c>
      <c r="L2643" s="879" t="s">
        <v>536</v>
      </c>
      <c r="M2643" s="879" t="s">
        <v>566</v>
      </c>
      <c r="N2643" s="879" t="s">
        <v>670</v>
      </c>
      <c r="O2643" s="879" t="s">
        <v>670</v>
      </c>
      <c r="P2643" s="879" t="s">
        <v>522</v>
      </c>
      <c r="Q2643" s="879" t="s">
        <v>670</v>
      </c>
      <c r="R2643" s="880">
        <v>46122</v>
      </c>
      <c r="S2643" s="879" t="s">
        <v>278</v>
      </c>
      <c r="T2643" s="880">
        <v>46126</v>
      </c>
      <c r="U2643" s="883">
        <v>1</v>
      </c>
      <c r="V2643" s="882">
        <v>87.4</v>
      </c>
      <c r="W2643" s="260">
        <v>46113</v>
      </c>
      <c r="X2643" s="845">
        <f t="shared" si="0"/>
        <v>87.4</v>
      </c>
    </row>
    <row r="2644" spans="1:24" hidden="1" x14ac:dyDescent="0.35">
      <c r="A2644" s="879" t="s">
        <v>526</v>
      </c>
      <c r="B2644" s="879" t="s">
        <v>159</v>
      </c>
      <c r="C2644" s="879" t="s">
        <v>530</v>
      </c>
      <c r="D2644" s="879" t="s">
        <v>531</v>
      </c>
      <c r="E2644" s="879" t="s">
        <v>532</v>
      </c>
      <c r="F2644" s="879" t="s">
        <v>276</v>
      </c>
      <c r="G2644" s="879" t="s">
        <v>472</v>
      </c>
      <c r="H2644" s="879" t="s">
        <v>567</v>
      </c>
      <c r="I2644" s="879" t="s">
        <v>277</v>
      </c>
      <c r="J2644" s="879" t="s">
        <v>997</v>
      </c>
      <c r="K2644" s="879" t="s">
        <v>534</v>
      </c>
      <c r="L2644" s="879" t="s">
        <v>536</v>
      </c>
      <c r="M2644" s="879" t="s">
        <v>568</v>
      </c>
      <c r="N2644" s="879" t="s">
        <v>670</v>
      </c>
      <c r="O2644" s="879" t="s">
        <v>670</v>
      </c>
      <c r="P2644" s="879" t="s">
        <v>522</v>
      </c>
      <c r="Q2644" s="879" t="s">
        <v>670</v>
      </c>
      <c r="R2644" s="880">
        <v>46126</v>
      </c>
      <c r="S2644" s="879" t="s">
        <v>278</v>
      </c>
      <c r="T2644" s="880">
        <v>46133</v>
      </c>
      <c r="U2644" s="883">
        <v>4</v>
      </c>
      <c r="V2644" s="882">
        <v>349.6</v>
      </c>
      <c r="W2644" s="260">
        <v>46113</v>
      </c>
      <c r="X2644" s="845">
        <f t="shared" si="0"/>
        <v>87.4</v>
      </c>
    </row>
    <row r="2645" spans="1:24" hidden="1" x14ac:dyDescent="0.35">
      <c r="A2645" s="879" t="s">
        <v>526</v>
      </c>
      <c r="B2645" s="879" t="s">
        <v>159</v>
      </c>
      <c r="C2645" s="879" t="s">
        <v>530</v>
      </c>
      <c r="D2645" s="879" t="s">
        <v>531</v>
      </c>
      <c r="E2645" s="879" t="s">
        <v>532</v>
      </c>
      <c r="F2645" s="879" t="s">
        <v>276</v>
      </c>
      <c r="G2645" s="879" t="s">
        <v>472</v>
      </c>
      <c r="H2645" s="879" t="s">
        <v>565</v>
      </c>
      <c r="I2645" s="879" t="s">
        <v>277</v>
      </c>
      <c r="J2645" s="879" t="s">
        <v>997</v>
      </c>
      <c r="K2645" s="879" t="s">
        <v>534</v>
      </c>
      <c r="L2645" s="879" t="s">
        <v>536</v>
      </c>
      <c r="M2645" s="879" t="s">
        <v>566</v>
      </c>
      <c r="N2645" s="879" t="s">
        <v>670</v>
      </c>
      <c r="O2645" s="879" t="s">
        <v>670</v>
      </c>
      <c r="P2645" s="879" t="s">
        <v>522</v>
      </c>
      <c r="Q2645" s="879" t="s">
        <v>670</v>
      </c>
      <c r="R2645" s="880">
        <v>46127</v>
      </c>
      <c r="S2645" s="879" t="s">
        <v>278</v>
      </c>
      <c r="T2645" s="880">
        <v>46133</v>
      </c>
      <c r="U2645" s="883">
        <v>3</v>
      </c>
      <c r="V2645" s="882">
        <v>262.2</v>
      </c>
      <c r="W2645" s="260">
        <v>46113</v>
      </c>
      <c r="X2645" s="845">
        <f t="shared" si="0"/>
        <v>87.399999999999991</v>
      </c>
    </row>
    <row r="2646" spans="1:24" hidden="1" x14ac:dyDescent="0.35">
      <c r="A2646" s="879" t="s">
        <v>526</v>
      </c>
      <c r="B2646" s="879" t="s">
        <v>159</v>
      </c>
      <c r="C2646" s="879" t="s">
        <v>530</v>
      </c>
      <c r="D2646" s="879" t="s">
        <v>531</v>
      </c>
      <c r="E2646" s="879" t="s">
        <v>532</v>
      </c>
      <c r="F2646" s="879" t="s">
        <v>276</v>
      </c>
      <c r="G2646" s="879" t="s">
        <v>472</v>
      </c>
      <c r="H2646" s="879" t="s">
        <v>565</v>
      </c>
      <c r="I2646" s="879" t="s">
        <v>277</v>
      </c>
      <c r="J2646" s="879" t="s">
        <v>997</v>
      </c>
      <c r="K2646" s="879" t="s">
        <v>534</v>
      </c>
      <c r="L2646" s="879" t="s">
        <v>536</v>
      </c>
      <c r="M2646" s="879" t="s">
        <v>566</v>
      </c>
      <c r="N2646" s="879" t="s">
        <v>670</v>
      </c>
      <c r="O2646" s="879" t="s">
        <v>670</v>
      </c>
      <c r="P2646" s="879" t="s">
        <v>522</v>
      </c>
      <c r="Q2646" s="879" t="s">
        <v>670</v>
      </c>
      <c r="R2646" s="880">
        <v>46126</v>
      </c>
      <c r="S2646" s="879" t="s">
        <v>278</v>
      </c>
      <c r="T2646" s="880">
        <v>46133</v>
      </c>
      <c r="U2646" s="883">
        <v>2</v>
      </c>
      <c r="V2646" s="882">
        <v>174.8</v>
      </c>
      <c r="W2646" s="260">
        <v>46113</v>
      </c>
      <c r="X2646" s="845">
        <f t="shared" si="0"/>
        <v>87.4</v>
      </c>
    </row>
    <row r="2647" spans="1:24" hidden="1" x14ac:dyDescent="0.35">
      <c r="A2647" s="879" t="s">
        <v>526</v>
      </c>
      <c r="B2647" s="879" t="s">
        <v>159</v>
      </c>
      <c r="C2647" s="879" t="s">
        <v>530</v>
      </c>
      <c r="D2647" s="879" t="s">
        <v>531</v>
      </c>
      <c r="E2647" s="879" t="s">
        <v>532</v>
      </c>
      <c r="F2647" s="879" t="s">
        <v>276</v>
      </c>
      <c r="G2647" s="879" t="s">
        <v>472</v>
      </c>
      <c r="H2647" s="879" t="s">
        <v>565</v>
      </c>
      <c r="I2647" s="879" t="s">
        <v>277</v>
      </c>
      <c r="J2647" s="879" t="s">
        <v>997</v>
      </c>
      <c r="K2647" s="879" t="s">
        <v>534</v>
      </c>
      <c r="L2647" s="879" t="s">
        <v>536</v>
      </c>
      <c r="M2647" s="879" t="s">
        <v>566</v>
      </c>
      <c r="N2647" s="879" t="s">
        <v>670</v>
      </c>
      <c r="O2647" s="879" t="s">
        <v>670</v>
      </c>
      <c r="P2647" s="879" t="s">
        <v>522</v>
      </c>
      <c r="Q2647" s="879" t="s">
        <v>670</v>
      </c>
      <c r="R2647" s="880">
        <v>46135</v>
      </c>
      <c r="S2647" s="879" t="s">
        <v>278</v>
      </c>
      <c r="T2647" s="880">
        <v>46140</v>
      </c>
      <c r="U2647" s="883">
        <v>6</v>
      </c>
      <c r="V2647" s="882">
        <v>524.4</v>
      </c>
      <c r="W2647" s="260">
        <v>46113</v>
      </c>
      <c r="X2647" s="845">
        <f t="shared" si="0"/>
        <v>87.399999999999991</v>
      </c>
    </row>
    <row r="2648" spans="1:24" hidden="1" x14ac:dyDescent="0.35">
      <c r="A2648" s="879" t="s">
        <v>526</v>
      </c>
      <c r="B2648" s="879" t="s">
        <v>159</v>
      </c>
      <c r="C2648" s="879" t="s">
        <v>530</v>
      </c>
      <c r="D2648" s="879" t="s">
        <v>531</v>
      </c>
      <c r="E2648" s="879" t="s">
        <v>532</v>
      </c>
      <c r="F2648" s="879" t="s">
        <v>276</v>
      </c>
      <c r="G2648" s="879" t="s">
        <v>472</v>
      </c>
      <c r="H2648" s="879" t="s">
        <v>565</v>
      </c>
      <c r="I2648" s="879" t="s">
        <v>277</v>
      </c>
      <c r="J2648" s="879" t="s">
        <v>997</v>
      </c>
      <c r="K2648" s="879" t="s">
        <v>534</v>
      </c>
      <c r="L2648" s="879" t="s">
        <v>536</v>
      </c>
      <c r="M2648" s="879" t="s">
        <v>566</v>
      </c>
      <c r="N2648" s="879" t="s">
        <v>670</v>
      </c>
      <c r="O2648" s="879" t="s">
        <v>670</v>
      </c>
      <c r="P2648" s="879" t="s">
        <v>522</v>
      </c>
      <c r="Q2648" s="879" t="s">
        <v>670</v>
      </c>
      <c r="R2648" s="880">
        <v>46136</v>
      </c>
      <c r="S2648" s="879" t="s">
        <v>278</v>
      </c>
      <c r="T2648" s="880">
        <v>46140</v>
      </c>
      <c r="U2648" s="883">
        <v>1</v>
      </c>
      <c r="V2648" s="882">
        <v>87.4</v>
      </c>
      <c r="W2648" s="260">
        <v>46113</v>
      </c>
      <c r="X2648" s="845">
        <f t="shared" si="0"/>
        <v>87.4</v>
      </c>
    </row>
    <row r="2649" spans="1:24" hidden="1" x14ac:dyDescent="0.35">
      <c r="A2649" s="879" t="s">
        <v>526</v>
      </c>
      <c r="B2649" s="879" t="s">
        <v>159</v>
      </c>
      <c r="C2649" s="879" t="s">
        <v>998</v>
      </c>
      <c r="D2649" s="879" t="s">
        <v>999</v>
      </c>
      <c r="E2649" s="879" t="s">
        <v>1000</v>
      </c>
      <c r="F2649" s="879" t="s">
        <v>276</v>
      </c>
      <c r="G2649" s="879" t="s">
        <v>472</v>
      </c>
      <c r="H2649" s="879" t="s">
        <v>1001</v>
      </c>
      <c r="I2649" s="879" t="s">
        <v>277</v>
      </c>
      <c r="J2649" s="879" t="s">
        <v>997</v>
      </c>
      <c r="K2649" s="879" t="s">
        <v>1002</v>
      </c>
      <c r="L2649" s="879" t="s">
        <v>536</v>
      </c>
      <c r="M2649" s="879" t="s">
        <v>1003</v>
      </c>
      <c r="N2649" s="879" t="s">
        <v>670</v>
      </c>
      <c r="O2649" s="879" t="s">
        <v>670</v>
      </c>
      <c r="P2649" s="879" t="s">
        <v>522</v>
      </c>
      <c r="Q2649" s="879" t="s">
        <v>670</v>
      </c>
      <c r="R2649" s="880">
        <v>46105</v>
      </c>
      <c r="S2649" s="879" t="s">
        <v>278</v>
      </c>
      <c r="T2649" s="880">
        <v>46116</v>
      </c>
      <c r="U2649" s="883">
        <v>1</v>
      </c>
      <c r="V2649" s="882">
        <v>113.57</v>
      </c>
      <c r="W2649" s="260">
        <v>46113</v>
      </c>
      <c r="X2649" s="845">
        <f t="shared" si="0"/>
        <v>113.57</v>
      </c>
    </row>
    <row r="2650" spans="1:24" hidden="1" x14ac:dyDescent="0.35">
      <c r="A2650" s="879" t="s">
        <v>526</v>
      </c>
      <c r="B2650" s="879" t="s">
        <v>159</v>
      </c>
      <c r="C2650" s="879" t="s">
        <v>998</v>
      </c>
      <c r="D2650" s="879" t="s">
        <v>999</v>
      </c>
      <c r="E2650" s="879" t="s">
        <v>1000</v>
      </c>
      <c r="F2650" s="879" t="s">
        <v>276</v>
      </c>
      <c r="G2650" s="879" t="s">
        <v>472</v>
      </c>
      <c r="H2650" s="879" t="s">
        <v>1001</v>
      </c>
      <c r="I2650" s="879" t="s">
        <v>277</v>
      </c>
      <c r="J2650" s="879" t="s">
        <v>997</v>
      </c>
      <c r="K2650" s="879" t="s">
        <v>1002</v>
      </c>
      <c r="L2650" s="879" t="s">
        <v>536</v>
      </c>
      <c r="M2650" s="879" t="s">
        <v>1003</v>
      </c>
      <c r="N2650" s="879" t="s">
        <v>670</v>
      </c>
      <c r="O2650" s="879" t="s">
        <v>670</v>
      </c>
      <c r="P2650" s="879" t="s">
        <v>522</v>
      </c>
      <c r="Q2650" s="879" t="s">
        <v>670</v>
      </c>
      <c r="R2650" s="880">
        <v>46106</v>
      </c>
      <c r="S2650" s="879" t="s">
        <v>278</v>
      </c>
      <c r="T2650" s="880">
        <v>46116</v>
      </c>
      <c r="U2650" s="883">
        <v>1</v>
      </c>
      <c r="V2650" s="882">
        <v>113.57</v>
      </c>
      <c r="W2650" s="260">
        <v>46113</v>
      </c>
      <c r="X2650" s="845">
        <f t="shared" si="0"/>
        <v>113.57</v>
      </c>
    </row>
    <row r="2651" spans="1:24" hidden="1" x14ac:dyDescent="0.35">
      <c r="A2651" s="879" t="s">
        <v>526</v>
      </c>
      <c r="B2651" s="879" t="s">
        <v>159</v>
      </c>
      <c r="C2651" s="879" t="s">
        <v>998</v>
      </c>
      <c r="D2651" s="879" t="s">
        <v>999</v>
      </c>
      <c r="E2651" s="879" t="s">
        <v>1000</v>
      </c>
      <c r="F2651" s="879" t="s">
        <v>276</v>
      </c>
      <c r="G2651" s="879" t="s">
        <v>472</v>
      </c>
      <c r="H2651" s="879" t="s">
        <v>1001</v>
      </c>
      <c r="I2651" s="879" t="s">
        <v>277</v>
      </c>
      <c r="J2651" s="879" t="s">
        <v>997</v>
      </c>
      <c r="K2651" s="879" t="s">
        <v>1002</v>
      </c>
      <c r="L2651" s="879" t="s">
        <v>536</v>
      </c>
      <c r="M2651" s="879" t="s">
        <v>1003</v>
      </c>
      <c r="N2651" s="879" t="s">
        <v>670</v>
      </c>
      <c r="O2651" s="879" t="s">
        <v>670</v>
      </c>
      <c r="P2651" s="879" t="s">
        <v>522</v>
      </c>
      <c r="Q2651" s="879" t="s">
        <v>670</v>
      </c>
      <c r="R2651" s="880">
        <v>46111</v>
      </c>
      <c r="S2651" s="879" t="s">
        <v>278</v>
      </c>
      <c r="T2651" s="880">
        <v>46116</v>
      </c>
      <c r="U2651" s="883">
        <v>1</v>
      </c>
      <c r="V2651" s="882">
        <v>113.57</v>
      </c>
      <c r="W2651" s="260">
        <v>46113</v>
      </c>
      <c r="X2651" s="845">
        <f t="shared" si="0"/>
        <v>113.57</v>
      </c>
    </row>
    <row r="2652" spans="1:24" hidden="1" x14ac:dyDescent="0.35">
      <c r="A2652" s="879" t="s">
        <v>526</v>
      </c>
      <c r="B2652" s="879" t="s">
        <v>159</v>
      </c>
      <c r="C2652" s="879" t="s">
        <v>998</v>
      </c>
      <c r="D2652" s="879" t="s">
        <v>999</v>
      </c>
      <c r="E2652" s="879" t="s">
        <v>1000</v>
      </c>
      <c r="F2652" s="879" t="s">
        <v>276</v>
      </c>
      <c r="G2652" s="879" t="s">
        <v>472</v>
      </c>
      <c r="H2652" s="879" t="s">
        <v>1001</v>
      </c>
      <c r="I2652" s="879" t="s">
        <v>277</v>
      </c>
      <c r="J2652" s="879" t="s">
        <v>997</v>
      </c>
      <c r="K2652" s="879" t="s">
        <v>1002</v>
      </c>
      <c r="L2652" s="879" t="s">
        <v>536</v>
      </c>
      <c r="M2652" s="879" t="s">
        <v>1003</v>
      </c>
      <c r="N2652" s="879" t="s">
        <v>670</v>
      </c>
      <c r="O2652" s="879" t="s">
        <v>670</v>
      </c>
      <c r="P2652" s="879" t="s">
        <v>522</v>
      </c>
      <c r="Q2652" s="879" t="s">
        <v>670</v>
      </c>
      <c r="R2652" s="880">
        <v>46118</v>
      </c>
      <c r="S2652" s="879" t="s">
        <v>278</v>
      </c>
      <c r="T2652" s="880">
        <v>46123</v>
      </c>
      <c r="U2652" s="883">
        <v>1</v>
      </c>
      <c r="V2652" s="882">
        <v>113.57</v>
      </c>
      <c r="W2652" s="260">
        <v>46113</v>
      </c>
      <c r="X2652" s="845">
        <f t="shared" si="0"/>
        <v>113.57</v>
      </c>
    </row>
    <row r="2653" spans="1:24" hidden="1" x14ac:dyDescent="0.35">
      <c r="A2653" s="879" t="s">
        <v>526</v>
      </c>
      <c r="B2653" s="879" t="s">
        <v>159</v>
      </c>
      <c r="C2653" s="879" t="s">
        <v>998</v>
      </c>
      <c r="D2653" s="879" t="s">
        <v>999</v>
      </c>
      <c r="E2653" s="879" t="s">
        <v>1000</v>
      </c>
      <c r="F2653" s="879" t="s">
        <v>276</v>
      </c>
      <c r="G2653" s="879" t="s">
        <v>472</v>
      </c>
      <c r="H2653" s="879" t="s">
        <v>1001</v>
      </c>
      <c r="I2653" s="879" t="s">
        <v>277</v>
      </c>
      <c r="J2653" s="879" t="s">
        <v>997</v>
      </c>
      <c r="K2653" s="879" t="s">
        <v>1002</v>
      </c>
      <c r="L2653" s="879" t="s">
        <v>536</v>
      </c>
      <c r="M2653" s="879" t="s">
        <v>1003</v>
      </c>
      <c r="N2653" s="879" t="s">
        <v>670</v>
      </c>
      <c r="O2653" s="879" t="s">
        <v>670</v>
      </c>
      <c r="P2653" s="879" t="s">
        <v>522</v>
      </c>
      <c r="Q2653" s="879" t="s">
        <v>670</v>
      </c>
      <c r="R2653" s="880">
        <v>46120</v>
      </c>
      <c r="S2653" s="879" t="s">
        <v>278</v>
      </c>
      <c r="T2653" s="880">
        <v>46123</v>
      </c>
      <c r="U2653" s="883">
        <v>3</v>
      </c>
      <c r="V2653" s="882">
        <v>340.71</v>
      </c>
      <c r="W2653" s="260">
        <v>46113</v>
      </c>
      <c r="X2653" s="845">
        <f t="shared" si="0"/>
        <v>113.57</v>
      </c>
    </row>
    <row r="2654" spans="1:24" hidden="1" x14ac:dyDescent="0.35">
      <c r="A2654" s="879" t="s">
        <v>526</v>
      </c>
      <c r="B2654" s="879" t="s">
        <v>159</v>
      </c>
      <c r="C2654" s="879" t="s">
        <v>998</v>
      </c>
      <c r="D2654" s="879" t="s">
        <v>999</v>
      </c>
      <c r="E2654" s="879" t="s">
        <v>1000</v>
      </c>
      <c r="F2654" s="879" t="s">
        <v>276</v>
      </c>
      <c r="G2654" s="879" t="s">
        <v>472</v>
      </c>
      <c r="H2654" s="879" t="s">
        <v>1001</v>
      </c>
      <c r="I2654" s="879" t="s">
        <v>277</v>
      </c>
      <c r="J2654" s="879" t="s">
        <v>997</v>
      </c>
      <c r="K2654" s="879" t="s">
        <v>1002</v>
      </c>
      <c r="L2654" s="879" t="s">
        <v>536</v>
      </c>
      <c r="M2654" s="879" t="s">
        <v>1003</v>
      </c>
      <c r="N2654" s="879" t="s">
        <v>670</v>
      </c>
      <c r="O2654" s="879" t="s">
        <v>670</v>
      </c>
      <c r="P2654" s="879" t="s">
        <v>522</v>
      </c>
      <c r="Q2654" s="879" t="s">
        <v>670</v>
      </c>
      <c r="R2654" s="880">
        <v>46127</v>
      </c>
      <c r="S2654" s="879" t="s">
        <v>278</v>
      </c>
      <c r="T2654" s="880">
        <v>46137</v>
      </c>
      <c r="U2654" s="883">
        <v>1</v>
      </c>
      <c r="V2654" s="882">
        <v>113.57</v>
      </c>
      <c r="W2654" s="260">
        <v>46113</v>
      </c>
      <c r="X2654" s="845">
        <f t="shared" si="0"/>
        <v>113.57</v>
      </c>
    </row>
    <row r="2655" spans="1:24" hidden="1" x14ac:dyDescent="0.35">
      <c r="A2655" s="879" t="s">
        <v>526</v>
      </c>
      <c r="B2655" s="879" t="s">
        <v>159</v>
      </c>
      <c r="C2655" s="879" t="s">
        <v>998</v>
      </c>
      <c r="D2655" s="879" t="s">
        <v>999</v>
      </c>
      <c r="E2655" s="879" t="s">
        <v>1000</v>
      </c>
      <c r="F2655" s="879" t="s">
        <v>276</v>
      </c>
      <c r="G2655" s="879" t="s">
        <v>472</v>
      </c>
      <c r="H2655" s="879" t="s">
        <v>1001</v>
      </c>
      <c r="I2655" s="879" t="s">
        <v>277</v>
      </c>
      <c r="J2655" s="879" t="s">
        <v>997</v>
      </c>
      <c r="K2655" s="879" t="s">
        <v>1002</v>
      </c>
      <c r="L2655" s="879" t="s">
        <v>536</v>
      </c>
      <c r="M2655" s="879" t="s">
        <v>1003</v>
      </c>
      <c r="N2655" s="879" t="s">
        <v>670</v>
      </c>
      <c r="O2655" s="879" t="s">
        <v>670</v>
      </c>
      <c r="P2655" s="879" t="s">
        <v>522</v>
      </c>
      <c r="Q2655" s="879" t="s">
        <v>670</v>
      </c>
      <c r="R2655" s="880">
        <v>46133</v>
      </c>
      <c r="S2655" s="879" t="s">
        <v>278</v>
      </c>
      <c r="T2655" s="880">
        <v>46137</v>
      </c>
      <c r="U2655" s="883">
        <v>1</v>
      </c>
      <c r="V2655" s="882">
        <v>113.57</v>
      </c>
      <c r="W2655" s="260">
        <v>46113</v>
      </c>
      <c r="X2655" s="845">
        <f t="shared" si="0"/>
        <v>113.57</v>
      </c>
    </row>
    <row r="2656" spans="1:24" hidden="1" x14ac:dyDescent="0.35">
      <c r="A2656" s="879" t="s">
        <v>526</v>
      </c>
      <c r="B2656" s="879" t="s">
        <v>160</v>
      </c>
      <c r="C2656" s="879" t="s">
        <v>670</v>
      </c>
      <c r="D2656" s="879" t="s">
        <v>385</v>
      </c>
      <c r="E2656" s="879" t="s">
        <v>386</v>
      </c>
      <c r="F2656" s="879" t="s">
        <v>588</v>
      </c>
      <c r="G2656" s="879" t="s">
        <v>472</v>
      </c>
      <c r="H2656" s="879" t="s">
        <v>670</v>
      </c>
      <c r="I2656" s="879" t="s">
        <v>277</v>
      </c>
      <c r="J2656" s="879" t="s">
        <v>1030</v>
      </c>
      <c r="K2656" s="879" t="s">
        <v>670</v>
      </c>
      <c r="L2656" s="879" t="s">
        <v>536</v>
      </c>
      <c r="M2656" s="879" t="s">
        <v>285</v>
      </c>
      <c r="N2656" s="879" t="s">
        <v>670</v>
      </c>
      <c r="O2656" s="879" t="s">
        <v>822</v>
      </c>
      <c r="P2656" s="879" t="s">
        <v>523</v>
      </c>
      <c r="Q2656" s="879" t="s">
        <v>589</v>
      </c>
      <c r="R2656" s="880">
        <v>46106</v>
      </c>
      <c r="S2656" s="879" t="s">
        <v>670</v>
      </c>
      <c r="T2656" s="880">
        <v>46113</v>
      </c>
      <c r="U2656" s="883">
        <v>0</v>
      </c>
      <c r="V2656" s="882">
        <v>-753373</v>
      </c>
      <c r="W2656" s="260">
        <v>46113</v>
      </c>
    </row>
    <row r="2657" spans="1:23" hidden="1" x14ac:dyDescent="0.35">
      <c r="A2657" s="879" t="s">
        <v>526</v>
      </c>
      <c r="B2657" s="879" t="s">
        <v>160</v>
      </c>
      <c r="C2657" s="879" t="s">
        <v>670</v>
      </c>
      <c r="D2657" s="879" t="s">
        <v>385</v>
      </c>
      <c r="E2657" s="879" t="s">
        <v>386</v>
      </c>
      <c r="F2657" s="879" t="s">
        <v>276</v>
      </c>
      <c r="G2657" s="879" t="s">
        <v>472</v>
      </c>
      <c r="H2657" s="879" t="s">
        <v>670</v>
      </c>
      <c r="I2657" s="879" t="s">
        <v>277</v>
      </c>
      <c r="J2657" s="879" t="s">
        <v>1030</v>
      </c>
      <c r="K2657" s="879" t="s">
        <v>670</v>
      </c>
      <c r="L2657" s="879" t="s">
        <v>536</v>
      </c>
      <c r="M2657" s="879" t="s">
        <v>285</v>
      </c>
      <c r="N2657" s="879" t="s">
        <v>840</v>
      </c>
      <c r="O2657" s="879" t="s">
        <v>822</v>
      </c>
      <c r="P2657" s="879" t="s">
        <v>523</v>
      </c>
      <c r="Q2657" s="879" t="s">
        <v>387</v>
      </c>
      <c r="R2657" s="880">
        <v>46073</v>
      </c>
      <c r="S2657" s="879" t="s">
        <v>388</v>
      </c>
      <c r="T2657" s="880">
        <v>46132</v>
      </c>
      <c r="U2657" s="881">
        <v>1</v>
      </c>
      <c r="V2657" s="882">
        <v>112060.87</v>
      </c>
      <c r="W2657" s="260">
        <v>46113</v>
      </c>
    </row>
    <row r="2658" spans="1:23" hidden="1" x14ac:dyDescent="0.35">
      <c r="A2658" s="879" t="s">
        <v>526</v>
      </c>
      <c r="B2658" s="879" t="s">
        <v>160</v>
      </c>
      <c r="C2658" s="879" t="s">
        <v>670</v>
      </c>
      <c r="D2658" s="879" t="s">
        <v>385</v>
      </c>
      <c r="E2658" s="879" t="s">
        <v>386</v>
      </c>
      <c r="F2658" s="879" t="s">
        <v>276</v>
      </c>
      <c r="G2658" s="879" t="s">
        <v>472</v>
      </c>
      <c r="H2658" s="879" t="s">
        <v>670</v>
      </c>
      <c r="I2658" s="879" t="s">
        <v>277</v>
      </c>
      <c r="J2658" s="879" t="s">
        <v>1030</v>
      </c>
      <c r="K2658" s="879" t="s">
        <v>670</v>
      </c>
      <c r="L2658" s="879" t="s">
        <v>536</v>
      </c>
      <c r="M2658" s="879" t="s">
        <v>285</v>
      </c>
      <c r="N2658" s="879" t="s">
        <v>1065</v>
      </c>
      <c r="O2658" s="879" t="s">
        <v>822</v>
      </c>
      <c r="P2658" s="879" t="s">
        <v>523</v>
      </c>
      <c r="Q2658" s="879" t="s">
        <v>387</v>
      </c>
      <c r="R2658" s="880">
        <v>46073</v>
      </c>
      <c r="S2658" s="879" t="s">
        <v>388</v>
      </c>
      <c r="T2658" s="880">
        <v>46132</v>
      </c>
      <c r="U2658" s="881">
        <v>1</v>
      </c>
      <c r="V2658" s="882">
        <v>621232.18999999994</v>
      </c>
      <c r="W2658" s="260">
        <v>46113</v>
      </c>
    </row>
    <row r="2659" spans="1:23" hidden="1" x14ac:dyDescent="0.35">
      <c r="A2659" s="879" t="s">
        <v>526</v>
      </c>
      <c r="B2659" s="879" t="s">
        <v>160</v>
      </c>
      <c r="C2659" s="879" t="s">
        <v>670</v>
      </c>
      <c r="D2659" s="879" t="s">
        <v>385</v>
      </c>
      <c r="E2659" s="879" t="s">
        <v>386</v>
      </c>
      <c r="F2659" s="879" t="s">
        <v>276</v>
      </c>
      <c r="G2659" s="879" t="s">
        <v>472</v>
      </c>
      <c r="H2659" s="879" t="s">
        <v>670</v>
      </c>
      <c r="I2659" s="879" t="s">
        <v>277</v>
      </c>
      <c r="J2659" s="879" t="s">
        <v>1030</v>
      </c>
      <c r="K2659" s="879" t="s">
        <v>670</v>
      </c>
      <c r="L2659" s="879" t="s">
        <v>536</v>
      </c>
      <c r="M2659" s="879" t="s">
        <v>285</v>
      </c>
      <c r="N2659" s="879" t="s">
        <v>670</v>
      </c>
      <c r="O2659" s="879">
        <v>7000002695</v>
      </c>
      <c r="P2659" s="879" t="s">
        <v>523</v>
      </c>
      <c r="Q2659" s="879" t="s">
        <v>400</v>
      </c>
      <c r="R2659" s="880">
        <v>46140</v>
      </c>
      <c r="S2659" s="879" t="s">
        <v>670</v>
      </c>
      <c r="T2659" s="880">
        <v>46142</v>
      </c>
      <c r="U2659" s="883">
        <v>0</v>
      </c>
      <c r="V2659" s="882">
        <v>52500</v>
      </c>
      <c r="W2659" s="260">
        <v>46113</v>
      </c>
    </row>
    <row r="2660" spans="1:23" hidden="1" x14ac:dyDescent="0.35">
      <c r="A2660" s="879" t="s">
        <v>526</v>
      </c>
      <c r="B2660" s="879" t="s">
        <v>53</v>
      </c>
      <c r="C2660" s="879" t="s">
        <v>670</v>
      </c>
      <c r="D2660" s="879" t="s">
        <v>385</v>
      </c>
      <c r="E2660" s="879" t="s">
        <v>386</v>
      </c>
      <c r="F2660" s="879" t="s">
        <v>588</v>
      </c>
      <c r="G2660" s="879" t="s">
        <v>472</v>
      </c>
      <c r="H2660" s="879" t="s">
        <v>670</v>
      </c>
      <c r="I2660" s="879" t="s">
        <v>277</v>
      </c>
      <c r="J2660" s="879" t="s">
        <v>1004</v>
      </c>
      <c r="K2660" s="879" t="s">
        <v>670</v>
      </c>
      <c r="L2660" s="879" t="s">
        <v>536</v>
      </c>
      <c r="M2660" s="879" t="s">
        <v>285</v>
      </c>
      <c r="N2660" s="879" t="s">
        <v>670</v>
      </c>
      <c r="O2660" s="879" t="s">
        <v>1033</v>
      </c>
      <c r="P2660" s="879" t="s">
        <v>524</v>
      </c>
      <c r="Q2660" s="879" t="s">
        <v>589</v>
      </c>
      <c r="R2660" s="880">
        <v>46106</v>
      </c>
      <c r="S2660" s="879" t="s">
        <v>670</v>
      </c>
      <c r="T2660" s="880">
        <v>46113</v>
      </c>
      <c r="U2660" s="883">
        <v>0</v>
      </c>
      <c r="V2660" s="882">
        <v>-14500</v>
      </c>
      <c r="W2660" s="260">
        <v>46113</v>
      </c>
    </row>
    <row r="2661" spans="1:23" hidden="1" x14ac:dyDescent="0.35">
      <c r="A2661" s="879" t="s">
        <v>526</v>
      </c>
      <c r="B2661" s="879" t="s">
        <v>53</v>
      </c>
      <c r="C2661" s="879" t="s">
        <v>670</v>
      </c>
      <c r="D2661" s="879" t="s">
        <v>385</v>
      </c>
      <c r="E2661" s="879" t="s">
        <v>386</v>
      </c>
      <c r="F2661" s="879" t="s">
        <v>588</v>
      </c>
      <c r="G2661" s="879" t="s">
        <v>472</v>
      </c>
      <c r="H2661" s="879" t="s">
        <v>670</v>
      </c>
      <c r="I2661" s="879" t="s">
        <v>277</v>
      </c>
      <c r="J2661" s="879" t="s">
        <v>1004</v>
      </c>
      <c r="K2661" s="879" t="s">
        <v>670</v>
      </c>
      <c r="L2661" s="879" t="s">
        <v>536</v>
      </c>
      <c r="M2661" s="879" t="s">
        <v>285</v>
      </c>
      <c r="N2661" s="879" t="s">
        <v>670</v>
      </c>
      <c r="O2661" s="879" t="s">
        <v>687</v>
      </c>
      <c r="P2661" s="879" t="s">
        <v>524</v>
      </c>
      <c r="Q2661" s="879" t="s">
        <v>589</v>
      </c>
      <c r="R2661" s="880">
        <v>46106</v>
      </c>
      <c r="S2661" s="879" t="s">
        <v>670</v>
      </c>
      <c r="T2661" s="880">
        <v>46113</v>
      </c>
      <c r="U2661" s="883">
        <v>0</v>
      </c>
      <c r="V2661" s="882">
        <v>-5500</v>
      </c>
      <c r="W2661" s="260">
        <v>46113</v>
      </c>
    </row>
    <row r="2662" spans="1:23" hidden="1" x14ac:dyDescent="0.35">
      <c r="A2662" s="879" t="s">
        <v>526</v>
      </c>
      <c r="B2662" s="879" t="s">
        <v>53</v>
      </c>
      <c r="C2662" s="879" t="s">
        <v>670</v>
      </c>
      <c r="D2662" s="879" t="s">
        <v>385</v>
      </c>
      <c r="E2662" s="879" t="s">
        <v>386</v>
      </c>
      <c r="F2662" s="879" t="s">
        <v>588</v>
      </c>
      <c r="G2662" s="879" t="s">
        <v>472</v>
      </c>
      <c r="H2662" s="879" t="s">
        <v>670</v>
      </c>
      <c r="I2662" s="879" t="s">
        <v>277</v>
      </c>
      <c r="J2662" s="879" t="s">
        <v>1004</v>
      </c>
      <c r="K2662" s="879" t="s">
        <v>670</v>
      </c>
      <c r="L2662" s="879" t="s">
        <v>536</v>
      </c>
      <c r="M2662" s="879" t="s">
        <v>285</v>
      </c>
      <c r="N2662" s="879" t="s">
        <v>670</v>
      </c>
      <c r="O2662" s="879" t="s">
        <v>1047</v>
      </c>
      <c r="P2662" s="879" t="s">
        <v>524</v>
      </c>
      <c r="Q2662" s="879" t="s">
        <v>589</v>
      </c>
      <c r="R2662" s="880">
        <v>46106</v>
      </c>
      <c r="S2662" s="879" t="s">
        <v>670</v>
      </c>
      <c r="T2662" s="880">
        <v>46113</v>
      </c>
      <c r="U2662" s="883">
        <v>0</v>
      </c>
      <c r="V2662" s="882">
        <v>-8229</v>
      </c>
      <c r="W2662" s="260">
        <v>46113</v>
      </c>
    </row>
    <row r="2663" spans="1:23" hidden="1" x14ac:dyDescent="0.35">
      <c r="A2663" s="879" t="s">
        <v>526</v>
      </c>
      <c r="B2663" s="879" t="s">
        <v>53</v>
      </c>
      <c r="C2663" s="879" t="s">
        <v>670</v>
      </c>
      <c r="D2663" s="879" t="s">
        <v>385</v>
      </c>
      <c r="E2663" s="879" t="s">
        <v>386</v>
      </c>
      <c r="F2663" s="879" t="s">
        <v>588</v>
      </c>
      <c r="G2663" s="879" t="s">
        <v>472</v>
      </c>
      <c r="H2663" s="879" t="s">
        <v>670</v>
      </c>
      <c r="I2663" s="879" t="s">
        <v>277</v>
      </c>
      <c r="J2663" s="879" t="s">
        <v>1004</v>
      </c>
      <c r="K2663" s="879" t="s">
        <v>670</v>
      </c>
      <c r="L2663" s="879" t="s">
        <v>536</v>
      </c>
      <c r="M2663" s="879" t="s">
        <v>285</v>
      </c>
      <c r="N2663" s="879" t="s">
        <v>670</v>
      </c>
      <c r="O2663" s="879" t="s">
        <v>824</v>
      </c>
      <c r="P2663" s="879" t="s">
        <v>524</v>
      </c>
      <c r="Q2663" s="879" t="s">
        <v>589</v>
      </c>
      <c r="R2663" s="880">
        <v>46106</v>
      </c>
      <c r="S2663" s="879" t="s">
        <v>670</v>
      </c>
      <c r="T2663" s="880">
        <v>46113</v>
      </c>
      <c r="U2663" s="883">
        <v>0</v>
      </c>
      <c r="V2663" s="882">
        <v>-214067</v>
      </c>
      <c r="W2663" s="260">
        <v>46113</v>
      </c>
    </row>
    <row r="2664" spans="1:23" hidden="1" x14ac:dyDescent="0.35">
      <c r="A2664" s="879" t="s">
        <v>526</v>
      </c>
      <c r="B2664" s="879" t="s">
        <v>53</v>
      </c>
      <c r="C2664" s="879" t="s">
        <v>670</v>
      </c>
      <c r="D2664" s="879" t="s">
        <v>385</v>
      </c>
      <c r="E2664" s="879" t="s">
        <v>386</v>
      </c>
      <c r="F2664" s="879" t="s">
        <v>588</v>
      </c>
      <c r="G2664" s="879" t="s">
        <v>472</v>
      </c>
      <c r="H2664" s="879" t="s">
        <v>670</v>
      </c>
      <c r="I2664" s="879" t="s">
        <v>277</v>
      </c>
      <c r="J2664" s="879" t="s">
        <v>1004</v>
      </c>
      <c r="K2664" s="879" t="s">
        <v>670</v>
      </c>
      <c r="L2664" s="879" t="s">
        <v>536</v>
      </c>
      <c r="M2664" s="879" t="s">
        <v>285</v>
      </c>
      <c r="N2664" s="879" t="s">
        <v>670</v>
      </c>
      <c r="O2664" s="879" t="s">
        <v>866</v>
      </c>
      <c r="P2664" s="879" t="s">
        <v>524</v>
      </c>
      <c r="Q2664" s="879" t="s">
        <v>589</v>
      </c>
      <c r="R2664" s="880">
        <v>46106</v>
      </c>
      <c r="S2664" s="879" t="s">
        <v>670</v>
      </c>
      <c r="T2664" s="880">
        <v>46113</v>
      </c>
      <c r="U2664" s="883">
        <v>0</v>
      </c>
      <c r="V2664" s="882">
        <v>-412059</v>
      </c>
      <c r="W2664" s="260">
        <v>46113</v>
      </c>
    </row>
    <row r="2665" spans="1:23" hidden="1" x14ac:dyDescent="0.35">
      <c r="A2665" s="879" t="s">
        <v>526</v>
      </c>
      <c r="B2665" s="879" t="s">
        <v>53</v>
      </c>
      <c r="C2665" s="879" t="s">
        <v>670</v>
      </c>
      <c r="D2665" s="879" t="s">
        <v>385</v>
      </c>
      <c r="E2665" s="879" t="s">
        <v>386</v>
      </c>
      <c r="F2665" s="879" t="s">
        <v>588</v>
      </c>
      <c r="G2665" s="879" t="s">
        <v>472</v>
      </c>
      <c r="H2665" s="879" t="s">
        <v>670</v>
      </c>
      <c r="I2665" s="879" t="s">
        <v>277</v>
      </c>
      <c r="J2665" s="879" t="s">
        <v>1004</v>
      </c>
      <c r="K2665" s="879" t="s">
        <v>670</v>
      </c>
      <c r="L2665" s="879" t="s">
        <v>536</v>
      </c>
      <c r="M2665" s="879" t="s">
        <v>285</v>
      </c>
      <c r="N2665" s="879" t="s">
        <v>670</v>
      </c>
      <c r="O2665" s="879" t="s">
        <v>678</v>
      </c>
      <c r="P2665" s="879" t="s">
        <v>524</v>
      </c>
      <c r="Q2665" s="879" t="s">
        <v>589</v>
      </c>
      <c r="R2665" s="880">
        <v>46106</v>
      </c>
      <c r="S2665" s="879" t="s">
        <v>670</v>
      </c>
      <c r="T2665" s="880">
        <v>46113</v>
      </c>
      <c r="U2665" s="883">
        <v>0</v>
      </c>
      <c r="V2665" s="882">
        <v>-1951</v>
      </c>
      <c r="W2665" s="260">
        <v>46113</v>
      </c>
    </row>
    <row r="2666" spans="1:23" hidden="1" x14ac:dyDescent="0.35">
      <c r="A2666" s="879" t="s">
        <v>526</v>
      </c>
      <c r="B2666" s="879" t="s">
        <v>53</v>
      </c>
      <c r="C2666" s="879" t="s">
        <v>670</v>
      </c>
      <c r="D2666" s="879" t="s">
        <v>385</v>
      </c>
      <c r="E2666" s="879" t="s">
        <v>386</v>
      </c>
      <c r="F2666" s="879" t="s">
        <v>588</v>
      </c>
      <c r="G2666" s="879" t="s">
        <v>472</v>
      </c>
      <c r="H2666" s="879" t="s">
        <v>670</v>
      </c>
      <c r="I2666" s="879" t="s">
        <v>277</v>
      </c>
      <c r="J2666" s="879" t="s">
        <v>1004</v>
      </c>
      <c r="K2666" s="879" t="s">
        <v>670</v>
      </c>
      <c r="L2666" s="879" t="s">
        <v>536</v>
      </c>
      <c r="M2666" s="879" t="s">
        <v>285</v>
      </c>
      <c r="N2666" s="879" t="s">
        <v>670</v>
      </c>
      <c r="O2666" s="879" t="s">
        <v>684</v>
      </c>
      <c r="P2666" s="879" t="s">
        <v>524</v>
      </c>
      <c r="Q2666" s="879" t="s">
        <v>589</v>
      </c>
      <c r="R2666" s="880">
        <v>46106</v>
      </c>
      <c r="S2666" s="879" t="s">
        <v>670</v>
      </c>
      <c r="T2666" s="880">
        <v>46113</v>
      </c>
      <c r="U2666" s="883">
        <v>0</v>
      </c>
      <c r="V2666" s="882">
        <v>-70570</v>
      </c>
      <c r="W2666" s="260">
        <v>46113</v>
      </c>
    </row>
    <row r="2667" spans="1:23" hidden="1" x14ac:dyDescent="0.35">
      <c r="A2667" s="879" t="s">
        <v>526</v>
      </c>
      <c r="B2667" s="879" t="s">
        <v>53</v>
      </c>
      <c r="C2667" s="879" t="s">
        <v>670</v>
      </c>
      <c r="D2667" s="879" t="s">
        <v>385</v>
      </c>
      <c r="E2667" s="879" t="s">
        <v>386</v>
      </c>
      <c r="F2667" s="879" t="s">
        <v>276</v>
      </c>
      <c r="G2667" s="879" t="s">
        <v>472</v>
      </c>
      <c r="H2667" s="879" t="s">
        <v>670</v>
      </c>
      <c r="I2667" s="879" t="s">
        <v>277</v>
      </c>
      <c r="J2667" s="879" t="s">
        <v>1004</v>
      </c>
      <c r="K2667" s="879" t="s">
        <v>670</v>
      </c>
      <c r="L2667" s="879" t="s">
        <v>536</v>
      </c>
      <c r="M2667" s="879" t="s">
        <v>285</v>
      </c>
      <c r="N2667" s="879" t="s">
        <v>1060</v>
      </c>
      <c r="O2667" s="879" t="s">
        <v>824</v>
      </c>
      <c r="P2667" s="879" t="s">
        <v>524</v>
      </c>
      <c r="Q2667" s="879" t="s">
        <v>387</v>
      </c>
      <c r="R2667" s="880">
        <v>46031</v>
      </c>
      <c r="S2667" s="879" t="s">
        <v>388</v>
      </c>
      <c r="T2667" s="880">
        <v>46114</v>
      </c>
      <c r="U2667" s="881">
        <v>1</v>
      </c>
      <c r="V2667" s="882">
        <v>60102</v>
      </c>
      <c r="W2667" s="260">
        <v>46113</v>
      </c>
    </row>
    <row r="2668" spans="1:23" hidden="1" x14ac:dyDescent="0.35">
      <c r="A2668" s="879" t="s">
        <v>526</v>
      </c>
      <c r="B2668" s="879" t="s">
        <v>53</v>
      </c>
      <c r="C2668" s="879" t="s">
        <v>670</v>
      </c>
      <c r="D2668" s="879" t="s">
        <v>385</v>
      </c>
      <c r="E2668" s="879" t="s">
        <v>386</v>
      </c>
      <c r="F2668" s="879" t="s">
        <v>276</v>
      </c>
      <c r="G2668" s="879" t="s">
        <v>472</v>
      </c>
      <c r="H2668" s="879" t="s">
        <v>670</v>
      </c>
      <c r="I2668" s="879" t="s">
        <v>277</v>
      </c>
      <c r="J2668" s="879" t="s">
        <v>1004</v>
      </c>
      <c r="K2668" s="879" t="s">
        <v>670</v>
      </c>
      <c r="L2668" s="879" t="s">
        <v>536</v>
      </c>
      <c r="M2668" s="879" t="s">
        <v>285</v>
      </c>
      <c r="N2668" s="879" t="s">
        <v>1037</v>
      </c>
      <c r="O2668" s="879" t="s">
        <v>1038</v>
      </c>
      <c r="P2668" s="879" t="s">
        <v>524</v>
      </c>
      <c r="Q2668" s="879" t="s">
        <v>387</v>
      </c>
      <c r="R2668" s="880">
        <v>46122</v>
      </c>
      <c r="S2668" s="879" t="s">
        <v>388</v>
      </c>
      <c r="T2668" s="880">
        <v>46127</v>
      </c>
      <c r="U2668" s="881">
        <v>1</v>
      </c>
      <c r="V2668" s="882">
        <v>3920</v>
      </c>
      <c r="W2668" s="260">
        <v>46113</v>
      </c>
    </row>
    <row r="2669" spans="1:23" hidden="1" x14ac:dyDescent="0.35">
      <c r="A2669" s="879" t="s">
        <v>526</v>
      </c>
      <c r="B2669" s="879" t="s">
        <v>53</v>
      </c>
      <c r="C2669" s="879" t="s">
        <v>670</v>
      </c>
      <c r="D2669" s="879" t="s">
        <v>385</v>
      </c>
      <c r="E2669" s="879" t="s">
        <v>386</v>
      </c>
      <c r="F2669" s="879" t="s">
        <v>276</v>
      </c>
      <c r="G2669" s="879" t="s">
        <v>472</v>
      </c>
      <c r="H2669" s="879" t="s">
        <v>670</v>
      </c>
      <c r="I2669" s="879" t="s">
        <v>277</v>
      </c>
      <c r="J2669" s="879" t="s">
        <v>1004</v>
      </c>
      <c r="K2669" s="879" t="s">
        <v>670</v>
      </c>
      <c r="L2669" s="879" t="s">
        <v>536</v>
      </c>
      <c r="M2669" s="879" t="s">
        <v>285</v>
      </c>
      <c r="N2669" s="879" t="s">
        <v>1032</v>
      </c>
      <c r="O2669" s="879" t="s">
        <v>1033</v>
      </c>
      <c r="P2669" s="879" t="s">
        <v>524</v>
      </c>
      <c r="Q2669" s="879" t="s">
        <v>387</v>
      </c>
      <c r="R2669" s="880">
        <v>46091</v>
      </c>
      <c r="S2669" s="879" t="s">
        <v>388</v>
      </c>
      <c r="T2669" s="880">
        <v>46132</v>
      </c>
      <c r="U2669" s="881">
        <v>1</v>
      </c>
      <c r="V2669" s="882">
        <v>15002</v>
      </c>
      <c r="W2669" s="260">
        <v>46113</v>
      </c>
    </row>
    <row r="2670" spans="1:23" hidden="1" x14ac:dyDescent="0.35">
      <c r="A2670" s="879" t="s">
        <v>526</v>
      </c>
      <c r="B2670" s="879" t="s">
        <v>53</v>
      </c>
      <c r="C2670" s="879" t="s">
        <v>670</v>
      </c>
      <c r="D2670" s="879" t="s">
        <v>385</v>
      </c>
      <c r="E2670" s="879" t="s">
        <v>386</v>
      </c>
      <c r="F2670" s="879" t="s">
        <v>276</v>
      </c>
      <c r="G2670" s="879" t="s">
        <v>472</v>
      </c>
      <c r="H2670" s="879" t="s">
        <v>670</v>
      </c>
      <c r="I2670" s="879" t="s">
        <v>277</v>
      </c>
      <c r="J2670" s="879" t="s">
        <v>1004</v>
      </c>
      <c r="K2670" s="879" t="s">
        <v>670</v>
      </c>
      <c r="L2670" s="879" t="s">
        <v>536</v>
      </c>
      <c r="M2670" s="879" t="s">
        <v>285</v>
      </c>
      <c r="N2670" s="879" t="s">
        <v>1032</v>
      </c>
      <c r="O2670" s="879" t="s">
        <v>1033</v>
      </c>
      <c r="P2670" s="879" t="s">
        <v>524</v>
      </c>
      <c r="Q2670" s="879" t="s">
        <v>387</v>
      </c>
      <c r="R2670" s="880">
        <v>46112</v>
      </c>
      <c r="S2670" s="879" t="s">
        <v>388</v>
      </c>
      <c r="T2670" s="880">
        <v>46132</v>
      </c>
      <c r="U2670" s="881">
        <v>1</v>
      </c>
      <c r="V2670" s="882">
        <v>14400</v>
      </c>
      <c r="W2670" s="260">
        <v>46113</v>
      </c>
    </row>
    <row r="2671" spans="1:23" hidden="1" x14ac:dyDescent="0.35">
      <c r="A2671" s="879" t="s">
        <v>526</v>
      </c>
      <c r="B2671" s="879" t="s">
        <v>53</v>
      </c>
      <c r="C2671" s="879" t="s">
        <v>670</v>
      </c>
      <c r="D2671" s="879" t="s">
        <v>385</v>
      </c>
      <c r="E2671" s="879" t="s">
        <v>386</v>
      </c>
      <c r="F2671" s="879" t="s">
        <v>276</v>
      </c>
      <c r="G2671" s="879" t="s">
        <v>472</v>
      </c>
      <c r="H2671" s="879" t="s">
        <v>670</v>
      </c>
      <c r="I2671" s="879" t="s">
        <v>277</v>
      </c>
      <c r="J2671" s="879" t="s">
        <v>1004</v>
      </c>
      <c r="K2671" s="879" t="s">
        <v>670</v>
      </c>
      <c r="L2671" s="879" t="s">
        <v>536</v>
      </c>
      <c r="M2671" s="879" t="s">
        <v>285</v>
      </c>
      <c r="N2671" s="879" t="s">
        <v>732</v>
      </c>
      <c r="O2671" s="879" t="s">
        <v>833</v>
      </c>
      <c r="P2671" s="879" t="s">
        <v>524</v>
      </c>
      <c r="Q2671" s="879" t="s">
        <v>387</v>
      </c>
      <c r="R2671" s="880">
        <v>46028</v>
      </c>
      <c r="S2671" s="879" t="s">
        <v>388</v>
      </c>
      <c r="T2671" s="880">
        <v>46132</v>
      </c>
      <c r="U2671" s="881">
        <v>1</v>
      </c>
      <c r="V2671" s="882">
        <v>1410.67</v>
      </c>
      <c r="W2671" s="260">
        <v>46113</v>
      </c>
    </row>
    <row r="2672" spans="1:23" hidden="1" x14ac:dyDescent="0.35">
      <c r="A2672" s="879" t="s">
        <v>526</v>
      </c>
      <c r="B2672" s="879" t="s">
        <v>53</v>
      </c>
      <c r="C2672" s="879" t="s">
        <v>670</v>
      </c>
      <c r="D2672" s="879" t="s">
        <v>385</v>
      </c>
      <c r="E2672" s="879" t="s">
        <v>386</v>
      </c>
      <c r="F2672" s="879" t="s">
        <v>276</v>
      </c>
      <c r="G2672" s="879" t="s">
        <v>472</v>
      </c>
      <c r="H2672" s="879" t="s">
        <v>670</v>
      </c>
      <c r="I2672" s="879" t="s">
        <v>277</v>
      </c>
      <c r="J2672" s="879" t="s">
        <v>1004</v>
      </c>
      <c r="K2672" s="879" t="s">
        <v>670</v>
      </c>
      <c r="L2672" s="879" t="s">
        <v>536</v>
      </c>
      <c r="M2672" s="879" t="s">
        <v>285</v>
      </c>
      <c r="N2672" s="879" t="s">
        <v>1027</v>
      </c>
      <c r="O2672" s="879" t="s">
        <v>1036</v>
      </c>
      <c r="P2672" s="879" t="s">
        <v>524</v>
      </c>
      <c r="Q2672" s="879" t="s">
        <v>387</v>
      </c>
      <c r="R2672" s="880">
        <v>46115</v>
      </c>
      <c r="S2672" s="879" t="s">
        <v>388</v>
      </c>
      <c r="T2672" s="880">
        <v>46134</v>
      </c>
      <c r="U2672" s="881">
        <v>1</v>
      </c>
      <c r="V2672" s="882">
        <v>5600.22</v>
      </c>
      <c r="W2672" s="260">
        <v>46113</v>
      </c>
    </row>
    <row r="2673" spans="1:23" hidden="1" x14ac:dyDescent="0.35">
      <c r="A2673" s="879" t="s">
        <v>526</v>
      </c>
      <c r="B2673" s="879" t="s">
        <v>53</v>
      </c>
      <c r="C2673" s="879" t="s">
        <v>670</v>
      </c>
      <c r="D2673" s="879" t="s">
        <v>385</v>
      </c>
      <c r="E2673" s="879" t="s">
        <v>386</v>
      </c>
      <c r="F2673" s="879" t="s">
        <v>276</v>
      </c>
      <c r="G2673" s="879" t="s">
        <v>472</v>
      </c>
      <c r="H2673" s="879" t="s">
        <v>670</v>
      </c>
      <c r="I2673" s="879" t="s">
        <v>277</v>
      </c>
      <c r="J2673" s="879" t="s">
        <v>1004</v>
      </c>
      <c r="K2673" s="879" t="s">
        <v>670</v>
      </c>
      <c r="L2673" s="879" t="s">
        <v>536</v>
      </c>
      <c r="M2673" s="879" t="s">
        <v>285</v>
      </c>
      <c r="N2673" s="879" t="s">
        <v>695</v>
      </c>
      <c r="O2673" s="879" t="s">
        <v>687</v>
      </c>
      <c r="P2673" s="879" t="s">
        <v>524</v>
      </c>
      <c r="Q2673" s="879" t="s">
        <v>387</v>
      </c>
      <c r="R2673" s="880">
        <v>46132</v>
      </c>
      <c r="S2673" s="879" t="s">
        <v>388</v>
      </c>
      <c r="T2673" s="880">
        <v>46136</v>
      </c>
      <c r="U2673" s="881">
        <v>1</v>
      </c>
      <c r="V2673" s="882">
        <v>5500</v>
      </c>
      <c r="W2673" s="260">
        <v>46113</v>
      </c>
    </row>
    <row r="2674" spans="1:23" hidden="1" x14ac:dyDescent="0.35">
      <c r="A2674" s="879" t="s">
        <v>526</v>
      </c>
      <c r="B2674" s="879" t="s">
        <v>53</v>
      </c>
      <c r="C2674" s="879" t="s">
        <v>670</v>
      </c>
      <c r="D2674" s="879" t="s">
        <v>385</v>
      </c>
      <c r="E2674" s="879" t="s">
        <v>386</v>
      </c>
      <c r="F2674" s="879" t="s">
        <v>276</v>
      </c>
      <c r="G2674" s="879" t="s">
        <v>472</v>
      </c>
      <c r="H2674" s="879" t="s">
        <v>670</v>
      </c>
      <c r="I2674" s="879" t="s">
        <v>277</v>
      </c>
      <c r="J2674" s="879" t="s">
        <v>1004</v>
      </c>
      <c r="K2674" s="879" t="s">
        <v>670</v>
      </c>
      <c r="L2674" s="879" t="s">
        <v>536</v>
      </c>
      <c r="M2674" s="879" t="s">
        <v>285</v>
      </c>
      <c r="N2674" s="879" t="s">
        <v>670</v>
      </c>
      <c r="O2674" s="879" t="s">
        <v>687</v>
      </c>
      <c r="P2674" s="879" t="s">
        <v>524</v>
      </c>
      <c r="Q2674" s="879" t="s">
        <v>400</v>
      </c>
      <c r="R2674" s="880">
        <v>46140</v>
      </c>
      <c r="S2674" s="879" t="s">
        <v>670</v>
      </c>
      <c r="T2674" s="880">
        <v>46142</v>
      </c>
      <c r="U2674" s="883">
        <v>0</v>
      </c>
      <c r="V2674" s="882">
        <v>5500</v>
      </c>
      <c r="W2674" s="260">
        <v>46113</v>
      </c>
    </row>
    <row r="2675" spans="1:23" hidden="1" x14ac:dyDescent="0.35">
      <c r="A2675" s="879" t="s">
        <v>526</v>
      </c>
      <c r="B2675" s="879" t="s">
        <v>53</v>
      </c>
      <c r="C2675" s="879" t="s">
        <v>670</v>
      </c>
      <c r="D2675" s="879" t="s">
        <v>385</v>
      </c>
      <c r="E2675" s="879" t="s">
        <v>386</v>
      </c>
      <c r="F2675" s="879" t="s">
        <v>276</v>
      </c>
      <c r="G2675" s="879" t="s">
        <v>472</v>
      </c>
      <c r="H2675" s="879" t="s">
        <v>670</v>
      </c>
      <c r="I2675" s="879" t="s">
        <v>277</v>
      </c>
      <c r="J2675" s="879" t="s">
        <v>1004</v>
      </c>
      <c r="K2675" s="879" t="s">
        <v>670</v>
      </c>
      <c r="L2675" s="879" t="s">
        <v>536</v>
      </c>
      <c r="M2675" s="879" t="s">
        <v>285</v>
      </c>
      <c r="N2675" s="879" t="s">
        <v>670</v>
      </c>
      <c r="O2675" s="879" t="s">
        <v>1047</v>
      </c>
      <c r="P2675" s="879" t="s">
        <v>524</v>
      </c>
      <c r="Q2675" s="879" t="s">
        <v>400</v>
      </c>
      <c r="R2675" s="880">
        <v>46140</v>
      </c>
      <c r="S2675" s="879" t="s">
        <v>670</v>
      </c>
      <c r="T2675" s="880">
        <v>46142</v>
      </c>
      <c r="U2675" s="883">
        <v>0</v>
      </c>
      <c r="V2675" s="882">
        <v>8229</v>
      </c>
      <c r="W2675" s="260">
        <v>46113</v>
      </c>
    </row>
    <row r="2676" spans="1:23" hidden="1" x14ac:dyDescent="0.35">
      <c r="A2676" s="879" t="s">
        <v>526</v>
      </c>
      <c r="B2676" s="879" t="s">
        <v>53</v>
      </c>
      <c r="C2676" s="879" t="s">
        <v>670</v>
      </c>
      <c r="D2676" s="879" t="s">
        <v>385</v>
      </c>
      <c r="E2676" s="879" t="s">
        <v>386</v>
      </c>
      <c r="F2676" s="879" t="s">
        <v>276</v>
      </c>
      <c r="G2676" s="879" t="s">
        <v>472</v>
      </c>
      <c r="H2676" s="879" t="s">
        <v>670</v>
      </c>
      <c r="I2676" s="879" t="s">
        <v>277</v>
      </c>
      <c r="J2676" s="879" t="s">
        <v>1004</v>
      </c>
      <c r="K2676" s="879" t="s">
        <v>670</v>
      </c>
      <c r="L2676" s="879" t="s">
        <v>536</v>
      </c>
      <c r="M2676" s="879" t="s">
        <v>285</v>
      </c>
      <c r="N2676" s="879" t="s">
        <v>670</v>
      </c>
      <c r="O2676" s="879" t="s">
        <v>824</v>
      </c>
      <c r="P2676" s="879" t="s">
        <v>524</v>
      </c>
      <c r="Q2676" s="879" t="s">
        <v>400</v>
      </c>
      <c r="R2676" s="880">
        <v>46140</v>
      </c>
      <c r="S2676" s="879" t="s">
        <v>670</v>
      </c>
      <c r="T2676" s="880">
        <v>46142</v>
      </c>
      <c r="U2676" s="883">
        <v>0</v>
      </c>
      <c r="V2676" s="882">
        <v>222858</v>
      </c>
      <c r="W2676" s="260">
        <v>46113</v>
      </c>
    </row>
    <row r="2677" spans="1:23" hidden="1" x14ac:dyDescent="0.35">
      <c r="A2677" s="879" t="s">
        <v>526</v>
      </c>
      <c r="B2677" s="879" t="s">
        <v>53</v>
      </c>
      <c r="C2677" s="879" t="s">
        <v>670</v>
      </c>
      <c r="D2677" s="879" t="s">
        <v>385</v>
      </c>
      <c r="E2677" s="879" t="s">
        <v>386</v>
      </c>
      <c r="F2677" s="879" t="s">
        <v>276</v>
      </c>
      <c r="G2677" s="879" t="s">
        <v>472</v>
      </c>
      <c r="H2677" s="879" t="s">
        <v>670</v>
      </c>
      <c r="I2677" s="879" t="s">
        <v>277</v>
      </c>
      <c r="J2677" s="879" t="s">
        <v>1004</v>
      </c>
      <c r="K2677" s="879" t="s">
        <v>670</v>
      </c>
      <c r="L2677" s="879" t="s">
        <v>536</v>
      </c>
      <c r="M2677" s="879" t="s">
        <v>285</v>
      </c>
      <c r="N2677" s="879" t="s">
        <v>670</v>
      </c>
      <c r="O2677" s="879" t="s">
        <v>866</v>
      </c>
      <c r="P2677" s="879" t="s">
        <v>524</v>
      </c>
      <c r="Q2677" s="879" t="s">
        <v>400</v>
      </c>
      <c r="R2677" s="880">
        <v>46140</v>
      </c>
      <c r="S2677" s="879" t="s">
        <v>670</v>
      </c>
      <c r="T2677" s="880">
        <v>46142</v>
      </c>
      <c r="U2677" s="883">
        <v>0</v>
      </c>
      <c r="V2677" s="882">
        <v>469301</v>
      </c>
      <c r="W2677" s="260">
        <v>46113</v>
      </c>
    </row>
    <row r="2678" spans="1:23" hidden="1" x14ac:dyDescent="0.35">
      <c r="A2678" s="879" t="s">
        <v>526</v>
      </c>
      <c r="B2678" s="879" t="s">
        <v>53</v>
      </c>
      <c r="C2678" s="879" t="s">
        <v>670</v>
      </c>
      <c r="D2678" s="879" t="s">
        <v>385</v>
      </c>
      <c r="E2678" s="879" t="s">
        <v>386</v>
      </c>
      <c r="F2678" s="879" t="s">
        <v>276</v>
      </c>
      <c r="G2678" s="879" t="s">
        <v>472</v>
      </c>
      <c r="H2678" s="879" t="s">
        <v>670</v>
      </c>
      <c r="I2678" s="879" t="s">
        <v>277</v>
      </c>
      <c r="J2678" s="879" t="s">
        <v>1004</v>
      </c>
      <c r="K2678" s="879" t="s">
        <v>670</v>
      </c>
      <c r="L2678" s="879" t="s">
        <v>536</v>
      </c>
      <c r="M2678" s="879" t="s">
        <v>285</v>
      </c>
      <c r="N2678" s="879" t="s">
        <v>670</v>
      </c>
      <c r="O2678" s="879" t="s">
        <v>678</v>
      </c>
      <c r="P2678" s="879" t="s">
        <v>524</v>
      </c>
      <c r="Q2678" s="879" t="s">
        <v>400</v>
      </c>
      <c r="R2678" s="880">
        <v>46140</v>
      </c>
      <c r="S2678" s="879" t="s">
        <v>670</v>
      </c>
      <c r="T2678" s="880">
        <v>46142</v>
      </c>
      <c r="U2678" s="883">
        <v>0</v>
      </c>
      <c r="V2678" s="882">
        <v>4703</v>
      </c>
      <c r="W2678" s="260">
        <v>46113</v>
      </c>
    </row>
    <row r="2679" spans="1:23" hidden="1" x14ac:dyDescent="0.35">
      <c r="A2679" s="879" t="s">
        <v>526</v>
      </c>
      <c r="B2679" s="879" t="s">
        <v>53</v>
      </c>
      <c r="C2679" s="879" t="s">
        <v>670</v>
      </c>
      <c r="D2679" s="879" t="s">
        <v>385</v>
      </c>
      <c r="E2679" s="879" t="s">
        <v>386</v>
      </c>
      <c r="F2679" s="879" t="s">
        <v>276</v>
      </c>
      <c r="G2679" s="879" t="s">
        <v>472</v>
      </c>
      <c r="H2679" s="879" t="s">
        <v>670</v>
      </c>
      <c r="I2679" s="879" t="s">
        <v>277</v>
      </c>
      <c r="J2679" s="879" t="s">
        <v>1004</v>
      </c>
      <c r="K2679" s="879" t="s">
        <v>670</v>
      </c>
      <c r="L2679" s="879" t="s">
        <v>536</v>
      </c>
      <c r="M2679" s="879" t="s">
        <v>285</v>
      </c>
      <c r="N2679" s="879" t="s">
        <v>670</v>
      </c>
      <c r="O2679" s="879" t="s">
        <v>765</v>
      </c>
      <c r="P2679" s="879" t="s">
        <v>524</v>
      </c>
      <c r="Q2679" s="879" t="s">
        <v>400</v>
      </c>
      <c r="R2679" s="880">
        <v>46140</v>
      </c>
      <c r="S2679" s="879" t="s">
        <v>670</v>
      </c>
      <c r="T2679" s="880">
        <v>46142</v>
      </c>
      <c r="U2679" s="883">
        <v>0</v>
      </c>
      <c r="V2679" s="882">
        <v>25520</v>
      </c>
      <c r="W2679" s="260">
        <v>46113</v>
      </c>
    </row>
    <row r="2680" spans="1:23" hidden="1" x14ac:dyDescent="0.35">
      <c r="A2680" s="879" t="s">
        <v>526</v>
      </c>
      <c r="B2680" s="879" t="s">
        <v>53</v>
      </c>
      <c r="C2680" s="879" t="s">
        <v>670</v>
      </c>
      <c r="D2680" s="879" t="s">
        <v>385</v>
      </c>
      <c r="E2680" s="879" t="s">
        <v>386</v>
      </c>
      <c r="F2680" s="879" t="s">
        <v>276</v>
      </c>
      <c r="G2680" s="879" t="s">
        <v>472</v>
      </c>
      <c r="H2680" s="879" t="s">
        <v>670</v>
      </c>
      <c r="I2680" s="879" t="s">
        <v>277</v>
      </c>
      <c r="J2680" s="879" t="s">
        <v>1004</v>
      </c>
      <c r="K2680" s="879" t="s">
        <v>670</v>
      </c>
      <c r="L2680" s="879" t="s">
        <v>536</v>
      </c>
      <c r="M2680" s="879" t="s">
        <v>285</v>
      </c>
      <c r="N2680" s="879" t="s">
        <v>670</v>
      </c>
      <c r="O2680" s="879" t="s">
        <v>684</v>
      </c>
      <c r="P2680" s="879" t="s">
        <v>524</v>
      </c>
      <c r="Q2680" s="879" t="s">
        <v>400</v>
      </c>
      <c r="R2680" s="880">
        <v>46140</v>
      </c>
      <c r="S2680" s="879" t="s">
        <v>670</v>
      </c>
      <c r="T2680" s="880">
        <v>46142</v>
      </c>
      <c r="U2680" s="883">
        <v>0</v>
      </c>
      <c r="V2680" s="882">
        <v>70570</v>
      </c>
      <c r="W2680" s="260">
        <v>46113</v>
      </c>
    </row>
    <row r="2681" spans="1:23" hidden="1" x14ac:dyDescent="0.35">
      <c r="V2681">
        <f>V2625/U2625</f>
        <v>115.34</v>
      </c>
    </row>
    <row r="2682" spans="1:23" hidden="1" x14ac:dyDescent="0.35">
      <c r="A2682" s="879" t="s">
        <v>526</v>
      </c>
      <c r="B2682" s="879" t="s">
        <v>159</v>
      </c>
      <c r="C2682" s="879" t="s">
        <v>1049</v>
      </c>
      <c r="D2682" s="879" t="s">
        <v>1050</v>
      </c>
      <c r="E2682" s="879" t="s">
        <v>1051</v>
      </c>
      <c r="F2682" s="879" t="s">
        <v>276</v>
      </c>
      <c r="G2682" s="879" t="s">
        <v>472</v>
      </c>
      <c r="H2682" s="879" t="s">
        <v>1116</v>
      </c>
      <c r="I2682" s="879" t="s">
        <v>277</v>
      </c>
      <c r="J2682" s="879" t="s">
        <v>997</v>
      </c>
      <c r="K2682" s="879" t="s">
        <v>1053</v>
      </c>
      <c r="L2682" s="879" t="s">
        <v>541</v>
      </c>
      <c r="M2682" s="879" t="s">
        <v>1117</v>
      </c>
      <c r="N2682" s="879" t="s">
        <v>670</v>
      </c>
      <c r="O2682" s="879" t="s">
        <v>670</v>
      </c>
      <c r="P2682" s="879" t="s">
        <v>522</v>
      </c>
      <c r="Q2682" s="879" t="s">
        <v>670</v>
      </c>
      <c r="R2682" s="880">
        <v>46143</v>
      </c>
      <c r="S2682" s="879" t="s">
        <v>278</v>
      </c>
      <c r="T2682" s="880">
        <v>46148</v>
      </c>
      <c r="U2682" s="883">
        <v>8</v>
      </c>
      <c r="V2682" s="882">
        <v>532</v>
      </c>
      <c r="W2682" s="260">
        <v>46143</v>
      </c>
    </row>
    <row r="2683" spans="1:23" hidden="1" x14ac:dyDescent="0.35">
      <c r="A2683" s="879" t="s">
        <v>526</v>
      </c>
      <c r="B2683" s="879" t="s">
        <v>159</v>
      </c>
      <c r="C2683" s="879" t="s">
        <v>1049</v>
      </c>
      <c r="D2683" s="879" t="s">
        <v>1050</v>
      </c>
      <c r="E2683" s="879" t="s">
        <v>1051</v>
      </c>
      <c r="F2683" s="879" t="s">
        <v>276</v>
      </c>
      <c r="G2683" s="879" t="s">
        <v>472</v>
      </c>
      <c r="H2683" s="879" t="s">
        <v>1116</v>
      </c>
      <c r="I2683" s="879" t="s">
        <v>277</v>
      </c>
      <c r="J2683" s="879" t="s">
        <v>997</v>
      </c>
      <c r="K2683" s="879" t="s">
        <v>1053</v>
      </c>
      <c r="L2683" s="879" t="s">
        <v>541</v>
      </c>
      <c r="M2683" s="879" t="s">
        <v>1117</v>
      </c>
      <c r="N2683" s="879" t="s">
        <v>670</v>
      </c>
      <c r="O2683" s="879" t="s">
        <v>670</v>
      </c>
      <c r="P2683" s="879" t="s">
        <v>522</v>
      </c>
      <c r="Q2683" s="879" t="s">
        <v>670</v>
      </c>
      <c r="R2683" s="880">
        <v>46139</v>
      </c>
      <c r="S2683" s="879" t="s">
        <v>278</v>
      </c>
      <c r="T2683" s="880">
        <v>46148</v>
      </c>
      <c r="U2683" s="883">
        <v>8</v>
      </c>
      <c r="V2683" s="882">
        <v>532</v>
      </c>
      <c r="W2683" s="260">
        <v>46143</v>
      </c>
    </row>
    <row r="2684" spans="1:23" hidden="1" x14ac:dyDescent="0.35">
      <c r="A2684" s="879" t="s">
        <v>526</v>
      </c>
      <c r="B2684" s="879" t="s">
        <v>159</v>
      </c>
      <c r="C2684" s="879" t="s">
        <v>1049</v>
      </c>
      <c r="D2684" s="879" t="s">
        <v>1050</v>
      </c>
      <c r="E2684" s="879" t="s">
        <v>1051</v>
      </c>
      <c r="F2684" s="879" t="s">
        <v>276</v>
      </c>
      <c r="G2684" s="879" t="s">
        <v>472</v>
      </c>
      <c r="H2684" s="879" t="s">
        <v>1116</v>
      </c>
      <c r="I2684" s="879" t="s">
        <v>277</v>
      </c>
      <c r="J2684" s="879" t="s">
        <v>997</v>
      </c>
      <c r="K2684" s="879" t="s">
        <v>1053</v>
      </c>
      <c r="L2684" s="879" t="s">
        <v>541</v>
      </c>
      <c r="M2684" s="879" t="s">
        <v>1117</v>
      </c>
      <c r="N2684" s="879" t="s">
        <v>670</v>
      </c>
      <c r="O2684" s="879" t="s">
        <v>670</v>
      </c>
      <c r="P2684" s="879" t="s">
        <v>522</v>
      </c>
      <c r="Q2684" s="879" t="s">
        <v>670</v>
      </c>
      <c r="R2684" s="880">
        <v>46140</v>
      </c>
      <c r="S2684" s="879" t="s">
        <v>278</v>
      </c>
      <c r="T2684" s="880">
        <v>46148</v>
      </c>
      <c r="U2684" s="883">
        <v>8</v>
      </c>
      <c r="V2684" s="882">
        <v>532</v>
      </c>
      <c r="W2684" s="260">
        <v>46143</v>
      </c>
    </row>
    <row r="2685" spans="1:23" hidden="1" x14ac:dyDescent="0.35">
      <c r="A2685" s="879" t="s">
        <v>526</v>
      </c>
      <c r="B2685" s="879" t="s">
        <v>159</v>
      </c>
      <c r="C2685" s="879" t="s">
        <v>1049</v>
      </c>
      <c r="D2685" s="879" t="s">
        <v>1050</v>
      </c>
      <c r="E2685" s="879" t="s">
        <v>1051</v>
      </c>
      <c r="F2685" s="879" t="s">
        <v>276</v>
      </c>
      <c r="G2685" s="879" t="s">
        <v>472</v>
      </c>
      <c r="H2685" s="879" t="s">
        <v>1116</v>
      </c>
      <c r="I2685" s="879" t="s">
        <v>277</v>
      </c>
      <c r="J2685" s="879" t="s">
        <v>997</v>
      </c>
      <c r="K2685" s="879" t="s">
        <v>1053</v>
      </c>
      <c r="L2685" s="879" t="s">
        <v>541</v>
      </c>
      <c r="M2685" s="879" t="s">
        <v>1117</v>
      </c>
      <c r="N2685" s="879" t="s">
        <v>670</v>
      </c>
      <c r="O2685" s="879" t="s">
        <v>670</v>
      </c>
      <c r="P2685" s="879" t="s">
        <v>522</v>
      </c>
      <c r="Q2685" s="879" t="s">
        <v>670</v>
      </c>
      <c r="R2685" s="880">
        <v>46141</v>
      </c>
      <c r="S2685" s="879" t="s">
        <v>278</v>
      </c>
      <c r="T2685" s="880">
        <v>46148</v>
      </c>
      <c r="U2685" s="883">
        <v>8</v>
      </c>
      <c r="V2685" s="882">
        <v>532</v>
      </c>
      <c r="W2685" s="260">
        <v>46143</v>
      </c>
    </row>
    <row r="2686" spans="1:23" hidden="1" x14ac:dyDescent="0.35">
      <c r="A2686" s="879" t="s">
        <v>526</v>
      </c>
      <c r="B2686" s="879" t="s">
        <v>159</v>
      </c>
      <c r="C2686" s="879" t="s">
        <v>1049</v>
      </c>
      <c r="D2686" s="879" t="s">
        <v>1050</v>
      </c>
      <c r="E2686" s="879" t="s">
        <v>1051</v>
      </c>
      <c r="F2686" s="879" t="s">
        <v>276</v>
      </c>
      <c r="G2686" s="879" t="s">
        <v>472</v>
      </c>
      <c r="H2686" s="879" t="s">
        <v>1116</v>
      </c>
      <c r="I2686" s="879" t="s">
        <v>277</v>
      </c>
      <c r="J2686" s="879" t="s">
        <v>997</v>
      </c>
      <c r="K2686" s="879" t="s">
        <v>1053</v>
      </c>
      <c r="L2686" s="879" t="s">
        <v>541</v>
      </c>
      <c r="M2686" s="879" t="s">
        <v>1117</v>
      </c>
      <c r="N2686" s="879" t="s">
        <v>670</v>
      </c>
      <c r="O2686" s="879" t="s">
        <v>670</v>
      </c>
      <c r="P2686" s="879" t="s">
        <v>522</v>
      </c>
      <c r="Q2686" s="879" t="s">
        <v>670</v>
      </c>
      <c r="R2686" s="880">
        <v>46142</v>
      </c>
      <c r="S2686" s="879" t="s">
        <v>278</v>
      </c>
      <c r="T2686" s="880">
        <v>46148</v>
      </c>
      <c r="U2686" s="883">
        <v>8</v>
      </c>
      <c r="V2686" s="882">
        <v>532</v>
      </c>
      <c r="W2686" s="260">
        <v>46143</v>
      </c>
    </row>
    <row r="2687" spans="1:23" hidden="1" x14ac:dyDescent="0.35">
      <c r="A2687" s="879" t="s">
        <v>526</v>
      </c>
      <c r="B2687" s="879" t="s">
        <v>159</v>
      </c>
      <c r="C2687" s="879" t="s">
        <v>1049</v>
      </c>
      <c r="D2687" s="879" t="s">
        <v>1050</v>
      </c>
      <c r="E2687" s="879" t="s">
        <v>1051</v>
      </c>
      <c r="F2687" s="879" t="s">
        <v>276</v>
      </c>
      <c r="G2687" s="879" t="s">
        <v>472</v>
      </c>
      <c r="H2687" s="879" t="s">
        <v>1116</v>
      </c>
      <c r="I2687" s="879" t="s">
        <v>277</v>
      </c>
      <c r="J2687" s="879" t="s">
        <v>997</v>
      </c>
      <c r="K2687" s="879" t="s">
        <v>1053</v>
      </c>
      <c r="L2687" s="879" t="s">
        <v>541</v>
      </c>
      <c r="M2687" s="879" t="s">
        <v>1117</v>
      </c>
      <c r="N2687" s="879" t="s">
        <v>670</v>
      </c>
      <c r="O2687" s="879" t="s">
        <v>670</v>
      </c>
      <c r="P2687" s="879" t="s">
        <v>522</v>
      </c>
      <c r="Q2687" s="879" t="s">
        <v>670</v>
      </c>
      <c r="R2687" s="880">
        <v>46146</v>
      </c>
      <c r="S2687" s="879" t="s">
        <v>278</v>
      </c>
      <c r="T2687" s="880">
        <v>46153</v>
      </c>
      <c r="U2687" s="883">
        <v>8</v>
      </c>
      <c r="V2687" s="882">
        <v>532</v>
      </c>
      <c r="W2687" s="260">
        <v>46143</v>
      </c>
    </row>
    <row r="2688" spans="1:23" hidden="1" x14ac:dyDescent="0.35">
      <c r="A2688" s="879" t="s">
        <v>526</v>
      </c>
      <c r="B2688" s="879" t="s">
        <v>159</v>
      </c>
      <c r="C2688" s="879" t="s">
        <v>1055</v>
      </c>
      <c r="D2688" s="879" t="s">
        <v>1056</v>
      </c>
      <c r="E2688" s="879" t="s">
        <v>995</v>
      </c>
      <c r="F2688" s="879" t="s">
        <v>276</v>
      </c>
      <c r="G2688" s="879" t="s">
        <v>472</v>
      </c>
      <c r="H2688" s="879" t="s">
        <v>1057</v>
      </c>
      <c r="I2688" s="879" t="s">
        <v>277</v>
      </c>
      <c r="J2688" s="879" t="s">
        <v>997</v>
      </c>
      <c r="K2688" s="879" t="s">
        <v>1058</v>
      </c>
      <c r="L2688" s="879" t="s">
        <v>541</v>
      </c>
      <c r="M2688" s="879" t="s">
        <v>1059</v>
      </c>
      <c r="N2688" s="879" t="s">
        <v>670</v>
      </c>
      <c r="O2688" s="879" t="s">
        <v>670</v>
      </c>
      <c r="P2688" s="879" t="s">
        <v>522</v>
      </c>
      <c r="Q2688" s="879" t="s">
        <v>670</v>
      </c>
      <c r="R2688" s="880">
        <v>46150</v>
      </c>
      <c r="S2688" s="879" t="s">
        <v>278</v>
      </c>
      <c r="T2688" s="880">
        <v>46154</v>
      </c>
      <c r="U2688" s="883">
        <v>8</v>
      </c>
      <c r="V2688" s="882">
        <v>922.72</v>
      </c>
      <c r="W2688" s="260">
        <v>46143</v>
      </c>
    </row>
    <row r="2689" spans="1:23" hidden="1" x14ac:dyDescent="0.35">
      <c r="A2689" s="879" t="s">
        <v>526</v>
      </c>
      <c r="B2689" s="879" t="s">
        <v>159</v>
      </c>
      <c r="C2689" s="879" t="s">
        <v>1055</v>
      </c>
      <c r="D2689" s="879" t="s">
        <v>1056</v>
      </c>
      <c r="E2689" s="879" t="s">
        <v>995</v>
      </c>
      <c r="F2689" s="879" t="s">
        <v>276</v>
      </c>
      <c r="G2689" s="879" t="s">
        <v>472</v>
      </c>
      <c r="H2689" s="879" t="s">
        <v>1057</v>
      </c>
      <c r="I2689" s="879" t="s">
        <v>277</v>
      </c>
      <c r="J2689" s="879" t="s">
        <v>997</v>
      </c>
      <c r="K2689" s="879" t="s">
        <v>1058</v>
      </c>
      <c r="L2689" s="879" t="s">
        <v>541</v>
      </c>
      <c r="M2689" s="879" t="s">
        <v>1059</v>
      </c>
      <c r="N2689" s="879" t="s">
        <v>670</v>
      </c>
      <c r="O2689" s="879" t="s">
        <v>670</v>
      </c>
      <c r="P2689" s="879" t="s">
        <v>522</v>
      </c>
      <c r="Q2689" s="879" t="s">
        <v>670</v>
      </c>
      <c r="R2689" s="880">
        <v>46149</v>
      </c>
      <c r="S2689" s="879" t="s">
        <v>278</v>
      </c>
      <c r="T2689" s="880">
        <v>46154</v>
      </c>
      <c r="U2689" s="883">
        <v>8</v>
      </c>
      <c r="V2689" s="882">
        <v>922.72</v>
      </c>
      <c r="W2689" s="260">
        <v>46143</v>
      </c>
    </row>
    <row r="2690" spans="1:23" hidden="1" x14ac:dyDescent="0.35">
      <c r="A2690" s="879" t="s">
        <v>526</v>
      </c>
      <c r="B2690" s="879" t="s">
        <v>159</v>
      </c>
      <c r="C2690" s="879" t="s">
        <v>1055</v>
      </c>
      <c r="D2690" s="879" t="s">
        <v>1056</v>
      </c>
      <c r="E2690" s="879" t="s">
        <v>995</v>
      </c>
      <c r="F2690" s="879" t="s">
        <v>276</v>
      </c>
      <c r="G2690" s="879" t="s">
        <v>472</v>
      </c>
      <c r="H2690" s="879" t="s">
        <v>1057</v>
      </c>
      <c r="I2690" s="879" t="s">
        <v>277</v>
      </c>
      <c r="J2690" s="879" t="s">
        <v>997</v>
      </c>
      <c r="K2690" s="879" t="s">
        <v>1058</v>
      </c>
      <c r="L2690" s="879" t="s">
        <v>541</v>
      </c>
      <c r="M2690" s="879" t="s">
        <v>1059</v>
      </c>
      <c r="N2690" s="879" t="s">
        <v>670</v>
      </c>
      <c r="O2690" s="879" t="s">
        <v>670</v>
      </c>
      <c r="P2690" s="879" t="s">
        <v>522</v>
      </c>
      <c r="Q2690" s="879" t="s">
        <v>670</v>
      </c>
      <c r="R2690" s="880">
        <v>46148</v>
      </c>
      <c r="S2690" s="879" t="s">
        <v>278</v>
      </c>
      <c r="T2690" s="880">
        <v>46154</v>
      </c>
      <c r="U2690" s="883">
        <v>8</v>
      </c>
      <c r="V2690" s="882">
        <v>922.72</v>
      </c>
      <c r="W2690" s="260">
        <v>46143</v>
      </c>
    </row>
    <row r="2691" spans="1:23" hidden="1" x14ac:dyDescent="0.35">
      <c r="A2691" s="879" t="s">
        <v>526</v>
      </c>
      <c r="B2691" s="879" t="s">
        <v>159</v>
      </c>
      <c r="C2691" s="879" t="s">
        <v>1055</v>
      </c>
      <c r="D2691" s="879" t="s">
        <v>1056</v>
      </c>
      <c r="E2691" s="879" t="s">
        <v>995</v>
      </c>
      <c r="F2691" s="879" t="s">
        <v>276</v>
      </c>
      <c r="G2691" s="879" t="s">
        <v>472</v>
      </c>
      <c r="H2691" s="879" t="s">
        <v>1057</v>
      </c>
      <c r="I2691" s="879" t="s">
        <v>277</v>
      </c>
      <c r="J2691" s="879" t="s">
        <v>997</v>
      </c>
      <c r="K2691" s="879" t="s">
        <v>1058</v>
      </c>
      <c r="L2691" s="879" t="s">
        <v>541</v>
      </c>
      <c r="M2691" s="879" t="s">
        <v>1059</v>
      </c>
      <c r="N2691" s="879" t="s">
        <v>670</v>
      </c>
      <c r="O2691" s="879" t="s">
        <v>670</v>
      </c>
      <c r="P2691" s="879" t="s">
        <v>522</v>
      </c>
      <c r="Q2691" s="879" t="s">
        <v>670</v>
      </c>
      <c r="R2691" s="880">
        <v>46147</v>
      </c>
      <c r="S2691" s="879" t="s">
        <v>278</v>
      </c>
      <c r="T2691" s="880">
        <v>46154</v>
      </c>
      <c r="U2691" s="883">
        <v>8</v>
      </c>
      <c r="V2691" s="882">
        <v>922.72</v>
      </c>
      <c r="W2691" s="260">
        <v>46143</v>
      </c>
    </row>
    <row r="2692" spans="1:23" hidden="1" x14ac:dyDescent="0.35">
      <c r="A2692" s="879" t="s">
        <v>526</v>
      </c>
      <c r="B2692" s="879" t="s">
        <v>159</v>
      </c>
      <c r="C2692" s="879" t="s">
        <v>1055</v>
      </c>
      <c r="D2692" s="879" t="s">
        <v>1056</v>
      </c>
      <c r="E2692" s="879" t="s">
        <v>995</v>
      </c>
      <c r="F2692" s="879" t="s">
        <v>276</v>
      </c>
      <c r="G2692" s="879" t="s">
        <v>472</v>
      </c>
      <c r="H2692" s="879" t="s">
        <v>1057</v>
      </c>
      <c r="I2692" s="879" t="s">
        <v>277</v>
      </c>
      <c r="J2692" s="879" t="s">
        <v>997</v>
      </c>
      <c r="K2692" s="879" t="s">
        <v>1058</v>
      </c>
      <c r="L2692" s="879" t="s">
        <v>541</v>
      </c>
      <c r="M2692" s="879" t="s">
        <v>1059</v>
      </c>
      <c r="N2692" s="879" t="s">
        <v>670</v>
      </c>
      <c r="O2692" s="879" t="s">
        <v>670</v>
      </c>
      <c r="P2692" s="879" t="s">
        <v>522</v>
      </c>
      <c r="Q2692" s="879" t="s">
        <v>670</v>
      </c>
      <c r="R2692" s="880">
        <v>46146</v>
      </c>
      <c r="S2692" s="879" t="s">
        <v>278</v>
      </c>
      <c r="T2692" s="880">
        <v>46154</v>
      </c>
      <c r="U2692" s="883">
        <v>8</v>
      </c>
      <c r="V2692" s="882">
        <v>922.72</v>
      </c>
      <c r="W2692" s="260">
        <v>46143</v>
      </c>
    </row>
    <row r="2693" spans="1:23" hidden="1" x14ac:dyDescent="0.35">
      <c r="A2693" s="879" t="s">
        <v>526</v>
      </c>
      <c r="B2693" s="879" t="s">
        <v>159</v>
      </c>
      <c r="C2693" s="879" t="s">
        <v>1118</v>
      </c>
      <c r="D2693" s="879" t="s">
        <v>1119</v>
      </c>
      <c r="E2693" s="879" t="s">
        <v>1120</v>
      </c>
      <c r="F2693" s="879" t="s">
        <v>276</v>
      </c>
      <c r="G2693" s="879" t="s">
        <v>472</v>
      </c>
      <c r="H2693" s="879" t="s">
        <v>1121</v>
      </c>
      <c r="I2693" s="879" t="s">
        <v>277</v>
      </c>
      <c r="J2693" s="879" t="s">
        <v>997</v>
      </c>
      <c r="K2693" s="879" t="s">
        <v>1122</v>
      </c>
      <c r="L2693" s="879" t="s">
        <v>541</v>
      </c>
      <c r="M2693" s="879" t="s">
        <v>1123</v>
      </c>
      <c r="N2693" s="879" t="s">
        <v>670</v>
      </c>
      <c r="O2693" s="879" t="s">
        <v>670</v>
      </c>
      <c r="P2693" s="879" t="s">
        <v>522</v>
      </c>
      <c r="Q2693" s="879" t="s">
        <v>670</v>
      </c>
      <c r="R2693" s="880">
        <v>46140</v>
      </c>
      <c r="S2693" s="879" t="s">
        <v>278</v>
      </c>
      <c r="T2693" s="880">
        <v>46148</v>
      </c>
      <c r="U2693" s="883">
        <v>8</v>
      </c>
      <c r="V2693" s="882">
        <v>1073.1199999999999</v>
      </c>
      <c r="W2693" s="260">
        <v>46143</v>
      </c>
    </row>
    <row r="2694" spans="1:23" hidden="1" x14ac:dyDescent="0.35">
      <c r="A2694" s="879" t="s">
        <v>526</v>
      </c>
      <c r="B2694" s="879" t="s">
        <v>159</v>
      </c>
      <c r="C2694" s="879" t="s">
        <v>1118</v>
      </c>
      <c r="D2694" s="879" t="s">
        <v>1119</v>
      </c>
      <c r="E2694" s="879" t="s">
        <v>1120</v>
      </c>
      <c r="F2694" s="879" t="s">
        <v>276</v>
      </c>
      <c r="G2694" s="879" t="s">
        <v>472</v>
      </c>
      <c r="H2694" s="879" t="s">
        <v>1121</v>
      </c>
      <c r="I2694" s="879" t="s">
        <v>277</v>
      </c>
      <c r="J2694" s="879" t="s">
        <v>997</v>
      </c>
      <c r="K2694" s="879" t="s">
        <v>1122</v>
      </c>
      <c r="L2694" s="879" t="s">
        <v>541</v>
      </c>
      <c r="M2694" s="879" t="s">
        <v>1123</v>
      </c>
      <c r="N2694" s="879" t="s">
        <v>670</v>
      </c>
      <c r="O2694" s="879" t="s">
        <v>670</v>
      </c>
      <c r="P2694" s="879" t="s">
        <v>522</v>
      </c>
      <c r="Q2694" s="879" t="s">
        <v>670</v>
      </c>
      <c r="R2694" s="880">
        <v>46136</v>
      </c>
      <c r="S2694" s="879" t="s">
        <v>278</v>
      </c>
      <c r="T2694" s="880">
        <v>46148</v>
      </c>
      <c r="U2694" s="883">
        <v>8</v>
      </c>
      <c r="V2694" s="882">
        <v>1073.1199999999999</v>
      </c>
      <c r="W2694" s="260">
        <v>46143</v>
      </c>
    </row>
    <row r="2695" spans="1:23" hidden="1" x14ac:dyDescent="0.35">
      <c r="A2695" s="879" t="s">
        <v>526</v>
      </c>
      <c r="B2695" s="879" t="s">
        <v>159</v>
      </c>
      <c r="C2695" s="879" t="s">
        <v>1118</v>
      </c>
      <c r="D2695" s="879" t="s">
        <v>1119</v>
      </c>
      <c r="E2695" s="879" t="s">
        <v>1120</v>
      </c>
      <c r="F2695" s="879" t="s">
        <v>276</v>
      </c>
      <c r="G2695" s="879" t="s">
        <v>472</v>
      </c>
      <c r="H2695" s="879" t="s">
        <v>1121</v>
      </c>
      <c r="I2695" s="879" t="s">
        <v>277</v>
      </c>
      <c r="J2695" s="879" t="s">
        <v>997</v>
      </c>
      <c r="K2695" s="879" t="s">
        <v>1122</v>
      </c>
      <c r="L2695" s="879" t="s">
        <v>541</v>
      </c>
      <c r="M2695" s="879" t="s">
        <v>1123</v>
      </c>
      <c r="N2695" s="879" t="s">
        <v>670</v>
      </c>
      <c r="O2695" s="879" t="s">
        <v>670</v>
      </c>
      <c r="P2695" s="879" t="s">
        <v>522</v>
      </c>
      <c r="Q2695" s="879" t="s">
        <v>670</v>
      </c>
      <c r="R2695" s="880">
        <v>46133</v>
      </c>
      <c r="S2695" s="879" t="s">
        <v>278</v>
      </c>
      <c r="T2695" s="880">
        <v>46148</v>
      </c>
      <c r="U2695" s="883">
        <v>8</v>
      </c>
      <c r="V2695" s="882">
        <v>1073.1199999999999</v>
      </c>
      <c r="W2695" s="260">
        <v>46143</v>
      </c>
    </row>
    <row r="2696" spans="1:23" hidden="1" x14ac:dyDescent="0.35">
      <c r="A2696" s="879" t="s">
        <v>526</v>
      </c>
      <c r="B2696" s="879" t="s">
        <v>159</v>
      </c>
      <c r="C2696" s="879" t="s">
        <v>1118</v>
      </c>
      <c r="D2696" s="879" t="s">
        <v>1119</v>
      </c>
      <c r="E2696" s="879" t="s">
        <v>1120</v>
      </c>
      <c r="F2696" s="879" t="s">
        <v>276</v>
      </c>
      <c r="G2696" s="879" t="s">
        <v>472</v>
      </c>
      <c r="H2696" s="879" t="s">
        <v>1121</v>
      </c>
      <c r="I2696" s="879" t="s">
        <v>277</v>
      </c>
      <c r="J2696" s="879" t="s">
        <v>997</v>
      </c>
      <c r="K2696" s="879" t="s">
        <v>1122</v>
      </c>
      <c r="L2696" s="879" t="s">
        <v>541</v>
      </c>
      <c r="M2696" s="879" t="s">
        <v>1123</v>
      </c>
      <c r="N2696" s="879" t="s">
        <v>670</v>
      </c>
      <c r="O2696" s="879" t="s">
        <v>670</v>
      </c>
      <c r="P2696" s="879" t="s">
        <v>522</v>
      </c>
      <c r="Q2696" s="879" t="s">
        <v>670</v>
      </c>
      <c r="R2696" s="880">
        <v>46142</v>
      </c>
      <c r="S2696" s="879" t="s">
        <v>278</v>
      </c>
      <c r="T2696" s="880">
        <v>46148</v>
      </c>
      <c r="U2696" s="883">
        <v>8</v>
      </c>
      <c r="V2696" s="882">
        <v>1073.1199999999999</v>
      </c>
      <c r="W2696" s="260">
        <v>46143</v>
      </c>
    </row>
    <row r="2697" spans="1:23" hidden="1" x14ac:dyDescent="0.35">
      <c r="A2697" s="879" t="s">
        <v>526</v>
      </c>
      <c r="B2697" s="879" t="s">
        <v>159</v>
      </c>
      <c r="C2697" s="879" t="s">
        <v>1118</v>
      </c>
      <c r="D2697" s="879" t="s">
        <v>1119</v>
      </c>
      <c r="E2697" s="879" t="s">
        <v>1120</v>
      </c>
      <c r="F2697" s="879" t="s">
        <v>276</v>
      </c>
      <c r="G2697" s="879" t="s">
        <v>472</v>
      </c>
      <c r="H2697" s="879" t="s">
        <v>1121</v>
      </c>
      <c r="I2697" s="879" t="s">
        <v>277</v>
      </c>
      <c r="J2697" s="879" t="s">
        <v>997</v>
      </c>
      <c r="K2697" s="879" t="s">
        <v>1122</v>
      </c>
      <c r="L2697" s="879" t="s">
        <v>541</v>
      </c>
      <c r="M2697" s="879" t="s">
        <v>1123</v>
      </c>
      <c r="N2697" s="879" t="s">
        <v>670</v>
      </c>
      <c r="O2697" s="879" t="s">
        <v>670</v>
      </c>
      <c r="P2697" s="879" t="s">
        <v>522</v>
      </c>
      <c r="Q2697" s="879" t="s">
        <v>670</v>
      </c>
      <c r="R2697" s="880">
        <v>46141</v>
      </c>
      <c r="S2697" s="879" t="s">
        <v>278</v>
      </c>
      <c r="T2697" s="880">
        <v>46148</v>
      </c>
      <c r="U2697" s="883">
        <v>8</v>
      </c>
      <c r="V2697" s="882">
        <v>1073.1199999999999</v>
      </c>
      <c r="W2697" s="260">
        <v>46143</v>
      </c>
    </row>
    <row r="2698" spans="1:23" hidden="1" x14ac:dyDescent="0.35">
      <c r="A2698" s="879" t="s">
        <v>526</v>
      </c>
      <c r="B2698" s="879" t="s">
        <v>159</v>
      </c>
      <c r="C2698" s="879" t="s">
        <v>615</v>
      </c>
      <c r="D2698" s="879" t="s">
        <v>616</v>
      </c>
      <c r="E2698" s="879" t="s">
        <v>617</v>
      </c>
      <c r="F2698" s="879" t="s">
        <v>276</v>
      </c>
      <c r="G2698" s="879" t="s">
        <v>472</v>
      </c>
      <c r="H2698" s="879" t="s">
        <v>1124</v>
      </c>
      <c r="I2698" s="879" t="s">
        <v>277</v>
      </c>
      <c r="J2698" s="879" t="s">
        <v>997</v>
      </c>
      <c r="K2698" s="879" t="s">
        <v>619</v>
      </c>
      <c r="L2698" s="879" t="s">
        <v>541</v>
      </c>
      <c r="M2698" s="879" t="s">
        <v>1125</v>
      </c>
      <c r="N2698" s="879" t="s">
        <v>670</v>
      </c>
      <c r="O2698" s="879" t="s">
        <v>670</v>
      </c>
      <c r="P2698" s="879" t="s">
        <v>522</v>
      </c>
      <c r="Q2698" s="879" t="s">
        <v>670</v>
      </c>
      <c r="R2698" s="880">
        <v>46156</v>
      </c>
      <c r="S2698" s="879" t="s">
        <v>278</v>
      </c>
      <c r="T2698" s="880">
        <v>46160</v>
      </c>
      <c r="U2698" s="883">
        <v>2</v>
      </c>
      <c r="V2698" s="882">
        <v>133.22</v>
      </c>
      <c r="W2698" s="260">
        <v>46143</v>
      </c>
    </row>
    <row r="2699" spans="1:23" hidden="1" x14ac:dyDescent="0.35">
      <c r="A2699" s="879" t="s">
        <v>526</v>
      </c>
      <c r="B2699" s="879" t="s">
        <v>159</v>
      </c>
      <c r="C2699" s="879" t="s">
        <v>615</v>
      </c>
      <c r="D2699" s="879" t="s">
        <v>616</v>
      </c>
      <c r="E2699" s="879" t="s">
        <v>617</v>
      </c>
      <c r="F2699" s="879" t="s">
        <v>276</v>
      </c>
      <c r="G2699" s="879" t="s">
        <v>472</v>
      </c>
      <c r="H2699" s="879" t="s">
        <v>1124</v>
      </c>
      <c r="I2699" s="879" t="s">
        <v>277</v>
      </c>
      <c r="J2699" s="879" t="s">
        <v>997</v>
      </c>
      <c r="K2699" s="879" t="s">
        <v>619</v>
      </c>
      <c r="L2699" s="879" t="s">
        <v>541</v>
      </c>
      <c r="M2699" s="879" t="s">
        <v>1125</v>
      </c>
      <c r="N2699" s="879" t="s">
        <v>670</v>
      </c>
      <c r="O2699" s="879" t="s">
        <v>670</v>
      </c>
      <c r="P2699" s="879" t="s">
        <v>522</v>
      </c>
      <c r="Q2699" s="879" t="s">
        <v>670</v>
      </c>
      <c r="R2699" s="880">
        <v>46155</v>
      </c>
      <c r="S2699" s="879" t="s">
        <v>278</v>
      </c>
      <c r="T2699" s="880">
        <v>46160</v>
      </c>
      <c r="U2699" s="883">
        <v>3</v>
      </c>
      <c r="V2699" s="882">
        <v>199.83</v>
      </c>
      <c r="W2699" s="260">
        <v>46143</v>
      </c>
    </row>
    <row r="2700" spans="1:23" hidden="1" x14ac:dyDescent="0.35">
      <c r="A2700" s="879" t="s">
        <v>526</v>
      </c>
      <c r="B2700" s="879" t="s">
        <v>159</v>
      </c>
      <c r="C2700" s="879" t="s">
        <v>530</v>
      </c>
      <c r="D2700" s="879" t="s">
        <v>531</v>
      </c>
      <c r="E2700" s="879" t="s">
        <v>532</v>
      </c>
      <c r="F2700" s="879" t="s">
        <v>276</v>
      </c>
      <c r="G2700" s="879" t="s">
        <v>472</v>
      </c>
      <c r="H2700" s="879" t="s">
        <v>565</v>
      </c>
      <c r="I2700" s="879" t="s">
        <v>277</v>
      </c>
      <c r="J2700" s="879" t="s">
        <v>997</v>
      </c>
      <c r="K2700" s="879" t="s">
        <v>534</v>
      </c>
      <c r="L2700" s="879" t="s">
        <v>541</v>
      </c>
      <c r="M2700" s="879" t="s">
        <v>566</v>
      </c>
      <c r="N2700" s="879" t="s">
        <v>670</v>
      </c>
      <c r="O2700" s="879" t="s">
        <v>670</v>
      </c>
      <c r="P2700" s="879" t="s">
        <v>522</v>
      </c>
      <c r="Q2700" s="879" t="s">
        <v>670</v>
      </c>
      <c r="R2700" s="880">
        <v>46140</v>
      </c>
      <c r="S2700" s="879" t="s">
        <v>278</v>
      </c>
      <c r="T2700" s="880">
        <v>46148</v>
      </c>
      <c r="U2700" s="883">
        <v>1</v>
      </c>
      <c r="V2700" s="882">
        <v>87.4</v>
      </c>
      <c r="W2700" s="260">
        <v>46143</v>
      </c>
    </row>
    <row r="2701" spans="1:23" hidden="1" x14ac:dyDescent="0.35">
      <c r="A2701" s="879" t="s">
        <v>526</v>
      </c>
      <c r="B2701" s="879" t="s">
        <v>159</v>
      </c>
      <c r="C2701" s="879" t="s">
        <v>530</v>
      </c>
      <c r="D2701" s="879" t="s">
        <v>531</v>
      </c>
      <c r="E2701" s="879" t="s">
        <v>532</v>
      </c>
      <c r="F2701" s="879" t="s">
        <v>276</v>
      </c>
      <c r="G2701" s="879" t="s">
        <v>472</v>
      </c>
      <c r="H2701" s="879" t="s">
        <v>567</v>
      </c>
      <c r="I2701" s="879" t="s">
        <v>277</v>
      </c>
      <c r="J2701" s="879" t="s">
        <v>997</v>
      </c>
      <c r="K2701" s="879" t="s">
        <v>534</v>
      </c>
      <c r="L2701" s="879" t="s">
        <v>541</v>
      </c>
      <c r="M2701" s="879" t="s">
        <v>568</v>
      </c>
      <c r="N2701" s="879" t="s">
        <v>670</v>
      </c>
      <c r="O2701" s="879" t="s">
        <v>670</v>
      </c>
      <c r="P2701" s="879" t="s">
        <v>522</v>
      </c>
      <c r="Q2701" s="879" t="s">
        <v>670</v>
      </c>
      <c r="R2701" s="880">
        <v>46133</v>
      </c>
      <c r="S2701" s="879" t="s">
        <v>278</v>
      </c>
      <c r="T2701" s="880">
        <v>46148</v>
      </c>
      <c r="U2701" s="883">
        <v>4</v>
      </c>
      <c r="V2701" s="882">
        <v>349.6</v>
      </c>
      <c r="W2701" s="260">
        <v>46143</v>
      </c>
    </row>
    <row r="2702" spans="1:23" hidden="1" x14ac:dyDescent="0.35">
      <c r="A2702" s="879" t="s">
        <v>526</v>
      </c>
      <c r="B2702" s="879" t="s">
        <v>159</v>
      </c>
      <c r="C2702" s="879" t="s">
        <v>530</v>
      </c>
      <c r="D2702" s="879" t="s">
        <v>531</v>
      </c>
      <c r="E2702" s="879" t="s">
        <v>532</v>
      </c>
      <c r="F2702" s="879" t="s">
        <v>276</v>
      </c>
      <c r="G2702" s="879" t="s">
        <v>472</v>
      </c>
      <c r="H2702" s="879" t="s">
        <v>565</v>
      </c>
      <c r="I2702" s="879" t="s">
        <v>277</v>
      </c>
      <c r="J2702" s="879" t="s">
        <v>997</v>
      </c>
      <c r="K2702" s="879" t="s">
        <v>534</v>
      </c>
      <c r="L2702" s="879" t="s">
        <v>541</v>
      </c>
      <c r="M2702" s="879" t="s">
        <v>566</v>
      </c>
      <c r="N2702" s="879" t="s">
        <v>670</v>
      </c>
      <c r="O2702" s="879" t="s">
        <v>670</v>
      </c>
      <c r="P2702" s="879" t="s">
        <v>522</v>
      </c>
      <c r="Q2702" s="879" t="s">
        <v>670</v>
      </c>
      <c r="R2702" s="880">
        <v>46150</v>
      </c>
      <c r="S2702" s="879" t="s">
        <v>278</v>
      </c>
      <c r="T2702" s="880">
        <v>46153</v>
      </c>
      <c r="U2702" s="883">
        <v>1</v>
      </c>
      <c r="V2702" s="882">
        <v>87.4</v>
      </c>
      <c r="W2702" s="260">
        <v>46143</v>
      </c>
    </row>
    <row r="2703" spans="1:23" hidden="1" x14ac:dyDescent="0.35">
      <c r="A2703" s="879" t="s">
        <v>526</v>
      </c>
      <c r="B2703" s="879" t="s">
        <v>159</v>
      </c>
      <c r="C2703" s="879" t="s">
        <v>530</v>
      </c>
      <c r="D2703" s="879" t="s">
        <v>531</v>
      </c>
      <c r="E2703" s="879" t="s">
        <v>532</v>
      </c>
      <c r="F2703" s="879" t="s">
        <v>276</v>
      </c>
      <c r="G2703" s="879" t="s">
        <v>472</v>
      </c>
      <c r="H2703" s="879" t="s">
        <v>565</v>
      </c>
      <c r="I2703" s="879" t="s">
        <v>277</v>
      </c>
      <c r="J2703" s="879" t="s">
        <v>997</v>
      </c>
      <c r="K2703" s="879" t="s">
        <v>534</v>
      </c>
      <c r="L2703" s="879" t="s">
        <v>541</v>
      </c>
      <c r="M2703" s="879" t="s">
        <v>566</v>
      </c>
      <c r="N2703" s="879" t="s">
        <v>670</v>
      </c>
      <c r="O2703" s="879" t="s">
        <v>670</v>
      </c>
      <c r="P2703" s="879" t="s">
        <v>522</v>
      </c>
      <c r="Q2703" s="879" t="s">
        <v>670</v>
      </c>
      <c r="R2703" s="880">
        <v>46147</v>
      </c>
      <c r="S2703" s="879" t="s">
        <v>278</v>
      </c>
      <c r="T2703" s="880">
        <v>46153</v>
      </c>
      <c r="U2703" s="883">
        <v>1</v>
      </c>
      <c r="V2703" s="882">
        <v>87.4</v>
      </c>
      <c r="W2703" s="260">
        <v>46143</v>
      </c>
    </row>
    <row r="2704" spans="1:23" hidden="1" x14ac:dyDescent="0.35">
      <c r="A2704" s="879" t="s">
        <v>526</v>
      </c>
      <c r="B2704" s="879" t="s">
        <v>159</v>
      </c>
      <c r="C2704" s="879" t="s">
        <v>998</v>
      </c>
      <c r="D2704" s="879" t="s">
        <v>999</v>
      </c>
      <c r="E2704" s="879" t="s">
        <v>1000</v>
      </c>
      <c r="F2704" s="879" t="s">
        <v>276</v>
      </c>
      <c r="G2704" s="879" t="s">
        <v>472</v>
      </c>
      <c r="H2704" s="879" t="s">
        <v>1001</v>
      </c>
      <c r="I2704" s="879" t="s">
        <v>277</v>
      </c>
      <c r="J2704" s="879" t="s">
        <v>997</v>
      </c>
      <c r="K2704" s="879" t="s">
        <v>1002</v>
      </c>
      <c r="L2704" s="879" t="s">
        <v>541</v>
      </c>
      <c r="M2704" s="879" t="s">
        <v>1003</v>
      </c>
      <c r="N2704" s="879" t="s">
        <v>670</v>
      </c>
      <c r="O2704" s="879" t="s">
        <v>670</v>
      </c>
      <c r="P2704" s="879" t="s">
        <v>522</v>
      </c>
      <c r="Q2704" s="879" t="s">
        <v>670</v>
      </c>
      <c r="R2704" s="880">
        <v>46146</v>
      </c>
      <c r="S2704" s="879" t="s">
        <v>278</v>
      </c>
      <c r="T2704" s="880">
        <v>46151</v>
      </c>
      <c r="U2704" s="883">
        <v>2</v>
      </c>
      <c r="V2704" s="882">
        <v>227.14</v>
      </c>
      <c r="W2704" s="260">
        <v>46143</v>
      </c>
    </row>
    <row r="2705" spans="1:23" hidden="1" x14ac:dyDescent="0.35">
      <c r="A2705" s="879" t="s">
        <v>526</v>
      </c>
      <c r="B2705" s="879" t="s">
        <v>159</v>
      </c>
      <c r="C2705" s="879" t="s">
        <v>998</v>
      </c>
      <c r="D2705" s="879" t="s">
        <v>999</v>
      </c>
      <c r="E2705" s="879" t="s">
        <v>1000</v>
      </c>
      <c r="F2705" s="879" t="s">
        <v>276</v>
      </c>
      <c r="G2705" s="879" t="s">
        <v>472</v>
      </c>
      <c r="H2705" s="879" t="s">
        <v>1001</v>
      </c>
      <c r="I2705" s="879" t="s">
        <v>277</v>
      </c>
      <c r="J2705" s="879" t="s">
        <v>997</v>
      </c>
      <c r="K2705" s="879" t="s">
        <v>1002</v>
      </c>
      <c r="L2705" s="879" t="s">
        <v>541</v>
      </c>
      <c r="M2705" s="879" t="s">
        <v>1003</v>
      </c>
      <c r="N2705" s="879" t="s">
        <v>670</v>
      </c>
      <c r="O2705" s="879" t="s">
        <v>670</v>
      </c>
      <c r="P2705" s="879" t="s">
        <v>522</v>
      </c>
      <c r="Q2705" s="879" t="s">
        <v>670</v>
      </c>
      <c r="R2705" s="880">
        <v>46141</v>
      </c>
      <c r="S2705" s="879" t="s">
        <v>278</v>
      </c>
      <c r="T2705" s="880">
        <v>46151</v>
      </c>
      <c r="U2705" s="883">
        <v>1</v>
      </c>
      <c r="V2705" s="882">
        <v>113.57</v>
      </c>
      <c r="W2705" s="260">
        <v>46143</v>
      </c>
    </row>
    <row r="2706" spans="1:23" hidden="1" x14ac:dyDescent="0.35">
      <c r="A2706" s="879" t="s">
        <v>526</v>
      </c>
      <c r="B2706" s="879" t="s">
        <v>159</v>
      </c>
      <c r="C2706" s="879" t="s">
        <v>998</v>
      </c>
      <c r="D2706" s="879" t="s">
        <v>999</v>
      </c>
      <c r="E2706" s="879" t="s">
        <v>1000</v>
      </c>
      <c r="F2706" s="879" t="s">
        <v>276</v>
      </c>
      <c r="G2706" s="879" t="s">
        <v>472</v>
      </c>
      <c r="H2706" s="879" t="s">
        <v>1001</v>
      </c>
      <c r="I2706" s="879" t="s">
        <v>277</v>
      </c>
      <c r="J2706" s="879" t="s">
        <v>997</v>
      </c>
      <c r="K2706" s="879" t="s">
        <v>1002</v>
      </c>
      <c r="L2706" s="879" t="s">
        <v>541</v>
      </c>
      <c r="M2706" s="879" t="s">
        <v>1003</v>
      </c>
      <c r="N2706" s="879" t="s">
        <v>670</v>
      </c>
      <c r="O2706" s="879" t="s">
        <v>670</v>
      </c>
      <c r="P2706" s="879" t="s">
        <v>522</v>
      </c>
      <c r="Q2706" s="879" t="s">
        <v>670</v>
      </c>
      <c r="R2706" s="880">
        <v>46143</v>
      </c>
      <c r="S2706" s="879" t="s">
        <v>278</v>
      </c>
      <c r="T2706" s="880">
        <v>46151</v>
      </c>
      <c r="U2706" s="883">
        <v>2</v>
      </c>
      <c r="V2706" s="882">
        <v>227.14</v>
      </c>
      <c r="W2706" s="260">
        <v>46143</v>
      </c>
    </row>
    <row r="2707" spans="1:23" hidden="1" x14ac:dyDescent="0.35">
      <c r="A2707" s="879" t="s">
        <v>526</v>
      </c>
      <c r="B2707" s="879" t="s">
        <v>160</v>
      </c>
      <c r="C2707" s="879" t="s">
        <v>670</v>
      </c>
      <c r="D2707" s="879" t="s">
        <v>1028</v>
      </c>
      <c r="E2707" s="879" t="s">
        <v>1029</v>
      </c>
      <c r="F2707" s="879" t="s">
        <v>276</v>
      </c>
      <c r="G2707" s="879" t="s">
        <v>472</v>
      </c>
      <c r="H2707" s="879" t="s">
        <v>670</v>
      </c>
      <c r="I2707" s="879" t="s">
        <v>277</v>
      </c>
      <c r="J2707" s="879" t="s">
        <v>1030</v>
      </c>
      <c r="K2707" s="879" t="s">
        <v>670</v>
      </c>
      <c r="L2707" s="879" t="s">
        <v>541</v>
      </c>
      <c r="M2707" s="879" t="s">
        <v>285</v>
      </c>
      <c r="N2707" s="879" t="s">
        <v>1031</v>
      </c>
      <c r="O2707" s="879">
        <v>7000002119</v>
      </c>
      <c r="P2707" s="879" t="s">
        <v>523</v>
      </c>
      <c r="Q2707" s="879" t="s">
        <v>387</v>
      </c>
      <c r="R2707" s="880">
        <v>46121</v>
      </c>
      <c r="S2707" s="879" t="s">
        <v>388</v>
      </c>
      <c r="T2707" s="880">
        <v>46153</v>
      </c>
      <c r="U2707" s="881">
        <v>1</v>
      </c>
      <c r="V2707" s="882">
        <v>400</v>
      </c>
      <c r="W2707" s="260">
        <v>46143</v>
      </c>
    </row>
    <row r="2708" spans="1:23" hidden="1" x14ac:dyDescent="0.35">
      <c r="A2708" s="879" t="s">
        <v>526</v>
      </c>
      <c r="B2708" s="879" t="s">
        <v>160</v>
      </c>
      <c r="C2708" s="879" t="s">
        <v>670</v>
      </c>
      <c r="D2708" s="879" t="s">
        <v>385</v>
      </c>
      <c r="E2708" s="879" t="s">
        <v>386</v>
      </c>
      <c r="F2708" s="879" t="s">
        <v>588</v>
      </c>
      <c r="G2708" s="879" t="s">
        <v>472</v>
      </c>
      <c r="H2708" s="879" t="s">
        <v>670</v>
      </c>
      <c r="I2708" s="879" t="s">
        <v>277</v>
      </c>
      <c r="J2708" s="879" t="s">
        <v>1030</v>
      </c>
      <c r="K2708" s="879" t="s">
        <v>670</v>
      </c>
      <c r="L2708" s="879" t="s">
        <v>541</v>
      </c>
      <c r="M2708" s="879" t="s">
        <v>285</v>
      </c>
      <c r="N2708" s="879" t="s">
        <v>670</v>
      </c>
      <c r="O2708" s="879" t="s">
        <v>1066</v>
      </c>
      <c r="P2708" s="879" t="s">
        <v>523</v>
      </c>
      <c r="Q2708" s="879" t="s">
        <v>589</v>
      </c>
      <c r="R2708" s="880">
        <v>46140</v>
      </c>
      <c r="S2708" s="879" t="s">
        <v>670</v>
      </c>
      <c r="T2708" s="880">
        <v>46143</v>
      </c>
      <c r="U2708" s="883">
        <v>0</v>
      </c>
      <c r="V2708" s="882">
        <v>-52500</v>
      </c>
      <c r="W2708" s="260">
        <v>46143</v>
      </c>
    </row>
    <row r="2709" spans="1:23" x14ac:dyDescent="0.35">
      <c r="A2709" s="879" t="s">
        <v>526</v>
      </c>
      <c r="B2709" s="879" t="s">
        <v>53</v>
      </c>
      <c r="C2709" s="879" t="s">
        <v>670</v>
      </c>
      <c r="D2709" s="879" t="s">
        <v>385</v>
      </c>
      <c r="E2709" s="879" t="s">
        <v>386</v>
      </c>
      <c r="F2709" s="879" t="s">
        <v>588</v>
      </c>
      <c r="G2709" s="879" t="s">
        <v>472</v>
      </c>
      <c r="H2709" s="879" t="s">
        <v>670</v>
      </c>
      <c r="I2709" s="879" t="s">
        <v>277</v>
      </c>
      <c r="J2709" s="879" t="s">
        <v>1004</v>
      </c>
      <c r="K2709" s="879" t="s">
        <v>670</v>
      </c>
      <c r="L2709" s="879" t="s">
        <v>541</v>
      </c>
      <c r="M2709" s="879" t="s">
        <v>285</v>
      </c>
      <c r="N2709" s="879" t="s">
        <v>670</v>
      </c>
      <c r="O2709" s="879" t="s">
        <v>687</v>
      </c>
      <c r="P2709" s="879" t="s">
        <v>524</v>
      </c>
      <c r="Q2709" s="879" t="s">
        <v>589</v>
      </c>
      <c r="R2709" s="880">
        <v>46140</v>
      </c>
      <c r="S2709" s="879" t="s">
        <v>670</v>
      </c>
      <c r="T2709" s="880">
        <v>46143</v>
      </c>
      <c r="U2709" s="883">
        <v>0</v>
      </c>
      <c r="V2709" s="882">
        <v>-5500</v>
      </c>
      <c r="W2709" s="260">
        <v>46143</v>
      </c>
    </row>
    <row r="2710" spans="1:23" x14ac:dyDescent="0.35">
      <c r="A2710" s="879" t="s">
        <v>526</v>
      </c>
      <c r="B2710" s="879" t="s">
        <v>53</v>
      </c>
      <c r="C2710" s="879" t="s">
        <v>670</v>
      </c>
      <c r="D2710" s="879" t="s">
        <v>385</v>
      </c>
      <c r="E2710" s="879" t="s">
        <v>386</v>
      </c>
      <c r="F2710" s="879" t="s">
        <v>588</v>
      </c>
      <c r="G2710" s="879" t="s">
        <v>472</v>
      </c>
      <c r="H2710" s="879" t="s">
        <v>670</v>
      </c>
      <c r="I2710" s="879" t="s">
        <v>277</v>
      </c>
      <c r="J2710" s="879" t="s">
        <v>1004</v>
      </c>
      <c r="K2710" s="879" t="s">
        <v>670</v>
      </c>
      <c r="L2710" s="879" t="s">
        <v>541</v>
      </c>
      <c r="M2710" s="879" t="s">
        <v>285</v>
      </c>
      <c r="N2710" s="879" t="s">
        <v>670</v>
      </c>
      <c r="O2710" s="879" t="s">
        <v>1047</v>
      </c>
      <c r="P2710" s="879" t="s">
        <v>524</v>
      </c>
      <c r="Q2710" s="879" t="s">
        <v>589</v>
      </c>
      <c r="R2710" s="880">
        <v>46140</v>
      </c>
      <c r="S2710" s="879" t="s">
        <v>670</v>
      </c>
      <c r="T2710" s="880">
        <v>46143</v>
      </c>
      <c r="U2710" s="883">
        <v>0</v>
      </c>
      <c r="V2710" s="882">
        <v>-8229</v>
      </c>
      <c r="W2710" s="260">
        <v>46143</v>
      </c>
    </row>
    <row r="2711" spans="1:23" x14ac:dyDescent="0.35">
      <c r="A2711" s="879" t="s">
        <v>526</v>
      </c>
      <c r="B2711" s="879" t="s">
        <v>53</v>
      </c>
      <c r="C2711" s="879" t="s">
        <v>670</v>
      </c>
      <c r="D2711" s="879" t="s">
        <v>385</v>
      </c>
      <c r="E2711" s="879" t="s">
        <v>386</v>
      </c>
      <c r="F2711" s="879" t="s">
        <v>588</v>
      </c>
      <c r="G2711" s="879" t="s">
        <v>472</v>
      </c>
      <c r="H2711" s="879" t="s">
        <v>670</v>
      </c>
      <c r="I2711" s="879" t="s">
        <v>277</v>
      </c>
      <c r="J2711" s="879" t="s">
        <v>1004</v>
      </c>
      <c r="K2711" s="879" t="s">
        <v>670</v>
      </c>
      <c r="L2711" s="879" t="s">
        <v>541</v>
      </c>
      <c r="M2711" s="879" t="s">
        <v>285</v>
      </c>
      <c r="N2711" s="879" t="s">
        <v>670</v>
      </c>
      <c r="O2711" s="879" t="s">
        <v>824</v>
      </c>
      <c r="P2711" s="879" t="s">
        <v>524</v>
      </c>
      <c r="Q2711" s="879" t="s">
        <v>589</v>
      </c>
      <c r="R2711" s="880">
        <v>46140</v>
      </c>
      <c r="S2711" s="879" t="s">
        <v>670</v>
      </c>
      <c r="T2711" s="880">
        <v>46143</v>
      </c>
      <c r="U2711" s="883">
        <v>0</v>
      </c>
      <c r="V2711" s="882">
        <v>-222858</v>
      </c>
      <c r="W2711" s="260">
        <v>46143</v>
      </c>
    </row>
    <row r="2712" spans="1:23" x14ac:dyDescent="0.35">
      <c r="A2712" s="879" t="s">
        <v>526</v>
      </c>
      <c r="B2712" s="879" t="s">
        <v>53</v>
      </c>
      <c r="C2712" s="879" t="s">
        <v>670</v>
      </c>
      <c r="D2712" s="879" t="s">
        <v>385</v>
      </c>
      <c r="E2712" s="879" t="s">
        <v>386</v>
      </c>
      <c r="F2712" s="879" t="s">
        <v>588</v>
      </c>
      <c r="G2712" s="879" t="s">
        <v>472</v>
      </c>
      <c r="H2712" s="879" t="s">
        <v>670</v>
      </c>
      <c r="I2712" s="879" t="s">
        <v>277</v>
      </c>
      <c r="J2712" s="879" t="s">
        <v>1004</v>
      </c>
      <c r="K2712" s="879" t="s">
        <v>670</v>
      </c>
      <c r="L2712" s="879" t="s">
        <v>541</v>
      </c>
      <c r="M2712" s="879" t="s">
        <v>285</v>
      </c>
      <c r="N2712" s="879" t="s">
        <v>670</v>
      </c>
      <c r="O2712" s="879" t="s">
        <v>866</v>
      </c>
      <c r="P2712" s="879" t="s">
        <v>524</v>
      </c>
      <c r="Q2712" s="879" t="s">
        <v>589</v>
      </c>
      <c r="R2712" s="880">
        <v>46140</v>
      </c>
      <c r="S2712" s="879" t="s">
        <v>670</v>
      </c>
      <c r="T2712" s="880">
        <v>46143</v>
      </c>
      <c r="U2712" s="883">
        <v>0</v>
      </c>
      <c r="V2712" s="882">
        <v>-469301</v>
      </c>
      <c r="W2712" s="260">
        <v>46143</v>
      </c>
    </row>
    <row r="2713" spans="1:23" x14ac:dyDescent="0.35">
      <c r="A2713" s="879" t="s">
        <v>526</v>
      </c>
      <c r="B2713" s="879" t="s">
        <v>53</v>
      </c>
      <c r="C2713" s="879" t="s">
        <v>670</v>
      </c>
      <c r="D2713" s="879" t="s">
        <v>385</v>
      </c>
      <c r="E2713" s="879" t="s">
        <v>386</v>
      </c>
      <c r="F2713" s="879" t="s">
        <v>588</v>
      </c>
      <c r="G2713" s="879" t="s">
        <v>472</v>
      </c>
      <c r="H2713" s="879" t="s">
        <v>670</v>
      </c>
      <c r="I2713" s="879" t="s">
        <v>277</v>
      </c>
      <c r="J2713" s="879" t="s">
        <v>1004</v>
      </c>
      <c r="K2713" s="879" t="s">
        <v>670</v>
      </c>
      <c r="L2713" s="879" t="s">
        <v>541</v>
      </c>
      <c r="M2713" s="879" t="s">
        <v>285</v>
      </c>
      <c r="N2713" s="879" t="s">
        <v>670</v>
      </c>
      <c r="O2713" s="879" t="s">
        <v>678</v>
      </c>
      <c r="P2713" s="879" t="s">
        <v>524</v>
      </c>
      <c r="Q2713" s="879" t="s">
        <v>589</v>
      </c>
      <c r="R2713" s="880">
        <v>46140</v>
      </c>
      <c r="S2713" s="879" t="s">
        <v>670</v>
      </c>
      <c r="T2713" s="880">
        <v>46143</v>
      </c>
      <c r="U2713" s="883">
        <v>0</v>
      </c>
      <c r="V2713" s="882">
        <v>-4703</v>
      </c>
      <c r="W2713" s="260">
        <v>46143</v>
      </c>
    </row>
    <row r="2714" spans="1:23" x14ac:dyDescent="0.35">
      <c r="A2714" s="879" t="s">
        <v>526</v>
      </c>
      <c r="B2714" s="879" t="s">
        <v>53</v>
      </c>
      <c r="C2714" s="879" t="s">
        <v>670</v>
      </c>
      <c r="D2714" s="879" t="s">
        <v>385</v>
      </c>
      <c r="E2714" s="879" t="s">
        <v>386</v>
      </c>
      <c r="F2714" s="879" t="s">
        <v>588</v>
      </c>
      <c r="G2714" s="879" t="s">
        <v>472</v>
      </c>
      <c r="H2714" s="879" t="s">
        <v>670</v>
      </c>
      <c r="I2714" s="879" t="s">
        <v>277</v>
      </c>
      <c r="J2714" s="879" t="s">
        <v>1004</v>
      </c>
      <c r="K2714" s="879" t="s">
        <v>670</v>
      </c>
      <c r="L2714" s="879" t="s">
        <v>541</v>
      </c>
      <c r="M2714" s="879" t="s">
        <v>285</v>
      </c>
      <c r="N2714" s="879" t="s">
        <v>670</v>
      </c>
      <c r="O2714" s="879" t="s">
        <v>765</v>
      </c>
      <c r="P2714" s="879" t="s">
        <v>524</v>
      </c>
      <c r="Q2714" s="879" t="s">
        <v>589</v>
      </c>
      <c r="R2714" s="880">
        <v>46140</v>
      </c>
      <c r="S2714" s="879" t="s">
        <v>670</v>
      </c>
      <c r="T2714" s="880">
        <v>46143</v>
      </c>
      <c r="U2714" s="883">
        <v>0</v>
      </c>
      <c r="V2714" s="882">
        <v>-25520</v>
      </c>
      <c r="W2714" s="260">
        <v>46143</v>
      </c>
    </row>
    <row r="2715" spans="1:23" x14ac:dyDescent="0.35">
      <c r="A2715" s="879" t="s">
        <v>526</v>
      </c>
      <c r="B2715" s="879" t="s">
        <v>53</v>
      </c>
      <c r="C2715" s="879" t="s">
        <v>670</v>
      </c>
      <c r="D2715" s="879" t="s">
        <v>385</v>
      </c>
      <c r="E2715" s="879" t="s">
        <v>386</v>
      </c>
      <c r="F2715" s="879" t="s">
        <v>588</v>
      </c>
      <c r="G2715" s="879" t="s">
        <v>472</v>
      </c>
      <c r="H2715" s="879" t="s">
        <v>670</v>
      </c>
      <c r="I2715" s="879" t="s">
        <v>277</v>
      </c>
      <c r="J2715" s="879" t="s">
        <v>1004</v>
      </c>
      <c r="K2715" s="879" t="s">
        <v>670</v>
      </c>
      <c r="L2715" s="879" t="s">
        <v>541</v>
      </c>
      <c r="M2715" s="879" t="s">
        <v>285</v>
      </c>
      <c r="N2715" s="879" t="s">
        <v>670</v>
      </c>
      <c r="O2715" s="879" t="s">
        <v>684</v>
      </c>
      <c r="P2715" s="879" t="s">
        <v>524</v>
      </c>
      <c r="Q2715" s="879" t="s">
        <v>589</v>
      </c>
      <c r="R2715" s="880">
        <v>46140</v>
      </c>
      <c r="S2715" s="879" t="s">
        <v>670</v>
      </c>
      <c r="T2715" s="880">
        <v>46143</v>
      </c>
      <c r="U2715" s="883">
        <v>0</v>
      </c>
      <c r="V2715" s="882">
        <v>-70570</v>
      </c>
      <c r="W2715" s="260">
        <v>46143</v>
      </c>
    </row>
    <row r="2716" spans="1:23" x14ac:dyDescent="0.35">
      <c r="A2716" s="879" t="s">
        <v>526</v>
      </c>
      <c r="B2716" s="879" t="s">
        <v>53</v>
      </c>
      <c r="C2716" s="879" t="s">
        <v>670</v>
      </c>
      <c r="D2716" s="879" t="s">
        <v>385</v>
      </c>
      <c r="E2716" s="879" t="s">
        <v>386</v>
      </c>
      <c r="F2716" s="879" t="s">
        <v>276</v>
      </c>
      <c r="G2716" s="879" t="s">
        <v>472</v>
      </c>
      <c r="H2716" s="879" t="s">
        <v>670</v>
      </c>
      <c r="I2716" s="879" t="s">
        <v>277</v>
      </c>
      <c r="J2716" s="879" t="s">
        <v>1004</v>
      </c>
      <c r="K2716" s="879" t="s">
        <v>670</v>
      </c>
      <c r="L2716" s="879" t="s">
        <v>541</v>
      </c>
      <c r="M2716" s="879" t="s">
        <v>285</v>
      </c>
      <c r="N2716" s="879" t="s">
        <v>841</v>
      </c>
      <c r="O2716" s="879" t="s">
        <v>866</v>
      </c>
      <c r="P2716" s="879" t="s">
        <v>524</v>
      </c>
      <c r="Q2716" s="879" t="s">
        <v>387</v>
      </c>
      <c r="R2716" s="880">
        <v>46140</v>
      </c>
      <c r="S2716" s="879" t="s">
        <v>388</v>
      </c>
      <c r="T2716" s="880">
        <v>46148</v>
      </c>
      <c r="U2716" s="881">
        <v>1</v>
      </c>
      <c r="V2716" s="882">
        <v>157945</v>
      </c>
      <c r="W2716" s="260">
        <v>46143</v>
      </c>
    </row>
    <row r="2717" spans="1:23" x14ac:dyDescent="0.35">
      <c r="A2717" s="879" t="s">
        <v>526</v>
      </c>
      <c r="B2717" s="879" t="s">
        <v>53</v>
      </c>
      <c r="C2717" s="879" t="s">
        <v>670</v>
      </c>
      <c r="D2717" s="879" t="s">
        <v>762</v>
      </c>
      <c r="E2717" s="879" t="s">
        <v>763</v>
      </c>
      <c r="F2717" s="879" t="s">
        <v>276</v>
      </c>
      <c r="G2717" s="879" t="s">
        <v>472</v>
      </c>
      <c r="H2717" s="879" t="s">
        <v>670</v>
      </c>
      <c r="I2717" s="879" t="s">
        <v>277</v>
      </c>
      <c r="J2717" s="879" t="s">
        <v>1004</v>
      </c>
      <c r="K2717" s="879" t="s">
        <v>670</v>
      </c>
      <c r="L2717" s="879" t="s">
        <v>541</v>
      </c>
      <c r="M2717" s="879" t="s">
        <v>285</v>
      </c>
      <c r="N2717" s="879" t="s">
        <v>764</v>
      </c>
      <c r="O2717" s="879" t="s">
        <v>765</v>
      </c>
      <c r="P2717" s="879" t="s">
        <v>524</v>
      </c>
      <c r="Q2717" s="879" t="s">
        <v>387</v>
      </c>
      <c r="R2717" s="880">
        <v>46113</v>
      </c>
      <c r="S2717" s="879" t="s">
        <v>388</v>
      </c>
      <c r="T2717" s="880">
        <v>46154</v>
      </c>
      <c r="U2717" s="881">
        <v>1</v>
      </c>
      <c r="V2717" s="882">
        <v>25520</v>
      </c>
      <c r="W2717" s="260">
        <v>46143</v>
      </c>
    </row>
    <row r="2718" spans="1:23" x14ac:dyDescent="0.35">
      <c r="A2718" s="879" t="s">
        <v>526</v>
      </c>
      <c r="B2718" s="879" t="s">
        <v>53</v>
      </c>
      <c r="C2718" s="879" t="s">
        <v>670</v>
      </c>
      <c r="D2718" s="879" t="s">
        <v>762</v>
      </c>
      <c r="E2718" s="879" t="s">
        <v>763</v>
      </c>
      <c r="F2718" s="879" t="s">
        <v>276</v>
      </c>
      <c r="G2718" s="879" t="s">
        <v>472</v>
      </c>
      <c r="H2718" s="879" t="s">
        <v>670</v>
      </c>
      <c r="I2718" s="879" t="s">
        <v>277</v>
      </c>
      <c r="J2718" s="879" t="s">
        <v>1004</v>
      </c>
      <c r="K2718" s="879" t="s">
        <v>670</v>
      </c>
      <c r="L2718" s="879" t="s">
        <v>541</v>
      </c>
      <c r="M2718" s="879" t="s">
        <v>285</v>
      </c>
      <c r="N2718" s="879" t="s">
        <v>764</v>
      </c>
      <c r="O2718" s="879" t="s">
        <v>765</v>
      </c>
      <c r="P2718" s="879" t="s">
        <v>524</v>
      </c>
      <c r="Q2718" s="879" t="s">
        <v>387</v>
      </c>
      <c r="R2718" s="880">
        <v>46146</v>
      </c>
      <c r="S2718" s="879" t="s">
        <v>388</v>
      </c>
      <c r="T2718" s="880">
        <v>46154</v>
      </c>
      <c r="U2718" s="881">
        <v>1</v>
      </c>
      <c r="V2718" s="882">
        <v>25520</v>
      </c>
      <c r="W2718" s="260">
        <v>46143</v>
      </c>
    </row>
    <row r="2719" spans="1:23" hidden="1" x14ac:dyDescent="0.35">
      <c r="V2719">
        <f>V2697/U2697</f>
        <v>134.13999999999999</v>
      </c>
    </row>
  </sheetData>
  <autoFilter ref="A1:W2719" xr:uid="{00000000-0001-0000-0C00-000000000000}">
    <filterColumn colId="1">
      <filters>
        <filter val="Outside Services"/>
      </filters>
    </filterColumn>
    <filterColumn colId="6">
      <filters>
        <filter val="2026"/>
      </filters>
    </filterColumn>
    <filterColumn colId="11">
      <filters>
        <filter val="5"/>
      </filters>
    </filterColumn>
  </autoFilter>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0171D-70AA-48F4-B04D-62BF3A49CEC7}">
  <dimension ref="A1:H77"/>
  <sheetViews>
    <sheetView workbookViewId="0">
      <selection activeCell="G55" sqref="G55"/>
    </sheetView>
  </sheetViews>
  <sheetFormatPr defaultRowHeight="14.5" x14ac:dyDescent="0.35"/>
  <cols>
    <col min="1" max="1" width="22.453125" bestFit="1" customWidth="1"/>
    <col min="2" max="2" width="11.08984375" style="933" bestFit="1" customWidth="1"/>
    <col min="3" max="3" width="13.453125" style="933" customWidth="1"/>
    <col min="4" max="4" width="3.81640625" style="933" customWidth="1"/>
    <col min="5" max="5" width="23.36328125" bestFit="1" customWidth="1"/>
    <col min="6" max="6" width="14.81640625" bestFit="1" customWidth="1"/>
    <col min="7" max="7" width="20.36328125" bestFit="1" customWidth="1"/>
    <col min="8" max="8" width="53.1796875" bestFit="1" customWidth="1"/>
  </cols>
  <sheetData>
    <row r="1" spans="1:8" ht="15" thickBot="1" x14ac:dyDescent="0.4">
      <c r="A1" s="943" t="s">
        <v>1084</v>
      </c>
      <c r="B1" s="943" t="s">
        <v>1082</v>
      </c>
      <c r="C1" s="943" t="s">
        <v>1083</v>
      </c>
      <c r="D1" s="935"/>
      <c r="E1" s="952" t="s">
        <v>886</v>
      </c>
      <c r="F1" s="953" t="s">
        <v>1085</v>
      </c>
      <c r="G1" s="954" t="s">
        <v>102</v>
      </c>
      <c r="H1" s="955" t="s">
        <v>770</v>
      </c>
    </row>
    <row r="2" spans="1:8" x14ac:dyDescent="0.35">
      <c r="A2" s="944" t="s">
        <v>688</v>
      </c>
      <c r="B2" s="945">
        <v>2</v>
      </c>
      <c r="C2" s="946">
        <v>130.16</v>
      </c>
      <c r="D2" s="936"/>
      <c r="E2" s="956">
        <v>5000055093</v>
      </c>
      <c r="F2" s="947">
        <v>-824</v>
      </c>
      <c r="G2" s="957" t="s">
        <v>723</v>
      </c>
      <c r="H2" s="958" t="s">
        <v>610</v>
      </c>
    </row>
    <row r="3" spans="1:8" x14ac:dyDescent="0.35">
      <c r="A3" s="944" t="s">
        <v>856</v>
      </c>
      <c r="B3" s="945">
        <v>8</v>
      </c>
      <c r="C3" s="946">
        <v>603.12</v>
      </c>
      <c r="D3" s="936"/>
      <c r="E3" s="959">
        <v>5000055979</v>
      </c>
      <c r="F3" s="948">
        <v>36250</v>
      </c>
      <c r="G3" s="960" t="s">
        <v>885</v>
      </c>
      <c r="H3" s="960" t="s">
        <v>1069</v>
      </c>
    </row>
    <row r="4" spans="1:8" x14ac:dyDescent="0.35">
      <c r="A4" s="944" t="s">
        <v>618</v>
      </c>
      <c r="B4" s="945">
        <v>8</v>
      </c>
      <c r="C4" s="946">
        <v>520.64</v>
      </c>
      <c r="D4" s="936"/>
      <c r="E4" s="959">
        <v>5000057290</v>
      </c>
      <c r="F4" s="948">
        <v>-2950.3</v>
      </c>
      <c r="G4" s="957" t="s">
        <v>703</v>
      </c>
      <c r="H4" s="960" t="s">
        <v>1072</v>
      </c>
    </row>
    <row r="5" spans="1:8" x14ac:dyDescent="0.35">
      <c r="A5" s="944" t="s">
        <v>567</v>
      </c>
      <c r="B5" s="945">
        <v>281</v>
      </c>
      <c r="C5" s="946">
        <v>25551.460000000006</v>
      </c>
      <c r="D5" s="936"/>
      <c r="E5" s="959">
        <v>5000058992</v>
      </c>
      <c r="F5" s="948">
        <v>50085</v>
      </c>
      <c r="G5" s="960" t="s">
        <v>885</v>
      </c>
      <c r="H5" s="960" t="s">
        <v>1073</v>
      </c>
    </row>
    <row r="6" spans="1:8" x14ac:dyDescent="0.35">
      <c r="A6" s="944" t="s">
        <v>863</v>
      </c>
      <c r="B6" s="945">
        <v>16</v>
      </c>
      <c r="C6" s="946">
        <v>1325.76</v>
      </c>
      <c r="D6" s="936"/>
      <c r="E6" s="959">
        <v>5000059268</v>
      </c>
      <c r="F6" s="948">
        <v>548459.80000000005</v>
      </c>
      <c r="G6" s="957" t="s">
        <v>1086</v>
      </c>
      <c r="H6" s="960" t="s">
        <v>771</v>
      </c>
    </row>
    <row r="7" spans="1:8" x14ac:dyDescent="0.35">
      <c r="A7" s="944" t="s">
        <v>854</v>
      </c>
      <c r="B7" s="945">
        <v>48</v>
      </c>
      <c r="C7" s="946">
        <v>3618.72</v>
      </c>
      <c r="D7" s="936"/>
      <c r="E7" s="959">
        <v>5000060399</v>
      </c>
      <c r="F7" s="948">
        <v>3131.2</v>
      </c>
      <c r="G7" s="961" t="s">
        <v>723</v>
      </c>
      <c r="H7" s="960" t="s">
        <v>610</v>
      </c>
    </row>
    <row r="8" spans="1:8" x14ac:dyDescent="0.35">
      <c r="A8" s="944" t="s">
        <v>630</v>
      </c>
      <c r="B8" s="945">
        <v>2.5</v>
      </c>
      <c r="C8" s="946">
        <v>209.58</v>
      </c>
      <c r="D8" s="936"/>
      <c r="E8" s="959">
        <v>5000060402</v>
      </c>
      <c r="F8" s="948">
        <v>1319.75</v>
      </c>
      <c r="G8" s="961" t="s">
        <v>703</v>
      </c>
      <c r="H8" s="960" t="s">
        <v>1071</v>
      </c>
    </row>
    <row r="9" spans="1:8" s="845" customFormat="1" x14ac:dyDescent="0.35">
      <c r="A9" s="944" t="s">
        <v>572</v>
      </c>
      <c r="B9" s="945">
        <v>37</v>
      </c>
      <c r="C9" s="946">
        <v>2776.85</v>
      </c>
      <c r="D9" s="936"/>
      <c r="E9" s="959">
        <v>5000060468</v>
      </c>
      <c r="F9" s="948">
        <v>587.30999999999995</v>
      </c>
      <c r="G9" s="961" t="s">
        <v>1087</v>
      </c>
      <c r="H9" s="960" t="s">
        <v>1070</v>
      </c>
    </row>
    <row r="10" spans="1:8" s="845" customFormat="1" x14ac:dyDescent="0.35">
      <c r="A10" s="944" t="s">
        <v>582</v>
      </c>
      <c r="B10" s="945">
        <v>32.5</v>
      </c>
      <c r="C10" s="946">
        <v>2882.9500000000003</v>
      </c>
      <c r="D10" s="936"/>
      <c r="E10" s="959">
        <v>7000000729</v>
      </c>
      <c r="F10" s="948">
        <v>13348.91</v>
      </c>
      <c r="G10" s="961" t="s">
        <v>703</v>
      </c>
      <c r="H10" s="960" t="s">
        <v>1076</v>
      </c>
    </row>
    <row r="11" spans="1:8" s="845" customFormat="1" x14ac:dyDescent="0.35">
      <c r="A11" s="944" t="s">
        <v>624</v>
      </c>
      <c r="B11" s="945">
        <v>8</v>
      </c>
      <c r="C11" s="946">
        <v>406</v>
      </c>
      <c r="D11" s="936"/>
      <c r="E11" s="959" t="s">
        <v>1089</v>
      </c>
      <c r="F11" s="948">
        <v>3136</v>
      </c>
      <c r="G11" s="961" t="s">
        <v>777</v>
      </c>
      <c r="H11" s="960" t="s">
        <v>1077</v>
      </c>
    </row>
    <row r="12" spans="1:8" s="845" customFormat="1" x14ac:dyDescent="0.35">
      <c r="A12" s="944" t="s">
        <v>1057</v>
      </c>
      <c r="B12" s="945">
        <v>16</v>
      </c>
      <c r="C12" s="946">
        <v>1845.44</v>
      </c>
      <c r="D12" s="936"/>
      <c r="E12" s="959" t="s">
        <v>698</v>
      </c>
      <c r="F12" s="948">
        <v>17584</v>
      </c>
      <c r="G12" s="961" t="s">
        <v>777</v>
      </c>
      <c r="H12" s="960" t="s">
        <v>1077</v>
      </c>
    </row>
    <row r="13" spans="1:8" s="845" customFormat="1" x14ac:dyDescent="0.35">
      <c r="A13" s="944" t="s">
        <v>1001</v>
      </c>
      <c r="B13" s="945">
        <v>50</v>
      </c>
      <c r="C13" s="946">
        <v>5678.4999999999991</v>
      </c>
      <c r="D13" s="936"/>
      <c r="E13" s="959">
        <v>7000001175</v>
      </c>
      <c r="F13" s="948">
        <v>142884</v>
      </c>
      <c r="G13" s="957" t="s">
        <v>723</v>
      </c>
      <c r="H13" s="960" t="s">
        <v>610</v>
      </c>
    </row>
    <row r="14" spans="1:8" s="845" customFormat="1" x14ac:dyDescent="0.35">
      <c r="A14" s="944" t="s">
        <v>533</v>
      </c>
      <c r="B14" s="945">
        <v>1145.5</v>
      </c>
      <c r="C14" s="946">
        <v>126385.99</v>
      </c>
      <c r="D14" s="936"/>
      <c r="E14" s="959">
        <v>7000001237</v>
      </c>
      <c r="F14" s="948">
        <v>-3296</v>
      </c>
      <c r="G14" s="961" t="s">
        <v>723</v>
      </c>
      <c r="H14" s="958"/>
    </row>
    <row r="15" spans="1:8" s="845" customFormat="1" x14ac:dyDescent="0.35">
      <c r="A15" s="944" t="s">
        <v>851</v>
      </c>
      <c r="B15" s="945">
        <v>16</v>
      </c>
      <c r="C15" s="946">
        <v>1206.24</v>
      </c>
      <c r="D15" s="936"/>
      <c r="E15" s="959">
        <v>7000001262</v>
      </c>
      <c r="F15" s="948">
        <v>89.33</v>
      </c>
      <c r="G15" s="960" t="s">
        <v>885</v>
      </c>
      <c r="H15" s="960"/>
    </row>
    <row r="16" spans="1:8" s="845" customFormat="1" x14ac:dyDescent="0.35">
      <c r="A16" s="944" t="s">
        <v>565</v>
      </c>
      <c r="B16" s="945">
        <v>750</v>
      </c>
      <c r="C16" s="946">
        <v>68965.139999999927</v>
      </c>
      <c r="D16" s="936"/>
      <c r="E16" s="959">
        <v>7000001415</v>
      </c>
      <c r="F16" s="948">
        <v>5500</v>
      </c>
      <c r="G16" s="960" t="s">
        <v>885</v>
      </c>
      <c r="H16" s="958"/>
    </row>
    <row r="17" spans="1:8" s="845" customFormat="1" x14ac:dyDescent="0.35">
      <c r="A17" s="944" t="s">
        <v>1052</v>
      </c>
      <c r="B17" s="945">
        <v>48</v>
      </c>
      <c r="C17" s="946">
        <v>3192</v>
      </c>
      <c r="D17" s="936"/>
      <c r="E17" s="959">
        <v>7000001429</v>
      </c>
      <c r="F17" s="948">
        <v>5500</v>
      </c>
      <c r="G17" s="960" t="s">
        <v>885</v>
      </c>
      <c r="H17" s="960"/>
    </row>
    <row r="18" spans="1:8" s="845" customFormat="1" ht="15" thickBot="1" x14ac:dyDescent="0.4">
      <c r="A18" s="944" t="s">
        <v>837</v>
      </c>
      <c r="B18" s="945">
        <v>24</v>
      </c>
      <c r="C18" s="946">
        <v>2244</v>
      </c>
      <c r="D18" s="936"/>
      <c r="E18" s="959">
        <v>7000001527</v>
      </c>
      <c r="F18" s="948">
        <v>5762.09</v>
      </c>
      <c r="G18" s="958" t="s">
        <v>703</v>
      </c>
      <c r="H18" s="960" t="s">
        <v>1079</v>
      </c>
    </row>
    <row r="19" spans="1:8" s="845" customFormat="1" ht="15" thickBot="1" x14ac:dyDescent="0.4">
      <c r="A19" s="940" t="s">
        <v>213</v>
      </c>
      <c r="B19" s="941">
        <v>2492.5</v>
      </c>
      <c r="C19" s="942">
        <v>247542.54999999993</v>
      </c>
      <c r="D19" s="936"/>
      <c r="E19" s="959">
        <v>7000001734</v>
      </c>
      <c r="F19" s="948">
        <v>11600</v>
      </c>
      <c r="G19" s="962" t="s">
        <v>1087</v>
      </c>
      <c r="H19" s="958" t="s">
        <v>1099</v>
      </c>
    </row>
    <row r="20" spans="1:8" s="845" customFormat="1" x14ac:dyDescent="0.35">
      <c r="A20" s="933"/>
      <c r="B20" s="933"/>
      <c r="C20" s="933"/>
      <c r="D20" s="936"/>
      <c r="E20" s="959">
        <v>7000001748</v>
      </c>
      <c r="F20" s="948">
        <v>40954.5</v>
      </c>
      <c r="G20" s="960" t="s">
        <v>784</v>
      </c>
      <c r="H20" s="960"/>
    </row>
    <row r="21" spans="1:8" x14ac:dyDescent="0.35">
      <c r="A21" s="933"/>
      <c r="D21" s="936"/>
      <c r="E21" s="959">
        <v>7000001767</v>
      </c>
      <c r="F21" s="948">
        <v>190.24</v>
      </c>
      <c r="G21" s="960" t="s">
        <v>784</v>
      </c>
      <c r="H21" s="960"/>
    </row>
    <row r="22" spans="1:8" s="845" customFormat="1" x14ac:dyDescent="0.35">
      <c r="A22" s="933"/>
      <c r="B22" s="933"/>
      <c r="C22" s="933"/>
      <c r="D22" s="936"/>
      <c r="E22" s="959">
        <v>7000001811</v>
      </c>
      <c r="F22" s="948">
        <v>1003.8</v>
      </c>
      <c r="G22" s="957" t="s">
        <v>1078</v>
      </c>
      <c r="H22" s="958"/>
    </row>
    <row r="23" spans="1:8" s="845" customFormat="1" x14ac:dyDescent="0.35">
      <c r="A23" s="933"/>
      <c r="B23" s="933"/>
      <c r="C23" s="933"/>
      <c r="D23" s="936"/>
      <c r="E23" s="959">
        <v>7000001841</v>
      </c>
      <c r="F23" s="948">
        <v>1121.76</v>
      </c>
      <c r="G23" s="957" t="s">
        <v>1086</v>
      </c>
      <c r="H23" s="960" t="s">
        <v>1101</v>
      </c>
    </row>
    <row r="24" spans="1:8" s="845" customFormat="1" x14ac:dyDescent="0.35">
      <c r="A24" s="933"/>
      <c r="B24" s="933"/>
      <c r="C24" s="933"/>
      <c r="D24" s="936"/>
      <c r="E24" s="959">
        <v>7000001857</v>
      </c>
      <c r="F24" s="948">
        <v>1000879.5999999999</v>
      </c>
      <c r="G24" s="961" t="s">
        <v>1086</v>
      </c>
      <c r="H24" s="960" t="s">
        <v>1088</v>
      </c>
    </row>
    <row r="25" spans="1:8" s="845" customFormat="1" x14ac:dyDescent="0.35">
      <c r="A25" s="933"/>
      <c r="B25" s="933"/>
      <c r="C25" s="933"/>
      <c r="D25" s="936"/>
      <c r="E25" s="959">
        <v>7000001998</v>
      </c>
      <c r="F25" s="948">
        <v>769.8</v>
      </c>
      <c r="G25" s="957" t="s">
        <v>1087</v>
      </c>
      <c r="H25" s="960" t="s">
        <v>1092</v>
      </c>
    </row>
    <row r="26" spans="1:8" s="845" customFormat="1" x14ac:dyDescent="0.35">
      <c r="A26" s="933"/>
      <c r="B26" s="933"/>
      <c r="C26" s="933"/>
      <c r="D26" s="936"/>
      <c r="E26" s="959">
        <v>7000002000</v>
      </c>
      <c r="F26" s="948">
        <v>25520</v>
      </c>
      <c r="G26" s="961" t="s">
        <v>1087</v>
      </c>
      <c r="H26" s="960" t="s">
        <v>1064</v>
      </c>
    </row>
    <row r="27" spans="1:8" s="845" customFormat="1" x14ac:dyDescent="0.35">
      <c r="A27" s="933"/>
      <c r="B27" s="933"/>
      <c r="C27" s="933"/>
      <c r="D27" s="936"/>
      <c r="E27" s="959">
        <v>7000002054</v>
      </c>
      <c r="F27" s="948">
        <v>60102</v>
      </c>
      <c r="G27" s="961" t="s">
        <v>1090</v>
      </c>
      <c r="H27" s="960" t="s">
        <v>841</v>
      </c>
    </row>
    <row r="28" spans="1:8" s="845" customFormat="1" x14ac:dyDescent="0.35">
      <c r="A28" s="933"/>
      <c r="B28" s="933"/>
      <c r="C28" s="933"/>
      <c r="D28" s="936"/>
      <c r="E28" s="959">
        <v>7000002099</v>
      </c>
      <c r="F28" s="948">
        <v>111435</v>
      </c>
      <c r="G28" s="960" t="s">
        <v>885</v>
      </c>
      <c r="H28" s="960"/>
    </row>
    <row r="29" spans="1:8" s="845" customFormat="1" x14ac:dyDescent="0.35">
      <c r="A29" s="933"/>
      <c r="B29" s="933"/>
      <c r="C29" s="933"/>
      <c r="D29" s="936"/>
      <c r="E29" s="959">
        <v>7000002119</v>
      </c>
      <c r="F29" s="948">
        <v>44357.4</v>
      </c>
      <c r="G29" s="961" t="s">
        <v>784</v>
      </c>
      <c r="H29" s="958"/>
    </row>
    <row r="30" spans="1:8" s="845" customFormat="1" x14ac:dyDescent="0.35">
      <c r="A30" s="933"/>
      <c r="B30" s="933"/>
      <c r="C30" s="933"/>
      <c r="D30" s="936"/>
      <c r="E30" s="959">
        <v>7000002343</v>
      </c>
      <c r="F30" s="948">
        <v>678.96</v>
      </c>
      <c r="G30" s="961" t="s">
        <v>723</v>
      </c>
      <c r="H30" s="960" t="s">
        <v>1093</v>
      </c>
    </row>
    <row r="31" spans="1:8" s="845" customFormat="1" x14ac:dyDescent="0.35">
      <c r="A31"/>
      <c r="B31" s="933"/>
      <c r="C31" s="933"/>
      <c r="D31" s="936"/>
      <c r="E31" s="959">
        <v>7000002363</v>
      </c>
      <c r="F31" s="948">
        <v>3920</v>
      </c>
      <c r="G31" s="961" t="s">
        <v>777</v>
      </c>
      <c r="H31" s="958" t="s">
        <v>1067</v>
      </c>
    </row>
    <row r="32" spans="1:8" s="845" customFormat="1" x14ac:dyDescent="0.35">
      <c r="A32"/>
      <c r="B32" s="933"/>
      <c r="C32" s="933"/>
      <c r="D32" s="936"/>
      <c r="E32" s="959">
        <v>7000002439</v>
      </c>
      <c r="F32" s="948">
        <v>2606.58</v>
      </c>
      <c r="G32" s="961" t="s">
        <v>1087</v>
      </c>
      <c r="H32" s="958" t="s">
        <v>1092</v>
      </c>
    </row>
    <row r="33" spans="1:8" s="845" customFormat="1" x14ac:dyDescent="0.35">
      <c r="A33"/>
      <c r="B33" s="933"/>
      <c r="C33" s="933"/>
      <c r="D33" s="936"/>
      <c r="E33" s="959">
        <v>7000002490</v>
      </c>
      <c r="F33" s="948">
        <v>14400</v>
      </c>
      <c r="G33" s="961"/>
      <c r="H33" s="958"/>
    </row>
    <row r="34" spans="1:8" s="845" customFormat="1" x14ac:dyDescent="0.35">
      <c r="A34"/>
      <c r="B34" s="933"/>
      <c r="C34" s="933"/>
      <c r="D34" s="936"/>
      <c r="E34" s="959"/>
      <c r="F34" s="948">
        <v>6707254.9000000004</v>
      </c>
      <c r="G34" s="961"/>
      <c r="H34" s="958"/>
    </row>
    <row r="35" spans="1:8" s="845" customFormat="1" x14ac:dyDescent="0.35">
      <c r="B35" s="933"/>
      <c r="C35" s="933"/>
      <c r="D35" s="936"/>
      <c r="E35" s="959" t="s">
        <v>1075</v>
      </c>
      <c r="F35" s="948">
        <v>439.65</v>
      </c>
      <c r="G35" s="961"/>
      <c r="H35" s="958"/>
    </row>
    <row r="36" spans="1:8" s="845" customFormat="1" x14ac:dyDescent="0.35">
      <c r="B36" s="933"/>
      <c r="C36" s="933"/>
      <c r="D36" s="936"/>
      <c r="E36" s="959" t="s">
        <v>676</v>
      </c>
      <c r="F36" s="948">
        <v>0</v>
      </c>
      <c r="G36" s="961"/>
      <c r="H36" s="958"/>
    </row>
    <row r="37" spans="1:8" s="845" customFormat="1" x14ac:dyDescent="0.35">
      <c r="B37" s="933"/>
      <c r="C37" s="933"/>
      <c r="D37" s="936"/>
      <c r="E37" s="959" t="s">
        <v>578</v>
      </c>
      <c r="F37" s="948">
        <v>0</v>
      </c>
      <c r="G37" s="961"/>
      <c r="H37" s="958"/>
    </row>
    <row r="38" spans="1:8" x14ac:dyDescent="0.35">
      <c r="D38" s="936"/>
      <c r="E38" s="959" t="s">
        <v>608</v>
      </c>
      <c r="F38" s="948">
        <v>1144</v>
      </c>
      <c r="G38" s="961" t="s">
        <v>723</v>
      </c>
      <c r="H38" s="958"/>
    </row>
    <row r="39" spans="1:8" x14ac:dyDescent="0.35">
      <c r="D39" s="936"/>
      <c r="E39" s="959" t="s">
        <v>591</v>
      </c>
      <c r="F39" s="948">
        <v>142450</v>
      </c>
      <c r="G39" s="961"/>
      <c r="H39" s="958"/>
    </row>
    <row r="40" spans="1:8" x14ac:dyDescent="0.35">
      <c r="D40" s="937"/>
      <c r="E40" s="959" t="s">
        <v>579</v>
      </c>
      <c r="F40" s="948">
        <v>0</v>
      </c>
      <c r="G40" s="961"/>
      <c r="H40" s="958"/>
    </row>
    <row r="41" spans="1:8" x14ac:dyDescent="0.35">
      <c r="E41" s="959" t="s">
        <v>580</v>
      </c>
      <c r="F41" s="948">
        <v>0</v>
      </c>
      <c r="G41" s="961"/>
      <c r="H41" s="958"/>
    </row>
    <row r="42" spans="1:8" x14ac:dyDescent="0.35">
      <c r="E42" s="959" t="s">
        <v>606</v>
      </c>
      <c r="F42" s="948">
        <v>10669.740000000002</v>
      </c>
      <c r="G42" s="961" t="s">
        <v>703</v>
      </c>
      <c r="H42" s="958" t="s">
        <v>1092</v>
      </c>
    </row>
    <row r="43" spans="1:8" x14ac:dyDescent="0.35">
      <c r="E43" s="959" t="s">
        <v>601</v>
      </c>
      <c r="F43" s="948">
        <v>78700</v>
      </c>
      <c r="G43" s="961"/>
      <c r="H43" s="958"/>
    </row>
    <row r="44" spans="1:8" x14ac:dyDescent="0.35">
      <c r="E44" s="959" t="s">
        <v>636</v>
      </c>
      <c r="F44" s="948">
        <v>0</v>
      </c>
      <c r="G44" s="961"/>
      <c r="H44" s="958"/>
    </row>
    <row r="45" spans="1:8" x14ac:dyDescent="0.35">
      <c r="E45" s="959" t="s">
        <v>1074</v>
      </c>
      <c r="F45" s="948">
        <v>0</v>
      </c>
      <c r="G45" s="961"/>
      <c r="H45" s="958"/>
    </row>
    <row r="46" spans="1:8" x14ac:dyDescent="0.35">
      <c r="E46" s="959" t="s">
        <v>662</v>
      </c>
      <c r="F46" s="948">
        <v>164.79999999999995</v>
      </c>
      <c r="G46" s="961" t="s">
        <v>723</v>
      </c>
      <c r="H46" s="958"/>
    </row>
    <row r="47" spans="1:8" x14ac:dyDescent="0.35">
      <c r="E47" s="959" t="s">
        <v>399</v>
      </c>
      <c r="F47" s="948">
        <v>2639.5</v>
      </c>
      <c r="G47" s="961" t="s">
        <v>703</v>
      </c>
      <c r="H47" s="958" t="s">
        <v>1092</v>
      </c>
    </row>
    <row r="48" spans="1:8" x14ac:dyDescent="0.35">
      <c r="E48" s="959" t="s">
        <v>660</v>
      </c>
      <c r="F48" s="948">
        <v>510.7</v>
      </c>
      <c r="G48" s="961"/>
      <c r="H48" s="958"/>
    </row>
    <row r="49" spans="5:8" x14ac:dyDescent="0.35">
      <c r="E49" s="959" t="s">
        <v>675</v>
      </c>
      <c r="F49" s="948">
        <v>0</v>
      </c>
      <c r="G49" s="961"/>
      <c r="H49" s="958"/>
    </row>
    <row r="50" spans="5:8" x14ac:dyDescent="0.35">
      <c r="E50" s="959" t="s">
        <v>739</v>
      </c>
      <c r="F50" s="948">
        <v>107456.88</v>
      </c>
      <c r="G50" s="961" t="s">
        <v>703</v>
      </c>
      <c r="H50" s="958"/>
    </row>
    <row r="51" spans="5:8" ht="15" thickBot="1" x14ac:dyDescent="0.4">
      <c r="E51" s="963" t="s">
        <v>686</v>
      </c>
      <c r="F51" s="948">
        <v>47691</v>
      </c>
      <c r="G51" s="961" t="s">
        <v>1086</v>
      </c>
      <c r="H51" s="958"/>
    </row>
    <row r="52" spans="5:8" x14ac:dyDescent="0.35">
      <c r="E52" s="956" t="s">
        <v>697</v>
      </c>
      <c r="F52" s="948">
        <v>0</v>
      </c>
      <c r="G52" s="961"/>
      <c r="H52" s="958"/>
    </row>
    <row r="53" spans="5:8" x14ac:dyDescent="0.35">
      <c r="E53" s="959" t="s">
        <v>677</v>
      </c>
      <c r="F53" s="948">
        <v>13678.400000000001</v>
      </c>
      <c r="G53" s="961" t="s">
        <v>723</v>
      </c>
      <c r="H53" s="958"/>
    </row>
    <row r="54" spans="5:8" x14ac:dyDescent="0.35">
      <c r="E54" s="959" t="s">
        <v>680</v>
      </c>
      <c r="F54" s="948">
        <v>2406.8999999999996</v>
      </c>
      <c r="G54" s="961" t="s">
        <v>1087</v>
      </c>
      <c r="H54" s="958" t="s">
        <v>1092</v>
      </c>
    </row>
    <row r="55" spans="5:8" x14ac:dyDescent="0.35">
      <c r="E55" s="959" t="s">
        <v>684</v>
      </c>
      <c r="F55" s="948">
        <v>863735</v>
      </c>
      <c r="G55" s="964" t="s">
        <v>885</v>
      </c>
      <c r="H55" s="958" t="s">
        <v>841</v>
      </c>
    </row>
    <row r="56" spans="5:8" x14ac:dyDescent="0.35">
      <c r="E56" s="959" t="s">
        <v>687</v>
      </c>
      <c r="F56" s="948">
        <v>20363.68</v>
      </c>
      <c r="G56" s="964" t="s">
        <v>885</v>
      </c>
      <c r="H56" s="958" t="s">
        <v>1098</v>
      </c>
    </row>
    <row r="57" spans="5:8" x14ac:dyDescent="0.35">
      <c r="E57" s="959" t="s">
        <v>678</v>
      </c>
      <c r="F57" s="948">
        <v>41499.549999999996</v>
      </c>
      <c r="G57" s="961" t="s">
        <v>703</v>
      </c>
      <c r="H57" s="958" t="s">
        <v>1092</v>
      </c>
    </row>
    <row r="58" spans="5:8" x14ac:dyDescent="0.35">
      <c r="E58" s="959" t="s">
        <v>741</v>
      </c>
      <c r="F58" s="948">
        <v>19720</v>
      </c>
      <c r="G58" s="961" t="s">
        <v>1087</v>
      </c>
      <c r="H58" s="958" t="s">
        <v>1079</v>
      </c>
    </row>
    <row r="59" spans="5:8" x14ac:dyDescent="0.35">
      <c r="E59" s="959" t="s">
        <v>691</v>
      </c>
      <c r="F59" s="948">
        <v>0</v>
      </c>
      <c r="G59" s="961"/>
      <c r="H59" s="958"/>
    </row>
    <row r="60" spans="5:8" x14ac:dyDescent="0.35">
      <c r="E60" s="959" t="s">
        <v>751</v>
      </c>
      <c r="F60" s="948">
        <v>24568.6</v>
      </c>
      <c r="G60" s="961" t="s">
        <v>784</v>
      </c>
      <c r="H60" s="958" t="s">
        <v>1097</v>
      </c>
    </row>
    <row r="61" spans="5:8" x14ac:dyDescent="0.35">
      <c r="E61" s="959" t="s">
        <v>756</v>
      </c>
      <c r="F61" s="948">
        <v>113843.1</v>
      </c>
      <c r="G61" s="961" t="s">
        <v>784</v>
      </c>
      <c r="H61" s="958" t="s">
        <v>1096</v>
      </c>
    </row>
    <row r="62" spans="5:8" x14ac:dyDescent="0.35">
      <c r="E62" s="959" t="s">
        <v>794</v>
      </c>
      <c r="F62" s="948">
        <v>54165.22</v>
      </c>
      <c r="G62" s="961" t="s">
        <v>784</v>
      </c>
      <c r="H62" s="958" t="s">
        <v>1095</v>
      </c>
    </row>
    <row r="63" spans="5:8" x14ac:dyDescent="0.35">
      <c r="E63" s="959" t="s">
        <v>822</v>
      </c>
      <c r="F63" s="948">
        <v>264938.74</v>
      </c>
      <c r="G63" s="961" t="s">
        <v>1086</v>
      </c>
      <c r="H63" s="958" t="s">
        <v>1094</v>
      </c>
    </row>
    <row r="64" spans="5:8" x14ac:dyDescent="0.35">
      <c r="E64" s="959" t="s">
        <v>833</v>
      </c>
      <c r="F64" s="948">
        <v>5249.1900000000005</v>
      </c>
      <c r="G64" s="961" t="s">
        <v>1087</v>
      </c>
      <c r="H64" s="958" t="s">
        <v>1092</v>
      </c>
    </row>
    <row r="65" spans="5:8" x14ac:dyDescent="0.35">
      <c r="E65" s="959" t="s">
        <v>765</v>
      </c>
      <c r="F65" s="948">
        <v>160950</v>
      </c>
      <c r="G65" s="961" t="s">
        <v>1087</v>
      </c>
      <c r="H65" s="958" t="s">
        <v>1064</v>
      </c>
    </row>
    <row r="66" spans="5:8" x14ac:dyDescent="0.35">
      <c r="E66" s="959" t="s">
        <v>824</v>
      </c>
      <c r="F66" s="948">
        <v>480476.68999999994</v>
      </c>
      <c r="G66" s="964" t="s">
        <v>885</v>
      </c>
      <c r="H66" s="958"/>
    </row>
    <row r="67" spans="5:8" x14ac:dyDescent="0.35">
      <c r="E67" s="959" t="s">
        <v>866</v>
      </c>
      <c r="F67" s="948">
        <v>858041</v>
      </c>
      <c r="G67" s="964" t="s">
        <v>885</v>
      </c>
      <c r="H67" s="958"/>
    </row>
    <row r="68" spans="5:8" x14ac:dyDescent="0.35">
      <c r="E68" s="959" t="s">
        <v>859</v>
      </c>
      <c r="F68" s="948">
        <v>0</v>
      </c>
      <c r="G68" s="961"/>
      <c r="H68" s="958"/>
    </row>
    <row r="69" spans="5:8" x14ac:dyDescent="0.35">
      <c r="E69" s="959" t="s">
        <v>1046</v>
      </c>
      <c r="F69" s="948">
        <v>2036.88</v>
      </c>
      <c r="G69" s="961" t="s">
        <v>723</v>
      </c>
      <c r="H69" s="958" t="s">
        <v>1093</v>
      </c>
    </row>
    <row r="70" spans="5:8" x14ac:dyDescent="0.35">
      <c r="E70" s="959" t="s">
        <v>1038</v>
      </c>
      <c r="F70" s="948">
        <v>11200</v>
      </c>
      <c r="G70" s="961" t="s">
        <v>777</v>
      </c>
      <c r="H70" s="958" t="s">
        <v>1067</v>
      </c>
    </row>
    <row r="71" spans="5:8" x14ac:dyDescent="0.35">
      <c r="E71" s="959" t="s">
        <v>1036</v>
      </c>
      <c r="F71" s="948">
        <v>13055.11</v>
      </c>
      <c r="G71" s="961" t="s">
        <v>1087</v>
      </c>
      <c r="H71" s="958" t="s">
        <v>1092</v>
      </c>
    </row>
    <row r="72" spans="5:8" x14ac:dyDescent="0.35">
      <c r="E72" s="959" t="s">
        <v>1033</v>
      </c>
      <c r="F72" s="948">
        <v>29502</v>
      </c>
      <c r="G72" s="961" t="s">
        <v>703</v>
      </c>
      <c r="H72" s="958" t="s">
        <v>1091</v>
      </c>
    </row>
    <row r="73" spans="5:8" x14ac:dyDescent="0.35">
      <c r="E73" s="959" t="s">
        <v>1066</v>
      </c>
      <c r="F73" s="948">
        <v>52500</v>
      </c>
      <c r="G73" s="961" t="s">
        <v>1086</v>
      </c>
      <c r="H73" s="958"/>
    </row>
    <row r="74" spans="5:8" x14ac:dyDescent="0.35">
      <c r="E74" s="959" t="s">
        <v>1047</v>
      </c>
      <c r="F74" s="948">
        <v>8229</v>
      </c>
      <c r="G74" s="961" t="s">
        <v>782</v>
      </c>
      <c r="H74" s="958" t="s">
        <v>1100</v>
      </c>
    </row>
    <row r="75" spans="5:8" ht="15" thickBot="1" x14ac:dyDescent="0.4">
      <c r="E75" s="965" t="s">
        <v>1080</v>
      </c>
      <c r="F75" s="949"/>
      <c r="G75" s="939"/>
      <c r="H75" s="966"/>
    </row>
    <row r="76" spans="5:8" ht="15" thickBot="1" x14ac:dyDescent="0.4">
      <c r="E76" s="967" t="s">
        <v>1081</v>
      </c>
      <c r="F76" s="950">
        <v>12285386.960000003</v>
      </c>
      <c r="G76" s="968"/>
      <c r="H76" s="969"/>
    </row>
    <row r="77" spans="5:8" ht="15" thickBot="1" x14ac:dyDescent="0.4">
      <c r="E77" s="970" t="s">
        <v>213</v>
      </c>
      <c r="F77" s="951">
        <v>5578132</v>
      </c>
      <c r="G77" s="971"/>
      <c r="H77" s="972"/>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3FFDA0-145A-4847-8B95-3DDFC256BEAA}">
  <sheetPr filterMode="1">
    <tabColor rgb="FFC1A5E9"/>
  </sheetPr>
  <dimension ref="A1:H70"/>
  <sheetViews>
    <sheetView workbookViewId="0">
      <selection activeCell="F74" sqref="F74"/>
    </sheetView>
  </sheetViews>
  <sheetFormatPr defaultRowHeight="14.5" x14ac:dyDescent="0.35"/>
  <cols>
    <col min="1" max="1" width="12.81640625" style="845" customWidth="1"/>
    <col min="2" max="2" width="11" customWidth="1"/>
    <col min="3" max="3" width="20.81640625" customWidth="1"/>
    <col min="4" max="4" width="16.7265625" customWidth="1"/>
    <col min="5" max="5" width="19.54296875" customWidth="1"/>
    <col min="6" max="6" width="11.1796875" bestFit="1" customWidth="1"/>
    <col min="7" max="7" width="31.54296875" customWidth="1"/>
    <col min="8" max="8" width="21.7265625" customWidth="1"/>
  </cols>
  <sheetData>
    <row r="1" spans="1:8" x14ac:dyDescent="0.35">
      <c r="A1" s="842" t="s">
        <v>886</v>
      </c>
      <c r="B1" s="842" t="s">
        <v>790</v>
      </c>
      <c r="C1" s="842" t="s">
        <v>871</v>
      </c>
      <c r="D1" s="842" t="s">
        <v>872</v>
      </c>
      <c r="E1" s="841" t="s">
        <v>873</v>
      </c>
      <c r="F1" s="841" t="s">
        <v>217</v>
      </c>
      <c r="G1" s="842" t="s">
        <v>770</v>
      </c>
      <c r="H1" s="897" t="s">
        <v>873</v>
      </c>
    </row>
    <row r="2" spans="1:8" ht="43.5" hidden="1" x14ac:dyDescent="0.35">
      <c r="A2" s="844">
        <v>7000001429</v>
      </c>
      <c r="B2" s="840" t="s">
        <v>874</v>
      </c>
      <c r="C2" s="840" t="s">
        <v>875</v>
      </c>
      <c r="D2" s="840" t="s">
        <v>885</v>
      </c>
      <c r="E2" s="839" t="s">
        <v>876</v>
      </c>
      <c r="F2" s="838">
        <v>16500</v>
      </c>
      <c r="G2" s="844" t="s">
        <v>1017</v>
      </c>
      <c r="H2" s="898" t="s">
        <v>1018</v>
      </c>
    </row>
    <row r="3" spans="1:8" ht="26.5" hidden="1" x14ac:dyDescent="0.35">
      <c r="A3" s="844">
        <v>7000001429</v>
      </c>
      <c r="B3" s="840" t="s">
        <v>877</v>
      </c>
      <c r="C3" s="840" t="s">
        <v>878</v>
      </c>
      <c r="D3" s="840" t="s">
        <v>885</v>
      </c>
      <c r="E3" s="839" t="s">
        <v>876</v>
      </c>
      <c r="F3" s="838">
        <v>5500</v>
      </c>
      <c r="G3" s="844"/>
      <c r="H3" s="307"/>
    </row>
    <row r="4" spans="1:8" ht="26.5" hidden="1" x14ac:dyDescent="0.35">
      <c r="A4" s="844">
        <v>7000001429</v>
      </c>
      <c r="B4" s="840" t="s">
        <v>879</v>
      </c>
      <c r="C4" s="840" t="s">
        <v>880</v>
      </c>
      <c r="D4" s="840" t="s">
        <v>885</v>
      </c>
      <c r="E4" s="839" t="s">
        <v>876</v>
      </c>
      <c r="F4" s="838">
        <v>5500</v>
      </c>
      <c r="G4" s="844"/>
      <c r="H4" s="307"/>
    </row>
    <row r="5" spans="1:8" ht="26.5" hidden="1" x14ac:dyDescent="0.35">
      <c r="A5" s="844">
        <v>7000001429</v>
      </c>
      <c r="B5" s="840" t="s">
        <v>881</v>
      </c>
      <c r="C5" s="840" t="s">
        <v>882</v>
      </c>
      <c r="D5" s="840" t="s">
        <v>885</v>
      </c>
      <c r="E5" s="839" t="s">
        <v>876</v>
      </c>
      <c r="F5" s="838">
        <v>5500</v>
      </c>
      <c r="G5" s="844"/>
      <c r="H5" s="307"/>
    </row>
    <row r="6" spans="1:8" ht="26.5" hidden="1" x14ac:dyDescent="0.35">
      <c r="A6" s="844">
        <v>7000001429</v>
      </c>
      <c r="B6" s="840" t="s">
        <v>883</v>
      </c>
      <c r="C6" s="840" t="s">
        <v>884</v>
      </c>
      <c r="D6" s="840" t="s">
        <v>885</v>
      </c>
      <c r="E6" s="839" t="s">
        <v>876</v>
      </c>
      <c r="F6" s="838">
        <v>5500</v>
      </c>
      <c r="G6" s="844"/>
      <c r="H6" s="307"/>
    </row>
    <row r="7" spans="1:8" ht="43.5" hidden="1" x14ac:dyDescent="0.35">
      <c r="A7" s="844">
        <v>7000001415</v>
      </c>
      <c r="B7" s="840" t="s">
        <v>887</v>
      </c>
      <c r="C7" s="840" t="s">
        <v>888</v>
      </c>
      <c r="D7" s="840" t="s">
        <v>885</v>
      </c>
      <c r="E7" s="839" t="s">
        <v>788</v>
      </c>
      <c r="F7" s="838">
        <v>139197</v>
      </c>
      <c r="G7" s="844" t="s">
        <v>965</v>
      </c>
      <c r="H7" s="307" t="s">
        <v>1016</v>
      </c>
    </row>
    <row r="8" spans="1:8" ht="26.5" hidden="1" x14ac:dyDescent="0.35">
      <c r="A8" s="844">
        <v>7000001415</v>
      </c>
      <c r="B8" s="840" t="s">
        <v>887</v>
      </c>
      <c r="C8" s="840" t="s">
        <v>889</v>
      </c>
      <c r="D8" s="840" t="s">
        <v>885</v>
      </c>
      <c r="E8" s="839" t="s">
        <v>876</v>
      </c>
      <c r="F8" s="838">
        <v>139197</v>
      </c>
      <c r="G8" s="844"/>
      <c r="H8" s="307"/>
    </row>
    <row r="9" spans="1:8" ht="26.5" hidden="1" x14ac:dyDescent="0.35">
      <c r="A9" s="844">
        <v>7000001415</v>
      </c>
      <c r="B9" s="840" t="s">
        <v>890</v>
      </c>
      <c r="C9" s="840" t="s">
        <v>891</v>
      </c>
      <c r="D9" s="840" t="s">
        <v>885</v>
      </c>
      <c r="E9" s="839" t="s">
        <v>876</v>
      </c>
      <c r="F9" s="838">
        <v>30500</v>
      </c>
      <c r="G9" s="307"/>
      <c r="H9" s="307"/>
    </row>
    <row r="10" spans="1:8" ht="39.5" hidden="1" x14ac:dyDescent="0.35">
      <c r="A10" s="844">
        <v>7000001415</v>
      </c>
      <c r="B10" s="840" t="s">
        <v>892</v>
      </c>
      <c r="C10" s="840" t="s">
        <v>893</v>
      </c>
      <c r="D10" s="840" t="s">
        <v>721</v>
      </c>
      <c r="E10" s="839" t="s">
        <v>876</v>
      </c>
      <c r="F10" s="838">
        <v>100170</v>
      </c>
      <c r="G10" s="307"/>
      <c r="H10" s="307"/>
    </row>
    <row r="11" spans="1:8" ht="26.5" hidden="1" x14ac:dyDescent="0.35">
      <c r="A11" s="844">
        <v>7000001415</v>
      </c>
      <c r="B11" s="840" t="s">
        <v>894</v>
      </c>
      <c r="C11" s="840" t="s">
        <v>895</v>
      </c>
      <c r="D11" s="840" t="s">
        <v>885</v>
      </c>
      <c r="E11" s="839" t="s">
        <v>876</v>
      </c>
      <c r="F11" s="838">
        <v>149068</v>
      </c>
      <c r="G11" s="307"/>
      <c r="H11" s="307"/>
    </row>
    <row r="12" spans="1:8" ht="26.5" hidden="1" x14ac:dyDescent="0.35">
      <c r="A12" s="844">
        <v>7000001415</v>
      </c>
      <c r="B12" s="840" t="s">
        <v>896</v>
      </c>
      <c r="C12" s="840" t="s">
        <v>897</v>
      </c>
      <c r="D12" s="840" t="s">
        <v>885</v>
      </c>
      <c r="E12" s="839" t="s">
        <v>876</v>
      </c>
      <c r="F12" s="838">
        <v>5500</v>
      </c>
      <c r="G12" s="307"/>
      <c r="H12" s="307"/>
    </row>
    <row r="13" spans="1:8" ht="26.5" hidden="1" x14ac:dyDescent="0.35">
      <c r="A13" s="844">
        <v>7000001415</v>
      </c>
      <c r="B13" s="840" t="s">
        <v>898</v>
      </c>
      <c r="C13" s="840" t="s">
        <v>899</v>
      </c>
      <c r="D13" s="840" t="s">
        <v>885</v>
      </c>
      <c r="E13" s="839" t="s">
        <v>876</v>
      </c>
      <c r="F13" s="838">
        <v>164596</v>
      </c>
      <c r="G13" s="307"/>
      <c r="H13" s="307"/>
    </row>
    <row r="14" spans="1:8" ht="26.5" hidden="1" x14ac:dyDescent="0.35">
      <c r="A14" s="844">
        <v>7000001415</v>
      </c>
      <c r="B14" s="840" t="s">
        <v>900</v>
      </c>
      <c r="C14" s="840" t="s">
        <v>901</v>
      </c>
      <c r="D14" s="840" t="s">
        <v>885</v>
      </c>
      <c r="E14" s="839" t="s">
        <v>876</v>
      </c>
      <c r="F14" s="838">
        <v>5500</v>
      </c>
      <c r="G14" s="307"/>
      <c r="H14" s="307"/>
    </row>
    <row r="15" spans="1:8" ht="26.5" hidden="1" x14ac:dyDescent="0.35">
      <c r="A15" s="844">
        <v>7000001415</v>
      </c>
      <c r="B15" s="840" t="s">
        <v>902</v>
      </c>
      <c r="C15" s="840" t="s">
        <v>903</v>
      </c>
      <c r="D15" s="840" t="s">
        <v>885</v>
      </c>
      <c r="E15" s="839" t="s">
        <v>876</v>
      </c>
      <c r="F15" s="838">
        <v>51279</v>
      </c>
      <c r="G15" s="307"/>
      <c r="H15" s="307"/>
    </row>
    <row r="16" spans="1:8" ht="26.5" hidden="1" x14ac:dyDescent="0.35">
      <c r="A16" s="844">
        <v>7000001415</v>
      </c>
      <c r="B16" s="840" t="s">
        <v>904</v>
      </c>
      <c r="C16" s="840" t="s">
        <v>905</v>
      </c>
      <c r="D16" s="840" t="s">
        <v>885</v>
      </c>
      <c r="E16" s="839" t="s">
        <v>876</v>
      </c>
      <c r="F16" s="838">
        <v>5500</v>
      </c>
      <c r="G16" s="307"/>
      <c r="H16" s="307"/>
    </row>
    <row r="17" spans="1:8" ht="26.5" hidden="1" x14ac:dyDescent="0.35">
      <c r="A17" s="844">
        <v>7000001415</v>
      </c>
      <c r="B17" s="840" t="s">
        <v>906</v>
      </c>
      <c r="C17" s="840" t="s">
        <v>907</v>
      </c>
      <c r="D17" s="840" t="s">
        <v>885</v>
      </c>
      <c r="E17" s="839" t="s">
        <v>876</v>
      </c>
      <c r="F17" s="838">
        <v>135919</v>
      </c>
      <c r="G17" s="307"/>
      <c r="H17" s="307"/>
    </row>
    <row r="18" spans="1:8" ht="26.5" hidden="1" x14ac:dyDescent="0.35">
      <c r="A18" s="844">
        <v>7000001415</v>
      </c>
      <c r="B18" s="840" t="s">
        <v>908</v>
      </c>
      <c r="C18" s="840" t="s">
        <v>909</v>
      </c>
      <c r="D18" s="840" t="s">
        <v>885</v>
      </c>
      <c r="E18" s="839" t="s">
        <v>876</v>
      </c>
      <c r="F18" s="838">
        <v>5500</v>
      </c>
      <c r="G18" s="307"/>
      <c r="H18" s="307"/>
    </row>
    <row r="19" spans="1:8" ht="26.5" hidden="1" x14ac:dyDescent="0.35">
      <c r="A19" s="844">
        <v>7000001415</v>
      </c>
      <c r="B19" s="840" t="s">
        <v>910</v>
      </c>
      <c r="C19" s="840" t="s">
        <v>911</v>
      </c>
      <c r="D19" s="840" t="s">
        <v>885</v>
      </c>
      <c r="E19" s="839" t="s">
        <v>876</v>
      </c>
      <c r="F19" s="838">
        <v>5936</v>
      </c>
      <c r="G19" s="307"/>
      <c r="H19" s="307"/>
    </row>
    <row r="20" spans="1:8" ht="58" hidden="1" x14ac:dyDescent="0.35">
      <c r="A20" s="844">
        <v>7000002054</v>
      </c>
      <c r="B20" s="840">
        <v>77148</v>
      </c>
      <c r="C20" s="840" t="s">
        <v>912</v>
      </c>
      <c r="D20" s="840" t="s">
        <v>913</v>
      </c>
      <c r="E20" s="839" t="s">
        <v>876</v>
      </c>
      <c r="F20" s="838">
        <v>133560</v>
      </c>
      <c r="G20" s="844" t="s">
        <v>1115</v>
      </c>
      <c r="H20" s="844" t="s">
        <v>1022</v>
      </c>
    </row>
    <row r="21" spans="1:8" ht="26.5" hidden="1" x14ac:dyDescent="0.35">
      <c r="A21" s="844">
        <v>7000002054</v>
      </c>
      <c r="B21" s="840">
        <v>78832</v>
      </c>
      <c r="C21" s="840" t="s">
        <v>914</v>
      </c>
      <c r="D21" s="840" t="s">
        <v>913</v>
      </c>
      <c r="E21" s="839" t="s">
        <v>876</v>
      </c>
      <c r="F21" s="838">
        <v>44424.67</v>
      </c>
      <c r="G21" s="307"/>
      <c r="H21" s="307"/>
    </row>
    <row r="22" spans="1:8" ht="26.5" hidden="1" x14ac:dyDescent="0.35">
      <c r="A22" s="844">
        <v>7000002054</v>
      </c>
      <c r="B22" s="840">
        <v>255072</v>
      </c>
      <c r="C22" s="840" t="s">
        <v>915</v>
      </c>
      <c r="D22" s="840" t="s">
        <v>913</v>
      </c>
      <c r="E22" s="839" t="s">
        <v>876</v>
      </c>
      <c r="F22" s="838">
        <v>19532.02</v>
      </c>
      <c r="G22" s="307"/>
      <c r="H22" s="307"/>
    </row>
    <row r="23" spans="1:8" ht="43.5" hidden="1" x14ac:dyDescent="0.35">
      <c r="A23" s="844">
        <v>7000002099</v>
      </c>
      <c r="B23" s="840" t="s">
        <v>916</v>
      </c>
      <c r="C23" s="840" t="s">
        <v>917</v>
      </c>
      <c r="D23" s="840" t="s">
        <v>885</v>
      </c>
      <c r="E23" s="839" t="s">
        <v>876</v>
      </c>
      <c r="F23" s="838">
        <v>147330</v>
      </c>
      <c r="G23" s="844" t="s">
        <v>1114</v>
      </c>
      <c r="H23" s="844" t="s">
        <v>1023</v>
      </c>
    </row>
    <row r="24" spans="1:8" ht="58" hidden="1" x14ac:dyDescent="0.35">
      <c r="A24" s="844">
        <v>7000001857</v>
      </c>
      <c r="B24" s="840">
        <v>4026401375</v>
      </c>
      <c r="C24" s="840" t="s">
        <v>918</v>
      </c>
      <c r="D24" s="840" t="s">
        <v>722</v>
      </c>
      <c r="E24" s="839" t="s">
        <v>876</v>
      </c>
      <c r="F24" s="838">
        <v>379647.41</v>
      </c>
      <c r="G24" s="844" t="s">
        <v>1020</v>
      </c>
      <c r="H24" s="844" t="s">
        <v>1021</v>
      </c>
    </row>
    <row r="25" spans="1:8" ht="26.5" hidden="1" x14ac:dyDescent="0.35">
      <c r="A25" s="844">
        <v>7000001857</v>
      </c>
      <c r="B25" s="840">
        <v>4026405334</v>
      </c>
      <c r="C25" s="840" t="s">
        <v>919</v>
      </c>
      <c r="D25" s="840" t="s">
        <v>722</v>
      </c>
      <c r="E25" s="839" t="s">
        <v>876</v>
      </c>
      <c r="F25" s="838">
        <v>152877.87</v>
      </c>
      <c r="G25" s="307"/>
      <c r="H25" s="307"/>
    </row>
    <row r="26" spans="1:8" ht="43.5" hidden="1" x14ac:dyDescent="0.35">
      <c r="A26" s="844">
        <v>7000001175</v>
      </c>
      <c r="B26" s="840">
        <v>4026372240</v>
      </c>
      <c r="C26" s="840" t="s">
        <v>920</v>
      </c>
      <c r="D26" s="840" t="s">
        <v>722</v>
      </c>
      <c r="E26" s="839" t="s">
        <v>876</v>
      </c>
      <c r="F26" s="838">
        <v>190575</v>
      </c>
      <c r="G26" s="844" t="s">
        <v>966</v>
      </c>
      <c r="H26" s="307" t="s">
        <v>1015</v>
      </c>
    </row>
    <row r="27" spans="1:8" ht="39.5" hidden="1" x14ac:dyDescent="0.35">
      <c r="A27" s="844">
        <v>7000001748</v>
      </c>
      <c r="B27" s="840">
        <v>6013825002089</v>
      </c>
      <c r="C27" s="840" t="s">
        <v>921</v>
      </c>
      <c r="D27" s="840" t="s">
        <v>705</v>
      </c>
      <c r="E27" s="839" t="s">
        <v>876</v>
      </c>
      <c r="F27" s="838">
        <v>40954.5</v>
      </c>
      <c r="G27" s="843" t="s">
        <v>967</v>
      </c>
      <c r="H27" s="307" t="s">
        <v>1015</v>
      </c>
    </row>
    <row r="28" spans="1:8" ht="39.5" hidden="1" x14ac:dyDescent="0.35">
      <c r="A28" s="307">
        <v>7000001767</v>
      </c>
      <c r="B28" s="840">
        <v>9300764057</v>
      </c>
      <c r="C28" s="840" t="s">
        <v>922</v>
      </c>
      <c r="D28" s="840" t="s">
        <v>923</v>
      </c>
      <c r="E28" s="839" t="s">
        <v>876</v>
      </c>
      <c r="F28" s="838">
        <v>4111.92</v>
      </c>
      <c r="G28" s="843" t="s">
        <v>968</v>
      </c>
      <c r="H28" s="307" t="s">
        <v>1015</v>
      </c>
    </row>
    <row r="29" spans="1:8" ht="26.5" hidden="1" x14ac:dyDescent="0.35">
      <c r="A29" s="307">
        <v>7000001767</v>
      </c>
      <c r="B29" s="840">
        <v>9300764057</v>
      </c>
      <c r="C29" s="840" t="s">
        <v>924</v>
      </c>
      <c r="D29" s="840" t="s">
        <v>923</v>
      </c>
      <c r="E29" s="839" t="s">
        <v>788</v>
      </c>
      <c r="F29" s="838">
        <v>4111.92</v>
      </c>
      <c r="G29" s="843"/>
      <c r="H29" s="307"/>
    </row>
    <row r="30" spans="1:8" ht="26.5" hidden="1" x14ac:dyDescent="0.35">
      <c r="A30" s="307">
        <v>7000001767</v>
      </c>
      <c r="B30" s="840">
        <v>9300764061</v>
      </c>
      <c r="C30" s="840" t="s">
        <v>922</v>
      </c>
      <c r="D30" s="840" t="s">
        <v>923</v>
      </c>
      <c r="E30" s="839" t="s">
        <v>876</v>
      </c>
      <c r="F30" s="838">
        <v>3561.5</v>
      </c>
      <c r="G30" s="843"/>
      <c r="H30" s="307"/>
    </row>
    <row r="31" spans="1:8" ht="26.5" hidden="1" x14ac:dyDescent="0.35">
      <c r="A31" s="307">
        <v>7000001767</v>
      </c>
      <c r="B31" s="840" t="s">
        <v>925</v>
      </c>
      <c r="C31" s="840" t="s">
        <v>926</v>
      </c>
      <c r="D31" s="840" t="s">
        <v>923</v>
      </c>
      <c r="E31" s="839" t="s">
        <v>788</v>
      </c>
      <c r="F31" s="838">
        <v>3561.5</v>
      </c>
      <c r="G31" s="843"/>
      <c r="H31" s="307"/>
    </row>
    <row r="32" spans="1:8" ht="26.5" hidden="1" x14ac:dyDescent="0.35">
      <c r="A32" s="307">
        <v>7000001767</v>
      </c>
      <c r="B32" s="840">
        <v>9350566143</v>
      </c>
      <c r="C32" s="840" t="s">
        <v>927</v>
      </c>
      <c r="D32" s="840" t="s">
        <v>923</v>
      </c>
      <c r="E32" s="839" t="s">
        <v>876</v>
      </c>
      <c r="F32" s="838">
        <v>17085.419999999998</v>
      </c>
      <c r="G32" s="843"/>
      <c r="H32" s="307"/>
    </row>
    <row r="33" spans="1:8" ht="39.5" hidden="1" x14ac:dyDescent="0.35">
      <c r="A33" s="307">
        <v>7000001811</v>
      </c>
      <c r="B33" s="840">
        <v>9300190409</v>
      </c>
      <c r="C33" s="840" t="s">
        <v>928</v>
      </c>
      <c r="D33" s="840" t="s">
        <v>923</v>
      </c>
      <c r="E33" s="839" t="s">
        <v>929</v>
      </c>
      <c r="F33" s="838">
        <v>22374.9</v>
      </c>
      <c r="G33" s="843" t="s">
        <v>969</v>
      </c>
      <c r="H33" s="307" t="s">
        <v>1015</v>
      </c>
    </row>
    <row r="34" spans="1:8" ht="26.5" hidden="1" x14ac:dyDescent="0.35">
      <c r="A34" s="307">
        <v>7000001811</v>
      </c>
      <c r="B34" s="840">
        <v>9300190409</v>
      </c>
      <c r="C34" s="840" t="s">
        <v>930</v>
      </c>
      <c r="D34" s="840" t="s">
        <v>923</v>
      </c>
      <c r="E34" s="839" t="s">
        <v>788</v>
      </c>
      <c r="F34" s="838">
        <v>22374.9</v>
      </c>
      <c r="G34" s="843"/>
      <c r="H34" s="307"/>
    </row>
    <row r="35" spans="1:8" ht="26.5" hidden="1" x14ac:dyDescent="0.35">
      <c r="A35" s="307">
        <v>7000001811</v>
      </c>
      <c r="B35" s="840">
        <v>9300190409</v>
      </c>
      <c r="C35" s="840" t="s">
        <v>931</v>
      </c>
      <c r="D35" s="840" t="s">
        <v>923</v>
      </c>
      <c r="E35" s="839" t="s">
        <v>876</v>
      </c>
      <c r="F35" s="838">
        <v>22374.9</v>
      </c>
      <c r="G35" s="843"/>
      <c r="H35" s="307"/>
    </row>
    <row r="36" spans="1:8" ht="26.5" hidden="1" x14ac:dyDescent="0.35">
      <c r="A36" s="307">
        <v>7000001811</v>
      </c>
      <c r="B36" s="840">
        <v>9300190409</v>
      </c>
      <c r="C36" s="840" t="s">
        <v>932</v>
      </c>
      <c r="D36" s="840" t="s">
        <v>923</v>
      </c>
      <c r="E36" s="839" t="s">
        <v>788</v>
      </c>
      <c r="F36" s="838">
        <v>22374.9</v>
      </c>
      <c r="G36" s="843"/>
      <c r="H36" s="307"/>
    </row>
    <row r="37" spans="1:8" ht="26.5" hidden="1" x14ac:dyDescent="0.35">
      <c r="A37" s="307">
        <v>7000001811</v>
      </c>
      <c r="B37" s="840">
        <v>9350042602</v>
      </c>
      <c r="C37" s="840" t="s">
        <v>933</v>
      </c>
      <c r="D37" s="840" t="s">
        <v>923</v>
      </c>
      <c r="E37" s="839" t="s">
        <v>876</v>
      </c>
      <c r="F37" s="838">
        <v>30820.400000000001</v>
      </c>
      <c r="G37" s="843"/>
      <c r="H37" s="307"/>
    </row>
    <row r="38" spans="1:8" ht="26.5" hidden="1" x14ac:dyDescent="0.35">
      <c r="A38" s="307">
        <v>7000001811</v>
      </c>
      <c r="B38" s="840">
        <v>9350042602</v>
      </c>
      <c r="C38" s="840" t="s">
        <v>934</v>
      </c>
      <c r="D38" s="840" t="s">
        <v>923</v>
      </c>
      <c r="E38" s="839" t="s">
        <v>788</v>
      </c>
      <c r="F38" s="838">
        <v>30820.400000000001</v>
      </c>
      <c r="G38" s="843"/>
      <c r="H38" s="307"/>
    </row>
    <row r="39" spans="1:8" ht="26.5" hidden="1" x14ac:dyDescent="0.35">
      <c r="A39" s="307">
        <v>7000001811</v>
      </c>
      <c r="B39" s="840">
        <v>9350079153</v>
      </c>
      <c r="C39" s="840" t="s">
        <v>935</v>
      </c>
      <c r="D39" s="840" t="s">
        <v>923</v>
      </c>
      <c r="E39" s="839" t="s">
        <v>788</v>
      </c>
      <c r="F39" s="838">
        <v>16659</v>
      </c>
      <c r="G39" s="843"/>
      <c r="H39" s="307"/>
    </row>
    <row r="40" spans="1:8" ht="26.5" hidden="1" x14ac:dyDescent="0.35">
      <c r="A40" s="307">
        <v>7000001811</v>
      </c>
      <c r="B40" s="840">
        <v>9350079153</v>
      </c>
      <c r="C40" s="840" t="s">
        <v>936</v>
      </c>
      <c r="D40" s="840" t="s">
        <v>923</v>
      </c>
      <c r="E40" s="839" t="s">
        <v>788</v>
      </c>
      <c r="F40" s="838">
        <v>16659</v>
      </c>
      <c r="G40" s="843"/>
      <c r="H40" s="307"/>
    </row>
    <row r="41" spans="1:8" ht="26.5" hidden="1" x14ac:dyDescent="0.35">
      <c r="A41" s="307">
        <v>7000001811</v>
      </c>
      <c r="B41" s="840">
        <v>9350079153</v>
      </c>
      <c r="C41" s="840" t="s">
        <v>937</v>
      </c>
      <c r="D41" s="840" t="s">
        <v>923</v>
      </c>
      <c r="E41" s="839" t="s">
        <v>876</v>
      </c>
      <c r="F41" s="838">
        <v>16659</v>
      </c>
      <c r="G41" s="843"/>
      <c r="H41" s="307"/>
    </row>
    <row r="42" spans="1:8" ht="26.5" hidden="1" x14ac:dyDescent="0.35">
      <c r="A42" s="307">
        <v>7000001811</v>
      </c>
      <c r="B42" s="840">
        <v>9350528682</v>
      </c>
      <c r="C42" s="840" t="s">
        <v>938</v>
      </c>
      <c r="D42" s="840" t="s">
        <v>923</v>
      </c>
      <c r="E42" s="839" t="s">
        <v>876</v>
      </c>
      <c r="F42" s="838">
        <v>400</v>
      </c>
      <c r="G42" s="843"/>
      <c r="H42" s="307"/>
    </row>
    <row r="43" spans="1:8" ht="26.5" hidden="1" x14ac:dyDescent="0.35">
      <c r="A43" s="307">
        <v>7000001811</v>
      </c>
      <c r="B43" s="840">
        <v>9350528682</v>
      </c>
      <c r="C43" s="840" t="s">
        <v>939</v>
      </c>
      <c r="D43" s="840" t="s">
        <v>923</v>
      </c>
      <c r="E43" s="839" t="s">
        <v>788</v>
      </c>
      <c r="F43" s="838">
        <v>400</v>
      </c>
      <c r="G43" s="843"/>
      <c r="H43" s="307"/>
    </row>
    <row r="44" spans="1:8" ht="26.5" hidden="1" x14ac:dyDescent="0.35">
      <c r="A44" s="307">
        <v>7000001811</v>
      </c>
      <c r="B44" s="840">
        <v>9350693481</v>
      </c>
      <c r="C44" s="840" t="s">
        <v>940</v>
      </c>
      <c r="D44" s="840" t="s">
        <v>923</v>
      </c>
      <c r="E44" s="839" t="s">
        <v>876</v>
      </c>
      <c r="F44" s="838">
        <v>44592.6</v>
      </c>
      <c r="G44" s="843"/>
      <c r="H44" s="307"/>
    </row>
    <row r="45" spans="1:8" ht="26.5" hidden="1" x14ac:dyDescent="0.35">
      <c r="A45" s="307">
        <v>7000001811</v>
      </c>
      <c r="B45" s="840">
        <v>9350693481</v>
      </c>
      <c r="C45" s="840" t="s">
        <v>941</v>
      </c>
      <c r="D45" s="840" t="s">
        <v>923</v>
      </c>
      <c r="E45" s="839" t="s">
        <v>788</v>
      </c>
      <c r="F45" s="838">
        <v>44749.8</v>
      </c>
      <c r="G45" s="843"/>
      <c r="H45" s="307"/>
    </row>
    <row r="46" spans="1:8" ht="39.5" hidden="1" x14ac:dyDescent="0.35">
      <c r="A46" s="307">
        <v>7000001841</v>
      </c>
      <c r="B46" s="840">
        <v>9300325597</v>
      </c>
      <c r="C46" s="840" t="s">
        <v>942</v>
      </c>
      <c r="D46" s="840" t="s">
        <v>923</v>
      </c>
      <c r="E46" s="839" t="s">
        <v>788</v>
      </c>
      <c r="F46" s="838">
        <v>1121.76</v>
      </c>
      <c r="G46" s="843" t="s">
        <v>1019</v>
      </c>
      <c r="H46" s="843" t="s">
        <v>1015</v>
      </c>
    </row>
    <row r="47" spans="1:8" ht="26.5" hidden="1" x14ac:dyDescent="0.35">
      <c r="A47" s="307">
        <v>7000001841</v>
      </c>
      <c r="B47" s="840">
        <v>9300325597</v>
      </c>
      <c r="C47" s="840" t="s">
        <v>943</v>
      </c>
      <c r="D47" s="840" t="s">
        <v>923</v>
      </c>
      <c r="E47" s="839" t="s">
        <v>788</v>
      </c>
      <c r="F47" s="838">
        <v>1121.76</v>
      </c>
      <c r="G47" s="843"/>
      <c r="H47" s="307"/>
    </row>
    <row r="48" spans="1:8" ht="26.5" hidden="1" x14ac:dyDescent="0.35">
      <c r="A48" s="307">
        <v>7000001841</v>
      </c>
      <c r="B48" s="840">
        <v>9300325597</v>
      </c>
      <c r="C48" s="840" t="s">
        <v>944</v>
      </c>
      <c r="D48" s="840" t="s">
        <v>923</v>
      </c>
      <c r="E48" s="839" t="s">
        <v>788</v>
      </c>
      <c r="F48" s="838">
        <v>1121.76</v>
      </c>
      <c r="G48" s="843"/>
      <c r="H48" s="307"/>
    </row>
    <row r="49" spans="1:8" ht="26.5" hidden="1" x14ac:dyDescent="0.35">
      <c r="A49" s="307">
        <v>7000001841</v>
      </c>
      <c r="B49" s="840">
        <v>9300325597</v>
      </c>
      <c r="C49" s="840" t="s">
        <v>945</v>
      </c>
      <c r="D49" s="840" t="s">
        <v>923</v>
      </c>
      <c r="E49" s="839" t="s">
        <v>876</v>
      </c>
      <c r="F49" s="838">
        <v>1121.76</v>
      </c>
      <c r="G49" s="843"/>
      <c r="H49" s="307"/>
    </row>
    <row r="50" spans="1:8" ht="26.5" hidden="1" x14ac:dyDescent="0.35">
      <c r="A50" s="307">
        <v>7000001841</v>
      </c>
      <c r="B50" s="840" t="s">
        <v>946</v>
      </c>
      <c r="C50" s="840" t="s">
        <v>947</v>
      </c>
      <c r="D50" s="840" t="s">
        <v>923</v>
      </c>
      <c r="E50" s="839" t="s">
        <v>876</v>
      </c>
      <c r="F50" s="838">
        <v>1121.76</v>
      </c>
      <c r="G50" s="843"/>
      <c r="H50" s="307"/>
    </row>
    <row r="51" spans="1:8" ht="26.5" hidden="1" x14ac:dyDescent="0.35">
      <c r="A51" s="307">
        <v>7000001841</v>
      </c>
      <c r="B51" s="840">
        <v>9300362997</v>
      </c>
      <c r="C51" s="840" t="s">
        <v>948</v>
      </c>
      <c r="D51" s="840" t="s">
        <v>923</v>
      </c>
      <c r="E51" s="839" t="s">
        <v>876</v>
      </c>
      <c r="F51" s="838">
        <v>2804.4</v>
      </c>
      <c r="G51" s="843"/>
      <c r="H51" s="307"/>
    </row>
    <row r="52" spans="1:8" ht="26.5" hidden="1" x14ac:dyDescent="0.35">
      <c r="A52" s="307">
        <v>7000001841</v>
      </c>
      <c r="B52" s="840">
        <v>9300362997</v>
      </c>
      <c r="C52" s="840" t="s">
        <v>949</v>
      </c>
      <c r="D52" s="840" t="s">
        <v>923</v>
      </c>
      <c r="E52" s="839" t="s">
        <v>788</v>
      </c>
      <c r="F52" s="838">
        <v>2804.4</v>
      </c>
      <c r="G52" s="843"/>
      <c r="H52" s="307"/>
    </row>
    <row r="53" spans="1:8" ht="26.5" hidden="1" x14ac:dyDescent="0.35">
      <c r="A53" s="307">
        <v>7000001841</v>
      </c>
      <c r="B53" s="840">
        <v>9300362997</v>
      </c>
      <c r="C53" s="840" t="s">
        <v>950</v>
      </c>
      <c r="D53" s="840" t="s">
        <v>923</v>
      </c>
      <c r="E53" s="839" t="s">
        <v>788</v>
      </c>
      <c r="F53" s="838">
        <v>2804.4</v>
      </c>
      <c r="G53" s="843"/>
      <c r="H53" s="307"/>
    </row>
    <row r="54" spans="1:8" ht="26.5" hidden="1" x14ac:dyDescent="0.35">
      <c r="A54" s="307">
        <v>7000001841</v>
      </c>
      <c r="B54" s="840">
        <v>9300362997</v>
      </c>
      <c r="C54" s="840" t="s">
        <v>951</v>
      </c>
      <c r="D54" s="840" t="s">
        <v>923</v>
      </c>
      <c r="E54" s="839" t="s">
        <v>788</v>
      </c>
      <c r="F54" s="838">
        <v>2804.4</v>
      </c>
      <c r="G54" s="843"/>
      <c r="H54" s="307"/>
    </row>
    <row r="55" spans="1:8" ht="26.5" hidden="1" x14ac:dyDescent="0.35">
      <c r="A55" s="307">
        <v>7000001841</v>
      </c>
      <c r="B55" s="840">
        <v>9300461254</v>
      </c>
      <c r="C55" s="840" t="s">
        <v>952</v>
      </c>
      <c r="D55" s="840" t="s">
        <v>923</v>
      </c>
      <c r="E55" s="839" t="s">
        <v>789</v>
      </c>
      <c r="F55" s="838">
        <v>2804.4</v>
      </c>
      <c r="G55" s="843"/>
      <c r="H55" s="307"/>
    </row>
    <row r="56" spans="1:8" ht="26.5" hidden="1" x14ac:dyDescent="0.35">
      <c r="A56" s="307">
        <v>7000001841</v>
      </c>
      <c r="B56" s="840">
        <v>9300461254</v>
      </c>
      <c r="C56" s="840" t="s">
        <v>953</v>
      </c>
      <c r="D56" s="840" t="s">
        <v>923</v>
      </c>
      <c r="E56" s="839" t="s">
        <v>788</v>
      </c>
      <c r="F56" s="838">
        <v>2804.4</v>
      </c>
      <c r="G56" s="843"/>
      <c r="H56" s="307"/>
    </row>
    <row r="57" spans="1:8" ht="26.5" hidden="1" x14ac:dyDescent="0.35">
      <c r="A57" s="307">
        <v>7000001841</v>
      </c>
      <c r="B57" s="840">
        <v>9300461254</v>
      </c>
      <c r="C57" s="840" t="s">
        <v>954</v>
      </c>
      <c r="D57" s="840" t="s">
        <v>923</v>
      </c>
      <c r="E57" s="839" t="s">
        <v>788</v>
      </c>
      <c r="F57" s="838">
        <v>2804.4</v>
      </c>
      <c r="G57" s="843"/>
      <c r="H57" s="307"/>
    </row>
    <row r="58" spans="1:8" ht="26.5" hidden="1" x14ac:dyDescent="0.35">
      <c r="A58" s="307">
        <v>7000001841</v>
      </c>
      <c r="B58" s="840">
        <v>9300461254</v>
      </c>
      <c r="C58" s="840" t="s">
        <v>955</v>
      </c>
      <c r="D58" s="840" t="s">
        <v>923</v>
      </c>
      <c r="E58" s="839" t="s">
        <v>788</v>
      </c>
      <c r="F58" s="838">
        <v>2804.4</v>
      </c>
      <c r="G58" s="843"/>
      <c r="H58" s="307"/>
    </row>
    <row r="59" spans="1:8" ht="26.5" hidden="1" x14ac:dyDescent="0.35">
      <c r="A59" s="307">
        <v>7000001841</v>
      </c>
      <c r="B59" s="840">
        <v>9300461254</v>
      </c>
      <c r="C59" s="840" t="s">
        <v>956</v>
      </c>
      <c r="D59" s="840" t="s">
        <v>923</v>
      </c>
      <c r="E59" s="839" t="s">
        <v>788</v>
      </c>
      <c r="F59" s="838">
        <v>2804.4</v>
      </c>
      <c r="G59" s="843"/>
      <c r="H59" s="307"/>
    </row>
    <row r="60" spans="1:8" ht="26.5" hidden="1" x14ac:dyDescent="0.35">
      <c r="A60" s="307">
        <v>7000001841</v>
      </c>
      <c r="B60" s="840">
        <v>9300461254</v>
      </c>
      <c r="C60" s="840" t="s">
        <v>957</v>
      </c>
      <c r="D60" s="840" t="s">
        <v>923</v>
      </c>
      <c r="E60" s="839" t="s">
        <v>929</v>
      </c>
      <c r="F60" s="838">
        <v>1682.64</v>
      </c>
      <c r="G60" s="843"/>
      <c r="H60" s="307"/>
    </row>
    <row r="61" spans="1:8" ht="26.5" hidden="1" x14ac:dyDescent="0.35">
      <c r="A61" s="307">
        <v>7000001841</v>
      </c>
      <c r="B61" s="840" t="s">
        <v>958</v>
      </c>
      <c r="C61" s="840" t="s">
        <v>937</v>
      </c>
      <c r="D61" s="840" t="s">
        <v>923</v>
      </c>
      <c r="E61" s="839" t="s">
        <v>788</v>
      </c>
      <c r="F61" s="838">
        <v>2804.4</v>
      </c>
      <c r="G61" s="843"/>
      <c r="H61" s="307"/>
    </row>
    <row r="62" spans="1:8" ht="26.5" hidden="1" x14ac:dyDescent="0.35">
      <c r="A62" s="307">
        <v>7000001841</v>
      </c>
      <c r="B62" s="840">
        <v>9300645956</v>
      </c>
      <c r="C62" s="840" t="s">
        <v>959</v>
      </c>
      <c r="D62" s="840" t="s">
        <v>923</v>
      </c>
      <c r="E62" s="839" t="s">
        <v>876</v>
      </c>
      <c r="F62" s="838">
        <v>544.72</v>
      </c>
      <c r="G62" s="843"/>
      <c r="H62" s="307"/>
    </row>
    <row r="63" spans="1:8" ht="26.5" hidden="1" x14ac:dyDescent="0.35">
      <c r="A63" s="307">
        <v>7000001841</v>
      </c>
      <c r="B63" s="840">
        <v>9300645956</v>
      </c>
      <c r="C63" s="840" t="s">
        <v>960</v>
      </c>
      <c r="D63" s="840" t="s">
        <v>923</v>
      </c>
      <c r="E63" s="839" t="s">
        <v>788</v>
      </c>
      <c r="F63" s="838">
        <v>544.72</v>
      </c>
      <c r="G63" s="843"/>
      <c r="H63" s="307"/>
    </row>
    <row r="64" spans="1:8" ht="26.5" hidden="1" x14ac:dyDescent="0.35">
      <c r="A64" s="307">
        <v>7000001841</v>
      </c>
      <c r="B64" s="840">
        <v>9300776380</v>
      </c>
      <c r="C64" s="840" t="s">
        <v>922</v>
      </c>
      <c r="D64" s="840" t="s">
        <v>923</v>
      </c>
      <c r="E64" s="839" t="s">
        <v>876</v>
      </c>
      <c r="F64" s="838">
        <v>1367.1</v>
      </c>
      <c r="G64" s="843"/>
      <c r="H64" s="307"/>
    </row>
    <row r="65" spans="1:8" ht="26.5" hidden="1" x14ac:dyDescent="0.35">
      <c r="A65" s="307">
        <v>7000001841</v>
      </c>
      <c r="B65" s="840" t="s">
        <v>961</v>
      </c>
      <c r="C65" s="840" t="s">
        <v>962</v>
      </c>
      <c r="D65" s="840" t="s">
        <v>923</v>
      </c>
      <c r="E65" s="839" t="s">
        <v>788</v>
      </c>
      <c r="F65" s="838">
        <v>1367.1</v>
      </c>
      <c r="G65" s="843"/>
      <c r="H65" s="307"/>
    </row>
    <row r="66" spans="1:8" ht="26.5" hidden="1" x14ac:dyDescent="0.35">
      <c r="A66" s="307">
        <v>7000001841</v>
      </c>
      <c r="B66" s="840">
        <v>9300796657</v>
      </c>
      <c r="C66" s="840" t="s">
        <v>963</v>
      </c>
      <c r="D66" s="840" t="s">
        <v>923</v>
      </c>
      <c r="E66" s="839" t="s">
        <v>876</v>
      </c>
      <c r="F66" s="838">
        <v>46644.6</v>
      </c>
      <c r="G66" s="843"/>
      <c r="H66" s="307"/>
    </row>
    <row r="67" spans="1:8" ht="26.5" hidden="1" x14ac:dyDescent="0.35">
      <c r="A67" s="307">
        <v>7000001841</v>
      </c>
      <c r="B67" s="840">
        <v>9300796657</v>
      </c>
      <c r="C67" s="840" t="s">
        <v>964</v>
      </c>
      <c r="D67" s="840" t="s">
        <v>923</v>
      </c>
      <c r="E67" s="839" t="s">
        <v>788</v>
      </c>
      <c r="F67" s="838">
        <v>46644.6</v>
      </c>
      <c r="G67" s="843"/>
      <c r="H67" s="307"/>
    </row>
    <row r="68" spans="1:8" s="845" customFormat="1" ht="39.5" x14ac:dyDescent="0.35">
      <c r="A68" s="307">
        <v>7000002119</v>
      </c>
      <c r="B68" s="840">
        <v>9352047080</v>
      </c>
      <c r="C68" s="840" t="s">
        <v>1025</v>
      </c>
      <c r="D68" s="840" t="s">
        <v>923</v>
      </c>
      <c r="E68" s="839" t="s">
        <v>788</v>
      </c>
      <c r="F68" s="838">
        <v>44357.4</v>
      </c>
      <c r="G68" s="843" t="s">
        <v>1024</v>
      </c>
      <c r="H68" s="307" t="s">
        <v>1015</v>
      </c>
    </row>
    <row r="69" spans="1:8" s="845" customFormat="1" ht="26.5" x14ac:dyDescent="0.35">
      <c r="A69" s="307">
        <v>7000002119</v>
      </c>
      <c r="B69" s="840">
        <v>9352047080</v>
      </c>
      <c r="C69" s="840" t="s">
        <v>1025</v>
      </c>
      <c r="D69" s="840" t="s">
        <v>923</v>
      </c>
      <c r="E69" s="839" t="s">
        <v>876</v>
      </c>
      <c r="F69" s="838">
        <v>44357.4</v>
      </c>
      <c r="G69" s="843"/>
      <c r="H69" s="307"/>
    </row>
    <row r="70" spans="1:8" ht="26.5" x14ac:dyDescent="0.35">
      <c r="A70" s="307">
        <v>7000002119</v>
      </c>
      <c r="B70" s="840">
        <v>9352182449</v>
      </c>
      <c r="C70" s="840" t="s">
        <v>1026</v>
      </c>
      <c r="D70" s="840" t="s">
        <v>923</v>
      </c>
      <c r="E70" s="839" t="s">
        <v>789</v>
      </c>
      <c r="F70" s="838">
        <v>400</v>
      </c>
      <c r="G70" s="843"/>
      <c r="H70" s="307"/>
    </row>
  </sheetData>
  <autoFilter ref="A1:G70" xr:uid="{793FFDA0-145A-4847-8B95-3DDFC256BEAA}">
    <filterColumn colId="0">
      <filters>
        <filter val="7000002119"/>
      </filters>
    </filterColumn>
    <filterColumn colId="3">
      <filters>
        <filter val="GRAYBAR ELECTRIC CO. INC."/>
      </filters>
    </filterColumn>
  </autoFilter>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2DD51-624B-4C86-B2DA-F191881790F9}">
  <dimension ref="A2:G7"/>
  <sheetViews>
    <sheetView workbookViewId="0">
      <selection activeCell="E4" sqref="E4"/>
    </sheetView>
  </sheetViews>
  <sheetFormatPr defaultRowHeight="14.5" x14ac:dyDescent="0.35"/>
  <cols>
    <col min="1" max="1" width="14.453125" bestFit="1" customWidth="1"/>
    <col min="2" max="2" width="11.453125" bestFit="1" customWidth="1"/>
    <col min="3" max="5" width="13" bestFit="1" customWidth="1"/>
  </cols>
  <sheetData>
    <row r="2" spans="1:7" x14ac:dyDescent="0.35">
      <c r="A2" s="924" t="s">
        <v>1007</v>
      </c>
      <c r="B2" s="924" t="s">
        <v>1008</v>
      </c>
      <c r="C2" s="924" t="s">
        <v>1009</v>
      </c>
      <c r="D2" s="924" t="s">
        <v>1010</v>
      </c>
      <c r="E2" s="924" t="s">
        <v>1011</v>
      </c>
      <c r="F2" s="924" t="s">
        <v>1012</v>
      </c>
    </row>
    <row r="3" spans="1:7" x14ac:dyDescent="0.35">
      <c r="A3" s="925" t="s">
        <v>713</v>
      </c>
      <c r="B3" s="926">
        <v>29357.9</v>
      </c>
      <c r="C3" s="926">
        <v>181290.67</v>
      </c>
      <c r="D3" s="926">
        <v>28272.39</v>
      </c>
      <c r="E3" s="926">
        <f>SUM(B3:D3)</f>
        <v>238920.96000000002</v>
      </c>
      <c r="F3" s="925" t="s">
        <v>1061</v>
      </c>
      <c r="G3" s="928">
        <f>E3/E7</f>
        <v>4.2202162223297486E-2</v>
      </c>
    </row>
    <row r="4" spans="1:7" x14ac:dyDescent="0.35">
      <c r="A4" s="925" t="s">
        <v>215</v>
      </c>
      <c r="B4" s="926">
        <v>601379.80000000005</v>
      </c>
      <c r="C4" s="926">
        <v>371819.58</v>
      </c>
      <c r="D4" s="926">
        <v>46040.04</v>
      </c>
      <c r="E4" s="926">
        <f t="shared" ref="E4:E6" si="0">SUM(B4:D4)</f>
        <v>1019239.4200000002</v>
      </c>
      <c r="F4" s="925" t="s">
        <v>1062</v>
      </c>
      <c r="G4" s="928">
        <f>E4/E7</f>
        <v>0.18003488411908122</v>
      </c>
    </row>
    <row r="5" spans="1:7" x14ac:dyDescent="0.35">
      <c r="A5" s="925" t="s">
        <v>53</v>
      </c>
      <c r="B5" s="926">
        <v>103408.84</v>
      </c>
      <c r="C5" s="926">
        <v>2482742.2000000002</v>
      </c>
      <c r="D5" s="926">
        <v>1698535.37</v>
      </c>
      <c r="E5" s="926">
        <f t="shared" si="0"/>
        <v>4284686.41</v>
      </c>
      <c r="F5" s="925" t="s">
        <v>1063</v>
      </c>
      <c r="G5" s="928">
        <f>E5/E7</f>
        <v>0.75683201235579378</v>
      </c>
    </row>
    <row r="6" spans="1:7" x14ac:dyDescent="0.35">
      <c r="A6" s="925" t="s">
        <v>280</v>
      </c>
      <c r="B6" s="926">
        <v>7059.7</v>
      </c>
      <c r="C6" s="926">
        <v>94267.21</v>
      </c>
      <c r="D6" s="926">
        <v>16970.349999999999</v>
      </c>
      <c r="E6" s="926">
        <f t="shared" si="0"/>
        <v>118297.26000000001</v>
      </c>
      <c r="F6" s="925" t="s">
        <v>1039</v>
      </c>
      <c r="G6" s="928">
        <f>E6/E7</f>
        <v>2.0895614001766948E-2</v>
      </c>
    </row>
    <row r="7" spans="1:7" x14ac:dyDescent="0.35">
      <c r="A7" s="925" t="s">
        <v>213</v>
      </c>
      <c r="B7" s="926">
        <v>741206.24</v>
      </c>
      <c r="C7" s="926">
        <v>3130319.66</v>
      </c>
      <c r="D7" s="926">
        <f>SUM(D3:D6)</f>
        <v>1789818.1500000001</v>
      </c>
      <c r="E7" s="926">
        <f>SUM(B7:D7)</f>
        <v>5661344.0500000007</v>
      </c>
      <c r="F7" s="927">
        <v>1</v>
      </c>
      <c r="G7" s="845" t="e">
        <f t="shared" ref="G7" si="1">E7/E11</f>
        <v>#DIV/0!</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CC66FF"/>
  </sheetPr>
  <dimension ref="A1:AA14"/>
  <sheetViews>
    <sheetView topLeftCell="A2" workbookViewId="0">
      <selection activeCell="H2" sqref="H1:P1048576"/>
    </sheetView>
  </sheetViews>
  <sheetFormatPr defaultRowHeight="14.5" x14ac:dyDescent="0.35"/>
  <cols>
    <col min="1" max="1" width="3.26953125" bestFit="1" customWidth="1"/>
    <col min="2" max="2" width="16.81640625" bestFit="1" customWidth="1"/>
    <col min="3" max="3" width="17.81640625" customWidth="1"/>
    <col min="4" max="4" width="31.54296875" bestFit="1" customWidth="1"/>
    <col min="5" max="5" width="12.453125" bestFit="1" customWidth="1"/>
    <col min="6" max="6" width="12.1796875" bestFit="1" customWidth="1"/>
    <col min="7" max="7" width="14.7265625" customWidth="1"/>
    <col min="8" max="8" width="15.54296875" bestFit="1" customWidth="1" collapsed="1"/>
    <col min="9" max="9" width="15.1796875" customWidth="1"/>
    <col min="10" max="10" width="12" customWidth="1"/>
    <col min="11" max="11" width="12.7265625" customWidth="1"/>
    <col min="12" max="12" width="12" customWidth="1"/>
    <col min="13" max="22" width="12.81640625" customWidth="1"/>
    <col min="23" max="23" width="13" customWidth="1" collapsed="1"/>
    <col min="24" max="24" width="2.26953125" customWidth="1"/>
    <col min="25" max="25" width="15.1796875" bestFit="1" customWidth="1"/>
    <col min="26" max="26" width="2.453125" customWidth="1"/>
    <col min="27" max="27" width="14.1796875" bestFit="1" customWidth="1"/>
  </cols>
  <sheetData>
    <row r="1" spans="1:27" x14ac:dyDescent="0.35">
      <c r="B1" s="1" t="s">
        <v>173</v>
      </c>
      <c r="H1" s="155"/>
      <c r="I1" s="156"/>
      <c r="J1" s="157"/>
      <c r="K1" s="155"/>
      <c r="L1" s="156"/>
      <c r="M1" s="157"/>
      <c r="N1" s="156"/>
      <c r="O1" s="156"/>
      <c r="P1" s="157"/>
      <c r="Q1" s="156"/>
      <c r="R1" s="156"/>
      <c r="S1" s="157"/>
      <c r="T1" s="156"/>
      <c r="U1" s="156"/>
      <c r="V1" s="157"/>
      <c r="Y1" t="s">
        <v>167</v>
      </c>
    </row>
    <row r="2" spans="1:27" s="158" customFormat="1" ht="15" thickBot="1" x14ac:dyDescent="0.4">
      <c r="B2" s="159"/>
      <c r="H2" s="160" t="s">
        <v>63</v>
      </c>
      <c r="I2" s="161" t="s">
        <v>62</v>
      </c>
      <c r="J2" s="162" t="s">
        <v>60</v>
      </c>
      <c r="K2" s="160" t="s">
        <v>63</v>
      </c>
      <c r="L2" s="161" t="s">
        <v>62</v>
      </c>
      <c r="M2" s="162" t="s">
        <v>60</v>
      </c>
      <c r="N2" s="161" t="s">
        <v>63</v>
      </c>
      <c r="O2" s="161" t="s">
        <v>62</v>
      </c>
      <c r="P2" s="162" t="s">
        <v>60</v>
      </c>
      <c r="Q2" s="161" t="s">
        <v>63</v>
      </c>
      <c r="R2" s="161" t="s">
        <v>62</v>
      </c>
      <c r="S2" s="162" t="s">
        <v>60</v>
      </c>
      <c r="T2" s="161" t="s">
        <v>63</v>
      </c>
      <c r="U2" s="161" t="s">
        <v>62</v>
      </c>
      <c r="V2" s="162" t="s">
        <v>60</v>
      </c>
      <c r="Y2" s="163"/>
    </row>
    <row r="3" spans="1:27" s="168" customFormat="1" ht="15" thickBot="1" x14ac:dyDescent="0.4">
      <c r="A3" s="164"/>
      <c r="B3" s="220" t="s">
        <v>161</v>
      </c>
      <c r="C3" s="221" t="s">
        <v>162</v>
      </c>
      <c r="D3" s="221" t="s">
        <v>10</v>
      </c>
      <c r="E3" s="222" t="s">
        <v>102</v>
      </c>
      <c r="F3" s="224" t="s">
        <v>168</v>
      </c>
      <c r="G3" s="223" t="s">
        <v>169</v>
      </c>
      <c r="H3" s="205">
        <v>44711</v>
      </c>
      <c r="I3" s="166">
        <v>44711</v>
      </c>
      <c r="J3" s="166">
        <v>44711</v>
      </c>
      <c r="K3" s="165">
        <v>44713</v>
      </c>
      <c r="L3" s="165">
        <v>44713</v>
      </c>
      <c r="M3" s="205">
        <v>44713</v>
      </c>
      <c r="N3" s="210">
        <v>44764</v>
      </c>
      <c r="O3" s="206">
        <v>44764</v>
      </c>
      <c r="P3" s="206">
        <v>44764</v>
      </c>
      <c r="Q3" s="206">
        <v>44795</v>
      </c>
      <c r="R3" s="206">
        <v>44795</v>
      </c>
      <c r="S3" s="206">
        <v>44795</v>
      </c>
      <c r="T3" s="206">
        <v>44826</v>
      </c>
      <c r="U3" s="206">
        <v>44826</v>
      </c>
      <c r="V3" s="206">
        <v>44826</v>
      </c>
      <c r="W3" s="167" t="s">
        <v>170</v>
      </c>
      <c r="Y3" s="169" t="s">
        <v>171</v>
      </c>
      <c r="AA3" s="170" t="s">
        <v>172</v>
      </c>
    </row>
    <row r="4" spans="1:27" ht="15.5" x14ac:dyDescent="0.35">
      <c r="B4" s="216"/>
      <c r="C4" s="216"/>
      <c r="D4" s="216"/>
      <c r="E4" s="217"/>
      <c r="F4" s="217"/>
      <c r="G4" s="173"/>
      <c r="H4" s="174"/>
      <c r="I4" s="172"/>
      <c r="J4" s="175"/>
      <c r="K4" s="171"/>
      <c r="L4" s="172"/>
      <c r="M4" s="211"/>
      <c r="N4" s="207"/>
      <c r="O4" s="207"/>
      <c r="P4" s="207"/>
      <c r="Q4" s="207"/>
      <c r="R4" s="207"/>
      <c r="S4" s="207"/>
      <c r="T4" s="207"/>
      <c r="U4" s="207"/>
      <c r="V4" s="207"/>
      <c r="W4" s="176"/>
      <c r="Y4" s="177"/>
      <c r="Z4" s="178"/>
      <c r="AA4" s="177"/>
    </row>
    <row r="5" spans="1:27" ht="15" thickBot="1" x14ac:dyDescent="0.4">
      <c r="B5" s="216"/>
      <c r="C5" s="216"/>
      <c r="D5" s="216"/>
      <c r="E5" s="217"/>
      <c r="F5" s="217"/>
      <c r="G5" s="183"/>
      <c r="H5" s="184"/>
      <c r="I5" s="182"/>
      <c r="J5" s="185"/>
      <c r="K5" s="181"/>
      <c r="L5" s="182"/>
      <c r="M5" s="183"/>
      <c r="N5" s="208"/>
      <c r="O5" s="208"/>
      <c r="P5" s="208"/>
      <c r="Q5" s="208"/>
      <c r="R5" s="208"/>
      <c r="S5" s="208"/>
      <c r="T5" s="208"/>
      <c r="U5" s="208"/>
      <c r="V5" s="208"/>
      <c r="W5" s="186"/>
      <c r="Y5" s="187"/>
      <c r="AA5" s="187"/>
    </row>
    <row r="6" spans="1:27" ht="15" customHeight="1" x14ac:dyDescent="0.35">
      <c r="B6" s="216"/>
      <c r="C6" s="216"/>
      <c r="D6" s="216"/>
      <c r="E6" s="217"/>
      <c r="F6" s="217"/>
      <c r="G6" s="183"/>
      <c r="H6" s="189"/>
      <c r="I6" s="182"/>
      <c r="J6" s="185"/>
      <c r="K6" s="181"/>
      <c r="L6" s="182"/>
      <c r="M6" s="183"/>
      <c r="N6" s="208"/>
      <c r="O6" s="208"/>
      <c r="P6" s="208"/>
      <c r="Q6" s="208"/>
      <c r="R6" s="208"/>
      <c r="S6" s="208"/>
      <c r="T6" s="208"/>
      <c r="U6" s="208"/>
      <c r="V6" s="208"/>
      <c r="W6" s="190"/>
      <c r="Y6" s="191">
        <v>594828.59999999497</v>
      </c>
      <c r="AA6" s="191" t="e">
        <f>#REF!-Y6</f>
        <v>#REF!</v>
      </c>
    </row>
    <row r="7" spans="1:27" x14ac:dyDescent="0.35">
      <c r="B7" s="216"/>
      <c r="C7" s="216"/>
      <c r="D7" s="216"/>
      <c r="E7" s="217"/>
      <c r="F7" s="180"/>
      <c r="G7" s="183"/>
      <c r="H7" s="189"/>
      <c r="I7" s="182"/>
      <c r="J7" s="185"/>
      <c r="K7" s="181"/>
      <c r="L7" s="182"/>
      <c r="M7" s="183"/>
      <c r="N7" s="208"/>
      <c r="O7" s="208"/>
      <c r="P7" s="208"/>
      <c r="Q7" s="208"/>
      <c r="R7" s="208"/>
      <c r="S7" s="208"/>
      <c r="T7" s="208"/>
      <c r="U7" s="208"/>
      <c r="V7" s="208"/>
      <c r="W7" s="190"/>
      <c r="Y7" s="191">
        <v>8025</v>
      </c>
      <c r="AA7" s="192" t="e">
        <f>#REF!-Y7</f>
        <v>#REF!</v>
      </c>
    </row>
    <row r="8" spans="1:27" s="121" customFormat="1" ht="33.65" customHeight="1" x14ac:dyDescent="0.35">
      <c r="B8" s="216"/>
      <c r="C8" s="216"/>
      <c r="D8" s="218"/>
      <c r="E8" s="180"/>
      <c r="F8" s="219"/>
      <c r="G8" s="183"/>
      <c r="H8" s="189"/>
      <c r="I8" s="182"/>
      <c r="J8" s="185"/>
      <c r="K8" s="181"/>
      <c r="L8" s="182"/>
      <c r="M8" s="183"/>
      <c r="N8" s="208"/>
      <c r="O8" s="208"/>
      <c r="P8" s="208"/>
      <c r="Q8" s="208"/>
      <c r="R8" s="208"/>
      <c r="S8" s="208"/>
      <c r="T8" s="208"/>
      <c r="U8" s="208"/>
      <c r="V8" s="208"/>
      <c r="W8" s="190"/>
      <c r="Y8" s="193">
        <v>327719.12</v>
      </c>
      <c r="AA8" s="194" t="e">
        <f>#REF!-Y8</f>
        <v>#REF!</v>
      </c>
    </row>
    <row r="9" spans="1:27" s="121" customFormat="1" ht="34" customHeight="1" x14ac:dyDescent="0.35">
      <c r="B9" s="216"/>
      <c r="C9" s="216"/>
      <c r="D9" s="218"/>
      <c r="E9" s="180"/>
      <c r="F9" s="219"/>
      <c r="G9" s="183"/>
      <c r="H9" s="189"/>
      <c r="I9" s="182"/>
      <c r="J9" s="185"/>
      <c r="K9" s="181"/>
      <c r="L9" s="182"/>
      <c r="M9" s="183"/>
      <c r="N9" s="208"/>
      <c r="O9" s="208"/>
      <c r="P9" s="208"/>
      <c r="Q9" s="208"/>
      <c r="R9" s="208"/>
      <c r="S9" s="208"/>
      <c r="T9" s="208"/>
      <c r="U9" s="208"/>
      <c r="V9" s="208"/>
      <c r="W9" s="190"/>
      <c r="Y9" s="195">
        <v>177998.48</v>
      </c>
      <c r="AA9" s="196" t="e">
        <f>#REF!-Y9</f>
        <v>#REF!</v>
      </c>
    </row>
    <row r="10" spans="1:27" s="121" customFormat="1" x14ac:dyDescent="0.35">
      <c r="B10" s="216"/>
      <c r="C10" s="216"/>
      <c r="D10" s="225"/>
      <c r="E10" s="215"/>
      <c r="F10" s="215"/>
      <c r="G10" s="183"/>
      <c r="H10" s="189"/>
      <c r="I10" s="182"/>
      <c r="J10" s="185"/>
      <c r="K10" s="181"/>
      <c r="L10" s="182"/>
      <c r="M10" s="183"/>
      <c r="N10" s="208"/>
      <c r="O10" s="208"/>
      <c r="P10" s="208"/>
      <c r="Q10" s="208"/>
      <c r="R10" s="208"/>
      <c r="S10" s="208"/>
      <c r="T10" s="208"/>
      <c r="U10" s="208"/>
      <c r="V10" s="208"/>
      <c r="W10" s="190"/>
      <c r="Y10" s="190">
        <v>1108571.1999999951</v>
      </c>
      <c r="AA10" s="190" t="e">
        <f>SUM(AA6:AA9)</f>
        <v>#REF!</v>
      </c>
    </row>
    <row r="11" spans="1:27" s="121" customFormat="1" x14ac:dyDescent="0.35">
      <c r="B11" s="188"/>
      <c r="C11" s="188"/>
      <c r="D11" s="188"/>
      <c r="E11" s="180"/>
      <c r="F11" s="180"/>
      <c r="G11" s="183"/>
      <c r="H11" s="189"/>
      <c r="I11" s="182"/>
      <c r="J11" s="185"/>
      <c r="K11" s="181"/>
      <c r="L11" s="182"/>
      <c r="M11" s="183"/>
      <c r="N11" s="208"/>
      <c r="O11" s="208"/>
      <c r="P11" s="208"/>
      <c r="Q11" s="208"/>
      <c r="R11" s="208"/>
      <c r="S11" s="208"/>
      <c r="T11" s="208"/>
      <c r="U11" s="208"/>
      <c r="V11" s="208"/>
      <c r="W11" s="190"/>
      <c r="Y11" s="193">
        <v>6370886</v>
      </c>
      <c r="AA11" s="193" t="e">
        <f>#REF!-Y11</f>
        <v>#REF!</v>
      </c>
    </row>
    <row r="12" spans="1:27" s="121" customFormat="1" x14ac:dyDescent="0.35">
      <c r="B12" s="188"/>
      <c r="C12" s="188"/>
      <c r="D12" s="188"/>
      <c r="E12" s="180"/>
      <c r="F12" s="180"/>
      <c r="G12" s="183"/>
      <c r="H12" s="189"/>
      <c r="I12" s="182"/>
      <c r="J12" s="185"/>
      <c r="K12" s="181"/>
      <c r="L12" s="182"/>
      <c r="M12" s="183"/>
      <c r="N12" s="208"/>
      <c r="O12" s="208"/>
      <c r="P12" s="208"/>
      <c r="Q12" s="208"/>
      <c r="R12" s="208"/>
      <c r="S12" s="208"/>
      <c r="T12" s="208"/>
      <c r="U12" s="208"/>
      <c r="V12" s="208"/>
      <c r="W12" s="190"/>
      <c r="Y12" s="195">
        <v>3859.6400000000003</v>
      </c>
      <c r="AA12" s="196" t="e">
        <f>#REF!-Y12</f>
        <v>#REF!</v>
      </c>
    </row>
    <row r="13" spans="1:27" s="121" customFormat="1" x14ac:dyDescent="0.35">
      <c r="B13" s="179"/>
      <c r="C13" s="179"/>
      <c r="D13" s="179"/>
      <c r="E13" s="180"/>
      <c r="F13" s="197"/>
      <c r="G13" s="183"/>
      <c r="H13" s="189"/>
      <c r="I13" s="182"/>
      <c r="J13" s="185"/>
      <c r="K13" s="181"/>
      <c r="L13" s="182"/>
      <c r="M13" s="183"/>
      <c r="N13" s="208"/>
      <c r="O13" s="208"/>
      <c r="P13" s="208"/>
      <c r="Q13" s="208"/>
      <c r="R13" s="208"/>
      <c r="S13" s="208"/>
      <c r="T13" s="208"/>
      <c r="U13" s="208"/>
      <c r="V13" s="208"/>
      <c r="W13" s="190"/>
      <c r="Y13" s="190">
        <v>6374745.6399999997</v>
      </c>
      <c r="AA13" s="190" t="e">
        <f>SUM(AA11:AA12)</f>
        <v>#REF!</v>
      </c>
    </row>
    <row r="14" spans="1:27" s="121" customFormat="1" ht="15" thickBot="1" x14ac:dyDescent="0.4">
      <c r="B14" s="179"/>
      <c r="C14" s="179"/>
      <c r="D14" s="179"/>
      <c r="E14" s="180"/>
      <c r="F14" s="197"/>
      <c r="G14" s="198"/>
      <c r="H14" s="200"/>
      <c r="I14" s="199"/>
      <c r="J14" s="201"/>
      <c r="K14" s="212"/>
      <c r="L14" s="213"/>
      <c r="M14" s="214"/>
      <c r="N14" s="209"/>
      <c r="O14" s="209"/>
      <c r="P14" s="209"/>
      <c r="Q14" s="209"/>
      <c r="R14" s="209"/>
      <c r="S14" s="209"/>
      <c r="T14" s="209"/>
      <c r="U14" s="209"/>
      <c r="V14" s="209"/>
      <c r="W14" s="202"/>
      <c r="X14" s="203"/>
      <c r="Y14" s="204">
        <v>7483316.8399999943</v>
      </c>
      <c r="Z14" s="203"/>
      <c r="AA14" s="204" t="e">
        <f>AA13+AA10</f>
        <v>#REF!</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jb5f813dbad04bf49a3b29713b738734 xmlns="773ccfad-7d20-4736-afd6-65edad3fba3a">
      <Terms xmlns="http://schemas.microsoft.com/office/infopath/2007/PartnerControls"/>
    </jb5f813dbad04bf49a3b29713b738734>
    <p56c9c95f0f949b0b10a7c2213de4b43 xmlns="773ccfad-7d20-4736-afd6-65edad3fba3a">
      <Terms xmlns="http://schemas.microsoft.com/office/infopath/2007/PartnerControls"/>
    </p56c9c95f0f949b0b10a7c2213de4b43>
    <TaxCatchAll xmlns="773ccfad-7d20-4736-afd6-65edad3fba3a"/>
    <PublishingExpirationDate xmlns="http://schemas.microsoft.com/sharepoint/v3" xsi:nil="true"/>
    <a835c8ca365c4da38a0cc1a0b61fb94e xmlns="773ccfad-7d20-4736-afd6-65edad3fba3a">
      <Terms xmlns="http://schemas.microsoft.com/office/infopath/2007/PartnerControls"/>
    </a835c8ca365c4da38a0cc1a0b61fb94e>
    <PublishingStartDate xmlns="http://schemas.microsoft.com/sharepoint/v3"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7E91C28609B10C43BE80AC6CB937E3FA" ma:contentTypeVersion="1" ma:contentTypeDescription="Create a new document." ma:contentTypeScope="" ma:versionID="dc6289d4cbfc12c91befc4927e187695">
  <xsd:schema xmlns:xsd="http://www.w3.org/2001/XMLSchema" xmlns:xs="http://www.w3.org/2001/XMLSchema" xmlns:p="http://schemas.microsoft.com/office/2006/metadata/properties" xmlns:ns1="http://schemas.microsoft.com/sharepoint/v3" xmlns:ns2="773ccfad-7d20-4736-afd6-65edad3fba3a" targetNamespace="http://schemas.microsoft.com/office/2006/metadata/properties" ma:root="true" ma:fieldsID="4e0418076049122c3f3548782832c719" ns1:_="" ns2:_="">
    <xsd:import namespace="http://schemas.microsoft.com/sharepoint/v3"/>
    <xsd:import namespace="773ccfad-7d20-4736-afd6-65edad3fba3a"/>
    <xsd:element name="properties">
      <xsd:complexType>
        <xsd:sequence>
          <xsd:element name="documentManagement">
            <xsd:complexType>
              <xsd:all>
                <xsd:element ref="ns2:TaxCatchAll" minOccurs="0"/>
                <xsd:element ref="ns2:TaxCatchAllLabel" minOccurs="0"/>
                <xsd:element ref="ns2:jb5f813dbad04bf49a3b29713b738734" minOccurs="0"/>
                <xsd:element ref="ns2:a835c8ca365c4da38a0cc1a0b61fb94e" minOccurs="0"/>
                <xsd:element ref="ns2:p56c9c95f0f949b0b10a7c2213de4b43" minOccurs="0"/>
                <xsd:element ref="ns1:PublishingStartDate" minOccurs="0"/>
                <xsd:element ref="ns1:PublishingExpiration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6" nillable="true" ma:displayName="Scheduling Start Date" ma:description="Scheduling Start Date is a site column created by the Publishing feature. It is used to specify the date and time on which this page will first appear to site visitors." ma:internalName="PublishingStartDate">
      <xsd:simpleType>
        <xsd:restriction base="dms:Unknown"/>
      </xsd:simpleType>
    </xsd:element>
    <xsd:element name="PublishingExpirationDate" ma:index="17" nillable="true" ma:displayName="Scheduling End Date" ma:description="Scheduling End Date is a site column created by the Publishing feature. It is used to specify the date and time on which this page will no longer appear to site visitors."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773ccfad-7d20-4736-afd6-65edad3fba3a" elementFormDefault="qualified">
    <xsd:import namespace="http://schemas.microsoft.com/office/2006/documentManagement/types"/>
    <xsd:import namespace="http://schemas.microsoft.com/office/infopath/2007/PartnerControls"/>
    <xsd:element name="TaxCatchAll" ma:index="8" nillable="true" ma:displayName="Taxonomy Catch All Column" ma:hidden="true" ma:list="{98e7bf72-e347-4478-a45e-ff0eb4d768af}" ma:internalName="TaxCatchAll" ma:showField="CatchAllData" ma:web="462ee91e-7092-4ae4-9266-88382952d528">
      <xsd:complexType>
        <xsd:complexContent>
          <xsd:extension base="dms:MultiChoiceLookup">
            <xsd:sequence>
              <xsd:element name="Value" type="dms:Lookup" maxOccurs="unbounded" minOccurs="0" nillable="true"/>
            </xsd:sequence>
          </xsd:extension>
        </xsd:complexContent>
      </xsd:complexType>
    </xsd:element>
    <xsd:element name="TaxCatchAllLabel" ma:index="9" nillable="true" ma:displayName="Taxonomy Catch All Column1" ma:hidden="true" ma:list="{98e7bf72-e347-4478-a45e-ff0eb4d768af}" ma:internalName="TaxCatchAllLabel" ma:readOnly="true" ma:showField="CatchAllDataLabel" ma:web="462ee91e-7092-4ae4-9266-88382952d528">
      <xsd:complexType>
        <xsd:complexContent>
          <xsd:extension base="dms:MultiChoiceLookup">
            <xsd:sequence>
              <xsd:element name="Value" type="dms:Lookup" maxOccurs="unbounded" minOccurs="0" nillable="true"/>
            </xsd:sequence>
          </xsd:extension>
        </xsd:complexContent>
      </xsd:complexType>
    </xsd:element>
    <xsd:element name="jb5f813dbad04bf49a3b29713b738734" ma:index="10" ma:taxonomy="true" ma:internalName="jb5f813dbad04bf49a3b29713b738734" ma:taxonomyFieldName="PSEG_Docs_Category" ma:displayName="PSEG_Docs_Category" ma:default="" ma:fieldId="{3b5f813d-bad0-4bf4-9a3b-29713b738734}" ma:sspId="b2d8a96c-2c75-4850-9dc5-e69503adb18e" ma:termSetId="016ae066-0aaf-4f28-b31a-574b221b704c" ma:anchorId="00000000-0000-0000-0000-000000000000" ma:open="false" ma:isKeyword="false">
      <xsd:complexType>
        <xsd:sequence>
          <xsd:element ref="pc:Terms" minOccurs="0" maxOccurs="1"/>
        </xsd:sequence>
      </xsd:complexType>
    </xsd:element>
    <xsd:element name="a835c8ca365c4da38a0cc1a0b61fb94e" ma:index="12" ma:taxonomy="true" ma:internalName="a835c8ca365c4da38a0cc1a0b61fb94e" ma:taxonomyFieldName="PSEG_Docs_Classification" ma:displayName="PSEG_Docs_Classification" ma:readOnly="false" ma:default="" ma:fieldId="{a835c8ca-365c-4da3-8a0c-c1a0b61fb94e}" ma:sspId="b2d8a96c-2c75-4850-9dc5-e69503adb18e" ma:termSetId="abb31c85-6746-422d-8465-a4ca7d4f22ed" ma:anchorId="00000000-0000-0000-0000-000000000000" ma:open="false" ma:isKeyword="false">
      <xsd:complexType>
        <xsd:sequence>
          <xsd:element ref="pc:Terms" minOccurs="0" maxOccurs="1"/>
        </xsd:sequence>
      </xsd:complexType>
    </xsd:element>
    <xsd:element name="p56c9c95f0f949b0b10a7c2213de4b43" ma:index="14" ma:taxonomy="true" ma:internalName="p56c9c95f0f949b0b10a7c2213de4b43" ma:taxonomyFieldName="PSEG_Docs_LOB" ma:displayName="PSEG_Docs_LOB" ma:default="" ma:fieldId="{956c9c95-f0f9-49b0-b10a-7c2213de4b43}" ma:sspId="b2d8a96c-2c75-4850-9dc5-e69503adb18e" ma:termSetId="b6d09b3f-1d7c-4d52-b090-307af764ab25" ma:anchorId="00000000-0000-0000-0000-000000000000" ma:open="false" ma:isKeyword="false">
      <xsd:complexType>
        <xsd:sequence>
          <xsd:element ref="pc:Terms" minOccurs="0" maxOccurs="1"/>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haredContentType xmlns="Microsoft.SharePoint.Taxonomy.ContentTypeSync" SourceId="b2d8a96c-2c75-4850-9dc5-e69503adb18e" ContentTypeId="0x0101" PreviousValue="false"/>
</file>

<file path=customXml/itemProps1.xml><?xml version="1.0" encoding="utf-8"?>
<ds:datastoreItem xmlns:ds="http://schemas.openxmlformats.org/officeDocument/2006/customXml" ds:itemID="{563CF0EB-15D6-45C3-9778-D828FFF01963}">
  <ds:schemaRefs>
    <ds:schemaRef ds:uri="http://schemas.microsoft.com/sharepoint/v3/contenttype/forms"/>
  </ds:schemaRefs>
</ds:datastoreItem>
</file>

<file path=customXml/itemProps2.xml><?xml version="1.0" encoding="utf-8"?>
<ds:datastoreItem xmlns:ds="http://schemas.openxmlformats.org/officeDocument/2006/customXml" ds:itemID="{25E15604-E3A1-478E-A5CB-32DB690F22C3}">
  <ds:schemaRefs>
    <ds:schemaRef ds:uri="http://purl.org/dc/dcmitype/"/>
    <ds:schemaRef ds:uri="http://schemas.microsoft.com/office/2006/documentManagement/types"/>
    <ds:schemaRef ds:uri="773ccfad-7d20-4736-afd6-65edad3fba3a"/>
    <ds:schemaRef ds:uri="http://schemas.openxmlformats.org/package/2006/metadata/core-properties"/>
    <ds:schemaRef ds:uri="http://purl.org/dc/terms/"/>
    <ds:schemaRef ds:uri="http://www.w3.org/XML/1998/namespace"/>
    <ds:schemaRef ds:uri="http://schemas.microsoft.com/sharepoint/v3"/>
    <ds:schemaRef ds:uri="http://purl.org/dc/elements/1.1/"/>
    <ds:schemaRef ds:uri="http://schemas.microsoft.com/office/infopath/2007/PartnerControls"/>
    <ds:schemaRef ds:uri="http://schemas.microsoft.com/office/2006/metadata/properties"/>
  </ds:schemaRefs>
</ds:datastoreItem>
</file>

<file path=customXml/itemProps3.xml><?xml version="1.0" encoding="utf-8"?>
<ds:datastoreItem xmlns:ds="http://schemas.openxmlformats.org/officeDocument/2006/customXml" ds:itemID="{AB03702B-BB23-4E34-9488-7ADF5743761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73ccfad-7d20-4736-afd6-65edad3fba3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6F5082A5-A8E7-43A8-93A9-2BD44905F824}">
  <ds:schemaRefs>
    <ds:schemaRef ds:uri="Microsoft.SharePoint.Taxonomy.ContentTypeSync"/>
  </ds:schemaRefs>
</ds:datastoreItem>
</file>

<file path=docMetadata/LabelInfo.xml><?xml version="1.0" encoding="utf-8"?>
<clbl:labelList xmlns:clbl="http://schemas.microsoft.com/office/2020/mipLabelMetadata">
  <clbl:label id="{91735711-3074-40fb-abee-245951e65a67}" enabled="1" method="Standard" siteId="{490bf92a-5045-4d52-9812-6b2f8bf300da}"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23</vt:i4>
      </vt:variant>
    </vt:vector>
  </HeadingPairs>
  <TitlesOfParts>
    <vt:vector size="23" baseType="lpstr">
      <vt:lpstr>1. Tool Instructions</vt:lpstr>
      <vt:lpstr>5. Forecast vs. Actuals</vt:lpstr>
      <vt:lpstr>Dashboard</vt:lpstr>
      <vt:lpstr>Budget Breakdown by Year</vt:lpstr>
      <vt:lpstr>Detailed Forecast vs Actuals</vt:lpstr>
      <vt:lpstr>Sheet12</vt:lpstr>
      <vt:lpstr>Monthly Summary_031126</vt:lpstr>
      <vt:lpstr>Sheet6</vt:lpstr>
      <vt:lpstr>Sheet9</vt:lpstr>
      <vt:lpstr>Sheet4</vt:lpstr>
      <vt:lpstr>Sheet5</vt:lpstr>
      <vt:lpstr>Sheet1</vt:lpstr>
      <vt:lpstr>Sheet2</vt:lpstr>
      <vt:lpstr>Sheet3</vt:lpstr>
      <vt:lpstr>Initial Estimates</vt:lpstr>
      <vt:lpstr>Summary Estimation Sheet</vt:lpstr>
      <vt:lpstr>8. Budget &amp; JD Requests</vt:lpstr>
      <vt:lpstr>7. Accruals</vt:lpstr>
      <vt:lpstr>9. Actuals SAP Extract</vt:lpstr>
      <vt:lpstr>Sheet10</vt:lpstr>
      <vt:lpstr>PO invoice summary</vt:lpstr>
      <vt:lpstr>Sheet7</vt:lpstr>
      <vt:lpstr>PO Commitments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Hardin, Thomas A</dc:creator>
  <cp:keywords/>
  <dc:description/>
  <cp:lastModifiedBy>Boyett, Chad J.</cp:lastModifiedBy>
  <cp:lastPrinted>2023-07-31T16:40:44Z</cp:lastPrinted>
  <dcterms:created xsi:type="dcterms:W3CDTF">2021-02-04T23:29:20Z</dcterms:created>
  <dcterms:modified xsi:type="dcterms:W3CDTF">2026-05-18T20:52:33Z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0x0101007E91C28609B10C43BE80AC6CB937E3FA</vt:lpwstr>
  </property>
  <property fmtid="{D5CDD505-2E9C-101B-9397-08002B2CF9AE}" pid="3" name="PSEG_Docs_LOB">
    <vt:lpwstr>21;#Public Service Electric ＆ Gas Co.|8b8b14e7-359b-4619-9a67-496a3df5511e</vt:lpwstr>
  </property>
  <property fmtid="{D5CDD505-2E9C-101B-9397-08002B2CF9AE}" pid="4" name="PSEG_Docs_Category">
    <vt:lpwstr>30;#Accounting|5e071c86-97a2-497c-a6a2-f0e53a97dc76</vt:lpwstr>
  </property>
  <property fmtid="{D5CDD505-2E9C-101B-9397-08002B2CF9AE}" pid="5" name="PSEG_Docs_Classification">
    <vt:lpwstr>16;#General|1268b6c8-6b1e-49f7-a8c6-1b6e05dd8cdb</vt:lpwstr>
  </property>
</Properties>
</file>